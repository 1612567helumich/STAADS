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OS" sheetId="1" state="visible" r:id="rId3"/>
    <sheet name="ABERTURAS" sheetId="2" state="visible" r:id="rId4"/>
    <sheet name="PRESIONES" sheetId="3" state="visible" r:id="rId5"/>
    <sheet name="LINEAS" sheetId="4" state="visible" r:id="rId6"/>
    <sheet name="STAAD" sheetId="5" state="visible" r:id="rId7"/>
    <sheet name="STAAD_ONEWAY" sheetId="6" state="visible" r:id="rId8"/>
    <sheet name="RECUBRIMIENTO" sheetId="7" state="visible" r:id="rId9"/>
    <sheet name="TABLAS" sheetId="8" state="visible" r:id="rId10"/>
    <sheet name="REFERENCIA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<sst xmlns="http://schemas.openxmlformats.org/spreadsheetml/2006/main" count="2024" uniqueCount="890">
  <si>
    <t xml:space="preserve">PRESIONES DE VIENTO EN NAVES — EL SALVADOR (NORMA TÉCNICA PARA DISEÑO POR VIENTO 1997) — DATOS</t>
  </si>
  <si>
    <t xml:space="preserve">auxiliar del croquis (no se toca)</t>
  </si>
  <si>
    <t xml:space="preserve">P = C_p·C_z·K·P_o (ec. 4.1). Nave rectangular de una crujía con techo a dos aguas, a un agua (hacia el muro que elijas), plano o curvo. La hoja resuelve de una vez los cuatro vientos (±X, ±Z) con puertas cerradas y con puertas abiertas (PA) y arma las cargas para STAAD.</t>
  </si>
  <si>
    <t xml:space="preserve">s_k</t>
  </si>
  <si>
    <t xml:space="preserve">h_k</t>
  </si>
  <si>
    <t xml:space="preserve">eje dibujo</t>
  </si>
  <si>
    <t xml:space="preserve">M1 u</t>
  </si>
  <si>
    <t xml:space="preserve">M1 v</t>
  </si>
  <si>
    <t xml:space="preserve">M1 x'</t>
  </si>
  <si>
    <t xml:space="preserve">M1 y'</t>
  </si>
  <si>
    <t xml:space="preserve">M2 u</t>
  </si>
  <si>
    <t xml:space="preserve">M2 v</t>
  </si>
  <si>
    <t xml:space="preserve">M2 x'</t>
  </si>
  <si>
    <t xml:space="preserve">M2 y'</t>
  </si>
  <si>
    <t xml:space="preserve">M3 u</t>
  </si>
  <si>
    <t xml:space="preserve">M3 v</t>
  </si>
  <si>
    <t xml:space="preserve">M3 x'</t>
  </si>
  <si>
    <t xml:space="preserve">M3 y'</t>
  </si>
  <si>
    <t xml:space="preserve">M4 u</t>
  </si>
  <si>
    <t xml:space="preserve">M4 v</t>
  </si>
  <si>
    <t xml:space="preserve">M4 x'</t>
  </si>
  <si>
    <t xml:space="preserve">M4 y'</t>
  </si>
  <si>
    <t xml:space="preserve">techo x'</t>
  </si>
  <si>
    <t xml:space="preserve">techo y'</t>
  </si>
  <si>
    <t xml:space="preserve">ejes x'</t>
  </si>
  <si>
    <t xml:space="preserve">ejes y'</t>
  </si>
  <si>
    <t xml:space="preserve">A1 x'</t>
  </si>
  <si>
    <t xml:space="preserve">A1 y'</t>
  </si>
  <si>
    <t xml:space="preserve">A2 x'</t>
  </si>
  <si>
    <t xml:space="preserve">A2 y'</t>
  </si>
  <si>
    <t xml:space="preserve">A3 x'</t>
  </si>
  <si>
    <t xml:space="preserve">A3 y'</t>
  </si>
  <si>
    <t xml:space="preserve">A4 x'</t>
  </si>
  <si>
    <t xml:space="preserve">A4 y'</t>
  </si>
  <si>
    <t xml:space="preserve">A5 x'</t>
  </si>
  <si>
    <t xml:space="preserve">A5 y'</t>
  </si>
  <si>
    <t xml:space="preserve">A6 x'</t>
  </si>
  <si>
    <t xml:space="preserve">A6 y'</t>
  </si>
  <si>
    <t xml:space="preserve">A7 x'</t>
  </si>
  <si>
    <t xml:space="preserve">A7 y'</t>
  </si>
  <si>
    <t xml:space="preserve">A8 x'</t>
  </si>
  <si>
    <t xml:space="preserve">A8 y'</t>
  </si>
  <si>
    <t xml:space="preserve">A9 x'</t>
  </si>
  <si>
    <t xml:space="preserve">A9 y'</t>
  </si>
  <si>
    <t xml:space="preserve">A10 x'</t>
  </si>
  <si>
    <t xml:space="preserve">A10 y'</t>
  </si>
  <si>
    <t xml:space="preserve">A11 x'</t>
  </si>
  <si>
    <t xml:space="preserve">A11 y'</t>
  </si>
  <si>
    <t xml:space="preserve">A12 x'</t>
  </si>
  <si>
    <t xml:space="preserve">A12 y'</t>
  </si>
  <si>
    <t xml:space="preserve">A13 x'</t>
  </si>
  <si>
    <t xml:space="preserve">A13 y'</t>
  </si>
  <si>
    <t xml:space="preserve">A14 x'</t>
  </si>
  <si>
    <t xml:space="preserve">A14 y'</t>
  </si>
  <si>
    <t xml:space="preserve">A15 x'</t>
  </si>
  <si>
    <t xml:space="preserve">A15 y'</t>
  </si>
  <si>
    <t xml:space="preserve">A16 x'</t>
  </si>
  <si>
    <t xml:space="preserve">A16 y'</t>
  </si>
  <si>
    <t xml:space="preserve">A17 x'</t>
  </si>
  <si>
    <t xml:space="preserve">A17 y'</t>
  </si>
  <si>
    <t xml:space="preserve">A18 x'</t>
  </si>
  <si>
    <t xml:space="preserve">A18 y'</t>
  </si>
  <si>
    <t xml:space="preserve">A19 x'</t>
  </si>
  <si>
    <t xml:space="preserve">A19 y'</t>
  </si>
  <si>
    <t xml:space="preserve">A20 x'</t>
  </si>
  <si>
    <t xml:space="preserve">A20 y'</t>
  </si>
  <si>
    <t xml:space="preserve">CÓMO SE LLENA: sólo celdas amarillas con letra azul (aquí, en ABERTURAS y en LINEAS). Muro 1 = atrás (Z = 0: puerta y cortina), Muro 2 = frente (Z = L: abierto, sin muro en STAAD), Muro 3 = izquierdo (X = 0), Muro 4 = derecho (X = B), como se ven en el croquis. Los marcos quedan en el plano X-Y. Lo marcado EJEMPLO es del NOSE DOCK H5-H6 (modelo R3): cámbialo para otra nave.</t>
  </si>
  <si>
    <t xml:space="preserve">ext x'</t>
  </si>
  <si>
    <t xml:space="preserve">ext y'</t>
  </si>
  <si>
    <t xml:space="preserve">1. PROYECTO</t>
  </si>
  <si>
    <t xml:space="preserve">margen</t>
  </si>
  <si>
    <t xml:space="preserve">Concepto</t>
  </si>
  <si>
    <t xml:space="preserve">Valor</t>
  </si>
  <si>
    <t xml:space="preserve">Unidad</t>
  </si>
  <si>
    <t xml:space="preserve">Cómo se calcula / de dónde sale</t>
  </si>
  <si>
    <t xml:space="preserve">Referencia</t>
  </si>
  <si>
    <t xml:space="preserve">aspecto</t>
  </si>
  <si>
    <t xml:space="preserve">Proyecto</t>
  </si>
  <si>
    <t xml:space="preserve">HANGAR NOSE-DOCK H5-H6</t>
  </si>
  <si>
    <t xml:space="preserve">CAPTURA. Sólo para identificar la corrida.</t>
  </si>
  <si>
    <t xml:space="preserve">—</t>
  </si>
  <si>
    <t xml:space="preserve">s</t>
  </si>
  <si>
    <t xml:space="preserve">Ubicación</t>
  </si>
  <si>
    <t xml:space="preserve">Departamento de LA PAZ, EL SALVADOR</t>
  </si>
  <si>
    <t xml:space="preserve">CAPTURA.</t>
  </si>
  <si>
    <t xml:space="preserve">offX</t>
  </si>
  <si>
    <t xml:space="preserve">offY</t>
  </si>
  <si>
    <t xml:space="preserve">2. GEOMETRÍA DE LA NAVE</t>
  </si>
  <si>
    <t xml:space="preserve">B — ancho en X (de Muro 3 a Muro 4)</t>
  </si>
  <si>
    <t xml:space="preserve">m</t>
  </si>
  <si>
    <t xml:space="preserve">CAPTURA. EJEMPLO: NOSE DOCK, X de 0 a 10.08 m (claro de los marcos).</t>
  </si>
  <si>
    <t xml:space="preserve">Modelo STAAD / arquitectónico</t>
  </si>
  <si>
    <t xml:space="preserve">L — largo en Z (de Muro 1 a Muro 2)</t>
  </si>
  <si>
    <t xml:space="preserve">CAPTURA. EJEMPLO: NOSE DOCK, Z de 0 a 16.00 m.</t>
  </si>
  <si>
    <t xml:space="preserve">Tipo de techo</t>
  </si>
  <si>
    <t xml:space="preserve">UN AGUA</t>
  </si>
  <si>
    <t xml:space="preserve">SELECTOR: DOS AGUAS, UN AGUA, PLANO o CURVO.</t>
  </si>
  <si>
    <t xml:space="preserve">NTV 1997 · 4.3.1, pág. 5 · Tabla 4.2, pág. 6</t>
  </si>
  <si>
    <t xml:space="preserve">El agua escurre hacia (sólo UN AGUA)</t>
  </si>
  <si>
    <t xml:space="preserve">MURO 2 (Z = L)</t>
  </si>
  <si>
    <t xml:space="preserve">SELECTOR. El muro por donde baja el agua; el lado alto queda en el muro opuesto. Muro 3 = izquierda, Muro 4 = derecha, Muro 1 = atrás, Muro 2 = frente (como en la vista de STAAD). EJEMPLO: NOSE DOCK, alto en el eje 1 y bajo en el eje 4.</t>
  </si>
  <si>
    <t xml:space="preserve">Croquis / arquitectónico</t>
  </si>
  <si>
    <t xml:space="preserve">Cumbrera (o eje del arco) paralela a (DOS AGUAS y CURVO)</t>
  </si>
  <si>
    <t xml:space="preserve">L (EJE Z)</t>
  </si>
  <si>
    <t xml:space="preserve">SELECTOR. L (EJE Z): cumbrera a lo largo, hastiales en Muros 1 y 2. B (EJE X): cumbrera de lado a lado, hastiales en Muros 3 y 4.</t>
  </si>
  <si>
    <t xml:space="preserve">h_a — altura baja (alero, o lado bajo en UN AGUA)</t>
  </si>
  <si>
    <t xml:space="preserve">CAPTURA. Del piso al alero. EJEMPLO: NOSE DOCK, 9.82 m en el eje 4 (nodos 13 y 16).</t>
  </si>
  <si>
    <t xml:space="preserve">h_c — altura alta (cumbrera, clave o lado alto)</t>
  </si>
  <si>
    <t xml:space="preserve">CAPTURA. Con techo PLANO no se usa. EJEMPLO: NOSE DOCK, 10.62 m en el eje 1 (nodos 20 y 21).</t>
  </si>
  <si>
    <t xml:space="preserve">¿El arco arranca desde el suelo? (sólo CURVO)</t>
  </si>
  <si>
    <t xml:space="preserve">NO</t>
  </si>
  <si>
    <t xml:space="preserve">SELECTOR. Con SÍ la zona A1 de la Tabla 4.2 pasa a empuje 1.4r ≤ 0.9.</t>
  </si>
  <si>
    <t xml:space="preserve">NTV 1997 · Tabla 4.2, pág. 6</t>
  </si>
  <si>
    <t xml:space="preserve">Separación típica entre marcos</t>
  </si>
  <si>
    <t xml:space="preserve">CAPTURA. Sólo para la carga de un marco intermedio en 2D (PRESIONES §F). EJEMPLO: ejes 1-2 y 2-3 del NOSE DOCK.</t>
  </si>
  <si>
    <t xml:space="preserve">H — altura máxima de la nave</t>
  </si>
  <si>
    <t xml:space="preserve">CALCULADA.</t>
  </si>
  <si>
    <t xml:space="preserve">Eje de la pendiente del techo</t>
  </si>
  <si>
    <t xml:space="preserve">CALCULADA. Dirección en la que cambia la altura del techo (s va de 0 a S en ese eje).</t>
  </si>
  <si>
    <t xml:space="preserve">Croquis</t>
  </si>
  <si>
    <t xml:space="preserve">S — claro en el sentido de la pendiente</t>
  </si>
  <si>
    <t xml:space="preserve">Lado alto del techo (UN AGUA)</t>
  </si>
  <si>
    <t xml:space="preserve">CALCULADA: el muro opuesto al que escurre el agua.</t>
  </si>
  <si>
    <t xml:space="preserve">s del lado alto (UN AGUA)</t>
  </si>
  <si>
    <t xml:space="preserve">CALCULADA. 0 si el lado alto está en X = 0 o Z = 0; S si está en el otro extremo.</t>
  </si>
  <si>
    <t xml:space="preserve">θ — inclinación del techo</t>
  </si>
  <si>
    <t xml:space="preserve">°</t>
  </si>
  <si>
    <t xml:space="preserve">CALCULADA. Decide el C_p del faldón de barlovento.</t>
  </si>
  <si>
    <t xml:space="preserve">NTV 1997 · 4.3.1, pág. 5</t>
  </si>
  <si>
    <t xml:space="preserve">Pendiente del techo</t>
  </si>
  <si>
    <t xml:space="preserve">%</t>
  </si>
  <si>
    <t xml:space="preserve">Revisión de la geometría</t>
  </si>
  <si>
    <t xml:space="preserve">CALCULADA. Debe decir OK.</t>
  </si>
  <si>
    <t xml:space="preserve">Croquis con tus datos (se actualiza solo): muros numerados como en ABERTURAS, PRESIONES y LINEAS; en rojo las aberturas. Proyección oblicua: X a la derecha, Y arriba y Z hacia el fondo del dibujo (el Muro 1, Z = 0, con puerta y cortina, se dibuja adelante; en la vista de STAAD queda atrás).</t>
  </si>
  <si>
    <t xml:space="preserve">3. EXPOSICIÓN Y TIPO DE ESTRUCTURA</t>
  </si>
  <si>
    <t xml:space="preserve">Zona de exposición</t>
  </si>
  <si>
    <t xml:space="preserve">C</t>
  </si>
  <si>
    <t xml:space="preserve">SELECTOR. A: muchos edificios altos alrededor; B: construcciones medianas o bajas, o árboles; C: terreno abierto (aeropuertos, campo, costa). EJEMPLO: C por estar en aeropuerto.</t>
  </si>
  <si>
    <t xml:space="preserve">NTV 1997 · Tabla 4.1, pág. 5</t>
  </si>
  <si>
    <t xml:space="preserve">K — factor de exposición</t>
  </si>
  <si>
    <t xml:space="preserve">CALCULADA de la Tabla 4.1.</t>
  </si>
  <si>
    <t xml:space="preserve">a — exponente de variación con la altura</t>
  </si>
  <si>
    <t xml:space="preserve">CALCULADA. C_z = 1 hasta 10 m y (z/10)^(2/a) arriba.</t>
  </si>
  <si>
    <t xml:space="preserve">NTV 1997 · 4.2 y Tabla 4.1, pág. 5</t>
  </si>
  <si>
    <t xml:space="preserve">P_o — presión básica de diseño</t>
  </si>
  <si>
    <t xml:space="preserve">kg/m²</t>
  </si>
  <si>
    <t xml:space="preserve">FIJA por la norma (80 km/h a 10 m).</t>
  </si>
  <si>
    <t xml:space="preserve">NTV 1997 · 2.1, pág. 2 · 4.1, pág. 5</t>
  </si>
  <si>
    <t xml:space="preserve">T — periodo natural de la nave</t>
  </si>
  <si>
    <t xml:space="preserve">CAPTURA. Periodo del modo dominante de STAAD (R1.5: réplica del modelo con HSS16x8x5/16, T = 0.579 s en Z y 0.489 s en X); cámbialo por el de tu output.</t>
  </si>
  <si>
    <t xml:space="preserve">NTV 1997 · 3.1, pág. 3</t>
  </si>
  <si>
    <t xml:space="preserve">Esbeltez = H / dimensión menor en planta</t>
  </si>
  <si>
    <t xml:space="preserve">NTV 1997 · 2.1, pág. 2 · 3.1, pág. 3</t>
  </si>
  <si>
    <t xml:space="preserve">Tipo de estructura</t>
  </si>
  <si>
    <t xml:space="preserve">CALCULADA. Tipo 1: esbeltez ≤ 5 y T ≤ 2 s. Tipo 2: presiones × 1.3 por ráfaga. El Tipo 3 (vórtices) no lo cubre esta hoja.</t>
  </si>
  <si>
    <t xml:space="preserve">NTV 1997 · 3.1, pág. 3 · 4.6.1, pág. 7</t>
  </si>
  <si>
    <t xml:space="preserve">FR — factor por ráfaga</t>
  </si>
  <si>
    <t xml:space="preserve">NTV 1997 · 4.6.1, pág. 7</t>
  </si>
  <si>
    <t xml:space="preserve">4. CASOS DE VIENTO PARA STAAD</t>
  </si>
  <si>
    <t xml:space="preserve">Unidades del modelo STAAD</t>
  </si>
  <si>
    <t xml:space="preserve">CM KG</t>
  </si>
  <si>
    <t xml:space="preserve">SELECTOR: CM KG (NOSE DOCK, Walmart), METER KG o METER KN. Las cargas salen en kg/cm, kg/m o kN/m.</t>
  </si>
  <si>
    <t xml:space="preserve">Encabezado del .STD (UNIT)</t>
  </si>
  <si>
    <t xml:space="preserve">Número del primer caso de viento</t>
  </si>
  <si>
    <t xml:space="preserve">CAPTURA. Los 8 casos quedan seguidos. EJEMPLO: en el NOSE DOCK R3 los vientos son LOAD 8 a 15.</t>
  </si>
  <si>
    <t xml:space="preserve">001_NOSE_DOCK_H5_H6_R3.STD</t>
  </si>
  <si>
    <t xml:space="preserve">Factor de unidades de la carga lineal</t>
  </si>
  <si>
    <t xml:space="preserve">CALCULADA. kg/m × factor = unidades de STAAD.</t>
  </si>
  <si>
    <t xml:space="preserve">Formato del número en STAAD</t>
  </si>
  <si>
    <t xml:space="preserve">Número del primer caso B (sólo si hace falta)</t>
  </si>
  <si>
    <t xml:space="preserve">CAPTURA. Los casos B sólo existen con techo de 30° a 50° (±0.4) o curvo con 0.2 ≤ r ≤ 0.3 (+0.3). Usa números libres.</t>
  </si>
  <si>
    <t xml:space="preserve">Caso en STAAD</t>
  </si>
  <si>
    <t xml:space="preserve">Viento</t>
  </si>
  <si>
    <t xml:space="preserve">Puertas</t>
  </si>
  <si>
    <t xml:space="preserve">Título en STAAD (lo puedes cambiar)</t>
  </si>
  <si>
    <t xml:space="preserve">Qué es</t>
  </si>
  <si>
    <t xml:space="preserve">+X</t>
  </si>
  <si>
    <t xml:space="preserve">CERRADAS</t>
  </si>
  <si>
    <t xml:space="preserve">VIENTO X</t>
  </si>
  <si>
    <t xml:space="preserve">Operables cerradas; sólo cuentan las aberturas FIJAS. Viento sopla hacia +X: pega primero en el Muro 3 (X = 0).</t>
  </si>
  <si>
    <t xml:space="preserve">−X</t>
  </si>
  <si>
    <t xml:space="preserve">VIENTO -X</t>
  </si>
  <si>
    <t xml:space="preserve">Operables cerradas; sólo cuentan las aberturas FIJAS. Viento sopla hacia −X: pega primero en el Muro 4 (X = B).</t>
  </si>
  <si>
    <t xml:space="preserve">+Z</t>
  </si>
  <si>
    <t xml:space="preserve">VIENTO Z</t>
  </si>
  <si>
    <t xml:space="preserve">Operables cerradas; sólo cuentan las aberturas FIJAS. Viento sopla hacia +Z: pega primero en el Muro 1 (Z = 0).</t>
  </si>
  <si>
    <t xml:space="preserve">−Z</t>
  </si>
  <si>
    <t xml:space="preserve">VIENTO -Z</t>
  </si>
  <si>
    <t xml:space="preserve">Operables cerradas; sólo cuentan las aberturas FIJAS. Viento sopla hacia −Z: pega primero en el Muro 2 (Z = L).</t>
  </si>
  <si>
    <t xml:space="preserve">ABIERTAS (PA)</t>
  </si>
  <si>
    <t xml:space="preserve">VIENTO X PA</t>
  </si>
  <si>
    <t xml:space="preserve">Operables abiertas (puerta o cortina abierta en la tormenta). Viento sopla hacia +X: pega primero en el Muro 3 (X = 0).</t>
  </si>
  <si>
    <t xml:space="preserve">VIENTO -X PA</t>
  </si>
  <si>
    <t xml:space="preserve">Operables abiertas (puerta o cortina abierta en la tormenta). Viento sopla hacia −X: pega primero en el Muro 4 (X = B).</t>
  </si>
  <si>
    <t xml:space="preserve">VIENTO Z PA</t>
  </si>
  <si>
    <t xml:space="preserve">Operables abiertas (puerta o cortina abierta en la tormenta). Viento sopla hacia +Z: pega primero en el Muro 1 (Z = 0).</t>
  </si>
  <si>
    <t xml:space="preserve">VIENTO -Z PA</t>
  </si>
  <si>
    <t xml:space="preserve">Operables abiertas (puerta o cortina abierta en la tormenta). Viento sopla hacia −Z: pega primero en el Muro 2 (Z = L).</t>
  </si>
  <si>
    <t xml:space="preserve">ABERTURAS POR MURO (POSICIÓN Y TAMAÑO) Y PRESIÓN INTERIOR</t>
  </si>
  <si>
    <t xml:space="preserve">Captura cada abertura donde está: portones, cortinas, puertas, ventanas, louvers o un muro que no se forra. Con eso la hoja dibuja los muros, saca el área abierta de cada escenario, decide la presión interior (NTV 4.4, pág. 7) y descuenta las aberturas de las cargas de LINEAS.</t>
  </si>
  <si>
    <t xml:space="preserve">CÓMO SE LLENA: un renglón por abertura. x = distancia horizontal desde la esquina con el Muro 3 (en Muros 1 y 2, igual a la X de STAAD) o desde la esquina con el Muro 1 (en Muros 3 y 4, igual a la Z de STAAD); y = altura del piso a la parte baja. FIJA = siempre abierta (vano sin cerrar, louver, muro sin forro). OPERABLE = puerta o cortina: cerrada en los casos normales y abierta en los casos PA. Deja en blanco lo que no uses.</t>
  </si>
  <si>
    <t xml:space="preserve">A. LISTA DE ABERTURAS</t>
  </si>
  <si>
    <t xml:space="preserve">auxiliares (no se tocan)</t>
  </si>
  <si>
    <t xml:space="preserve">auxiliares de la elevación (no se tocan)</t>
  </si>
  <si>
    <t xml:space="preserve">#</t>
  </si>
  <si>
    <t xml:space="preserve">Descripción</t>
  </si>
  <si>
    <t xml:space="preserve">Muro</t>
  </si>
  <si>
    <t xml:space="preserve">Tipo</t>
  </si>
  <si>
    <t xml:space="preserve">x desde (m)</t>
  </si>
  <si>
    <t xml:space="preserve">y desde (m)</t>
  </si>
  <si>
    <t xml:space="preserve">Ancho (m)</t>
  </si>
  <si>
    <t xml:space="preserve">Alto (m)</t>
  </si>
  <si>
    <t xml:space="preserve">Área (m²)</t>
  </si>
  <si>
    <t xml:space="preserve">¿Cabe en el muro?</t>
  </si>
  <si>
    <t xml:space="preserve">Nota / de dónde sale</t>
  </si>
  <si>
    <t xml:space="preserve">nº muro</t>
  </si>
  <si>
    <t xml:space="preserve">u₁</t>
  </si>
  <si>
    <t xml:space="preserve">u₂</t>
  </si>
  <si>
    <t xml:space="preserve">v₁</t>
  </si>
  <si>
    <t xml:space="preserve">v₂</t>
  </si>
  <si>
    <t xml:space="preserve">tope en u₁</t>
  </si>
  <si>
    <t xml:space="preserve">tope en u₂</t>
  </si>
  <si>
    <t xml:space="preserve">abierta CERR</t>
  </si>
  <si>
    <t xml:space="preserve">abierta PA</t>
  </si>
  <si>
    <t xml:space="preserve">largo muro</t>
  </si>
  <si>
    <t xml:space="preserve">hueco</t>
  </si>
  <si>
    <t xml:space="preserve">desfase</t>
  </si>
  <si>
    <t xml:space="preserve">Puerta de servicio (muro de atrás)</t>
  </si>
  <si>
    <t xml:space="preserve">MURO 1</t>
  </si>
  <si>
    <t xml:space="preserve">OPERABLE</t>
  </si>
  <si>
    <t xml:space="preserve">Modelo R1.5: jambas en X = 64.25 y 194.39 cm, dintel a 240 cm</t>
  </si>
  <si>
    <t xml:space="preserve">ext x</t>
  </si>
  <si>
    <t xml:space="preserve">Vano del nose dock, cortina de oruga (muro de atrás)</t>
  </si>
  <si>
    <t xml:space="preserve">Modelo R1.5: jambas en X = 248.69 y 758.85 cm, dintel a 633 cm</t>
  </si>
  <si>
    <t xml:space="preserve">ext y</t>
  </si>
  <si>
    <t xml:space="preserve">Frente abierto (Z = L): en STAAD no hay muro ni largueros</t>
  </si>
  <si>
    <t xml:space="preserve">MURO 2</t>
  </si>
  <si>
    <t xml:space="preserve">FIJA</t>
  </si>
  <si>
    <t xml:space="preserve">Modelo R1.5: el eje 4 (Z = 16 m) no tiene muro ni largueros; se toma como frente abierto (NTV 4.4, pág. 7)</t>
  </si>
  <si>
    <t xml:space="preserve">B. ELEVACIÓN DE LOS CUATRO MUROS (X o Z crecen a la derecha, como en STAAD)</t>
  </si>
  <si>
    <t xml:space="preserve">Rojo = abertura FIJA; naranja punteado = OPERABLE (puerta o cortina). Cada muro se dibuja visto desde fuera con su coordenada creciendo a la derecha: Muros 1 y 2 con X, Muros 3 y 4 con Z. Así checas de un vistazo que cada abertura quedó donde va.</t>
  </si>
  <si>
    <t xml:space="preserve">C. LOS CUATRO MUROS: GEOMETRÍA Y ÁREA ABIERTA EN CADA ESCENARIO</t>
  </si>
  <si>
    <t xml:space="preserve">Un muro con 30% o más de su área abierta hace que la nave cuente como abierta de ese lado (NTV 2.1, pág. 2) y obliga a considerar presión interior (4.4, pág. 7). El área de los hastiales incluye la parte bajo el techo. CERR = operables cerradas; PA = operables abiertas.</t>
  </si>
  <si>
    <t xml:space="preserve">Longitud (m)</t>
  </si>
  <si>
    <t xml:space="preserve">¿Hastial?</t>
  </si>
  <si>
    <t xml:space="preserve">Altura (m)</t>
  </si>
  <si>
    <t xml:space="preserve">Área arriba de 10 m (m²)</t>
  </si>
  <si>
    <t xml:space="preserve">Abierta CERR (m²)</t>
  </si>
  <si>
    <t xml:space="preserve">% abierto CERR</t>
  </si>
  <si>
    <t xml:space="preserve">Abierta PA (m²)</t>
  </si>
  <si>
    <t xml:space="preserve">% abierto PA</t>
  </si>
  <si>
    <t xml:space="preserve">¿≥ 30%? CERR</t>
  </si>
  <si>
    <t xml:space="preserve">¿≥ 30%? PA</t>
  </si>
  <si>
    <t xml:space="preserve">Maciza CERR (m²)</t>
  </si>
  <si>
    <t xml:space="preserve">Maciza PA (m²)</t>
  </si>
  <si>
    <t xml:space="preserve">Muro 1 — atrás (Z = 0)</t>
  </si>
  <si>
    <t xml:space="preserve">Muro 2 — frente (Z = L)</t>
  </si>
  <si>
    <t xml:space="preserve">Muro 3 — izquierdo (X = 0)</t>
  </si>
  <si>
    <t xml:space="preserve">Muro 4 — derecho (X = B)</t>
  </si>
  <si>
    <t xml:space="preserve">D. PRESIÓN INTERIOR DE CADA CASO (NTV 4.4, pág. 7)</t>
  </si>
  <si>
    <t xml:space="preserve">Si en el escenario ningún muro llega a 30% abierto no hay presión interior. Si alguno llega, se ve dónde están principalmente las aberturas: barlovento +0.75, sotavento −0.6, caras paralelas al viento −0.5, uniformemente distribuidas −0.3. Criterio de esta hoja: «principalmente» = el área abierta de esa cara es por lo menos el doble de la del resto. + empuja las caras interiores hacia afuera (levanta el techo); − las jala hacia adentro.</t>
  </si>
  <si>
    <t xml:space="preserve">Caso</t>
  </si>
  <si>
    <t xml:space="preserve">Viento · puertas</t>
  </si>
  <si>
    <t xml:space="preserve">Muro de barlovento</t>
  </si>
  <si>
    <t xml:space="preserve">Muro de sotavento</t>
  </si>
  <si>
    <t xml:space="preserve">Abierta barlovento (m²)</t>
  </si>
  <si>
    <t xml:space="preserve">Abierta sotavento (m²)</t>
  </si>
  <si>
    <t xml:space="preserve">Abierta paralelas (m²)</t>
  </si>
  <si>
    <t xml:space="preserve">¿Algún muro ≥ 30%?</t>
  </si>
  <si>
    <t xml:space="preserve">Caso de la norma</t>
  </si>
  <si>
    <t xml:space="preserve">C_pi</t>
  </si>
  <si>
    <t xml:space="preserve">NTV 1997 · 2.1, pág. 2 · 4.4, pág. 7 · criterio del doble: REFERENCIAS</t>
  </si>
  <si>
    <t xml:space="preserve">PRESIONES DE VIENTO — LOS 8 CASOS (4 DIRECCIONES × PUERTAS CERRADAS / ABIERTAS)</t>
  </si>
  <si>
    <t xml:space="preserve">SIGNOS: p neta = C_pe·q − C_pi·q_H. + empuja hacia la superficie (hacia adentro en muros, hacia abajo en el techo); − succión (hacia afuera, levanta el techo). En STAAD (ejes globales): Muro 1 → GZ con el mismo signo; Muro 2 → GZ con signo contrario; Muro 3 → GX con el mismo signo; Muro 4 → GX con signo contrario; techo → GY con signo contrario, más la componente horizontal de la presión normal al techo en el eje de la pendiente. La hoja STAAD ya lo trae aplicado.</t>
  </si>
  <si>
    <t xml:space="preserve">A. PRESIÓN DINÁMICA q = C_z·K·P_o·FR</t>
  </si>
  <si>
    <t xml:space="preserve">Cómo se calcula</t>
  </si>
  <si>
    <t xml:space="preserve">q hasta 10 m = K·P_o·FR</t>
  </si>
  <si>
    <t xml:space="preserve">C_z = 1 hasta 10 m de altura.</t>
  </si>
  <si>
    <t xml:space="preserve">NTV 1997 · 4.1 y 4.2, pág. 5</t>
  </si>
  <si>
    <t xml:space="preserve">H — altura máxima</t>
  </si>
  <si>
    <t xml:space="preserve">De DATOS.</t>
  </si>
  <si>
    <t xml:space="preserve">C_z a la altura H</t>
  </si>
  <si>
    <t xml:space="preserve">(z/10)^(2/a) arriba de 10 m.</t>
  </si>
  <si>
    <t xml:space="preserve">NTV 1997 · 4.2, pág. 5</t>
  </si>
  <si>
    <t xml:space="preserve">q_H = C_z(H)·K·P_o·FR (techo y presión interior)</t>
  </si>
  <si>
    <t xml:space="preserve">Techo, presión interior y recubrimiento a la altura máxima: criterio del lado seguro.</t>
  </si>
  <si>
    <t xml:space="preserve">NTV 1997 · 4.1, pág. 5</t>
  </si>
  <si>
    <t xml:space="preserve">z de sotavento y laterales = H/2</t>
  </si>
  <si>
    <t xml:space="preserve">La succión es constante en toda la altura y se calcula a la mitad de la altura total del edificio.</t>
  </si>
  <si>
    <t xml:space="preserve">NTV 1997 · 4.3.1 nota, pág. 5 · Comentarios C4.3.1, págs. 4 y 5</t>
  </si>
  <si>
    <t xml:space="preserve">C_z a H/2</t>
  </si>
  <si>
    <t xml:space="preserve">Igual que arriba.</t>
  </si>
  <si>
    <t xml:space="preserve">q de sotavento y laterales</t>
  </si>
  <si>
    <t xml:space="preserve">Comentarios C4.3.1, págs. 4 y 5</t>
  </si>
  <si>
    <t xml:space="preserve">r = flecha / claro (sólo CURVO)</t>
  </si>
  <si>
    <t xml:space="preserve">Con arco desde el suelo la flecha es H.</t>
  </si>
  <si>
    <t xml:space="preserve">m — pendiente media del cuarto 1 del techo (dh/ds)</t>
  </si>
  <si>
    <t xml:space="preserve">Sirve para la componente horizontal de la presión normal al techo (s crece en el eje de la pendiente). Curvo: pendiente media de la parábola en ese cuarto.</t>
  </si>
  <si>
    <t xml:space="preserve">NTV 1997 · 4.5, pág. 7</t>
  </si>
  <si>
    <t xml:space="preserve">m — pendiente media del cuarto 2 del techo (dh/ds)</t>
  </si>
  <si>
    <t xml:space="preserve">m — pendiente media del cuarto 3 del techo (dh/ds)</t>
  </si>
  <si>
    <t xml:space="preserve">m — pendiente media del cuarto 4 del techo (dh/ds)</t>
  </si>
  <si>
    <t xml:space="preserve">¿Hay casos B distintos de los A?</t>
  </si>
  <si>
    <t xml:space="preserve">SÍ sólo con faldón de 30° a 50° (±0.4) o curvo con 0.2 ≤ r ≤ 0.3 (−0.8 ó +0.3).</t>
  </si>
  <si>
    <t xml:space="preserve">B. ROL Y C_pe DE CADA SUPERFICIE EN CADA DIRECCIÓN DEL VIENTO</t>
  </si>
  <si>
    <t xml:space="preserve">Techo por cuartos a lo largo del eje de la pendiente (s de 0 a S): cuarto 1 = 0 a S/4, …, cuarto 4 = 3S/4 a S. Dos aguas: faldones = cuartos 1-2 y 3-4. Curvo: A1 = cuarto de barlovento, A2 = mitad central, A3 = cuarto de sotavento. Un agua: el techo es de barlovento cuando el viento entra por el lado bajo. Viento paralelo a la cumbrera o techo plano: −0.7.</t>
  </si>
  <si>
    <t xml:space="preserve">Dirección del viento</t>
  </si>
  <si>
    <t xml:space="preserve">+X (pega en el Muro 3)</t>
  </si>
  <si>
    <t xml:space="preserve">−X (pega en el Muro 4)</t>
  </si>
  <si>
    <t xml:space="preserve">+Z (pega en el Muro 1)</t>
  </si>
  <si>
    <t xml:space="preserve">−Z (pega en el Muro 2)</t>
  </si>
  <si>
    <t xml:space="preserve">Superficie</t>
  </si>
  <si>
    <t xml:space="preserve">Rol</t>
  </si>
  <si>
    <t xml:space="preserve">C_pe A</t>
  </si>
  <si>
    <t xml:space="preserve">C_pe B</t>
  </si>
  <si>
    <t xml:space="preserve">LATERAL</t>
  </si>
  <si>
    <t xml:space="preserve">BARLOVENTO</t>
  </si>
  <si>
    <t xml:space="preserve">SOTAVENTO</t>
  </si>
  <si>
    <t xml:space="preserve">C. PRESIONES NETAS DE CADA CASO (kg/m²; + hacia la superficie, − succión)</t>
  </si>
  <si>
    <t xml:space="preserve">Muros de barlovento: C_z = 1 hasta 10 m y, arriba, el C_z de lo alto del muro (renglón «en lo alto»). Sotavento y laterales: q a H/2. Techo: q_H. Las presiones de cada renglón de LINEAS salen de aquí.</t>
  </si>
  <si>
    <t xml:space="preserve">C_pi del caso</t>
  </si>
  <si>
    <t xml:space="preserve">ABERTURAS §D · NTV 1997 · 4.4, pág. 7</t>
  </si>
  <si>
    <t xml:space="preserve">Muro 1 — atrás (Z = 0) — hasta 10 m</t>
  </si>
  <si>
    <t xml:space="preserve">NTV 1997 · 4.1 y 4.3.1, pág. 5 · 4.4, pág. 7</t>
  </si>
  <si>
    <t xml:space="preserve">Muro 2 — frente (Z = L) — hasta 10 m</t>
  </si>
  <si>
    <t xml:space="preserve">Muro 3 — izquierdo (X = 0) — hasta 10 m</t>
  </si>
  <si>
    <t xml:space="preserve">Muro 4 — derecho (X = B) — hasta 10 m</t>
  </si>
  <si>
    <t xml:space="preserve">Muro 1 — atrás (Z = 0) — en lo alto</t>
  </si>
  <si>
    <t xml:space="preserve">NTV 1997 · 4.2, pág. 5 (franja arriba de 10 m)</t>
  </si>
  <si>
    <t xml:space="preserve">Muro 2 — frente (Z = L) — en lo alto</t>
  </si>
  <si>
    <t xml:space="preserve">Muro 3 — izquierdo (X = 0) — en lo alto</t>
  </si>
  <si>
    <t xml:space="preserve">Muro 4 — derecho (X = B) — en lo alto</t>
  </si>
  <si>
    <t xml:space="preserve">Techo — cuarto 1, caso A</t>
  </si>
  <si>
    <t xml:space="preserve">NTV 1997 · 4.3.1, pág. 5 · 4.4, pág. 7</t>
  </si>
  <si>
    <t xml:space="preserve">Techo — cuarto 2, caso A</t>
  </si>
  <si>
    <t xml:space="preserve">Techo — cuarto 3, caso A</t>
  </si>
  <si>
    <t xml:space="preserve">Techo — cuarto 4, caso A</t>
  </si>
  <si>
    <t xml:space="preserve">Techo — cuarto 1, caso B</t>
  </si>
  <si>
    <t xml:space="preserve">Techo — cuarto 2, caso B</t>
  </si>
  <si>
    <t xml:space="preserve">Techo — cuarto 3, caso B</t>
  </si>
  <si>
    <t xml:space="preserve">Techo — cuarto 4, caso B</t>
  </si>
  <si>
    <t xml:space="preserve">D. FUERZAS TOTALES: LO QUE ENTRA A STAAD (LINEAS) CONTRA LO QUE DA LA NORMA (t)</t>
  </si>
  <si>
    <t xml:space="preserve">STAAD = Σ w·largo de los renglones de LINEAS (lo que vas a pegar), en ejes globales. Norma = Σ p·área maciza de cada muro y del techo. Diferencia normal: la franja de la base que baja directo a la cimentación (≈ 3 a 6%); en amarillo si pasa de 10% o de 0.2 t. Con succión pareja por todos lados la fuerza neta es casi cero: ahí sólo importa la diferencia.</t>
  </si>
  <si>
    <t xml:space="preserve">ΣFX que entra a STAAD</t>
  </si>
  <si>
    <t xml:space="preserve">FX según la norma</t>
  </si>
  <si>
    <t xml:space="preserve">Diferencia en X (STAAD − norma)</t>
  </si>
  <si>
    <t xml:space="preserve">ΣFZ que entra a STAAD</t>
  </si>
  <si>
    <t xml:space="preserve">FZ según la norma</t>
  </si>
  <si>
    <t xml:space="preserve">Diferencia en Z (STAAD − norma)</t>
  </si>
  <si>
    <t xml:space="preserve">ΣFY que entra a STAAD (+ = hacia arriba)</t>
  </si>
  <si>
    <t xml:space="preserve">RESESCO Art. 21, pág. 8 (volteo y anclas con 0.9 CM + 1.301 V)</t>
  </si>
  <si>
    <t xml:space="preserve">FY según la norma</t>
  </si>
  <si>
    <t xml:space="preserve">Diferencia en Y (STAAD − norma)</t>
  </si>
  <si>
    <t xml:space="preserve">E. COBERTURA DE CADA MURO: ÁREA MACIZA CONTRA ÁREA CARGADA EN LINEAS</t>
  </si>
  <si>
    <t xml:space="preserve">OK si LINEAS carga por lo menos 85% del área maciza (lo demás es la franja de la base). «SIN MIEMBROS» = el muro existe y tiene presión, pero no hay renglones suyos en LINEAS: en STAAD esa presión no entraría.</t>
  </si>
  <si>
    <t xml:space="preserve">Cargada CERR (m²)</t>
  </si>
  <si>
    <t xml:space="preserve">% CERR</t>
  </si>
  <si>
    <t xml:space="preserve">Cargada PA (m²)</t>
  </si>
  <si>
    <t xml:space="preserve">% PA</t>
  </si>
  <si>
    <t xml:space="preserve">Estado</t>
  </si>
  <si>
    <t xml:space="preserve">LINEAS §B · NTV 1997 · 4.5, pág. 7</t>
  </si>
  <si>
    <t xml:space="preserve">Techo (área en planta)</t>
  </si>
  <si>
    <t xml:space="preserve">LINEAS §A</t>
  </si>
  <si>
    <t xml:space="preserve">F. CARGA EN UN MARCO INTERMEDIO EN 2D (p × separación, kg/m)</t>
  </si>
  <si>
    <t xml:space="preserve">Sólo para revisar un marco aislado en el plano X-Y: columna del Muro 3, columna del Muro 4 y viga del techo por cuartos (los cuartos van a lo largo del marco sólo si la pendiente es en X). El marco extremo lleva la mitad. En el modelo 3D usa la hoja STAAD.</t>
  </si>
  <si>
    <t xml:space="preserve">Elemento</t>
  </si>
  <si>
    <t xml:space="preserve">Columna del Muro 3 (hasta 10 m)</t>
  </si>
  <si>
    <t xml:space="preserve">Criterio de esta hoja (REFERENCIAS)</t>
  </si>
  <si>
    <t xml:space="preserve">Columna del Muro 4 (hasta 10 m)</t>
  </si>
  <si>
    <t xml:space="preserve">Techo — cuarto 1 (caso A)</t>
  </si>
  <si>
    <t xml:space="preserve">Techo — cuarto 2 (caso A)</t>
  </si>
  <si>
    <t xml:space="preserve">Techo — cuarto 3 (caso A)</t>
  </si>
  <si>
    <t xml:space="preserve">Techo — cuarto 4 (caso A)</t>
  </si>
  <si>
    <t xml:space="preserve">COMBINACIONES (RESESCO Art. 21, págs. 7 y 8): con viento S se cambia por 0.91V → 1.05 CM + 1.275 CVR + 1.276 V y 0.9 CM + 1.301 V; con succión la viva va en cero (Art. 25.4, pág. 10). El NOSE DOCK R3 ya las trae (LOAD COMB 24 a 31 de servicio y 50 en adelante factorizadas).</t>
  </si>
  <si>
    <t xml:space="preserve">LINEAS DE CARGA: LOS MIEMBROS DE STAAD QUE RECIBEN EL VIENTO</t>
  </si>
  <si>
    <t xml:space="preserve">Cada renglón es un miembro (o grupo de miembros iguales) con su franja tributaria. La hoja descuenta sola las aberturas que caen en la franja (según el escenario), le pone la presión de cada caso y arma las líneas de la hoja STAAD.</t>
  </si>
  <si>
    <t xml:space="preserve">CÓMO SE LLENA: a₁–a₂ = tramo que cubre el miembro; b₁–b₂ = franja tributaria perpendicular a él. Muros: HORIZONTAL (larguero, dintel, viga) → a en X o Z y b en altura; VERTICAL (jamba, poste) → a en altura y b en X o Z. Techo: a a lo largo del miembro y b en el eje de la pendiente (s, de 0 a S). b₁ fin / b₂ fin sólo si la franja cambia a lo largo (orilla inclinada). Todo en metros y con las coordenadas de STAAD. EJEMPLO: NOSE DOCK R3 completo.</t>
  </si>
  <si>
    <t xml:space="preserve">A. TECHO — LARGUEROS Y VIGAS QUE RECIBEN LA LÁMINA DEL TECHO</t>
  </si>
  <si>
    <t xml:space="preserve">b en el eje de la pendiente (en el NOSE DOCK es Z). La presión de cada cuarto del techo se reparte según cuánto de la franja cae en él. Carga vertical → GY; la componente horizontal (presión normal al techo) → eje de la pendiente.</t>
  </si>
  <si>
    <t xml:space="preserve">ID</t>
  </si>
  <si>
    <t xml:space="preserve">Miembros de STAAD</t>
  </si>
  <si>
    <t xml:space="preserve">Sentido</t>
  </si>
  <si>
    <t xml:space="preserve">a₁ (m)</t>
  </si>
  <si>
    <t xml:space="preserve">a₂ (m)</t>
  </si>
  <si>
    <t xml:space="preserve">b₁ (m)</t>
  </si>
  <si>
    <t xml:space="preserve">b₂ (m)</t>
  </si>
  <si>
    <t xml:space="preserve">b₁ fin (m)</t>
  </si>
  <si>
    <t xml:space="preserve">b₂ fin (m)</t>
  </si>
  <si>
    <t xml:space="preserve">Largo (m)</t>
  </si>
  <si>
    <t xml:space="preserve">Ancho trib. (m)</t>
  </si>
  <si>
    <t xml:space="preserve">Área bruta (m²)</t>
  </si>
  <si>
    <t xml:space="preserve">z (m)</t>
  </si>
  <si>
    <t xml:space="preserve">b₁ prom</t>
  </si>
  <si>
    <t xml:space="preserve">b₂ prom</t>
  </si>
  <si>
    <t xml:space="preserve">w (kg/m), caso A</t>
  </si>
  <si>
    <t xml:space="preserve">horizontal del techo (kg/m, + hacia +s), caso A</t>
  </si>
  <si>
    <t xml:space="preserve">w (kg/m), caso B</t>
  </si>
  <si>
    <t xml:space="preserve">horizontal del techo (kg/m), caso B</t>
  </si>
  <si>
    <t xml:space="preserve">VM-1</t>
  </si>
  <si>
    <t xml:space="preserve">TECHO</t>
  </si>
  <si>
    <t xml:space="preserve">22 85 TO 88</t>
  </si>
  <si>
    <t xml:space="preserve">LT-1</t>
  </si>
  <si>
    <t xml:space="preserve">80 129 TO 132</t>
  </si>
  <si>
    <t xml:space="preserve">LT-2</t>
  </si>
  <si>
    <t xml:space="preserve">79 125 TO 128</t>
  </si>
  <si>
    <t xml:space="preserve">LT-3</t>
  </si>
  <si>
    <t xml:space="preserve">78 121 TO 124</t>
  </si>
  <si>
    <t xml:space="preserve">LT-4</t>
  </si>
  <si>
    <t xml:space="preserve">77 117 TO 120</t>
  </si>
  <si>
    <t xml:space="preserve">VM-2</t>
  </si>
  <si>
    <t xml:space="preserve">9 93 TO 96</t>
  </si>
  <si>
    <t xml:space="preserve">LT-5</t>
  </si>
  <si>
    <t xml:space="preserve">76 113 TO 116</t>
  </si>
  <si>
    <t xml:space="preserve">LT-6</t>
  </si>
  <si>
    <t xml:space="preserve">75 109 TO 112</t>
  </si>
  <si>
    <t xml:space="preserve">LT-7</t>
  </si>
  <si>
    <t xml:space="preserve">74 105 TO 108</t>
  </si>
  <si>
    <t xml:space="preserve">LT-8</t>
  </si>
  <si>
    <t xml:space="preserve">73 101 TO 104</t>
  </si>
  <si>
    <t xml:space="preserve">VM-3</t>
  </si>
  <si>
    <t xml:space="preserve">8 89 TO 92</t>
  </si>
  <si>
    <t xml:space="preserve">LT-9</t>
  </si>
  <si>
    <t xml:space="preserve">56 97 TO 100</t>
  </si>
  <si>
    <t xml:space="preserve">VM-4</t>
  </si>
  <si>
    <t xml:space="preserve">7 81 TO 84</t>
  </si>
  <si>
    <t xml:space="preserve">Totales del techo</t>
  </si>
  <si>
    <t xml:space="preserve">B. MUROS — LARGUEROS, DINTELES, JAMBAS Y FRANJAS ALTAS QUE LLEGAN A LAS VIGAS</t>
  </si>
  <si>
    <t xml:space="preserve">Las aberturas FIJAS se descuentan siempre y las OPERABLES sólo en los casos PA; con la puerta o cortina cerrada su presión la toman los miembros cuya franja la cubre (en el ejemplo: jambas del vano y dintel de la puerta). Barlovento arriba de 10 m con el C_z de lo alto de la franja.</t>
  </si>
  <si>
    <t xml:space="preserve">w (kg/m) normal al muro, + hacia adentro</t>
  </si>
  <si>
    <t xml:space="preserve">LA-1.1</t>
  </si>
  <si>
    <t xml:space="preserve">MURO 3</t>
  </si>
  <si>
    <t xml:space="preserve">261</t>
  </si>
  <si>
    <t xml:space="preserve">HORIZONTAL</t>
  </si>
  <si>
    <t xml:space="preserve">LA-1.2</t>
  </si>
  <si>
    <t xml:space="preserve">260</t>
  </si>
  <si>
    <t xml:space="preserve">LA-1.3</t>
  </si>
  <si>
    <t xml:space="preserve">259</t>
  </si>
  <si>
    <t xml:space="preserve">LA-2.1</t>
  </si>
  <si>
    <t xml:space="preserve">270</t>
  </si>
  <si>
    <t xml:space="preserve">LA-2.2</t>
  </si>
  <si>
    <t xml:space="preserve">269</t>
  </si>
  <si>
    <t xml:space="preserve">LA-2.3</t>
  </si>
  <si>
    <t xml:space="preserve">268</t>
  </si>
  <si>
    <t xml:space="preserve">LA-3.1</t>
  </si>
  <si>
    <t xml:space="preserve">279</t>
  </si>
  <si>
    <t xml:space="preserve">LA-3.2</t>
  </si>
  <si>
    <t xml:space="preserve">278</t>
  </si>
  <si>
    <t xml:space="preserve">LA-3.3</t>
  </si>
  <si>
    <t xml:space="preserve">277</t>
  </si>
  <si>
    <t xml:space="preserve">LA-4.1</t>
  </si>
  <si>
    <t xml:space="preserve">289</t>
  </si>
  <si>
    <t xml:space="preserve">LA-4.2</t>
  </si>
  <si>
    <t xml:space="preserve">288</t>
  </si>
  <si>
    <t xml:space="preserve">LA-4.3</t>
  </si>
  <si>
    <t xml:space="preserve">287</t>
  </si>
  <si>
    <t xml:space="preserve">LA-5.1</t>
  </si>
  <si>
    <t xml:space="preserve">297</t>
  </si>
  <si>
    <t xml:space="preserve">LA-5.2</t>
  </si>
  <si>
    <t xml:space="preserve">296</t>
  </si>
  <si>
    <t xml:space="preserve">LA-5.3</t>
  </si>
  <si>
    <t xml:space="preserve">295</t>
  </si>
  <si>
    <t xml:space="preserve">LA-6.1</t>
  </si>
  <si>
    <t xml:space="preserve">305</t>
  </si>
  <si>
    <t xml:space="preserve">LA-6.2</t>
  </si>
  <si>
    <t xml:space="preserve">304</t>
  </si>
  <si>
    <t xml:space="preserve">LA-6.3</t>
  </si>
  <si>
    <t xml:space="preserve">303</t>
  </si>
  <si>
    <t xml:space="preserve">LA-7.1</t>
  </si>
  <si>
    <t xml:space="preserve">314</t>
  </si>
  <si>
    <t xml:space="preserve">LA-7.2</t>
  </si>
  <si>
    <t xml:space="preserve">313</t>
  </si>
  <si>
    <t xml:space="preserve">LA-7.3</t>
  </si>
  <si>
    <t xml:space="preserve">312</t>
  </si>
  <si>
    <t xml:space="preserve">LA-8.1</t>
  </si>
  <si>
    <t xml:space="preserve">317</t>
  </si>
  <si>
    <t xml:space="preserve">LA-8.2</t>
  </si>
  <si>
    <t xml:space="preserve">316</t>
  </si>
  <si>
    <t xml:space="preserve">LA-8.3</t>
  </si>
  <si>
    <t xml:space="preserve">315</t>
  </si>
  <si>
    <t xml:space="preserve">LB-1.1</t>
  </si>
  <si>
    <t xml:space="preserve">MURO 4</t>
  </si>
  <si>
    <t xml:space="preserve">265</t>
  </si>
  <si>
    <t xml:space="preserve">LB-1.2</t>
  </si>
  <si>
    <t xml:space="preserve">266</t>
  </si>
  <si>
    <t xml:space="preserve">LB-1.3</t>
  </si>
  <si>
    <t xml:space="preserve">267</t>
  </si>
  <si>
    <t xml:space="preserve">LB-2.1</t>
  </si>
  <si>
    <t xml:space="preserve">274</t>
  </si>
  <si>
    <t xml:space="preserve">LB-2.2</t>
  </si>
  <si>
    <t xml:space="preserve">275</t>
  </si>
  <si>
    <t xml:space="preserve">LB-2.3</t>
  </si>
  <si>
    <t xml:space="preserve">276</t>
  </si>
  <si>
    <t xml:space="preserve">LB-3.1</t>
  </si>
  <si>
    <t xml:space="preserve">283</t>
  </si>
  <si>
    <t xml:space="preserve">LB-3.2</t>
  </si>
  <si>
    <t xml:space="preserve">284</t>
  </si>
  <si>
    <t xml:space="preserve">LB-3.3</t>
  </si>
  <si>
    <t xml:space="preserve">285</t>
  </si>
  <si>
    <t xml:space="preserve">LB-4.1</t>
  </si>
  <si>
    <t xml:space="preserve">292</t>
  </si>
  <si>
    <t xml:space="preserve">LB-4.2</t>
  </si>
  <si>
    <t xml:space="preserve">293</t>
  </si>
  <si>
    <t xml:space="preserve">LB-4.3</t>
  </si>
  <si>
    <t xml:space="preserve">294</t>
  </si>
  <si>
    <t xml:space="preserve">LB-5.1</t>
  </si>
  <si>
    <t xml:space="preserve">300</t>
  </si>
  <si>
    <t xml:space="preserve">LB-5.2</t>
  </si>
  <si>
    <t xml:space="preserve">301</t>
  </si>
  <si>
    <t xml:space="preserve">LB-5.3</t>
  </si>
  <si>
    <t xml:space="preserve">302</t>
  </si>
  <si>
    <t xml:space="preserve">LB-6.1</t>
  </si>
  <si>
    <t xml:space="preserve">307</t>
  </si>
  <si>
    <t xml:space="preserve">LB-6.2</t>
  </si>
  <si>
    <t xml:space="preserve">308</t>
  </si>
  <si>
    <t xml:space="preserve">LB-6.3</t>
  </si>
  <si>
    <t xml:space="preserve">309</t>
  </si>
  <si>
    <t xml:space="preserve">LB-7.1</t>
  </si>
  <si>
    <t xml:space="preserve">318</t>
  </si>
  <si>
    <t xml:space="preserve">LB-7.2</t>
  </si>
  <si>
    <t xml:space="preserve">311</t>
  </si>
  <si>
    <t xml:space="preserve">LB-7.3</t>
  </si>
  <si>
    <t xml:space="preserve">310</t>
  </si>
  <si>
    <t xml:space="preserve">LB-8.1</t>
  </si>
  <si>
    <t xml:space="preserve">321</t>
  </si>
  <si>
    <t xml:space="preserve">LB-8.2</t>
  </si>
  <si>
    <t xml:space="preserve">320</t>
  </si>
  <si>
    <t xml:space="preserve">LB-8.3</t>
  </si>
  <si>
    <t xml:space="preserve">319</t>
  </si>
  <si>
    <t xml:space="preserve">VA-1 (60)</t>
  </si>
  <si>
    <t xml:space="preserve">60</t>
  </si>
  <si>
    <t xml:space="preserve">VA-1 (59)</t>
  </si>
  <si>
    <t xml:space="preserve">59</t>
  </si>
  <si>
    <t xml:space="preserve">VA-1 (58)</t>
  </si>
  <si>
    <t xml:space="preserve">58</t>
  </si>
  <si>
    <t xml:space="preserve">VA-1 (57)</t>
  </si>
  <si>
    <t xml:space="preserve">57</t>
  </si>
  <si>
    <t xml:space="preserve">VA-1 (10)</t>
  </si>
  <si>
    <t xml:space="preserve">10</t>
  </si>
  <si>
    <t xml:space="preserve">VA-2 (68)</t>
  </si>
  <si>
    <t xml:space="preserve">68</t>
  </si>
  <si>
    <t xml:space="preserve">VA-2 (67)</t>
  </si>
  <si>
    <t xml:space="preserve">67</t>
  </si>
  <si>
    <t xml:space="preserve">VA-2 (66)</t>
  </si>
  <si>
    <t xml:space="preserve">66</t>
  </si>
  <si>
    <t xml:space="preserve">VA-2 (65)</t>
  </si>
  <si>
    <t xml:space="preserve">65</t>
  </si>
  <si>
    <t xml:space="preserve">VA-2 (43)</t>
  </si>
  <si>
    <t xml:space="preserve">43</t>
  </si>
  <si>
    <t xml:space="preserve">VA-3 (47)</t>
  </si>
  <si>
    <t xml:space="preserve">47</t>
  </si>
  <si>
    <t xml:space="preserve">VA-3 (54)</t>
  </si>
  <si>
    <t xml:space="preserve">54</t>
  </si>
  <si>
    <t xml:space="preserve">VB-1 (64)</t>
  </si>
  <si>
    <t xml:space="preserve">64</t>
  </si>
  <si>
    <t xml:space="preserve">VB-1 (63)</t>
  </si>
  <si>
    <t xml:space="preserve">63</t>
  </si>
  <si>
    <t xml:space="preserve">VB-1 (62)</t>
  </si>
  <si>
    <t xml:space="preserve">62</t>
  </si>
  <si>
    <t xml:space="preserve">VB-1 (61)</t>
  </si>
  <si>
    <t xml:space="preserve">61</t>
  </si>
  <si>
    <t xml:space="preserve">VB-1 (12)</t>
  </si>
  <si>
    <t xml:space="preserve">12</t>
  </si>
  <si>
    <t xml:space="preserve">VB-2 (72)</t>
  </si>
  <si>
    <t xml:space="preserve">72</t>
  </si>
  <si>
    <t xml:space="preserve">VB-2 (71)</t>
  </si>
  <si>
    <t xml:space="preserve">71</t>
  </si>
  <si>
    <t xml:space="preserve">VB-2 (70)</t>
  </si>
  <si>
    <t xml:space="preserve">70</t>
  </si>
  <si>
    <t xml:space="preserve">VB-2 (69)</t>
  </si>
  <si>
    <t xml:space="preserve">69</t>
  </si>
  <si>
    <t xml:space="preserve">VB-2 (50)</t>
  </si>
  <si>
    <t xml:space="preserve">50</t>
  </si>
  <si>
    <t xml:space="preserve">VB-3 (53)</t>
  </si>
  <si>
    <t xml:space="preserve">53</t>
  </si>
  <si>
    <t xml:space="preserve">VB-3 (55)</t>
  </si>
  <si>
    <t xml:space="preserve">55</t>
  </si>
  <si>
    <t xml:space="preserve">L1-1.1</t>
  </si>
  <si>
    <t xml:space="preserve">262</t>
  </si>
  <si>
    <t xml:space="preserve">L1-1.2</t>
  </si>
  <si>
    <t xml:space="preserve">263</t>
  </si>
  <si>
    <t xml:space="preserve">L1-1.3</t>
  </si>
  <si>
    <t xml:space="preserve">264</t>
  </si>
  <si>
    <t xml:space="preserve">L1-2.1</t>
  </si>
  <si>
    <t xml:space="preserve">271</t>
  </si>
  <si>
    <t xml:space="preserve">L1-2.2</t>
  </si>
  <si>
    <t xml:space="preserve">286</t>
  </si>
  <si>
    <t xml:space="preserve">L1-2.3</t>
  </si>
  <si>
    <t xml:space="preserve">272</t>
  </si>
  <si>
    <t xml:space="preserve">L1-2.4</t>
  </si>
  <si>
    <t xml:space="preserve">273</t>
  </si>
  <si>
    <t xml:space="preserve">L1-3.1</t>
  </si>
  <si>
    <t xml:space="preserve">280</t>
  </si>
  <si>
    <t xml:space="preserve">L1-3.2</t>
  </si>
  <si>
    <t xml:space="preserve">282</t>
  </si>
  <si>
    <t xml:space="preserve">L1-4.1</t>
  </si>
  <si>
    <t xml:space="preserve">290</t>
  </si>
  <si>
    <t xml:space="preserve">L1-4.2</t>
  </si>
  <si>
    <t xml:space="preserve">291</t>
  </si>
  <si>
    <t xml:space="preserve">L1-5.1</t>
  </si>
  <si>
    <t xml:space="preserve">298</t>
  </si>
  <si>
    <t xml:space="preserve">L1-5.2</t>
  </si>
  <si>
    <t xml:space="preserve">299</t>
  </si>
  <si>
    <t xml:space="preserve">L1-6.1</t>
  </si>
  <si>
    <t xml:space="preserve">326</t>
  </si>
  <si>
    <t xml:space="preserve">L1-6.2</t>
  </si>
  <si>
    <t xml:space="preserve">25</t>
  </si>
  <si>
    <t xml:space="preserve">L1-6.3</t>
  </si>
  <si>
    <t xml:space="preserve">327</t>
  </si>
  <si>
    <t xml:space="preserve">L1-7.1</t>
  </si>
  <si>
    <t xml:space="preserve">306</t>
  </si>
  <si>
    <t xml:space="preserve">L1-8.1</t>
  </si>
  <si>
    <t xml:space="preserve">322</t>
  </si>
  <si>
    <t xml:space="preserve">L1-9.1</t>
  </si>
  <si>
    <t xml:space="preserve">323</t>
  </si>
  <si>
    <t xml:space="preserve">VM-1 (franja alta)</t>
  </si>
  <si>
    <t xml:space="preserve">Jamba izq. del vano</t>
  </si>
  <si>
    <t xml:space="preserve">17 191 203 213 223 233</t>
  </si>
  <si>
    <t xml:space="preserve">VERTICAL</t>
  </si>
  <si>
    <t xml:space="preserve">Jamba der. del vano</t>
  </si>
  <si>
    <t xml:space="preserve">18 192 204 214 224 234</t>
  </si>
  <si>
    <t xml:space="preserve">Totales de muros</t>
  </si>
  <si>
    <t xml:space="preserve">LO QUE SE METE A STAAD — CASOS DE VIENTO LISTOS PARA PEGAR</t>
  </si>
  <si>
    <t xml:space="preserve">R1.5: EL .STD USA LA HOJA STAAD_ONEWAY (MUROS CON ONEWAY LOAD). Esta hoja sigue armando las líneas por larguero (techo, jambas y la versión anterior de muros) y STAAD_ONEWAY toma de aquí el techo y las jambas. CÓMO SE USA: 1) Revisa que PRESIONES no marque alertas y que la sección E diga OK. 2) Copia la columna B de la fila 9 hasta la última y pégala en el .STD en lugar de los casos LOAD 8 a 15 (del primer LOAD de viento al último, antes de la primera LOAD COMB). Los «*» son comentarios, STAAD los ignora. 3) Si PRESIONES dice que hay casos B, pega también la columna D y agrega sus combinaciones. 4) Corre y compara las reacciones con el resumen de la derecha.</t>
  </si>
  <si>
    <t xml:space="preserve">B. RESUMEN DE LOS CASOS</t>
  </si>
  <si>
    <t xml:space="preserve">Muros: GZ en Muros 1 y 2, GX en Muros 3 y 4, con el signo ya puesto para que + empuje hacia adentro. Techo: GY (vertical) y G del eje de la pendiente (componente horizontal de la presión normal a la lámina).</t>
  </si>
  <si>
    <t xml:space="preserve">ΣFX (t)</t>
  </si>
  <si>
    <t xml:space="preserve">ΣFY (t)</t>
  </si>
  <si>
    <t xml:space="preserve">ΣFZ (t)</t>
  </si>
  <si>
    <t xml:space="preserve">Techo p (kg/m²)</t>
  </si>
  <si>
    <t xml:space="preserve">Barlovento p (kg/m²)</t>
  </si>
  <si>
    <t xml:space="preserve">¿Cobertura?</t>
  </si>
  <si>
    <t xml:space="preserve">Casos A — copia desde aquí</t>
  </si>
  <si>
    <t xml:space="preserve">Revisión</t>
  </si>
  <si>
    <t xml:space="preserve">Casos B (sólo si PRESIONES C22 = SÍ)</t>
  </si>
  <si>
    <t xml:space="preserve">MEMBER LOAD</t>
  </si>
  <si>
    <t xml:space="preserve">C. PRESIONES POR SUPERFICIE EN UNIDADES DE STAAD (si prefieres ONEWAY / FLOOR / ELEMENT LOAD)</t>
  </si>
  <si>
    <t xml:space="preserve">Con signo global ya aplicado. Muros: GZ (1 y 2) o GX (3 y 4). Techo: GY de la componente vertical. Es lo que usa el Walmart con ONEWAY LOAD por grupos de muro; si usas LINEAS no hace falta.</t>
  </si>
  <si>
    <t xml:space="preserve">Dirección</t>
  </si>
  <si>
    <t xml:space="preserve">Muro 1 — hasta 10 m</t>
  </si>
  <si>
    <t xml:space="preserve">GZ</t>
  </si>
  <si>
    <t xml:space="preserve">Muro 2 — hasta 10 m</t>
  </si>
  <si>
    <t xml:space="preserve">Muro 3 — hasta 10 m</t>
  </si>
  <si>
    <t xml:space="preserve">GX</t>
  </si>
  <si>
    <t xml:space="preserve">Muro 4 — hasta 10 m</t>
  </si>
  <si>
    <t xml:space="preserve">Muro 1 — en lo alto</t>
  </si>
  <si>
    <t xml:space="preserve">Muro 2 — en lo alto</t>
  </si>
  <si>
    <t xml:space="preserve">Muro 3 — en lo alto</t>
  </si>
  <si>
    <t xml:space="preserve">Muro 4 — en lo alto</t>
  </si>
  <si>
    <t xml:space="preserve">Techo — cuarto 1 (A)</t>
  </si>
  <si>
    <t xml:space="preserve">GY</t>
  </si>
  <si>
    <t xml:space="preserve">Techo — cuarto 2 (A)</t>
  </si>
  <si>
    <t xml:space="preserve">Techo — cuarto 3 (A)</t>
  </si>
  <si>
    <t xml:space="preserve">Techo — cuarto 4 (A)</t>
  </si>
  <si>
    <t xml:space="preserve">D. COMBINACIONES CON VIENTO (RESESCO Art. 21, págs. 7 y 8)</t>
  </si>
  <si>
    <t xml:space="preserve">Servicio (deformaciones): CM ± V de cada caso.</t>
  </si>
  <si>
    <t xml:space="preserve">Resistencia, ec. (2): U = 0.75 (1.4 CM + 1.7 CVR + 1.87·0.91 V) = 1.05 CM + 1.275 CVR + 1.276 V.</t>
  </si>
  <si>
    <t xml:space="preserve">Resistencia, ec. (3): U = 0.9 CM + 1.43·0.91 V = 0.9 CM + 1.301 V (levantamiento, anclas, volteo).</t>
  </si>
  <si>
    <t xml:space="preserve">Con succión la viva va en cero (Art. 25.4, pág. 10). El NOSE DOCK R3 ya trae LOAD COMB 24 a 31 y 50 en adelante.</t>
  </si>
  <si>
    <t xml:space="preserve">Si metes casos B, repite esas combinaciones con los números de los casos B.</t>
  </si>
  <si>
    <t xml:space="preserve">* FIN DE LOS CASOS DE VIENTO (LA SIGUIENTE LÍNEA DE TU .STD DEBE SER LA PRIMERA LOAD COMB)</t>
  </si>
  <si>
    <t xml:space="preserve">R1.5 — CASOS DE VIENTO CON ONEWAY LOAD EN MUROS (COMO EL WALMART) — LOS QUE VAN EN EL .STD R1.5</t>
  </si>
  <si>
    <t xml:space="preserve">Muros: ONEWAY LOAD sobre los grupos FLOOR _MURO1 (Z = 0), _MURO3 (X = 0) y _MURO4 (X = B) del .STD, con la presión neta de PRESIONES (filas 43, 45 y 46, «hasta 10 m») en kg/cm² (kg/m² × 0.0001) y el signo global (+ hacia adentro = +X en Muro 3, −X en Muro 4, +Z en Muro 1). STAAD la reparte a los largueros de los paneles cerrados. Techo: las mismas líneas UNI de la hoja STAAD. Complementos con UNI: la franja 0.60–1.20 m bajo los largueros de abajo (el panel base-larguero no cierra), la cortina a sus jambas (2.55 m c/u) y la puerta a sus postes (0.65 m c/u) cuando están cerradas.</t>
  </si>
  <si>
    <t xml:space="preserve">CÓMO SE USA: revisa PRESIONES y ABERTURAS como siempre; copia la columna B desde la fila 6 hasta la última y pégala en el .STD en lugar de los casos de viento. Unidades según DATOS C65 (CM KG: kg/cm² y kg/cm).</t>
  </si>
  <si>
    <t xml:space="preserve">Línea para STAAD</t>
  </si>
  <si>
    <t xml:space="preserve">Nota</t>
  </si>
  <si>
    <t xml:space="preserve">Encabezado del caso (hoja STAAD)</t>
  </si>
  <si>
    <t xml:space="preserve">* MUROS: PRESION NETA EN KG/CM2 (PresionesViento R1.5, PRESIONES FILAS 43-46)</t>
  </si>
  <si>
    <t xml:space="preserve">* QUE STAAD REPARTE A LOS LARGUEROS CON ONEWAY (PANELES CERRADOS).</t>
  </si>
  <si>
    <t xml:space="preserve">ONEWAY LOAD</t>
  </si>
  <si>
    <t xml:space="preserve">Muro 3 (X = 0): + hacia adentro = +X</t>
  </si>
  <si>
    <t xml:space="preserve">Muro 4 (X = B): + hacia adentro = −X</t>
  </si>
  <si>
    <t xml:space="preserve">Muro 1 (Z = 0): + hacia adentro = +Z</t>
  </si>
  <si>
    <t xml:space="preserve">* TECHO (IGUAL QUE R1.4)</t>
  </si>
  <si>
    <t xml:space="preserve">Techo: línea de la hoja STAAD</t>
  </si>
  <si>
    <t xml:space="preserve">* FRANJA 0.60-1.20 M BAJO LOS LARGUEROS DE ABAJO (EL PANEL BASE-LARGUERO</t>
  </si>
  <si>
    <t xml:space="preserve">* NO CIERRA Y ONEWAY NO LO CARGA): 0.60 M x PRESION</t>
  </si>
  <si>
    <t xml:space="preserve">Muro 3 · 0.60 m</t>
  </si>
  <si>
    <t xml:space="preserve">Muro 4 · 0.60 m</t>
  </si>
  <si>
    <t xml:space="preserve">Muro 1 · 0.60 m</t>
  </si>
  <si>
    <t xml:space="preserve">* CORTINA CERRADA 5.10 x 6.33 M: MITAD DEL ANCHO (2.55 M) A CADA JAMBA</t>
  </si>
  <si>
    <t xml:space="preserve">Cortina: línea de jamba de la hoja STAAD</t>
  </si>
  <si>
    <t xml:space="preserve">* PUERTA CERRADA 1.30 x 2.40 M: MITAD DEL ANCHO (0.65 M) A CADA POSTE</t>
  </si>
  <si>
    <t xml:space="preserve">Puerta · poste x = 0.64 m</t>
  </si>
  <si>
    <t xml:space="preserve">Puerta · poste x = 1.94 m</t>
  </si>
  <si>
    <t xml:space="preserve">*</t>
  </si>
  <si>
    <t xml:space="preserve">* PUERTAS ABIERTAS: SIN CARGA EN CORTINA NI PUERTA</t>
  </si>
  <si>
    <t xml:space="preserve">RECUBRIMIENTO: LÁMINA, LARGUEROS Y SUS FIJACIONES (APÉNDICE DE LA NTV)</t>
  </si>
  <si>
    <t xml:space="preserve">Los elementos que recubren la estructura se diseñan con presiones locales mayores que las de la estructura principal (NTV 1.2.2, pág. 1 y Apéndice, págs. 8 a 10). Sirve para revisar lámina, tornillos y largueros; no se mete a los casos 8 a 15.</t>
  </si>
  <si>
    <t xml:space="preserve">CÓMO SE LLENA: sólo la sección B. A = área tributaria del elemento (claro × ancho); b = ancho tributario para sacar w en kg/m. Dónde: MURO, TECHO INTERIOR o TECHO ORILLA (franja de ancho b/10 en todo el perímetro del techo). EJEMPLO: NOSE DOCK.</t>
  </si>
  <si>
    <t xml:space="preserve">A. DATOS QUE SALEN DEL RESTO DEL LIBRO</t>
  </si>
  <si>
    <t xml:space="preserve">b — dimensión mínima de la nave</t>
  </si>
  <si>
    <t xml:space="preserve">NTV 1997 · Apéndice, pág. 8</t>
  </si>
  <si>
    <t xml:space="preserve">Franja de orilla del techo = b/10</t>
  </si>
  <si>
    <t xml:space="preserve">Zonas 3 y 5: franja de ese ancho en todo el perímetro del techo.</t>
  </si>
  <si>
    <t xml:space="preserve">NTV 1997 · Tabla A.2, pág. 9</t>
  </si>
  <si>
    <t xml:space="preserve">La Tabla A.2 es para H &lt; 20 m; arriba se usa la A.1.</t>
  </si>
  <si>
    <t xml:space="preserve">NTV 1997 · Apéndice, págs. 8 y 9</t>
  </si>
  <si>
    <t xml:space="preserve">¿Aplica la Tabla A.2?</t>
  </si>
  <si>
    <t xml:space="preserve">θ ≤ 30°: zonas 2 y 3; θ &gt; 30°: zonas 4 y 5.</t>
  </si>
  <si>
    <t xml:space="preserve">q_H</t>
  </si>
  <si>
    <t xml:space="preserve">A la altura máxima (lado seguro).</t>
  </si>
  <si>
    <t xml:space="preserve">C_pi para succión (el más desfavorable)</t>
  </si>
  <si>
    <t xml:space="preserve">+0.25 si algún escenario queda cerrado (aberturas ≤ 30%) y los C_pi de 4.4 si hay casos abiertos: se toma el mayor.</t>
  </si>
  <si>
    <t xml:space="preserve">NTV 1997 · Apéndice, pág. 8 · 4.4, pág. 7</t>
  </si>
  <si>
    <t xml:space="preserve">C_pi para empuje (el más desfavorable)</t>
  </si>
  <si>
    <t xml:space="preserve">−0.25 o el C_pi negativo de 4.4: se toma el menor.</t>
  </si>
  <si>
    <t xml:space="preserve">B. ELEMENTOS A REVISAR</t>
  </si>
  <si>
    <t xml:space="preserve">Dónde</t>
  </si>
  <si>
    <t xml:space="preserve">A (m²)</t>
  </si>
  <si>
    <t xml:space="preserve">b trib. (m)</t>
  </si>
  <si>
    <t xml:space="preserve">Zona</t>
  </si>
  <si>
    <t xml:space="preserve">C_p succión</t>
  </si>
  <si>
    <t xml:space="preserve">C_p empuje</t>
  </si>
  <si>
    <t xml:space="preserve">C_p neto succión</t>
  </si>
  <si>
    <t xml:space="preserve">C_p neto empuje</t>
  </si>
  <si>
    <t xml:space="preserve">p succión (kg/m²)</t>
  </si>
  <si>
    <t xml:space="preserve">p empuje (kg/m²)</t>
  </si>
  <si>
    <t xml:space="preserve">w succión (kg/m)</t>
  </si>
  <si>
    <t xml:space="preserve">w empuje (kg/m)</t>
  </si>
  <si>
    <t xml:space="preserve">Lámina de muro (1 m²)</t>
  </si>
  <si>
    <t xml:space="preserve">MURO</t>
  </si>
  <si>
    <t xml:space="preserve">NTV 1997 · Tabla A.2, pág. 9 · Apéndice, pág. 8</t>
  </si>
  <si>
    <t xml:space="preserve">Larguero de muro típico (LA/LB: 6.75 × 1.20)</t>
  </si>
  <si>
    <t xml:space="preserve">Larguero de muro corto (tramo 3-4: 2.50 × 1.20)</t>
  </si>
  <si>
    <t xml:space="preserve">Lámina de techo (1 m²)</t>
  </si>
  <si>
    <t xml:space="preserve">TECHO INTERIOR</t>
  </si>
  <si>
    <t xml:space="preserve">Larguero de techo típico (LT: 10.08 × 1.35)</t>
  </si>
  <si>
    <t xml:space="preserve">Lámina de techo en la orilla (1 m²)</t>
  </si>
  <si>
    <t xml:space="preserve">TECHO ORILLA</t>
  </si>
  <si>
    <t xml:space="preserve">Viga de orilla del eje 1 (VM-1: 10.08 × 0.675)</t>
  </si>
  <si>
    <t xml:space="preserve">Cómo se usa: con w succión y w empuje revisa cada larguero como viga simple o continua a flexión (con su contraventeo) y la lámina con la tabla del fabricante. Los extremos de todos los largueros de techo caen en la franja de orilla (zona 3): ahí la succión es mayor. Estas cargas no se suman a los casos 8 a 15 de STAAD.</t>
  </si>
  <si>
    <t xml:space="preserve">TABLAS DE LA NORMA TÉCNICA PARA DISEÑO POR VIENTO (1997) — VALORES DE CONSULTA</t>
  </si>
  <si>
    <t xml:space="preserve">Transcritas de la Norma Técnica para Diseño por Viento de El Salvador y del Reglamento para la Seguridad Estructural (RESESCO 1996). Páginas = numeración IMPRESA de cada documento.</t>
  </si>
  <si>
    <t xml:space="preserve">NTV TABLA 4.1 — FACTORES DE EXPOSICIÓN K Y a  ·  pág. 5</t>
  </si>
  <si>
    <t xml:space="preserve">P = C_p·C_z·K·P_o con P_o = 30 kg/m²; C_z = 1 hasta 10 m y (z/10)^(2/a) arriba de 10 m.</t>
  </si>
  <si>
    <t xml:space="preserve">K</t>
  </si>
  <si>
    <t xml:space="preserve">a</t>
  </si>
  <si>
    <t xml:space="preserve">A</t>
  </si>
  <si>
    <t xml:space="preserve">Terreno con muchos edificios altos: al menos la mitad de las construcciones de más de 20 m</t>
  </si>
  <si>
    <t xml:space="preserve">B</t>
  </si>
  <si>
    <t xml:space="preserve">Zonas con construcciones de mediana o baja altura, o con árboles</t>
  </si>
  <si>
    <t xml:space="preserve">Terreno abierto, prácticamente sin obstrucciones (aeropuertos, campo abierto, costa)</t>
  </si>
  <si>
    <t xml:space="preserve">NTV 4.3.1 — FACTORES DE PRESIÓN EXTERIOR C_p (EDIFICIOS CERRADOS)  ·  pág. 5</t>
  </si>
  <si>
    <t xml:space="preserve">Sotavento y laterales: constantes en toda la altura, calculados a la mitad de la altura total (nota de 4.3.1 y Comentarios C4.3.1, págs. 4 y 5).</t>
  </si>
  <si>
    <t xml:space="preserve">Condición</t>
  </si>
  <si>
    <t xml:space="preserve">C_p</t>
  </si>
  <si>
    <t xml:space="preserve">Muros verticales</t>
  </si>
  <si>
    <t xml:space="preserve">Constante en toda la altura</t>
  </si>
  <si>
    <t xml:space="preserve">Muros laterales</t>
  </si>
  <si>
    <t xml:space="preserve">Techo horizontal</t>
  </si>
  <si>
    <t xml:space="preserve">Todo el techo</t>
  </si>
  <si>
    <t xml:space="preserve">Techo inclinado o curvo</t>
  </si>
  <si>
    <t xml:space="preserve">Viento paralelo a las generatrices (a la cumbrera)</t>
  </si>
  <si>
    <t xml:space="preserve">Techo inclinado</t>
  </si>
  <si>
    <t xml:space="preserve">Faldón de sotavento, viento normal a la cumbrera</t>
  </si>
  <si>
    <t xml:space="preserve">Faldón de barlovento, θ &lt; 30°</t>
  </si>
  <si>
    <t xml:space="preserve">Faldón de barlovento, 30° ≤ θ ≤ 50°</t>
  </si>
  <si>
    <t xml:space="preserve">±0.4, el más desfavorable</t>
  </si>
  <si>
    <t xml:space="preserve">Faldón de barlovento, θ &gt; 50°</t>
  </si>
  <si>
    <t xml:space="preserve">NTV TABLA 4.2 — TECHOS CURVOS, VIENTO NORMAL A LAS GENERATRICES  ·  pág. 6</t>
  </si>
  <si>
    <t xml:space="preserve">r = flecha / claro. A1 = cuarto de barlovento, A2 = mitad central, A3 = cuarto de sotavento. El impreso trae «0.7 − r» en A2 del renglón intermedio; se tomó −0.7 − r como en los otros renglones.</t>
  </si>
  <si>
    <t xml:space="preserve">r</t>
  </si>
  <si>
    <t xml:space="preserve">Zona A1</t>
  </si>
  <si>
    <t xml:space="preserve">Zona A2</t>
  </si>
  <si>
    <t xml:space="preserve">Zona A3</t>
  </si>
  <si>
    <t xml:space="preserve">r &lt; 0.2</t>
  </si>
  <si>
    <t xml:space="preserve">−0.8</t>
  </si>
  <si>
    <t xml:space="preserve">−0.7 − r</t>
  </si>
  <si>
    <t xml:space="preserve">−0.5</t>
  </si>
  <si>
    <t xml:space="preserve">0.2 ≤ r ≤ 0.3</t>
  </si>
  <si>
    <t xml:space="preserve">−0.8 ó +0.3, el más desfavorable</t>
  </si>
  <si>
    <t xml:space="preserve">0.3 &lt; r ≤ 0.6</t>
  </si>
  <si>
    <t xml:space="preserve">2r − 0.3</t>
  </si>
  <si>
    <t xml:space="preserve">Arco desde el suelo</t>
  </si>
  <si>
    <t xml:space="preserve">1.4r ≤ 0.9 (empuje)</t>
  </si>
  <si>
    <t xml:space="preserve">igual</t>
  </si>
  <si>
    <t xml:space="preserve">NTV 4.4 — PRESIÓN INTERIOR C_pi  ·  pág. 7</t>
  </si>
  <si>
    <t xml:space="preserve">Se considera cuando en las paredes puede haber aberturas de 30% o más de su superficie (estructura abierta, 2.1, pág. 2).</t>
  </si>
  <si>
    <t xml:space="preserve">Aberturas principalmente en</t>
  </si>
  <si>
    <t xml:space="preserve">Barlovento</t>
  </si>
  <si>
    <t xml:space="preserve">La cara donde pega el viento</t>
  </si>
  <si>
    <t xml:space="preserve">Sotavento</t>
  </si>
  <si>
    <t xml:space="preserve">La cara opuesta</t>
  </si>
  <si>
    <t xml:space="preserve">Caras paralelas</t>
  </si>
  <si>
    <t xml:space="preserve">Muros paralelos a la dirección del viento</t>
  </si>
  <si>
    <t xml:space="preserve">Distribuidas</t>
  </si>
  <si>
    <t xml:space="preserve">Uniformemente en todas las caras</t>
  </si>
  <si>
    <t xml:space="preserve">NTV 3.1 — CLASIFICACIÓN POR SU RESPUESTA  ·  pág. 3</t>
  </si>
  <si>
    <t xml:space="preserve">El factor por ráfaga de 1.3 está en 4.6.1, pág. 7.</t>
  </si>
  <si>
    <t xml:space="preserve">Qué incluye</t>
  </si>
  <si>
    <t xml:space="preserve">Cómo se trata</t>
  </si>
  <si>
    <t xml:space="preserve">Tipo 1</t>
  </si>
  <si>
    <t xml:space="preserve">Esbeltez ≤ 5 y periodo ≤ 2 s: naves, bodegas y la mayoría de los edificios</t>
  </si>
  <si>
    <t xml:space="preserve">Presiones estáticas</t>
  </si>
  <si>
    <t xml:space="preserve">Tipo 2</t>
  </si>
  <si>
    <t xml:space="preserve">Esbeltez &gt; 5 o periodo &gt; 2 s: sensibles a ráfagas</t>
  </si>
  <si>
    <t xml:space="preserve">Presiones × 1.3</t>
  </si>
  <si>
    <t xml:space="preserve">Tipo 3</t>
  </si>
  <si>
    <t xml:space="preserve">Formas que generan vórtices periódicos (chimeneas, tanques elevados)</t>
  </si>
  <si>
    <t xml:space="preserve">Análisis dinámico</t>
  </si>
  <si>
    <t xml:space="preserve">RESESCO ART. 21 — COMBINACIONES CON VIENTO  ·  Reglamento 1996, págs. 7 y 8</t>
  </si>
  <si>
    <t xml:space="preserve">En las ecs. (2) y (3) se sustituye S por 0.91V. La viva va con su valor instantáneo y en cero cuando es favorable (Art. 25.4, pág. 10).</t>
  </si>
  <si>
    <t xml:space="preserve">Ecuación</t>
  </si>
  <si>
    <t xml:space="preserve">Combinación</t>
  </si>
  <si>
    <t xml:space="preserve">Factor del viento</t>
  </si>
  <si>
    <t xml:space="preserve">(2)</t>
  </si>
  <si>
    <t xml:space="preserve">U = 0.75 (1.4 CM + 1.7 CV + 1.87·0.91 V) = 1.05 CM + 1.275 CV + 1.276 V</t>
  </si>
  <si>
    <t xml:space="preserve">(3)</t>
  </si>
  <si>
    <t xml:space="preserve">U = 0.9 CM + 1.43·0.91 V = 0.9 CM + 1.301 V</t>
  </si>
  <si>
    <t xml:space="preserve">NTV APÉNDICE, TABLA A.2 — RECUBRIMIENTO, CONSTRUCCIONES CON H &lt; 20 m  ·  pág. 9</t>
  </si>
  <si>
    <t xml:space="preserve">A = área tributaria del elemento en m². Presión interior adicional: ±0.25 si las aberturas no pasan de 30%; si pasan, la de 4.4 (Apéndice, pág. 8). Franja de orilla = b/10 con b = dimensión mínima.</t>
  </si>
  <si>
    <t xml:space="preserve">Succión</t>
  </si>
  <si>
    <t xml:space="preserve">Empuje</t>
  </si>
  <si>
    <t xml:space="preserve">1</t>
  </si>
  <si>
    <t xml:space="preserve">Muros</t>
  </si>
  <si>
    <t xml:space="preserve">−2 + A/50 ≤ −1.1</t>
  </si>
  <si>
    <t xml:space="preserve">1.5 − A/100 ≥ 0.8</t>
  </si>
  <si>
    <t xml:space="preserve">2</t>
  </si>
  <si>
    <t xml:space="preserve">Techo, θ ≤ 30°, zona interior</t>
  </si>
  <si>
    <t xml:space="preserve">−1.4 + A/50 ≤ −1.2</t>
  </si>
  <si>
    <t xml:space="preserve">3</t>
  </si>
  <si>
    <t xml:space="preserve">Techo, θ ≤ 30°, franja de orilla b/10</t>
  </si>
  <si>
    <t xml:space="preserve">−3.0 + A/10 ≤ −2.0</t>
  </si>
  <si>
    <t xml:space="preserve">4</t>
  </si>
  <si>
    <t xml:space="preserve">Techo, θ &gt; 30°, zona interior</t>
  </si>
  <si>
    <t xml:space="preserve">1.3 − A/50 ≥ 1.1</t>
  </si>
  <si>
    <t xml:space="preserve">5</t>
  </si>
  <si>
    <t xml:space="preserve">Techo, θ &gt; 30°, franja de orilla b/10</t>
  </si>
  <si>
    <t xml:space="preserve">−1.7 + A/35 ≤ −1.4</t>
  </si>
  <si>
    <t xml:space="preserve">DE DÓNDE SALE CADA COSA</t>
  </si>
  <si>
    <t xml:space="preserve">Páginas IMPRESAS: la Norma Técnica para Diseño por Viento con la numeración de la Norma (sus Comentarios con la propia) y la RESESCO con la del Reglamento.</t>
  </si>
  <si>
    <t xml:space="preserve">DOCUMENTOS BASE</t>
  </si>
  <si>
    <t xml:space="preserve">Qué</t>
  </si>
  <si>
    <t xml:space="preserve">Página</t>
  </si>
  <si>
    <t xml:space="preserve">Para qué se usa</t>
  </si>
  <si>
    <t xml:space="preserve">Hoja donde cae</t>
  </si>
  <si>
    <t xml:space="preserve">NTV 1.2.2 — elementos expuestos y recubrimiento</t>
  </si>
  <si>
    <t xml:space="preserve">Los recubrimientos se diseñan con el Apéndice.</t>
  </si>
  <si>
    <t xml:space="preserve">RECUBRIMIENTO</t>
  </si>
  <si>
    <t xml:space="preserve">NTV 2.1 — definiciones</t>
  </si>
  <si>
    <t xml:space="preserve">Estructura abierta: aberturas de 30% o más en un lado. P_o = 30 kg/m².</t>
  </si>
  <si>
    <t xml:space="preserve">ABERTURAS · DATOS</t>
  </si>
  <si>
    <t xml:space="preserve">NTV 3.1 — clasificación Tipo 1, 2 y 3</t>
  </si>
  <si>
    <t xml:space="preserve">Esbeltez ≤ 5 y T ≤ 2 s = Tipo 1.</t>
  </si>
  <si>
    <t xml:space="preserve">DATOS</t>
  </si>
  <si>
    <t xml:space="preserve">NTV 4.1 y 4.2 — presión de diseño y C_z</t>
  </si>
  <si>
    <t xml:space="preserve">P = C_p·C_z·K·P_o; C_z = (z/10)^(2/a) arriba de 10 m.</t>
  </si>
  <si>
    <t xml:space="preserve">PRESIONES · LINEAS</t>
  </si>
  <si>
    <t xml:space="preserve">NTV Tabla 4.1 — exposición</t>
  </si>
  <si>
    <t xml:space="preserve">K y a para las zonas A, B y C.</t>
  </si>
  <si>
    <t xml:space="preserve">TABLAS · DATOS</t>
  </si>
  <si>
    <t xml:space="preserve">NTV 4.3.1 — C_p de edificios cerrados</t>
  </si>
  <si>
    <t xml:space="preserve">Barlovento +0.8, sotavento −0.5, laterales −0.7, techos.</t>
  </si>
  <si>
    <t xml:space="preserve">PRESIONES</t>
  </si>
  <si>
    <t xml:space="preserve">NTV Tabla 4.2 — techos curvos</t>
  </si>
  <si>
    <t xml:space="preserve">6</t>
  </si>
  <si>
    <t xml:space="preserve">Zonas A1, A2 y A3 en función de r.</t>
  </si>
  <si>
    <t xml:space="preserve">NTV 4.4 — presión interior</t>
  </si>
  <si>
    <t xml:space="preserve">7</t>
  </si>
  <si>
    <t xml:space="preserve">+0.75, −0.6, −0.5 o −0.3 según dónde estén las aberturas.</t>
  </si>
  <si>
    <t xml:space="preserve">ABERTURAS</t>
  </si>
  <si>
    <t xml:space="preserve">NTV 4.5 — área expuesta</t>
  </si>
  <si>
    <t xml:space="preserve">Proyección vertical en muros; superficie total en techos; presión normal a la superficie.</t>
  </si>
  <si>
    <t xml:space="preserve">NTV 4.6.1 — factor por ráfaga</t>
  </si>
  <si>
    <t xml:space="preserve">Tipo 2: presiones × 1.3.</t>
  </si>
  <si>
    <t xml:space="preserve">NTV Apéndice y Tabla A.2 — recubrimiento</t>
  </si>
  <si>
    <t xml:space="preserve">8 y 9</t>
  </si>
  <si>
    <t xml:space="preserve">Zonas 1 a 5, C_p en función del área tributaria, ±0.25 interior.</t>
  </si>
  <si>
    <t xml:space="preserve">RECUBRIMIENTO · TABLAS</t>
  </si>
  <si>
    <t xml:space="preserve">Comentarios NTV, C4.3.1</t>
  </si>
  <si>
    <t xml:space="preserve">4 y 5</t>
  </si>
  <si>
    <t xml:space="preserve">Sotavento y laterales constantes, calculados a la mitad de la altura total.</t>
  </si>
  <si>
    <t xml:space="preserve">RESESCO Art. 21 — combinaciones</t>
  </si>
  <si>
    <t xml:space="preserve">7 y 8</t>
  </si>
  <si>
    <t xml:space="preserve">Con viento S se sustituye por 0.91V.</t>
  </si>
  <si>
    <t xml:space="preserve">PRESIONES · STAAD · TABLAS</t>
  </si>
  <si>
    <t xml:space="preserve">RESESCO Art. 25.4 — viva favorable</t>
  </si>
  <si>
    <t xml:space="preserve">Con succión o volteo la viva va en cero.</t>
  </si>
  <si>
    <t xml:space="preserve">PRESIONES · STAAD</t>
  </si>
  <si>
    <t xml:space="preserve">CRITERIOS DE ESTA HOJA (LO QUE LA NORMA NO DICE CON TODAS SUS LETRAS)</t>
  </si>
  <si>
    <t xml:space="preserve">•  «Aberturas principalmente en una cara» = el área abierta de esa cara es por lo menos el doble de la suma de las otras.</t>
  </si>
  <si>
    <t xml:space="preserve">•  Presión interior cuando en el escenario algún muro llega a 30% abierto (2.1 dice «igual o mayor»; 4.4 dice «más de»: se toma el lado seguro).</t>
  </si>
  <si>
    <t xml:space="preserve">•  Dos escenarios: CERR (puertas y cortinas cerradas: sólo cuentan las aberturas FIJAS) y PA (todas abiertas). Con la puerta cerrada su presión la toman los miembros cuya franja la cubre.</t>
  </si>
  <si>
    <t xml:space="preserve">•  Techo, presión interior y recubrimiento con C_z a la altura máxima H; sotavento y laterales a H/2; barlovento con C_z = 1 hasta 10 m y, arriba, el C_z de lo alto de cada franja.</t>
  </si>
  <si>
    <t xml:space="preserve">•  El área de los hastiales incluye la parte bajo el techo: triángulo o trapecio en techos inclinados y ⅔ de la flecha × claro en techo curvo.</t>
  </si>
  <si>
    <t xml:space="preserve">•  Techo por cuartos a lo largo de la pendiente; cada línea toma la presión de los cuartos que cubre su franja. La presión es normal a la lámina: vertical p·(ancho en planta) y horizontal p·m·(ancho en planta).</t>
  </si>
  <si>
    <t xml:space="preserve">•  En el renglón intermedio de la Tabla 4.2 el impreso trae «0.7 − r» en A2; se tomó −0.7 − r.</t>
  </si>
  <si>
    <t xml:space="preserve">•  Cortina de oruga: sus tablillas trabajan horizontales entre guías, así que con la cortina cerrada la carga va a las jambas. Puerta de servicio: la mitad de arriba al dintel y la de abajo al piso.</t>
  </si>
  <si>
    <t xml:space="preserve">•  Carga en el marco intermedio en 2D = p neta × separación; el marco extremo lleva la mitad.</t>
  </si>
  <si>
    <t xml:space="preserve">•  No cubre el Tipo 3 (vórtices), aleros volados, parapetos ni techos con r &gt; 0.6.</t>
  </si>
</sst>
</file>

<file path=xl/styles.xml><?xml version="1.0" encoding="utf-8"?>
<styleSheet xmlns="http://schemas.openxmlformats.org/spreadsheetml/2006/main">
  <numFmts count="13">
    <numFmt numFmtId="164" formatCode="General"/>
    <numFmt numFmtId="165" formatCode="0.000"/>
    <numFmt numFmtId="166" formatCode="0.0000"/>
    <numFmt numFmtId="167" formatCode="0.00"/>
    <numFmt numFmtId="168" formatCode="0.0%"/>
    <numFmt numFmtId="169" formatCode="0.0"/>
    <numFmt numFmtId="170" formatCode="0"/>
    <numFmt numFmtId="171" formatCode="0.00000000"/>
    <numFmt numFmtId="172" formatCode="0.00;\-0.00;;@"/>
    <numFmt numFmtId="173" formatCode="\+0.00;\-0.00;0.00"/>
    <numFmt numFmtId="174" formatCode="\+0.0;\-0.0;0.0"/>
    <numFmt numFmtId="175" formatCode="\+0.000;\-0.000;0.000"/>
    <numFmt numFmtId="176" formatCode="0.000000;\-0.000000;0"/>
  </numFmts>
  <fonts count="2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sz val="8"/>
      <color rgb="FF808080"/>
      <name val="Arial"/>
      <family val="0"/>
      <charset val="1"/>
    </font>
    <font>
      <sz val="9"/>
      <color rgb="FF595959"/>
      <name val="Arial"/>
      <family val="0"/>
      <charset val="1"/>
    </font>
    <font>
      <b val="true"/>
      <sz val="9"/>
      <color rgb="FF843C0C"/>
      <name val="Arial"/>
      <family val="0"/>
      <charset val="1"/>
    </font>
    <font>
      <b val="true"/>
      <sz val="10"/>
      <color rgb="FFFFFFFF"/>
      <name val="Arial"/>
      <family val="0"/>
      <charset val="1"/>
    </font>
    <font>
      <b val="true"/>
      <sz val="9"/>
      <color rgb="FF1F3864"/>
      <name val="Arial"/>
      <family val="0"/>
      <charset val="1"/>
    </font>
    <font>
      <sz val="10"/>
      <color rgb="FF1A1A1A"/>
      <name val="Arial"/>
      <family val="0"/>
      <charset val="1"/>
    </font>
    <font>
      <b val="true"/>
      <sz val="10"/>
      <color rgb="FF0000CC"/>
      <name val="Arial"/>
      <family val="0"/>
      <charset val="1"/>
    </font>
    <font>
      <sz val="8"/>
      <color rgb="FF1F4E79"/>
      <name val="Arial"/>
      <family val="0"/>
      <charset val="1"/>
    </font>
    <font>
      <b val="true"/>
      <sz val="10"/>
      <color rgb="FF1A1A1A"/>
      <name val="Arial"/>
      <family val="0"/>
      <charset val="1"/>
    </font>
    <font>
      <b val="true"/>
      <sz val="10"/>
      <color rgb="FF006100"/>
      <name val="Arial"/>
      <family val="0"/>
      <charset val="1"/>
    </font>
    <font>
      <b val="true"/>
      <sz val="18"/>
      <color rgb="FF000000"/>
      <name val="Calibri"/>
      <family val="2"/>
    </font>
    <font>
      <sz val="10"/>
      <color rgb="FF000000"/>
      <name val="Calibri"/>
      <family val="2"/>
    </font>
    <font>
      <b val="true"/>
      <sz val="8"/>
      <color rgb="FF0000CC"/>
      <name val="Arial"/>
      <family val="0"/>
      <charset val="1"/>
    </font>
    <font>
      <b val="true"/>
      <sz val="10"/>
      <color rgb="FF9C0006"/>
      <name val="Arial"/>
      <family val="0"/>
      <charset val="1"/>
    </font>
    <font>
      <sz val="8"/>
      <color rgb="FF1A1A1A"/>
      <name val="Arial"/>
      <family val="0"/>
      <charset val="1"/>
    </font>
    <font>
      <b val="true"/>
      <sz val="9"/>
      <color rgb="FF006100"/>
      <name val="Consolas"/>
      <family val="0"/>
      <charset val="1"/>
    </font>
    <font>
      <sz val="9"/>
      <color rgb="FF1A1A1A"/>
      <name val="Consolas"/>
      <family val="0"/>
      <charset val="1"/>
    </font>
  </fonts>
  <fills count="10">
    <fill>
      <patternFill patternType="none"/>
    </fill>
    <fill>
      <patternFill patternType="gray125"/>
    </fill>
    <fill>
      <patternFill patternType="solid">
        <fgColor rgb="FF1F3864"/>
        <bgColor rgb="FF1F4E79"/>
      </patternFill>
    </fill>
    <fill>
      <patternFill patternType="solid">
        <fgColor rgb="FFF7F7F7"/>
        <bgColor rgb="FFF2F2F2"/>
      </patternFill>
    </fill>
    <fill>
      <patternFill patternType="solid">
        <fgColor rgb="FFFFF0E0"/>
        <bgColor rgb="FFFFF2CC"/>
      </patternFill>
    </fill>
    <fill>
      <patternFill patternType="solid">
        <fgColor rgb="FF2E5C9A"/>
        <bgColor rgb="FF1F4E79"/>
      </patternFill>
    </fill>
    <fill>
      <patternFill patternType="solid">
        <fgColor rgb="FFD9E2F3"/>
        <bgColor rgb="FFD9D9D9"/>
      </patternFill>
    </fill>
    <fill>
      <patternFill patternType="solid">
        <fgColor rgb="FFFFF2CC"/>
        <bgColor rgb="FFFFF0E0"/>
      </patternFill>
    </fill>
    <fill>
      <patternFill patternType="solid">
        <fgColor rgb="FFF2F2F2"/>
        <bgColor rgb="FFF7F7F7"/>
      </patternFill>
    </fill>
    <fill>
      <patternFill patternType="solid">
        <fgColor rgb="FFE2EFDA"/>
        <bgColor rgb="FFF2F2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7" fillId="4" borderId="0" xfId="0" applyFont="true" applyBorder="true" applyAlignment="true" applyProtection="false">
      <alignment horizontal="left" vertical="center" textRotation="0" wrapText="true" indent="0" shrinkToFit="false"/>
      <protection locked="true" hidden="false"/>
    </xf>
    <xf numFmtId="165" fontId="5" fillId="3" borderId="0" xfId="0" applyFont="true" applyBorder="false" applyAlignment="true" applyProtection="false">
      <alignment horizontal="center" vertical="center" textRotation="0" wrapText="true" indent="0" shrinkToFit="false"/>
      <protection locked="true" hidden="false"/>
    </xf>
    <xf numFmtId="166" fontId="5" fillId="3" borderId="0" xfId="0" applyFont="true" applyBorder="false" applyAlignment="true" applyProtection="false">
      <alignment horizontal="center" vertical="center" textRotation="0" wrapText="true" indent="0" shrinkToFit="false"/>
      <protection locked="true" hidden="false"/>
    </xf>
    <xf numFmtId="164" fontId="8" fillId="5" borderId="0" xfId="0" applyFont="true" applyBorder="true" applyAlignment="true" applyProtection="false">
      <alignment horizontal="left" vertical="center" textRotation="0" wrapText="false" indent="0" shrinkToFit="false"/>
      <protection locked="true" hidden="false"/>
    </xf>
    <xf numFmtId="164" fontId="9" fillId="6"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1" fillId="7"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7" fontId="11" fillId="7"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11" fillId="7"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center" vertical="center" textRotation="0" wrapText="true" indent="0" shrinkToFit="false"/>
      <protection locked="true" hidden="false"/>
    </xf>
    <xf numFmtId="168" fontId="10" fillId="0"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6" fillId="8" borderId="0" xfId="0" applyFont="true" applyBorder="true" applyAlignment="true" applyProtection="false">
      <alignment horizontal="left" vertical="center" textRotation="0" wrapText="true" indent="0" shrinkToFit="false"/>
      <protection locked="true" hidden="false"/>
    </xf>
    <xf numFmtId="169" fontId="10" fillId="0" borderId="0" xfId="0" applyFont="true" applyBorder="false" applyAlignment="true" applyProtection="false">
      <alignment horizontal="center" vertical="center" textRotation="0" wrapText="true" indent="0" shrinkToFit="false"/>
      <protection locked="true" hidden="false"/>
    </xf>
    <xf numFmtId="170" fontId="10" fillId="0" borderId="0" xfId="0" applyFont="true" applyBorder="false" applyAlignment="true" applyProtection="false">
      <alignment horizontal="center" vertical="center" textRotation="0" wrapText="true" indent="0" shrinkToFit="false"/>
      <protection locked="true" hidden="false"/>
    </xf>
    <xf numFmtId="164" fontId="14" fillId="9" borderId="0" xfId="0" applyFont="true" applyBorder="false" applyAlignment="true" applyProtection="false">
      <alignment horizontal="center" vertical="center" textRotation="0" wrapText="true" indent="0" shrinkToFit="false"/>
      <protection locked="true" hidden="false"/>
    </xf>
    <xf numFmtId="170" fontId="11" fillId="7" borderId="0" xfId="0" applyFont="true" applyBorder="false" applyAlignment="true" applyProtection="false">
      <alignment horizontal="center" vertical="center" textRotation="0" wrapText="true" indent="0" shrinkToFit="false"/>
      <protection locked="true" hidden="false"/>
    </xf>
    <xf numFmtId="171" fontId="10" fillId="0" borderId="0" xfId="0" applyFont="true" applyBorder="false" applyAlignment="true" applyProtection="false">
      <alignment horizontal="center" vertical="center" textRotation="0" wrapText="true" indent="0" shrinkToFit="false"/>
      <protection locked="true" hidden="false"/>
    </xf>
    <xf numFmtId="164" fontId="11" fillId="7" borderId="0" xfId="0" applyFont="true" applyBorder="false" applyAlignment="true" applyProtection="false">
      <alignment horizontal="left" vertical="center" textRotation="0" wrapText="true" indent="0" shrinkToFit="false"/>
      <protection locked="true" hidden="false"/>
    </xf>
    <xf numFmtId="167" fontId="5" fillId="3" borderId="0" xfId="0" applyFont="true" applyBorder="false" applyAlignment="true" applyProtection="false">
      <alignment horizontal="center" vertical="center" textRotation="0" wrapText="true" indent="0" shrinkToFit="false"/>
      <protection locked="true" hidden="false"/>
    </xf>
    <xf numFmtId="165" fontId="11" fillId="7" borderId="0" xfId="0" applyFont="true" applyBorder="false" applyAlignment="true" applyProtection="false">
      <alignment horizontal="center" vertical="center" textRotation="0" wrapText="true" indent="0" shrinkToFit="false"/>
      <protection locked="true" hidden="false"/>
    </xf>
    <xf numFmtId="172" fontId="10" fillId="0" borderId="0" xfId="0" applyFont="true" applyBorder="false" applyAlignment="true" applyProtection="false">
      <alignment horizontal="center" vertical="center" textRotation="0" wrapText="true" indent="0" shrinkToFit="false"/>
      <protection locked="true" hidden="false"/>
    </xf>
    <xf numFmtId="164" fontId="17" fillId="7" borderId="0" xfId="0" applyFont="true" applyBorder="false" applyAlignment="true" applyProtection="false">
      <alignment horizontal="left" vertical="center" textRotation="0" wrapText="true" indent="0" shrinkToFit="false"/>
      <protection locked="true" hidden="false"/>
    </xf>
    <xf numFmtId="170" fontId="5"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7" fontId="14" fillId="9" borderId="0" xfId="0" applyFont="true" applyBorder="false" applyAlignment="true" applyProtection="false">
      <alignment horizontal="center" vertical="center" textRotation="0" wrapText="true" indent="0" shrinkToFit="false"/>
      <protection locked="true" hidden="false"/>
    </xf>
    <xf numFmtId="164" fontId="9" fillId="6"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73" fontId="14" fillId="9"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true" applyAlignment="true" applyProtection="false">
      <alignment horizontal="left" vertical="center" textRotation="0" wrapText="true" indent="0" shrinkToFit="false"/>
      <protection locked="true" hidden="false"/>
    </xf>
    <xf numFmtId="166" fontId="10" fillId="0" borderId="0" xfId="0" applyFont="true" applyBorder="false" applyAlignment="true" applyProtection="false">
      <alignment horizontal="center" vertical="center" textRotation="0" wrapText="true" indent="0" shrinkToFit="false"/>
      <protection locked="true" hidden="false"/>
    </xf>
    <xf numFmtId="165" fontId="10" fillId="0"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73" fontId="10" fillId="0"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74" fontId="14" fillId="9" borderId="0" xfId="0" applyFont="true" applyBorder="false" applyAlignment="true" applyProtection="false">
      <alignment horizontal="center" vertical="center" textRotation="0" wrapText="true" indent="0" shrinkToFit="false"/>
      <protection locked="true" hidden="false"/>
    </xf>
    <xf numFmtId="174" fontId="10" fillId="0" borderId="0" xfId="0" applyFont="true" applyBorder="false" applyAlignment="true" applyProtection="false">
      <alignment horizontal="center" vertical="center" textRotation="0" wrapText="true" indent="0" shrinkToFit="false"/>
      <protection locked="true" hidden="false"/>
    </xf>
    <xf numFmtId="165" fontId="14" fillId="9" borderId="0" xfId="0" applyFont="true" applyBorder="false" applyAlignment="true" applyProtection="false">
      <alignment horizontal="center" vertical="center" textRotation="0" wrapText="true" indent="0" shrinkToFit="false"/>
      <protection locked="true" hidden="false"/>
    </xf>
    <xf numFmtId="175" fontId="13" fillId="0" borderId="0" xfId="0" applyFont="true" applyBorder="false" applyAlignment="true" applyProtection="false">
      <alignment horizontal="center" vertical="center" textRotation="0" wrapText="true" indent="0" shrinkToFit="false"/>
      <protection locked="true" hidden="false"/>
    </xf>
    <xf numFmtId="168" fontId="13" fillId="0" borderId="0" xfId="0" applyFont="true" applyBorder="false" applyAlignment="true" applyProtection="false">
      <alignment horizontal="center" vertical="center" textRotation="0" wrapText="true" indent="0" shrinkToFit="false"/>
      <protection locked="true" hidden="false"/>
    </xf>
    <xf numFmtId="166" fontId="11" fillId="7" borderId="0" xfId="0" applyFont="true" applyBorder="false" applyAlignment="true" applyProtection="false">
      <alignment horizontal="center" vertical="center" textRotation="0" wrapText="true" indent="0" shrinkToFit="false"/>
      <protection locked="true" hidden="false"/>
    </xf>
    <xf numFmtId="172" fontId="5"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20" fillId="9" borderId="0" xfId="0" applyFont="true" applyBorder="false" applyAlignment="true" applyProtection="false">
      <alignment horizontal="left" vertical="center" textRotation="0" wrapText="false" indent="0" shrinkToFit="false"/>
      <protection locked="true" hidden="false"/>
    </xf>
    <xf numFmtId="164" fontId="21" fillId="0" borderId="0" xfId="0" applyFont="true" applyBorder="false" applyAlignment="true" applyProtection="false">
      <alignment horizontal="left" vertical="center" textRotation="0" wrapText="false" indent="0" shrinkToFit="false"/>
      <protection locked="true" hidden="false"/>
    </xf>
    <xf numFmtId="176" fontId="10" fillId="0" borderId="0" xfId="0" applyFont="true" applyBorder="false" applyAlignment="true" applyProtection="false">
      <alignment horizontal="center" vertical="center" textRotation="0" wrapText="true" indent="0" shrinkToFit="false"/>
      <protection locked="true" hidden="false"/>
    </xf>
    <xf numFmtId="170" fontId="13"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color rgb="FFA6A6A6"/>
      </font>
      <fill>
        <patternFill>
          <bgColor rgb="FFF2F2F2"/>
        </patternFill>
      </fill>
    </dxf>
    <dxf>
      <font>
        <b val="1"/>
        <color rgb="FF006100"/>
      </font>
      <fill>
        <patternFill>
          <bgColor rgb="FFC6EFCE"/>
        </patternFill>
      </fill>
    </dxf>
    <dxf>
      <font>
        <b val="1"/>
        <color rgb="FF9C0006"/>
      </font>
      <fill>
        <patternFill>
          <bgColor rgb="FFFFC7CE"/>
        </patternFill>
      </fill>
    </dxf>
    <dxf>
      <font>
        <b val="1"/>
        <color rgb="FF9C5700"/>
      </font>
      <fill>
        <patternFill>
          <bgColor rgb="FFFFEB9C"/>
        </patternFill>
      </fill>
    </dxf>
    <dxf>
      <font>
        <b val="1"/>
        <color rgb="FF006100"/>
      </font>
    </dxf>
    <dxf>
      <font>
        <b val="1"/>
        <color rgb="FF9C5700"/>
      </font>
    </dxf>
  </dxfs>
  <colors>
    <indexedColors>
      <rgbColor rgb="FF000000"/>
      <rgbColor rgb="FFFFFFFF"/>
      <rgbColor rgb="FFFF0000"/>
      <rgbColor rgb="FF00FF00"/>
      <rgbColor rgb="FF0000CC"/>
      <rgbColor rgb="FFFFFF00"/>
      <rgbColor rgb="FFFF00FF"/>
      <rgbColor rgb="FF00FFFF"/>
      <rgbColor rgb="FF9C0006"/>
      <rgbColor rgb="FF1F7A1F"/>
      <rgbColor rgb="FF000080"/>
      <rgbColor rgb="FF9C5700"/>
      <rgbColor rgb="FF800080"/>
      <rgbColor rgb="FF008080"/>
      <rgbColor rgb="FFA6A6A6"/>
      <rgbColor rgb="FF808080"/>
      <rgbColor rgb="FF9999FF"/>
      <rgbColor rgb="FF993366"/>
      <rgbColor rgb="FFFFF2CC"/>
      <rgbColor rgb="FFE2EFDA"/>
      <rgbColor rgb="FF660066"/>
      <rgbColor rgb="FFFF8080"/>
      <rgbColor rgb="FF2E5C9A"/>
      <rgbColor rgb="FFD9D9D9"/>
      <rgbColor rgb="FF000080"/>
      <rgbColor rgb="FFFF00FF"/>
      <rgbColor rgb="FFFFFF00"/>
      <rgbColor rgb="FF00FFFF"/>
      <rgbColor rgb="FF800080"/>
      <rgbColor rgb="FFC00000"/>
      <rgbColor rgb="FF008080"/>
      <rgbColor rgb="FF0000FF"/>
      <rgbColor rgb="FF00CCFF"/>
      <rgbColor rgb="FFF2F2F2"/>
      <rgbColor rgb="FFC6EFCE"/>
      <rgbColor rgb="FFFFEB9C"/>
      <rgbColor rgb="FFD9E2F3"/>
      <rgbColor rgb="FFFFF0E0"/>
      <rgbColor rgb="FFF7F7F7"/>
      <rgbColor rgb="FFFFC7CE"/>
      <rgbColor rgb="FF3366FF"/>
      <rgbColor rgb="FF33CCCC"/>
      <rgbColor rgb="FF99CC00"/>
      <rgbColor rgb="FFFFCC00"/>
      <rgbColor rgb="FFFF9900"/>
      <rgbColor rgb="FFED7D31"/>
      <rgbColor rgb="FF595959"/>
      <rgbColor rgb="FF878787"/>
      <rgbColor rgb="FF1F3864"/>
      <rgbColor rgb="FF339966"/>
      <rgbColor rgb="FF006100"/>
      <rgbColor rgb="FF375623"/>
      <rgbColor rgb="FF843C0C"/>
      <rgbColor rgb="FF993366"/>
      <rgbColor rgb="FF1F4E7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Croquis de la nave (se actualiza con tus datos)</a:t>
            </a:r>
          </a:p>
        </c:rich>
      </c:tx>
      <c:overlay val="0"/>
      <c:spPr>
        <a:noFill/>
        <a:ln w="0">
          <a:noFill/>
        </a:ln>
      </c:spPr>
    </c:title>
    <c:autoTitleDeleted val="0"/>
    <c:plotArea>
      <c:scatterChart>
        <c:scatterStyle val="line"/>
        <c:varyColors val="0"/>
        <c:ser>
          <c:idx val="0"/>
          <c:order val="0"/>
          <c:tx>
            <c:strRef>
              <c:f>"Muro 2 (Z = L)"</c:f>
              <c:strCache>
                <c:ptCount val="1"/>
                <c:pt idx="0">
                  <c:v>Muro 2 (Z = L)</c:v>
                </c:pt>
              </c:strCache>
            </c:strRef>
          </c:tx>
          <c:spPr>
            <a:solidFill>
              <a:srgbClr val="1f4e79"/>
            </a:solidFill>
            <a:ln w="19080">
              <a:solidFill>
                <a:srgbClr val="1f4e79"/>
              </a:solidFill>
              <a:prstDash val="sys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DATOS!$AK$3:$AK$14</c:f>
              <c:numCache>
                <c:formatCode>0.000</c:formatCode>
                <c:ptCount val="12"/>
                <c:pt idx="0">
                  <c:v>0.722207491937485</c:v>
                </c:pt>
                <c:pt idx="1">
                  <c:v>1.34736254031258</c:v>
                </c:pt>
                <c:pt idx="2">
                  <c:v>1.34736254031258</c:v>
                </c:pt>
                <c:pt idx="3">
                  <c:v>1.26921815926569</c:v>
                </c:pt>
                <c:pt idx="4">
                  <c:v>1.1910737782188</c:v>
                </c:pt>
                <c:pt idx="5">
                  <c:v>1.11292939717192</c:v>
                </c:pt>
                <c:pt idx="6">
                  <c:v>1.03478501612503</c:v>
                </c:pt>
                <c:pt idx="7">
                  <c:v>0.956640635078144</c:v>
                </c:pt>
                <c:pt idx="8">
                  <c:v>0.878496254031258</c:v>
                </c:pt>
                <c:pt idx="9">
                  <c:v>0.800351872984371</c:v>
                </c:pt>
                <c:pt idx="10">
                  <c:v>0.722207491937485</c:v>
                </c:pt>
                <c:pt idx="11">
                  <c:v>0.722207491937485</c:v>
                </c:pt>
              </c:numCache>
            </c:numRef>
          </c:xVal>
          <c:yVal>
            <c:numRef>
              <c:f>DATOS!$AL$3:$AL$14</c:f>
              <c:numCache>
                <c:formatCode>0.000</c:formatCode>
                <c:ptCount val="12"/>
                <c:pt idx="0">
                  <c:v>0.299677499379807</c:v>
                </c:pt>
                <c:pt idx="1">
                  <c:v>0.299677499379807</c:v>
                </c:pt>
                <c:pt idx="2">
                  <c:v>0.908707516745225</c:v>
                </c:pt>
                <c:pt idx="3">
                  <c:v>0.908707516745225</c:v>
                </c:pt>
                <c:pt idx="4">
                  <c:v>0.908707516745225</c:v>
                </c:pt>
                <c:pt idx="5">
                  <c:v>0.908707516745225</c:v>
                </c:pt>
                <c:pt idx="6">
                  <c:v>0.908707516745225</c:v>
                </c:pt>
                <c:pt idx="7">
                  <c:v>0.908707516745225</c:v>
                </c:pt>
                <c:pt idx="8">
                  <c:v>0.908707516745225</c:v>
                </c:pt>
                <c:pt idx="9">
                  <c:v>0.908707516745225</c:v>
                </c:pt>
                <c:pt idx="10">
                  <c:v>0.908707516745225</c:v>
                </c:pt>
                <c:pt idx="11">
                  <c:v>0.299677499379807</c:v>
                </c:pt>
              </c:numCache>
            </c:numRef>
          </c:yVal>
          <c:smooth val="0"/>
        </c:ser>
        <c:ser>
          <c:idx val="1"/>
          <c:order val="1"/>
          <c:tx>
            <c:strRef>
              <c:f>"Muro 3 (X = 0)"</c:f>
              <c:strCache>
                <c:ptCount val="1"/>
                <c:pt idx="0">
                  <c:v>Muro 3 (X = 0)</c:v>
                </c:pt>
              </c:strCache>
            </c:strRef>
          </c:tx>
          <c:spPr>
            <a:solidFill>
              <a:srgbClr val="375623"/>
            </a:solidFill>
            <a:ln w="19080">
              <a:solidFill>
                <a:srgbClr val="375623"/>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DATOS!$AO$3:$AO$14</c:f>
              <c:numCache>
                <c:formatCode>0.000</c:formatCode>
                <c:ptCount val="12"/>
                <c:pt idx="0">
                  <c:v>0.305437459687422</c:v>
                </c:pt>
                <c:pt idx="1">
                  <c:v>0.722207491937485</c:v>
                </c:pt>
                <c:pt idx="2">
                  <c:v>0.722207491937485</c:v>
                </c:pt>
                <c:pt idx="3">
                  <c:v>0.670111237906227</c:v>
                </c:pt>
                <c:pt idx="4">
                  <c:v>0.618014983874969</c:v>
                </c:pt>
                <c:pt idx="5">
                  <c:v>0.565918729843711</c:v>
                </c:pt>
                <c:pt idx="6">
                  <c:v>0.513822475812453</c:v>
                </c:pt>
                <c:pt idx="7">
                  <c:v>0.461726221781196</c:v>
                </c:pt>
                <c:pt idx="8">
                  <c:v>0.409629967749938</c:v>
                </c:pt>
                <c:pt idx="9">
                  <c:v>0.35753371371868</c:v>
                </c:pt>
                <c:pt idx="10">
                  <c:v>0.305437459687422</c:v>
                </c:pt>
                <c:pt idx="11">
                  <c:v>0.305437459687422</c:v>
                </c:pt>
              </c:numCache>
            </c:numRef>
          </c:xVal>
          <c:yVal>
            <c:numRef>
              <c:f>DATOS!$AP$3:$AP$14</c:f>
              <c:numCache>
                <c:formatCode>0.000</c:formatCode>
                <c:ptCount val="12"/>
                <c:pt idx="0">
                  <c:v>0.0416770032250062</c:v>
                </c:pt>
                <c:pt idx="1">
                  <c:v>0.299677499379807</c:v>
                </c:pt>
                <c:pt idx="2">
                  <c:v>0.908707516745225</c:v>
                </c:pt>
                <c:pt idx="3">
                  <c:v>0.882659389729596</c:v>
                </c:pt>
                <c:pt idx="4">
                  <c:v>0.856611262713967</c:v>
                </c:pt>
                <c:pt idx="5">
                  <c:v>0.830563135698338</c:v>
                </c:pt>
                <c:pt idx="6">
                  <c:v>0.804515008682709</c:v>
                </c:pt>
                <c:pt idx="7">
                  <c:v>0.77846688166708</c:v>
                </c:pt>
                <c:pt idx="8">
                  <c:v>0.752418754651451</c:v>
                </c:pt>
                <c:pt idx="9">
                  <c:v>0.726370627635822</c:v>
                </c:pt>
                <c:pt idx="10">
                  <c:v>0.700322500620194</c:v>
                </c:pt>
                <c:pt idx="11">
                  <c:v>0.0416770032250062</c:v>
                </c:pt>
              </c:numCache>
            </c:numRef>
          </c:yVal>
          <c:smooth val="0"/>
        </c:ser>
        <c:ser>
          <c:idx val="2"/>
          <c:order val="2"/>
          <c:tx>
            <c:strRef>
              <c:f>"Muro 4 (X = B)"</c:f>
              <c:strCache>
                <c:ptCount val="1"/>
                <c:pt idx="0">
                  <c:v>Muro 4 (X = B)</c:v>
                </c:pt>
              </c:strCache>
            </c:strRef>
          </c:tx>
          <c:spPr>
            <a:solidFill>
              <a:srgbClr val="ed7d31"/>
            </a:solidFill>
            <a:ln w="19080">
              <a:solidFill>
                <a:srgbClr val="ed7d31"/>
              </a:solidFill>
              <a:prstDash val="lgDashDot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DATOS!$AS$3:$AS$14</c:f>
              <c:numCache>
                <c:formatCode>0.000</c:formatCode>
                <c:ptCount val="12"/>
                <c:pt idx="0">
                  <c:v>0.930592508062516</c:v>
                </c:pt>
                <c:pt idx="1">
                  <c:v>1.34736254031258</c:v>
                </c:pt>
                <c:pt idx="2">
                  <c:v>1.34736254031258</c:v>
                </c:pt>
                <c:pt idx="3">
                  <c:v>1.29526628628132</c:v>
                </c:pt>
                <c:pt idx="4">
                  <c:v>1.24317003225006</c:v>
                </c:pt>
                <c:pt idx="5">
                  <c:v>1.1910737782188</c:v>
                </c:pt>
                <c:pt idx="6">
                  <c:v>1.13897752418755</c:v>
                </c:pt>
                <c:pt idx="7">
                  <c:v>1.08688127015629</c:v>
                </c:pt>
                <c:pt idx="8">
                  <c:v>1.03478501612503</c:v>
                </c:pt>
                <c:pt idx="9">
                  <c:v>0.982688762093773</c:v>
                </c:pt>
                <c:pt idx="10">
                  <c:v>0.930592508062516</c:v>
                </c:pt>
                <c:pt idx="11">
                  <c:v>0.930592508062516</c:v>
                </c:pt>
              </c:numCache>
            </c:numRef>
          </c:xVal>
          <c:yVal>
            <c:numRef>
              <c:f>DATOS!$AT$3:$AT$14</c:f>
              <c:numCache>
                <c:formatCode>0.000</c:formatCode>
                <c:ptCount val="12"/>
                <c:pt idx="0">
                  <c:v>0.0416770032250062</c:v>
                </c:pt>
                <c:pt idx="1">
                  <c:v>0.299677499379807</c:v>
                </c:pt>
                <c:pt idx="2">
                  <c:v>0.908707516745225</c:v>
                </c:pt>
                <c:pt idx="3">
                  <c:v>0.882659389729596</c:v>
                </c:pt>
                <c:pt idx="4">
                  <c:v>0.856611262713967</c:v>
                </c:pt>
                <c:pt idx="5">
                  <c:v>0.830563135698338</c:v>
                </c:pt>
                <c:pt idx="6">
                  <c:v>0.804515008682709</c:v>
                </c:pt>
                <c:pt idx="7">
                  <c:v>0.77846688166708</c:v>
                </c:pt>
                <c:pt idx="8">
                  <c:v>0.752418754651451</c:v>
                </c:pt>
                <c:pt idx="9">
                  <c:v>0.726370627635822</c:v>
                </c:pt>
                <c:pt idx="10">
                  <c:v>0.700322500620194</c:v>
                </c:pt>
                <c:pt idx="11">
                  <c:v>0.0416770032250062</c:v>
                </c:pt>
              </c:numCache>
            </c:numRef>
          </c:yVal>
          <c:smooth val="0"/>
        </c:ser>
        <c:ser>
          <c:idx val="3"/>
          <c:order val="3"/>
          <c:tx>
            <c:strRef>
              <c:f>"Muro 1 (Z = 0)"</c:f>
              <c:strCache>
                <c:ptCount val="1"/>
                <c:pt idx="0">
                  <c:v>Muro 1 (Z = 0)</c:v>
                </c:pt>
              </c:strCache>
            </c:strRef>
          </c:tx>
          <c:spPr>
            <a:solidFill>
              <a:srgbClr val="c00000"/>
            </a:solidFill>
            <a:ln w="2556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DATOS!$AG$3:$AG$14</c:f>
              <c:numCache>
                <c:formatCode>0.000</c:formatCode>
                <c:ptCount val="12"/>
                <c:pt idx="0">
                  <c:v>0.305437459687422</c:v>
                </c:pt>
                <c:pt idx="1">
                  <c:v>0.930592508062516</c:v>
                </c:pt>
                <c:pt idx="2">
                  <c:v>0.930592508062516</c:v>
                </c:pt>
                <c:pt idx="3">
                  <c:v>0.852448127015629</c:v>
                </c:pt>
                <c:pt idx="4">
                  <c:v>0.774303745968742</c:v>
                </c:pt>
                <c:pt idx="5">
                  <c:v>0.696159364921856</c:v>
                </c:pt>
                <c:pt idx="6">
                  <c:v>0.618014983874969</c:v>
                </c:pt>
                <c:pt idx="7">
                  <c:v>0.539870602828082</c:v>
                </c:pt>
                <c:pt idx="8">
                  <c:v>0.461726221781196</c:v>
                </c:pt>
                <c:pt idx="9">
                  <c:v>0.383581840734309</c:v>
                </c:pt>
                <c:pt idx="10">
                  <c:v>0.305437459687422</c:v>
                </c:pt>
                <c:pt idx="11">
                  <c:v>0.305437459687422</c:v>
                </c:pt>
              </c:numCache>
            </c:numRef>
          </c:xVal>
          <c:yVal>
            <c:numRef>
              <c:f>DATOS!$AH$3:$AH$14</c:f>
              <c:numCache>
                <c:formatCode>0.000</c:formatCode>
                <c:ptCount val="12"/>
                <c:pt idx="0">
                  <c:v>0.0416770032250062</c:v>
                </c:pt>
                <c:pt idx="1">
                  <c:v>0.0416770032250062</c:v>
                </c:pt>
                <c:pt idx="2">
                  <c:v>0.700322500620194</c:v>
                </c:pt>
                <c:pt idx="3">
                  <c:v>0.700322500620194</c:v>
                </c:pt>
                <c:pt idx="4">
                  <c:v>0.700322500620194</c:v>
                </c:pt>
                <c:pt idx="5">
                  <c:v>0.700322500620194</c:v>
                </c:pt>
                <c:pt idx="6">
                  <c:v>0.700322500620194</c:v>
                </c:pt>
                <c:pt idx="7">
                  <c:v>0.700322500620194</c:v>
                </c:pt>
                <c:pt idx="8">
                  <c:v>0.700322500620194</c:v>
                </c:pt>
                <c:pt idx="9">
                  <c:v>0.700322500620194</c:v>
                </c:pt>
                <c:pt idx="10">
                  <c:v>0.700322500620194</c:v>
                </c:pt>
                <c:pt idx="11">
                  <c:v>0.0416770032250062</c:v>
                </c:pt>
              </c:numCache>
            </c:numRef>
          </c:yVal>
          <c:smooth val="0"/>
        </c:ser>
        <c:ser>
          <c:idx val="4"/>
          <c:order val="4"/>
          <c:tx>
            <c:strRef>
              <c:f>"Techo"</c:f>
              <c:strCache>
                <c:ptCount val="1"/>
                <c:pt idx="0">
                  <c:v>Techo</c:v>
                </c:pt>
              </c:strCache>
            </c:strRef>
          </c:tx>
          <c:spPr>
            <a:solidFill>
              <a:srgbClr val="595959"/>
            </a:solidFill>
            <a:ln w="19080">
              <a:solidFill>
                <a:srgbClr val="595959"/>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DATOS!$AU$3:$AU$12</c:f>
              <c:numCache>
                <c:formatCode>0.000</c:formatCode>
                <c:ptCount val="10"/>
                <c:pt idx="0">
                  <c:v>0.305437459687422</c:v>
                </c:pt>
                <c:pt idx="1">
                  <c:v>0.930592508062516</c:v>
                </c:pt>
                <c:pt idx="2">
                  <c:v>1.03478501612503</c:v>
                </c:pt>
                <c:pt idx="3">
                  <c:v>0.409629967749938</c:v>
                </c:pt>
                <c:pt idx="4">
                  <c:v>0.513822475812453</c:v>
                </c:pt>
                <c:pt idx="5">
                  <c:v>1.13897752418755</c:v>
                </c:pt>
                <c:pt idx="6">
                  <c:v>1.24317003225006</c:v>
                </c:pt>
                <c:pt idx="7">
                  <c:v>0.618014983874969</c:v>
                </c:pt>
                <c:pt idx="8">
                  <c:v>0.722207491937485</c:v>
                </c:pt>
                <c:pt idx="9">
                  <c:v>1.34736254031258</c:v>
                </c:pt>
              </c:numCache>
            </c:numRef>
          </c:xVal>
          <c:yVal>
            <c:numRef>
              <c:f>DATOS!$AV$3:$AV$12</c:f>
              <c:numCache>
                <c:formatCode>0.000</c:formatCode>
                <c:ptCount val="10"/>
                <c:pt idx="0">
                  <c:v>0.700322500620194</c:v>
                </c:pt>
                <c:pt idx="1">
                  <c:v>0.700322500620194</c:v>
                </c:pt>
                <c:pt idx="2">
                  <c:v>0.752418754651451</c:v>
                </c:pt>
                <c:pt idx="3">
                  <c:v>0.752418754651451</c:v>
                </c:pt>
                <c:pt idx="4">
                  <c:v>0.804515008682709</c:v>
                </c:pt>
                <c:pt idx="5">
                  <c:v>0.804515008682709</c:v>
                </c:pt>
                <c:pt idx="6">
                  <c:v>0.856611262713967</c:v>
                </c:pt>
                <c:pt idx="7">
                  <c:v>0.856611262713967</c:v>
                </c:pt>
                <c:pt idx="8">
                  <c:v>0.908707516745225</c:v>
                </c:pt>
                <c:pt idx="9">
                  <c:v>0.908707516745225</c:v>
                </c:pt>
              </c:numCache>
            </c:numRef>
          </c:yVal>
          <c:smooth val="0"/>
        </c:ser>
        <c:ser>
          <c:idx val="5"/>
          <c:order val="5"/>
          <c:tx>
            <c:strRef>
              <c:f>"Ejes X, Y, Z"</c:f>
              <c:strCache>
                <c:ptCount val="1"/>
                <c:pt idx="0">
                  <c:v>Ejes X, Y, Z</c:v>
                </c:pt>
              </c:strCache>
            </c:strRef>
          </c:tx>
          <c:spPr>
            <a:solidFill>
              <a:srgbClr val="a6a6a6"/>
            </a:solidFill>
            <a:ln w="12600">
              <a:solidFill>
                <a:srgbClr val="a6a6a6"/>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DATOS!$AW$3:$AW$7</c:f>
              <c:numCache>
                <c:formatCode>0.000</c:formatCode>
                <c:ptCount val="5"/>
                <c:pt idx="0">
                  <c:v>1.11813902257504</c:v>
                </c:pt>
                <c:pt idx="1">
                  <c:v>0.305437459687422</c:v>
                </c:pt>
                <c:pt idx="2">
                  <c:v>0.305437459687422</c:v>
                </c:pt>
                <c:pt idx="3">
                  <c:v>0.305437459687422</c:v>
                </c:pt>
                <c:pt idx="4">
                  <c:v>0.8264</c:v>
                </c:pt>
              </c:numCache>
            </c:numRef>
          </c:xVal>
          <c:yVal>
            <c:numRef>
              <c:f>DATOS!$AX$3:$AX$7</c:f>
              <c:numCache>
                <c:formatCode>0.000</c:formatCode>
                <c:ptCount val="5"/>
                <c:pt idx="0">
                  <c:v>0.0416770032250062</c:v>
                </c:pt>
                <c:pt idx="1">
                  <c:v>0.0416770032250062</c:v>
                </c:pt>
                <c:pt idx="2">
                  <c:v>0.86498387496899</c:v>
                </c:pt>
                <c:pt idx="3">
                  <c:v>0.0416770032250062</c:v>
                </c:pt>
                <c:pt idx="4">
                  <c:v>0.364177623418507</c:v>
                </c:pt>
              </c:numCache>
            </c:numRef>
          </c:yVal>
          <c:smooth val="0"/>
        </c:ser>
        <c:ser>
          <c:idx val="6"/>
          <c:order val="6"/>
          <c:tx>
            <c:strRef>
              <c:f>"Abertura 1"</c:f>
              <c:strCache>
                <c:ptCount val="1"/>
                <c:pt idx="0">
                  <c:v>Abertura 1</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DATOS!$BA$3:$BA$7</c:f>
              <c:numCache>
                <c:formatCode>0.000</c:formatCode>
                <c:ptCount val="5"/>
                <c:pt idx="0">
                  <c:v>0.345284892086331</c:v>
                </c:pt>
                <c:pt idx="1">
                  <c:v>0.425996874224758</c:v>
                </c:pt>
                <c:pt idx="2">
                  <c:v>0.425996874224758</c:v>
                </c:pt>
                <c:pt idx="3">
                  <c:v>0.345284892086331</c:v>
                </c:pt>
                <c:pt idx="4">
                  <c:v>0.345284892086331</c:v>
                </c:pt>
              </c:numCache>
            </c:numRef>
          </c:xVal>
          <c:yVal>
            <c:numRef>
              <c:f>DATOS!$BB$3:$BB$7</c:f>
              <c:numCache>
                <c:formatCode>0.000</c:formatCode>
                <c:ptCount val="5"/>
                <c:pt idx="0">
                  <c:v>0.0416770032250062</c:v>
                </c:pt>
                <c:pt idx="1">
                  <c:v>0.0416770032250062</c:v>
                </c:pt>
                <c:pt idx="2">
                  <c:v>0.190523443314314</c:v>
                </c:pt>
                <c:pt idx="3">
                  <c:v>0.190523443314314</c:v>
                </c:pt>
                <c:pt idx="4">
                  <c:v>0.0416770032250062</c:v>
                </c:pt>
              </c:numCache>
            </c:numRef>
          </c:yVal>
          <c:smooth val="0"/>
        </c:ser>
        <c:ser>
          <c:idx val="7"/>
          <c:order val="7"/>
          <c:tx>
            <c:strRef>
              <c:f>"Abertura 2"</c:f>
              <c:strCache>
                <c:ptCount val="1"/>
                <c:pt idx="0">
                  <c:v>Abertura 2</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DATOS!$BC$3:$BC$7</c:f>
              <c:numCache>
                <c:formatCode>0.000</c:formatCode>
                <c:ptCount val="5"/>
                <c:pt idx="0">
                  <c:v>0.459673381294964</c:v>
                </c:pt>
                <c:pt idx="1">
                  <c:v>0.776071297444803</c:v>
                </c:pt>
                <c:pt idx="2">
                  <c:v>0.776071297444803</c:v>
                </c:pt>
                <c:pt idx="3">
                  <c:v>0.459673381294964</c:v>
                </c:pt>
                <c:pt idx="4">
                  <c:v>0.459673381294964</c:v>
                </c:pt>
              </c:numCache>
            </c:numRef>
          </c:xVal>
          <c:yVal>
            <c:numRef>
              <c:f>DATOS!$BD$3:$BD$7</c:f>
              <c:numCache>
                <c:formatCode>0.000</c:formatCode>
                <c:ptCount val="5"/>
                <c:pt idx="0">
                  <c:v>0.0416770032250062</c:v>
                </c:pt>
                <c:pt idx="1">
                  <c:v>0.0416770032250062</c:v>
                </c:pt>
                <c:pt idx="2">
                  <c:v>0.434259488960556</c:v>
                </c:pt>
                <c:pt idx="3">
                  <c:v>0.434259488960556</c:v>
                </c:pt>
                <c:pt idx="4">
                  <c:v>0.0416770032250062</c:v>
                </c:pt>
              </c:numCache>
            </c:numRef>
          </c:yVal>
          <c:smooth val="0"/>
        </c:ser>
        <c:ser>
          <c:idx val="8"/>
          <c:order val="8"/>
          <c:tx>
            <c:strRef>
              <c:f>"Abertura 3"</c:f>
              <c:strCache>
                <c:ptCount val="1"/>
                <c:pt idx="0">
                  <c:v>Abertura 3</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DATOS!$BE$3:$BE$7</c:f>
              <c:numCache>
                <c:formatCode>0.000</c:formatCode>
                <c:ptCount val="5"/>
                <c:pt idx="0">
                  <c:v>0.722207491937485</c:v>
                </c:pt>
                <c:pt idx="1">
                  <c:v>1.34736254031258</c:v>
                </c:pt>
                <c:pt idx="2">
                  <c:v>1.34736254031258</c:v>
                </c:pt>
                <c:pt idx="3">
                  <c:v>0.722207491937485</c:v>
                </c:pt>
                <c:pt idx="4">
                  <c:v>0.722207491937485</c:v>
                </c:pt>
              </c:numCache>
            </c:numRef>
          </c:xVal>
          <c:yVal>
            <c:numRef>
              <c:f>DATOS!$BF$3:$BF$7</c:f>
              <c:numCache>
                <c:formatCode>0.000</c:formatCode>
                <c:ptCount val="5"/>
                <c:pt idx="0">
                  <c:v>0.299677499379807</c:v>
                </c:pt>
                <c:pt idx="1">
                  <c:v>0.299677499379807</c:v>
                </c:pt>
                <c:pt idx="2">
                  <c:v>0.908707516745225</c:v>
                </c:pt>
                <c:pt idx="3">
                  <c:v>0.908707516745225</c:v>
                </c:pt>
                <c:pt idx="4">
                  <c:v>0.299677499379807</c:v>
                </c:pt>
              </c:numCache>
            </c:numRef>
          </c:yVal>
          <c:smooth val="0"/>
        </c:ser>
        <c:ser>
          <c:idx val="9"/>
          <c:order val="9"/>
          <c:tx>
            <c:strRef>
              <c:f>"Abertura 4"</c:f>
              <c:strCache>
                <c:ptCount val="1"/>
                <c:pt idx="0">
                  <c:v>Abertura 4</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DATOS!$BG$3:$BG$7</c:f>
              <c:numCache>
                <c:formatCode>0.000</c:formatCode>
                <c:ptCount val="5"/>
                <c:pt idx="0">
                  <c:v>0.305437459687422</c:v>
                </c:pt>
                <c:pt idx="1">
                  <c:v>0.305437459687422</c:v>
                </c:pt>
                <c:pt idx="2">
                  <c:v>0.305437459687422</c:v>
                </c:pt>
                <c:pt idx="3">
                  <c:v>0.305437459687422</c:v>
                </c:pt>
                <c:pt idx="4">
                  <c:v>0.305437459687422</c:v>
                </c:pt>
              </c:numCache>
            </c:numRef>
          </c:xVal>
          <c:yVal>
            <c:numRef>
              <c:f>DATOS!$BH$3:$BH$7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10"/>
          <c:order val="10"/>
          <c:tx>
            <c:strRef>
              <c:f>"Abertura 5"</c:f>
              <c:strCache>
                <c:ptCount val="1"/>
                <c:pt idx="0">
                  <c:v>Abertura 5</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DATOS!$BI$3:$BI$7</c:f>
              <c:numCache>
                <c:formatCode>0.000</c:formatCode>
                <c:ptCount val="5"/>
                <c:pt idx="0">
                  <c:v>0.305437459687422</c:v>
                </c:pt>
                <c:pt idx="1">
                  <c:v>0.305437459687422</c:v>
                </c:pt>
                <c:pt idx="2">
                  <c:v>0.305437459687422</c:v>
                </c:pt>
                <c:pt idx="3">
                  <c:v>0.305437459687422</c:v>
                </c:pt>
                <c:pt idx="4">
                  <c:v>0.305437459687422</c:v>
                </c:pt>
              </c:numCache>
            </c:numRef>
          </c:xVal>
          <c:yVal>
            <c:numRef>
              <c:f>DATOS!$BJ$3:$BJ$7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11"/>
          <c:order val="11"/>
          <c:tx>
            <c:strRef>
              <c:f>"Abertura 6"</c:f>
              <c:strCache>
                <c:ptCount val="1"/>
                <c:pt idx="0">
                  <c:v>Abertura 6</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DATOS!$BK$3:$BK$7</c:f>
              <c:numCache>
                <c:formatCode>0.000</c:formatCode>
                <c:ptCount val="5"/>
                <c:pt idx="0">
                  <c:v>0.305437459687422</c:v>
                </c:pt>
                <c:pt idx="1">
                  <c:v>0.305437459687422</c:v>
                </c:pt>
                <c:pt idx="2">
                  <c:v>0.305437459687422</c:v>
                </c:pt>
                <c:pt idx="3">
                  <c:v>0.305437459687422</c:v>
                </c:pt>
                <c:pt idx="4">
                  <c:v>0.305437459687422</c:v>
                </c:pt>
              </c:numCache>
            </c:numRef>
          </c:xVal>
          <c:yVal>
            <c:numRef>
              <c:f>DATOS!$BL$3:$BL$7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12"/>
          <c:order val="12"/>
          <c:tx>
            <c:strRef>
              <c:f>"Abertura 7"</c:f>
              <c:strCache>
                <c:ptCount val="1"/>
                <c:pt idx="0">
                  <c:v>Abertura 7</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DATOS!$BM$3:$BM$7</c:f>
              <c:numCache>
                <c:formatCode>0.000</c:formatCode>
                <c:ptCount val="5"/>
                <c:pt idx="0">
                  <c:v>0.305437459687422</c:v>
                </c:pt>
                <c:pt idx="1">
                  <c:v>0.305437459687422</c:v>
                </c:pt>
                <c:pt idx="2">
                  <c:v>0.305437459687422</c:v>
                </c:pt>
                <c:pt idx="3">
                  <c:v>0.305437459687422</c:v>
                </c:pt>
                <c:pt idx="4">
                  <c:v>0.305437459687422</c:v>
                </c:pt>
              </c:numCache>
            </c:numRef>
          </c:xVal>
          <c:yVal>
            <c:numRef>
              <c:f>DATOS!$BN$3:$BN$7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13"/>
          <c:order val="13"/>
          <c:tx>
            <c:strRef>
              <c:f>"Abertura 8"</c:f>
              <c:strCache>
                <c:ptCount val="1"/>
                <c:pt idx="0">
                  <c:v>Abertura 8</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DATOS!$BO$3:$BO$7</c:f>
              <c:numCache>
                <c:formatCode>0.000</c:formatCode>
                <c:ptCount val="5"/>
                <c:pt idx="0">
                  <c:v>0.305437459687422</c:v>
                </c:pt>
                <c:pt idx="1">
                  <c:v>0.305437459687422</c:v>
                </c:pt>
                <c:pt idx="2">
                  <c:v>0.305437459687422</c:v>
                </c:pt>
                <c:pt idx="3">
                  <c:v>0.305437459687422</c:v>
                </c:pt>
                <c:pt idx="4">
                  <c:v>0.305437459687422</c:v>
                </c:pt>
              </c:numCache>
            </c:numRef>
          </c:xVal>
          <c:yVal>
            <c:numRef>
              <c:f>DATOS!$BP$3:$BP$7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14"/>
          <c:order val="14"/>
          <c:tx>
            <c:strRef>
              <c:f>"Abertura 9"</c:f>
              <c:strCache>
                <c:ptCount val="1"/>
                <c:pt idx="0">
                  <c:v>Abertura 9</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DATOS!$BQ$3:$BQ$7</c:f>
              <c:numCache>
                <c:formatCode>0.000</c:formatCode>
                <c:ptCount val="5"/>
                <c:pt idx="0">
                  <c:v>0.305437459687422</c:v>
                </c:pt>
                <c:pt idx="1">
                  <c:v>0.305437459687422</c:v>
                </c:pt>
                <c:pt idx="2">
                  <c:v>0.305437459687422</c:v>
                </c:pt>
                <c:pt idx="3">
                  <c:v>0.305437459687422</c:v>
                </c:pt>
                <c:pt idx="4">
                  <c:v>0.305437459687422</c:v>
                </c:pt>
              </c:numCache>
            </c:numRef>
          </c:xVal>
          <c:yVal>
            <c:numRef>
              <c:f>DATOS!$BR$3:$BR$7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15"/>
          <c:order val="15"/>
          <c:tx>
            <c:strRef>
              <c:f>"Abertura 10"</c:f>
              <c:strCache>
                <c:ptCount val="1"/>
                <c:pt idx="0">
                  <c:v>Abertura 10</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DATOS!$BS$3:$BS$7</c:f>
              <c:numCache>
                <c:formatCode>0.000</c:formatCode>
                <c:ptCount val="5"/>
                <c:pt idx="0">
                  <c:v>0.305437459687422</c:v>
                </c:pt>
                <c:pt idx="1">
                  <c:v>0.305437459687422</c:v>
                </c:pt>
                <c:pt idx="2">
                  <c:v>0.305437459687422</c:v>
                </c:pt>
                <c:pt idx="3">
                  <c:v>0.305437459687422</c:v>
                </c:pt>
                <c:pt idx="4">
                  <c:v>0.305437459687422</c:v>
                </c:pt>
              </c:numCache>
            </c:numRef>
          </c:xVal>
          <c:yVal>
            <c:numRef>
              <c:f>DATOS!$BT$3:$BT$7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16"/>
          <c:order val="16"/>
          <c:tx>
            <c:strRef>
              <c:f>"Abertura 11"</c:f>
              <c:strCache>
                <c:ptCount val="1"/>
                <c:pt idx="0">
                  <c:v>Abertura 11</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DATOS!$BU$3:$BU$7</c:f>
              <c:numCache>
                <c:formatCode>0.000</c:formatCode>
                <c:ptCount val="5"/>
                <c:pt idx="0">
                  <c:v>0.305437459687422</c:v>
                </c:pt>
                <c:pt idx="1">
                  <c:v>0.305437459687422</c:v>
                </c:pt>
                <c:pt idx="2">
                  <c:v>0.305437459687422</c:v>
                </c:pt>
                <c:pt idx="3">
                  <c:v>0.305437459687422</c:v>
                </c:pt>
                <c:pt idx="4">
                  <c:v>0.305437459687422</c:v>
                </c:pt>
              </c:numCache>
            </c:numRef>
          </c:xVal>
          <c:yVal>
            <c:numRef>
              <c:f>DATOS!$BV$3:$BV$7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17"/>
          <c:order val="17"/>
          <c:tx>
            <c:strRef>
              <c:f>"Abertura 12"</c:f>
              <c:strCache>
                <c:ptCount val="1"/>
                <c:pt idx="0">
                  <c:v>Abertura 12</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DATOS!$BW$3:$BW$7</c:f>
              <c:numCache>
                <c:formatCode>0.000</c:formatCode>
                <c:ptCount val="5"/>
                <c:pt idx="0">
                  <c:v>0.305437459687422</c:v>
                </c:pt>
                <c:pt idx="1">
                  <c:v>0.305437459687422</c:v>
                </c:pt>
                <c:pt idx="2">
                  <c:v>0.305437459687422</c:v>
                </c:pt>
                <c:pt idx="3">
                  <c:v>0.305437459687422</c:v>
                </c:pt>
                <c:pt idx="4">
                  <c:v>0.305437459687422</c:v>
                </c:pt>
              </c:numCache>
            </c:numRef>
          </c:xVal>
          <c:yVal>
            <c:numRef>
              <c:f>DATOS!$BX$3:$BX$7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18"/>
          <c:order val="18"/>
          <c:tx>
            <c:strRef>
              <c:f>"Abertura 13"</c:f>
              <c:strCache>
                <c:ptCount val="1"/>
                <c:pt idx="0">
                  <c:v>Abertura 13</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DATOS!$BY$3:$BY$7</c:f>
              <c:numCache>
                <c:formatCode>0.000</c:formatCode>
                <c:ptCount val="5"/>
                <c:pt idx="0">
                  <c:v>0.305437459687422</c:v>
                </c:pt>
                <c:pt idx="1">
                  <c:v>0.305437459687422</c:v>
                </c:pt>
                <c:pt idx="2">
                  <c:v>0.305437459687422</c:v>
                </c:pt>
                <c:pt idx="3">
                  <c:v>0.305437459687422</c:v>
                </c:pt>
                <c:pt idx="4">
                  <c:v>0.305437459687422</c:v>
                </c:pt>
              </c:numCache>
            </c:numRef>
          </c:xVal>
          <c:yVal>
            <c:numRef>
              <c:f>DATOS!$BZ$3:$BZ$7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19"/>
          <c:order val="19"/>
          <c:tx>
            <c:strRef>
              <c:f>"Abertura 14"</c:f>
              <c:strCache>
                <c:ptCount val="1"/>
                <c:pt idx="0">
                  <c:v>Abertura 14</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DATOS!$CA$3:$CA$7</c:f>
              <c:numCache>
                <c:formatCode>0.000</c:formatCode>
                <c:ptCount val="5"/>
                <c:pt idx="0">
                  <c:v>0.305437459687422</c:v>
                </c:pt>
                <c:pt idx="1">
                  <c:v>0.305437459687422</c:v>
                </c:pt>
                <c:pt idx="2">
                  <c:v>0.305437459687422</c:v>
                </c:pt>
                <c:pt idx="3">
                  <c:v>0.305437459687422</c:v>
                </c:pt>
                <c:pt idx="4">
                  <c:v>0.305437459687422</c:v>
                </c:pt>
              </c:numCache>
            </c:numRef>
          </c:xVal>
          <c:yVal>
            <c:numRef>
              <c:f>DATOS!$CB$3:$CB$7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20"/>
          <c:order val="20"/>
          <c:tx>
            <c:strRef>
              <c:f>"Abertura 15"</c:f>
              <c:strCache>
                <c:ptCount val="1"/>
                <c:pt idx="0">
                  <c:v>Abertura 15</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DATOS!$CC$3:$CC$7</c:f>
              <c:numCache>
                <c:formatCode>0.000</c:formatCode>
                <c:ptCount val="5"/>
                <c:pt idx="0">
                  <c:v>0.305437459687422</c:v>
                </c:pt>
                <c:pt idx="1">
                  <c:v>0.305437459687422</c:v>
                </c:pt>
                <c:pt idx="2">
                  <c:v>0.305437459687422</c:v>
                </c:pt>
                <c:pt idx="3">
                  <c:v>0.305437459687422</c:v>
                </c:pt>
                <c:pt idx="4">
                  <c:v>0.305437459687422</c:v>
                </c:pt>
              </c:numCache>
            </c:numRef>
          </c:xVal>
          <c:yVal>
            <c:numRef>
              <c:f>DATOS!$CD$3:$CD$7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21"/>
          <c:order val="21"/>
          <c:tx>
            <c:strRef>
              <c:f>"Abertura 16"</c:f>
              <c:strCache>
                <c:ptCount val="1"/>
                <c:pt idx="0">
                  <c:v>Abertura 16</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DATOS!$CE$3:$CE$7</c:f>
              <c:numCache>
                <c:formatCode>0.000</c:formatCode>
                <c:ptCount val="5"/>
                <c:pt idx="0">
                  <c:v>0.305437459687422</c:v>
                </c:pt>
                <c:pt idx="1">
                  <c:v>0.305437459687422</c:v>
                </c:pt>
                <c:pt idx="2">
                  <c:v>0.305437459687422</c:v>
                </c:pt>
                <c:pt idx="3">
                  <c:v>0.305437459687422</c:v>
                </c:pt>
                <c:pt idx="4">
                  <c:v>0.305437459687422</c:v>
                </c:pt>
              </c:numCache>
            </c:numRef>
          </c:xVal>
          <c:yVal>
            <c:numRef>
              <c:f>DATOS!$CF$3:$CF$7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22"/>
          <c:order val="22"/>
          <c:tx>
            <c:strRef>
              <c:f>"Abertura 17"</c:f>
              <c:strCache>
                <c:ptCount val="1"/>
                <c:pt idx="0">
                  <c:v>Abertura 17</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DATOS!$CG$3:$CG$7</c:f>
              <c:numCache>
                <c:formatCode>0.000</c:formatCode>
                <c:ptCount val="5"/>
                <c:pt idx="0">
                  <c:v>0.305437459687422</c:v>
                </c:pt>
                <c:pt idx="1">
                  <c:v>0.305437459687422</c:v>
                </c:pt>
                <c:pt idx="2">
                  <c:v>0.305437459687422</c:v>
                </c:pt>
                <c:pt idx="3">
                  <c:v>0.305437459687422</c:v>
                </c:pt>
                <c:pt idx="4">
                  <c:v>0.305437459687422</c:v>
                </c:pt>
              </c:numCache>
            </c:numRef>
          </c:xVal>
          <c:yVal>
            <c:numRef>
              <c:f>DATOS!$CH$3:$CH$7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23"/>
          <c:order val="23"/>
          <c:tx>
            <c:strRef>
              <c:f>"Abertura 18"</c:f>
              <c:strCache>
                <c:ptCount val="1"/>
                <c:pt idx="0">
                  <c:v>Abertura 18</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DATOS!$CI$3:$CI$7</c:f>
              <c:numCache>
                <c:formatCode>0.000</c:formatCode>
                <c:ptCount val="5"/>
                <c:pt idx="0">
                  <c:v>0.305437459687422</c:v>
                </c:pt>
                <c:pt idx="1">
                  <c:v>0.305437459687422</c:v>
                </c:pt>
                <c:pt idx="2">
                  <c:v>0.305437459687422</c:v>
                </c:pt>
                <c:pt idx="3">
                  <c:v>0.305437459687422</c:v>
                </c:pt>
                <c:pt idx="4">
                  <c:v>0.305437459687422</c:v>
                </c:pt>
              </c:numCache>
            </c:numRef>
          </c:xVal>
          <c:yVal>
            <c:numRef>
              <c:f>DATOS!$CJ$3:$CJ$7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24"/>
          <c:order val="24"/>
          <c:tx>
            <c:strRef>
              <c:f>"Abertura 19"</c:f>
              <c:strCache>
                <c:ptCount val="1"/>
                <c:pt idx="0">
                  <c:v>Abertura 19</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DATOS!$CK$3:$CK$7</c:f>
              <c:numCache>
                <c:formatCode>0.000</c:formatCode>
                <c:ptCount val="5"/>
                <c:pt idx="0">
                  <c:v>0.305437459687422</c:v>
                </c:pt>
                <c:pt idx="1">
                  <c:v>0.305437459687422</c:v>
                </c:pt>
                <c:pt idx="2">
                  <c:v>0.305437459687422</c:v>
                </c:pt>
                <c:pt idx="3">
                  <c:v>0.305437459687422</c:v>
                </c:pt>
                <c:pt idx="4">
                  <c:v>0.305437459687422</c:v>
                </c:pt>
              </c:numCache>
            </c:numRef>
          </c:xVal>
          <c:yVal>
            <c:numRef>
              <c:f>DATOS!$CL$3:$CL$7</c:f>
              <c:numCache>
                <c:formatCode>0.000</c:formatCode>
                <c:ptCount val="5"/>
                <c:pt idx="0">
                  <c:v>0.0416770032250062</c:v>
                </c:pt>
                <c:pt idx="1">
                  <c:v>0.0416770032250062</c:v>
                </c:pt>
                <c:pt idx="2">
                  <c:v>0.0416770032250062</c:v>
                </c:pt>
                <c:pt idx="3">
                  <c:v>0.0416770032250062</c:v>
                </c:pt>
                <c:pt idx="4">
                  <c:v>0.0416770032250062</c:v>
                </c:pt>
              </c:numCache>
            </c:numRef>
          </c:yVal>
          <c:smooth val="0"/>
        </c:ser>
        <c:ser>
          <c:idx val="25"/>
          <c:order val="25"/>
          <c:tx>
            <c:strRef>
              <c:f>"Abertura 20"</c:f>
              <c:strCache>
                <c:ptCount val="1"/>
                <c:pt idx="0">
                  <c:v>Abertura 20</c:v>
                </c:pt>
              </c:strCache>
            </c:strRef>
          </c:tx>
          <c:spPr>
            <a:solidFill>
              <a:srgbClr val="ff0000"/>
            </a:solidFill>
            <a:ln w="15840">
              <a:solidFill>
                <a:srgbClr val="ff0000"/>
              </a:solidFill>
              <a:prstDash val="sysDot"/>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DATOS!$CM$3:$CM$7</c:f>
              <c:numCache>
                <c:formatCode>0.000</c:formatCode>
                <c:ptCount val="5"/>
                <c:pt idx="0">
                  <c:v>0.305437459687422</c:v>
                </c:pt>
                <c:pt idx="1">
                  <c:v>0.305437459687422</c:v>
                </c:pt>
                <c:pt idx="2">
                  <c:v>0.305437459687422</c:v>
                </c:pt>
                <c:pt idx="3">
                  <c:v>0.305437459687422</c:v>
                </c:pt>
                <c:pt idx="4">
                  <c:v>0.305437459687422</c:v>
                </c:pt>
              </c:numCache>
            </c:numRef>
          </c:xVal>
          <c:yVal>
            <c:numRef>
              <c:f>DATOS!$CN$3:$CN$7</c:f>
              <c:numCache>
                <c:formatCode>0.000</c:formatCode>
                <c:ptCount val="5"/>
                <c:pt idx="0">
                  <c:v>0.0416770032250062</c:v>
                </c:pt>
                <c:pt idx="1">
                  <c:v>0.0416770032250062</c:v>
                </c:pt>
                <c:pt idx="2">
                  <c:v>0.0416770032250062</c:v>
                </c:pt>
                <c:pt idx="3">
                  <c:v>0.0416770032250062</c:v>
                </c:pt>
                <c:pt idx="4">
                  <c:v>0.0416770032250062</c:v>
                </c:pt>
              </c:numCache>
            </c:numRef>
          </c:yVal>
          <c:smooth val="0"/>
        </c:ser>
        <c:axId val="32106191"/>
        <c:axId val="43802059"/>
      </c:scatterChart>
      <c:valAx>
        <c:axId val="32106191"/>
        <c:scaling>
          <c:orientation val="minMax"/>
          <c:max val="1.9025"/>
          <c:min val="-0.18"/>
        </c:scaling>
        <c:delete val="1"/>
        <c:axPos val="b"/>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802059"/>
        <c:crossBetween val="midCat"/>
      </c:valAx>
      <c:valAx>
        <c:axId val="43802059"/>
        <c:scaling>
          <c:orientation val="minMax"/>
          <c:max val="1.08"/>
          <c:min val="-0.18"/>
        </c:scaling>
        <c:delete val="1"/>
        <c:axPos val="l"/>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106191"/>
        <c:crossBetween val="midCat"/>
      </c:valAx>
      <c:spPr>
        <a:noFill/>
        <a:ln w="0">
          <a:noFill/>
        </a:ln>
      </c:spPr>
    </c:plotArea>
    <c:legend>
      <c:legendPos val="r"/>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egendEntry>
        <c:idx val="23"/>
        <c:delete val="1"/>
      </c:legendEntry>
      <c:legendEntry>
        <c:idx val="24"/>
        <c:delete val="1"/>
      </c:legendEntry>
      <c:legendEntry>
        <c:idx val="25"/>
        <c:delete val="1"/>
      </c:legendEntry>
      <c:layout>
        <c:manualLayout>
          <c:xMode val="edge"/>
          <c:yMode val="edge"/>
          <c:x val="0.74"/>
          <c:y val="0.25"/>
          <c:w val="0.25"/>
          <c:h val="0.55"/>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
        <c:varyColors val="0"/>
        <c:ser>
          <c:idx val="0"/>
          <c:order val="0"/>
          <c:tx>
            <c:strRef>
              <c:f>"Muro 1 (Z=0)"</c:f>
              <c:strCache>
                <c:ptCount val="1"/>
                <c:pt idx="0">
                  <c:v>Muro 1 (Z=0)</c:v>
                </c:pt>
              </c:strCache>
            </c:strRef>
          </c:tx>
          <c:spPr>
            <a:solidFill>
              <a:srgbClr val="1f4e79"/>
            </a:solidFill>
            <a:ln w="19080">
              <a:solidFill>
                <a:srgbClr val="1f4e79"/>
              </a:solidFill>
              <a:round/>
            </a:ln>
          </c:spPr>
          <c:marker>
            <c:symbol val="none"/>
          </c:marker>
          <c:dPt>
            <c:idx val="10"/>
            <c:marker>
              <c:symbol val="none"/>
            </c:marker>
          </c:dPt>
          <c:dLbls>
            <c:dLbl>
              <c:idx val="10"/>
              <c:txPr>
                <a:bodyPr wrap="square"/>
                <a:lstStyle/>
                <a:p>
                  <a:pPr>
                    <a:defRPr b="0" sz="1000" spc="-1" strike="noStrike">
                      <a:solidFill>
                        <a:srgbClr val="000000"/>
                      </a:solidFill>
                      <a:latin typeface="Calibri"/>
                    </a:defRPr>
                  </a:pPr>
                </a:p>
              </c:txPr>
              <c:dLblPos val="t"/>
              <c:showLegendKey val="0"/>
              <c:showVal val="0"/>
              <c:showCatName val="0"/>
              <c:showSerName val="1"/>
              <c:showPercent val="0"/>
              <c:separator>; </c:separator>
            </c:dLbl>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ABERTURAS!$Y$7:$Y$18</c:f>
              <c:numCache>
                <c:formatCode>0.000</c:formatCode>
                <c:ptCount val="12"/>
                <c:pt idx="0">
                  <c:v>0.0695038461538462</c:v>
                </c:pt>
                <c:pt idx="1">
                  <c:v>0.684495743301642</c:v>
                </c:pt>
                <c:pt idx="2">
                  <c:v>0.684495743301642</c:v>
                </c:pt>
                <c:pt idx="3">
                  <c:v>0.607621756158168</c:v>
                </c:pt>
                <c:pt idx="4">
                  <c:v>0.530747769014693</c:v>
                </c:pt>
                <c:pt idx="5">
                  <c:v>0.453873781871219</c:v>
                </c:pt>
                <c:pt idx="6">
                  <c:v>0.376999794727744</c:v>
                </c:pt>
                <c:pt idx="7">
                  <c:v>0.30012580758427</c:v>
                </c:pt>
                <c:pt idx="8">
                  <c:v>0.223251820440795</c:v>
                </c:pt>
                <c:pt idx="9">
                  <c:v>0.146377833297321</c:v>
                </c:pt>
                <c:pt idx="10">
                  <c:v>0.0695038461538462</c:v>
                </c:pt>
                <c:pt idx="11">
                  <c:v>0.0695038461538462</c:v>
                </c:pt>
              </c:numCache>
            </c:numRef>
          </c:xVal>
          <c:yVal>
            <c:numRef>
              <c:f>ABERTURAS!$Z$7:$Z$18</c:f>
              <c:numCache>
                <c:formatCode>0.000</c:formatCode>
                <c:ptCount val="12"/>
                <c:pt idx="0">
                  <c:v>0.0695038461538462</c:v>
                </c:pt>
                <c:pt idx="1">
                  <c:v>0.0695038461538462</c:v>
                </c:pt>
                <c:pt idx="2">
                  <c:v>0.717441737791703</c:v>
                </c:pt>
                <c:pt idx="3">
                  <c:v>0.717441737791703</c:v>
                </c:pt>
                <c:pt idx="4">
                  <c:v>0.717441737791703</c:v>
                </c:pt>
                <c:pt idx="5">
                  <c:v>0.717441737791703</c:v>
                </c:pt>
                <c:pt idx="6">
                  <c:v>0.717441737791703</c:v>
                </c:pt>
                <c:pt idx="7">
                  <c:v>0.717441737791703</c:v>
                </c:pt>
                <c:pt idx="8">
                  <c:v>0.717441737791703</c:v>
                </c:pt>
                <c:pt idx="9">
                  <c:v>0.717441737791703</c:v>
                </c:pt>
                <c:pt idx="10">
                  <c:v>0.717441737791703</c:v>
                </c:pt>
                <c:pt idx="11">
                  <c:v>0.0695038461538462</c:v>
                </c:pt>
              </c:numCache>
            </c:numRef>
          </c:yVal>
          <c:smooth val="0"/>
        </c:ser>
        <c:ser>
          <c:idx val="1"/>
          <c:order val="1"/>
          <c:tx>
            <c:strRef>
              <c:f>"Muro 2 (Z=L)"</c:f>
              <c:strCache>
                <c:ptCount val="1"/>
                <c:pt idx="0">
                  <c:v>Muro 2 (Z=L)</c:v>
                </c:pt>
              </c:strCache>
            </c:strRef>
          </c:tx>
          <c:spPr>
            <a:solidFill>
              <a:srgbClr val="1f4e79"/>
            </a:solidFill>
            <a:ln w="19080">
              <a:solidFill>
                <a:srgbClr val="1f4e79"/>
              </a:solidFill>
              <a:round/>
            </a:ln>
          </c:spPr>
          <c:marker>
            <c:symbol val="none"/>
          </c:marker>
          <c:dPt>
            <c:idx val="10"/>
            <c:marker>
              <c:symbol val="none"/>
            </c:marker>
          </c:dPt>
          <c:dLbls>
            <c:dLbl>
              <c:idx val="10"/>
              <c:txPr>
                <a:bodyPr wrap="square"/>
                <a:lstStyle/>
                <a:p>
                  <a:pPr>
                    <a:defRPr b="0" sz="1000" spc="-1" strike="noStrike">
                      <a:solidFill>
                        <a:srgbClr val="000000"/>
                      </a:solidFill>
                      <a:latin typeface="Calibri"/>
                    </a:defRPr>
                  </a:pPr>
                </a:p>
              </c:txPr>
              <c:dLblPos val="t"/>
              <c:showLegendKey val="0"/>
              <c:showVal val="0"/>
              <c:showCatName val="0"/>
              <c:showSerName val="1"/>
              <c:showPercent val="0"/>
              <c:separator>; </c:separator>
            </c:dLbl>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ABERTURAS!$AA$7:$AA$18</c:f>
              <c:numCache>
                <c:formatCode>0.000</c:formatCode>
                <c:ptCount val="12"/>
                <c:pt idx="0">
                  <c:v>0.782113504753674</c:v>
                </c:pt>
                <c:pt idx="1">
                  <c:v>1.39710540190147</c:v>
                </c:pt>
                <c:pt idx="2">
                  <c:v>1.39710540190147</c:v>
                </c:pt>
                <c:pt idx="3">
                  <c:v>1.320231414758</c:v>
                </c:pt>
                <c:pt idx="4">
                  <c:v>1.24335742761452</c:v>
                </c:pt>
                <c:pt idx="5">
                  <c:v>1.16648344047105</c:v>
                </c:pt>
                <c:pt idx="6">
                  <c:v>1.08960945332757</c:v>
                </c:pt>
                <c:pt idx="7">
                  <c:v>1.0127354661841</c:v>
                </c:pt>
                <c:pt idx="8">
                  <c:v>0.935861479040622</c:v>
                </c:pt>
                <c:pt idx="9">
                  <c:v>0.858987491897148</c:v>
                </c:pt>
                <c:pt idx="10">
                  <c:v>0.782113504753674</c:v>
                </c:pt>
                <c:pt idx="11">
                  <c:v>0.782113504753674</c:v>
                </c:pt>
              </c:numCache>
            </c:numRef>
          </c:xVal>
          <c:yVal>
            <c:numRef>
              <c:f>ABERTURAS!$AB$7:$AB$18</c:f>
              <c:numCache>
                <c:formatCode>0.000</c:formatCode>
                <c:ptCount val="12"/>
                <c:pt idx="0">
                  <c:v>0.0695038461538462</c:v>
                </c:pt>
                <c:pt idx="1">
                  <c:v>0.0695038461538462</c:v>
                </c:pt>
                <c:pt idx="2">
                  <c:v>0.668632857065687</c:v>
                </c:pt>
                <c:pt idx="3">
                  <c:v>0.668632857065687</c:v>
                </c:pt>
                <c:pt idx="4">
                  <c:v>0.668632857065687</c:v>
                </c:pt>
                <c:pt idx="5">
                  <c:v>0.668632857065687</c:v>
                </c:pt>
                <c:pt idx="6">
                  <c:v>0.668632857065687</c:v>
                </c:pt>
                <c:pt idx="7">
                  <c:v>0.668632857065687</c:v>
                </c:pt>
                <c:pt idx="8">
                  <c:v>0.668632857065687</c:v>
                </c:pt>
                <c:pt idx="9">
                  <c:v>0.668632857065687</c:v>
                </c:pt>
                <c:pt idx="10">
                  <c:v>0.668632857065687</c:v>
                </c:pt>
                <c:pt idx="11">
                  <c:v>0.0695038461538462</c:v>
                </c:pt>
              </c:numCache>
            </c:numRef>
          </c:yVal>
          <c:smooth val="0"/>
        </c:ser>
        <c:ser>
          <c:idx val="2"/>
          <c:order val="2"/>
          <c:tx>
            <c:strRef>
              <c:f>"Muro 3 (X=0)"</c:f>
              <c:strCache>
                <c:ptCount val="1"/>
                <c:pt idx="0">
                  <c:v>Muro 3 (X=0)</c:v>
                </c:pt>
              </c:strCache>
            </c:strRef>
          </c:tx>
          <c:spPr>
            <a:solidFill>
              <a:srgbClr val="1f4e79"/>
            </a:solidFill>
            <a:ln w="19080">
              <a:solidFill>
                <a:srgbClr val="1f4e79"/>
              </a:solidFill>
              <a:round/>
            </a:ln>
          </c:spPr>
          <c:marker>
            <c:symbol val="none"/>
          </c:marker>
          <c:dPt>
            <c:idx val="10"/>
            <c:marker>
              <c:symbol val="none"/>
            </c:marker>
          </c:dPt>
          <c:dLbls>
            <c:dLbl>
              <c:idx val="10"/>
              <c:txPr>
                <a:bodyPr wrap="square"/>
                <a:lstStyle/>
                <a:p>
                  <a:pPr>
                    <a:defRPr b="0" sz="1000" spc="-1" strike="noStrike">
                      <a:solidFill>
                        <a:srgbClr val="000000"/>
                      </a:solidFill>
                      <a:latin typeface="Calibri"/>
                    </a:defRPr>
                  </a:pPr>
                </a:p>
              </c:txPr>
              <c:dLblPos val="t"/>
              <c:showLegendKey val="0"/>
              <c:showVal val="0"/>
              <c:showCatName val="0"/>
              <c:showSerName val="1"/>
              <c:showPercent val="0"/>
              <c:separator>; </c:separator>
            </c:dLbl>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ABERTURAS!$AC$7:$AC$18</c:f>
              <c:numCache>
                <c:formatCode>0.000</c:formatCode>
                <c:ptCount val="12"/>
                <c:pt idx="0">
                  <c:v>1.4947231633535</c:v>
                </c:pt>
                <c:pt idx="1">
                  <c:v>2.47090077787381</c:v>
                </c:pt>
                <c:pt idx="2">
                  <c:v>2.47090077787381</c:v>
                </c:pt>
                <c:pt idx="3">
                  <c:v>2.34887857605877</c:v>
                </c:pt>
                <c:pt idx="4">
                  <c:v>2.22685637424373</c:v>
                </c:pt>
                <c:pt idx="5">
                  <c:v>2.1048341724287</c:v>
                </c:pt>
                <c:pt idx="6">
                  <c:v>1.98281197061366</c:v>
                </c:pt>
                <c:pt idx="7">
                  <c:v>1.86078976879862</c:v>
                </c:pt>
                <c:pt idx="8">
                  <c:v>1.73876756698358</c:v>
                </c:pt>
                <c:pt idx="9">
                  <c:v>1.61674536516854</c:v>
                </c:pt>
                <c:pt idx="10">
                  <c:v>1.4947231633535</c:v>
                </c:pt>
                <c:pt idx="11">
                  <c:v>1.4947231633535</c:v>
                </c:pt>
              </c:numCache>
            </c:numRef>
          </c:xVal>
          <c:yVal>
            <c:numRef>
              <c:f>ABERTURAS!$AD$7:$AD$18</c:f>
              <c:numCache>
                <c:formatCode>0.000</c:formatCode>
                <c:ptCount val="12"/>
                <c:pt idx="0">
                  <c:v>0.0695038461538462</c:v>
                </c:pt>
                <c:pt idx="1">
                  <c:v>0.0695038461538462</c:v>
                </c:pt>
                <c:pt idx="2">
                  <c:v>0.668632857065687</c:v>
                </c:pt>
                <c:pt idx="3">
                  <c:v>0.674733967156439</c:v>
                </c:pt>
                <c:pt idx="4">
                  <c:v>0.680835077247191</c:v>
                </c:pt>
                <c:pt idx="5">
                  <c:v>0.686936187337943</c:v>
                </c:pt>
                <c:pt idx="6">
                  <c:v>0.693037297428695</c:v>
                </c:pt>
                <c:pt idx="7">
                  <c:v>0.699138407519447</c:v>
                </c:pt>
                <c:pt idx="8">
                  <c:v>0.705239517610199</c:v>
                </c:pt>
                <c:pt idx="9">
                  <c:v>0.711340627700951</c:v>
                </c:pt>
                <c:pt idx="10">
                  <c:v>0.717441737791703</c:v>
                </c:pt>
                <c:pt idx="11">
                  <c:v>0.0695038461538462</c:v>
                </c:pt>
              </c:numCache>
            </c:numRef>
          </c:yVal>
          <c:smooth val="0"/>
        </c:ser>
        <c:ser>
          <c:idx val="3"/>
          <c:order val="3"/>
          <c:tx>
            <c:strRef>
              <c:f>"Muro 4 (X=B)"</c:f>
              <c:strCache>
                <c:ptCount val="1"/>
                <c:pt idx="0">
                  <c:v>Muro 4 (X=B)</c:v>
                </c:pt>
              </c:strCache>
            </c:strRef>
          </c:tx>
          <c:spPr>
            <a:solidFill>
              <a:srgbClr val="1f4e79"/>
            </a:solidFill>
            <a:ln w="19080">
              <a:solidFill>
                <a:srgbClr val="1f4e79"/>
              </a:solidFill>
              <a:round/>
            </a:ln>
          </c:spPr>
          <c:marker>
            <c:symbol val="none"/>
          </c:marker>
          <c:dPt>
            <c:idx val="10"/>
            <c:marker>
              <c:symbol val="none"/>
            </c:marker>
          </c:dPt>
          <c:dLbls>
            <c:dLbl>
              <c:idx val="10"/>
              <c:txPr>
                <a:bodyPr wrap="square"/>
                <a:lstStyle/>
                <a:p>
                  <a:pPr>
                    <a:defRPr b="0" sz="1000" spc="-1" strike="noStrike">
                      <a:solidFill>
                        <a:srgbClr val="000000"/>
                      </a:solidFill>
                      <a:latin typeface="Calibri"/>
                    </a:defRPr>
                  </a:pPr>
                </a:p>
              </c:txPr>
              <c:dLblPos val="t"/>
              <c:showLegendKey val="0"/>
              <c:showVal val="0"/>
              <c:showCatName val="0"/>
              <c:showSerName val="1"/>
              <c:showPercent val="0"/>
              <c:separator>; </c:separator>
            </c:dLbl>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ABERTURAS!$AE$7:$AE$18</c:f>
              <c:numCache>
                <c:formatCode>0.000</c:formatCode>
                <c:ptCount val="12"/>
                <c:pt idx="0">
                  <c:v>2.56851853932584</c:v>
                </c:pt>
                <c:pt idx="1">
                  <c:v>3.54469615384615</c:v>
                </c:pt>
                <c:pt idx="2">
                  <c:v>3.54469615384615</c:v>
                </c:pt>
                <c:pt idx="3">
                  <c:v>3.42267395203112</c:v>
                </c:pt>
                <c:pt idx="4">
                  <c:v>3.30065175021608</c:v>
                </c:pt>
                <c:pt idx="5">
                  <c:v>3.17862954840104</c:v>
                </c:pt>
                <c:pt idx="6">
                  <c:v>3.056607346586</c:v>
                </c:pt>
                <c:pt idx="7">
                  <c:v>2.93458514477096</c:v>
                </c:pt>
                <c:pt idx="8">
                  <c:v>2.81256294295592</c:v>
                </c:pt>
                <c:pt idx="9">
                  <c:v>2.69054074114088</c:v>
                </c:pt>
                <c:pt idx="10">
                  <c:v>2.56851853932584</c:v>
                </c:pt>
                <c:pt idx="11">
                  <c:v>2.56851853932584</c:v>
                </c:pt>
              </c:numCache>
            </c:numRef>
          </c:xVal>
          <c:yVal>
            <c:numRef>
              <c:f>ABERTURAS!$AF$7:$AF$18</c:f>
              <c:numCache>
                <c:formatCode>0.000</c:formatCode>
                <c:ptCount val="12"/>
                <c:pt idx="0">
                  <c:v>0.0695038461538462</c:v>
                </c:pt>
                <c:pt idx="1">
                  <c:v>0.0695038461538462</c:v>
                </c:pt>
                <c:pt idx="2">
                  <c:v>0.668632857065687</c:v>
                </c:pt>
                <c:pt idx="3">
                  <c:v>0.674733967156439</c:v>
                </c:pt>
                <c:pt idx="4">
                  <c:v>0.680835077247191</c:v>
                </c:pt>
                <c:pt idx="5">
                  <c:v>0.686936187337943</c:v>
                </c:pt>
                <c:pt idx="6">
                  <c:v>0.693037297428695</c:v>
                </c:pt>
                <c:pt idx="7">
                  <c:v>0.699138407519447</c:v>
                </c:pt>
                <c:pt idx="8">
                  <c:v>0.705239517610199</c:v>
                </c:pt>
                <c:pt idx="9">
                  <c:v>0.711340627700951</c:v>
                </c:pt>
                <c:pt idx="10">
                  <c:v>0.717441737791703</c:v>
                </c:pt>
                <c:pt idx="11">
                  <c:v>0.0695038461538462</c:v>
                </c:pt>
              </c:numCache>
            </c:numRef>
          </c:yVal>
          <c:smooth val="0"/>
        </c:ser>
        <c:ser>
          <c:idx val="4"/>
          <c:order val="4"/>
          <c:tx>
            <c:strRef>
              <c:f>"Fija 1"</c:f>
              <c:strCache>
                <c:ptCount val="1"/>
                <c:pt idx="0">
                  <c:v>Fija 1</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ABERTURAS!$AH$7:$AH$11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ABERTURAS!$AI$7:$AI$11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5"/>
          <c:order val="5"/>
          <c:tx>
            <c:strRef>
              <c:f>"Operable 1"</c:f>
              <c:strCache>
                <c:ptCount val="1"/>
                <c:pt idx="0">
                  <c:v>Operable 1</c:v>
                </c:pt>
              </c:strCache>
            </c:strRef>
          </c:tx>
          <c:spPr>
            <a:solidFill>
              <a:srgbClr val="ed7d31"/>
            </a:solidFill>
            <a:ln w="19080">
              <a:solidFill>
                <a:srgbClr val="ed7d31"/>
              </a:solidFill>
              <a:prstDash val="dash"/>
              <a:round/>
            </a:ln>
          </c:spPr>
          <c:marker>
            <c:symbol val="none"/>
          </c:marker>
          <c:dPt>
            <c:idx val="2"/>
            <c:marker>
              <c:symbol val="none"/>
            </c:marker>
          </c:dPt>
          <c:dLbls>
            <c:dLbl>
              <c:idx val="2"/>
              <c:txPr>
                <a:bodyPr wrap="square"/>
                <a:lstStyle/>
                <a:p>
                  <a:pPr>
                    <a:defRPr b="0" sz="1000" spc="-1" strike="noStrike">
                      <a:solidFill>
                        <a:srgbClr val="000000"/>
                      </a:solidFill>
                      <a:latin typeface="Arial"/>
                    </a:defRPr>
                  </a:pPr>
                </a:p>
              </c:txPr>
              <c:dLblPos val="t"/>
              <c:showLegendKey val="0"/>
              <c:showVal val="0"/>
              <c:showCatName val="0"/>
              <c:showSerName val="0"/>
              <c:showPercent val="0"/>
              <c:separator>; </c:separator>
            </c:dLbl>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ABERTURAS!$AJ$7:$AJ$11</c:f>
              <c:numCache>
                <c:formatCode>0.000</c:formatCode>
                <c:ptCount val="5"/>
                <c:pt idx="0">
                  <c:v>0.108703478486927</c:v>
                </c:pt>
                <c:pt idx="1">
                  <c:v>0.188103325207973</c:v>
                </c:pt>
                <c:pt idx="2">
                  <c:v>0.188103325207973</c:v>
                </c:pt>
                <c:pt idx="3">
                  <c:v>0.108703478486927</c:v>
                </c:pt>
                <c:pt idx="4">
                  <c:v>0.108703478486927</c:v>
                </c:pt>
              </c:numCache>
            </c:numRef>
          </c:xVal>
          <c:yVal>
            <c:numRef>
              <c:f>ABERTURAS!$AK$7:$AK$11</c:f>
              <c:numCache>
                <c:formatCode>0.000</c:formatCode>
                <c:ptCount val="5"/>
                <c:pt idx="0">
                  <c:v>0.0695038461538462</c:v>
                </c:pt>
                <c:pt idx="1">
                  <c:v>0.0695038461538462</c:v>
                </c:pt>
                <c:pt idx="2">
                  <c:v>0.215930488331893</c:v>
                </c:pt>
                <c:pt idx="3">
                  <c:v>0.215930488331893</c:v>
                </c:pt>
                <c:pt idx="4">
                  <c:v>0.0695038461538462</c:v>
                </c:pt>
              </c:numCache>
            </c:numRef>
          </c:yVal>
          <c:smooth val="0"/>
        </c:ser>
        <c:ser>
          <c:idx val="6"/>
          <c:order val="6"/>
          <c:tx>
            <c:strRef>
              <c:f>"Fija 2"</c:f>
              <c:strCache>
                <c:ptCount val="1"/>
                <c:pt idx="0">
                  <c:v>Fija 2</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ABERTURAS!$AL$7:$AL$11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ABERTURAS!$AM$7:$AM$11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7"/>
          <c:order val="7"/>
          <c:tx>
            <c:strRef>
              <c:f>"Operable 2"</c:f>
              <c:strCache>
                <c:ptCount val="1"/>
                <c:pt idx="0">
                  <c:v>Operable 2</c:v>
                </c:pt>
              </c:strCache>
            </c:strRef>
          </c:tx>
          <c:spPr>
            <a:solidFill>
              <a:srgbClr val="ed7d31"/>
            </a:solidFill>
            <a:ln w="19080">
              <a:solidFill>
                <a:srgbClr val="ed7d31"/>
              </a:solidFill>
              <a:prstDash val="dash"/>
              <a:round/>
            </a:ln>
          </c:spPr>
          <c:marker>
            <c:symbol val="none"/>
          </c:marker>
          <c:dPt>
            <c:idx val="2"/>
            <c:marker>
              <c:symbol val="none"/>
            </c:marker>
          </c:dPt>
          <c:dLbls>
            <c:dLbl>
              <c:idx val="2"/>
              <c:txPr>
                <a:bodyPr wrap="square"/>
                <a:lstStyle/>
                <a:p>
                  <a:pPr>
                    <a:defRPr b="0" sz="1000" spc="-1" strike="noStrike">
                      <a:solidFill>
                        <a:srgbClr val="000000"/>
                      </a:solidFill>
                      <a:latin typeface="Arial"/>
                    </a:defRPr>
                  </a:pPr>
                </a:p>
              </c:txPr>
              <c:dLblPos val="t"/>
              <c:showLegendKey val="0"/>
              <c:showVal val="0"/>
              <c:showCatName val="0"/>
              <c:showSerName val="0"/>
              <c:showPercent val="0"/>
              <c:separator>; </c:separator>
            </c:dLbl>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ABERTURAS!$AN$7:$AN$11</c:f>
              <c:numCache>
                <c:formatCode>0.000</c:formatCode>
                <c:ptCount val="5"/>
                <c:pt idx="0">
                  <c:v>0.221232353000756</c:v>
                </c:pt>
                <c:pt idx="1">
                  <c:v>0.532486585390558</c:v>
                </c:pt>
                <c:pt idx="2">
                  <c:v>0.532486585390558</c:v>
                </c:pt>
                <c:pt idx="3">
                  <c:v>0.221232353000756</c:v>
                </c:pt>
                <c:pt idx="4">
                  <c:v>0.221232353000756</c:v>
                </c:pt>
              </c:numCache>
            </c:numRef>
          </c:xVal>
          <c:yVal>
            <c:numRef>
              <c:f>ABERTURAS!$AO$7:$AO$11</c:f>
              <c:numCache>
                <c:formatCode>0.000</c:formatCode>
                <c:ptCount val="5"/>
                <c:pt idx="0">
                  <c:v>0.0695038461538462</c:v>
                </c:pt>
                <c:pt idx="1">
                  <c:v>0.0695038461538462</c:v>
                </c:pt>
                <c:pt idx="2">
                  <c:v>0.455704114898444</c:v>
                </c:pt>
                <c:pt idx="3">
                  <c:v>0.455704114898444</c:v>
                </c:pt>
                <c:pt idx="4">
                  <c:v>0.0695038461538462</c:v>
                </c:pt>
              </c:numCache>
            </c:numRef>
          </c:yVal>
          <c:smooth val="0"/>
        </c:ser>
        <c:ser>
          <c:idx val="8"/>
          <c:order val="8"/>
          <c:tx>
            <c:strRef>
              <c:f>"Fija 3"</c:f>
              <c:strCache>
                <c:ptCount val="1"/>
                <c:pt idx="0">
                  <c:v>Fija 3</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ABERTURAS!$AP$7:$AP$11</c:f>
              <c:numCache>
                <c:formatCode>0.000</c:formatCode>
                <c:ptCount val="5"/>
                <c:pt idx="0">
                  <c:v>0.782113504753674</c:v>
                </c:pt>
                <c:pt idx="1">
                  <c:v>1.39710540190147</c:v>
                </c:pt>
                <c:pt idx="2">
                  <c:v>1.39710540190147</c:v>
                </c:pt>
                <c:pt idx="3">
                  <c:v>0.782113504753674</c:v>
                </c:pt>
                <c:pt idx="4">
                  <c:v>0.782113504753674</c:v>
                </c:pt>
              </c:numCache>
            </c:numRef>
          </c:xVal>
          <c:yVal>
            <c:numRef>
              <c:f>ABERTURAS!$AQ$7:$AQ$11</c:f>
              <c:numCache>
                <c:formatCode>0.000</c:formatCode>
                <c:ptCount val="5"/>
                <c:pt idx="0">
                  <c:v>0.0695038461538462</c:v>
                </c:pt>
                <c:pt idx="1">
                  <c:v>0.0695038461538462</c:v>
                </c:pt>
                <c:pt idx="2">
                  <c:v>0.668632857065687</c:v>
                </c:pt>
                <c:pt idx="3">
                  <c:v>0.668632857065687</c:v>
                </c:pt>
                <c:pt idx="4">
                  <c:v>0.0695038461538462</c:v>
                </c:pt>
              </c:numCache>
            </c:numRef>
          </c:yVal>
          <c:smooth val="0"/>
        </c:ser>
        <c:ser>
          <c:idx val="9"/>
          <c:order val="9"/>
          <c:tx>
            <c:strRef>
              <c:f>"Operable 3"</c:f>
              <c:strCache>
                <c:ptCount val="1"/>
                <c:pt idx="0">
                  <c:v>Operable 3</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ABERTURAS!$AR$7:$AR$11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ABERTURAS!$AS$7:$AS$11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10"/>
          <c:order val="10"/>
          <c:tx>
            <c:strRef>
              <c:f>"Fija 4"</c:f>
              <c:strCache>
                <c:ptCount val="1"/>
                <c:pt idx="0">
                  <c:v>Fija 4</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ABERTURAS!$AT$7:$AT$11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ABERTURAS!$AU$7:$AU$11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11"/>
          <c:order val="11"/>
          <c:tx>
            <c:strRef>
              <c:f>"Operable 4"</c:f>
              <c:strCache>
                <c:ptCount val="1"/>
                <c:pt idx="0">
                  <c:v>Operable 4</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ABERTURAS!$AV$7:$AV$11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ABERTURAS!$AW$7:$AW$11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12"/>
          <c:order val="12"/>
          <c:tx>
            <c:strRef>
              <c:f>"Fija 5"</c:f>
              <c:strCache>
                <c:ptCount val="1"/>
                <c:pt idx="0">
                  <c:v>Fija 5</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ABERTURAS!$AX$7:$AX$11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ABERTURAS!$AY$7:$AY$11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13"/>
          <c:order val="13"/>
          <c:tx>
            <c:strRef>
              <c:f>"Operable 5"</c:f>
              <c:strCache>
                <c:ptCount val="1"/>
                <c:pt idx="0">
                  <c:v>Operable 5</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ABERTURAS!$AZ$7:$AZ$11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ABERTURAS!$BA$7:$BA$11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14"/>
          <c:order val="14"/>
          <c:tx>
            <c:strRef>
              <c:f>"Fija 6"</c:f>
              <c:strCache>
                <c:ptCount val="1"/>
                <c:pt idx="0">
                  <c:v>Fija 6</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ABERTURAS!$BB$7:$BB$11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ABERTURAS!$BC$7:$BC$11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15"/>
          <c:order val="15"/>
          <c:tx>
            <c:strRef>
              <c:f>"Operable 6"</c:f>
              <c:strCache>
                <c:ptCount val="1"/>
                <c:pt idx="0">
                  <c:v>Operable 6</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ABERTURAS!$BD$7:$BD$11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ABERTURAS!$BE$7:$BE$11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16"/>
          <c:order val="16"/>
          <c:tx>
            <c:strRef>
              <c:f>"Fija 7"</c:f>
              <c:strCache>
                <c:ptCount val="1"/>
                <c:pt idx="0">
                  <c:v>Fija 7</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ABERTURAS!$BF$7:$BF$11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ABERTURAS!$BG$7:$BG$11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17"/>
          <c:order val="17"/>
          <c:tx>
            <c:strRef>
              <c:f>"Operable 7"</c:f>
              <c:strCache>
                <c:ptCount val="1"/>
                <c:pt idx="0">
                  <c:v>Operable 7</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ABERTURAS!$BH$7:$BH$11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ABERTURAS!$BI$7:$BI$11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18"/>
          <c:order val="18"/>
          <c:tx>
            <c:strRef>
              <c:f>"Fija 8"</c:f>
              <c:strCache>
                <c:ptCount val="1"/>
                <c:pt idx="0">
                  <c:v>Fija 8</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ABERTURAS!$BJ$7:$BJ$11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ABERTURAS!$BK$7:$BK$11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19"/>
          <c:order val="19"/>
          <c:tx>
            <c:strRef>
              <c:f>"Operable 8"</c:f>
              <c:strCache>
                <c:ptCount val="1"/>
                <c:pt idx="0">
                  <c:v>Operable 8</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ABERTURAS!$BL$7:$BL$11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ABERTURAS!$BM$7:$BM$11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20"/>
          <c:order val="20"/>
          <c:tx>
            <c:strRef>
              <c:f>"Fija 9"</c:f>
              <c:strCache>
                <c:ptCount val="1"/>
                <c:pt idx="0">
                  <c:v>Fija 9</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ABERTURAS!$BN$7:$BN$11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ABERTURAS!$BO$7:$BO$11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21"/>
          <c:order val="21"/>
          <c:tx>
            <c:strRef>
              <c:f>"Operable 9"</c:f>
              <c:strCache>
                <c:ptCount val="1"/>
                <c:pt idx="0">
                  <c:v>Operable 9</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ABERTURAS!$BP$7:$BP$11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ABERTURAS!$BQ$7:$BQ$11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22"/>
          <c:order val="22"/>
          <c:tx>
            <c:strRef>
              <c:f>"Fija 10"</c:f>
              <c:strCache>
                <c:ptCount val="1"/>
                <c:pt idx="0">
                  <c:v>Fija 10</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ABERTURAS!$BR$7:$BR$11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ABERTURAS!$BS$7:$BS$11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23"/>
          <c:order val="23"/>
          <c:tx>
            <c:strRef>
              <c:f>"Operable 10"</c:f>
              <c:strCache>
                <c:ptCount val="1"/>
                <c:pt idx="0">
                  <c:v>Operable 10</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ABERTURAS!$BT$7:$BT$11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ABERTURAS!$BU$7:$BU$11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24"/>
          <c:order val="24"/>
          <c:tx>
            <c:strRef>
              <c:f>"Fija 11"</c:f>
              <c:strCache>
                <c:ptCount val="1"/>
                <c:pt idx="0">
                  <c:v>Fija 11</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ABERTURAS!$BV$7:$BV$11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ABERTURAS!$BW$7:$BW$11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25"/>
          <c:order val="25"/>
          <c:tx>
            <c:strRef>
              <c:f>"Operable 11"</c:f>
              <c:strCache>
                <c:ptCount val="1"/>
                <c:pt idx="0">
                  <c:v>Operable 11</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ABERTURAS!$BX$7:$BX$11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ABERTURAS!$BY$7:$BY$11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26"/>
          <c:order val="26"/>
          <c:tx>
            <c:strRef>
              <c:f>"Fija 12"</c:f>
              <c:strCache>
                <c:ptCount val="1"/>
                <c:pt idx="0">
                  <c:v>Fija 12</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ABERTURAS!$BZ$7:$BZ$11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ABERTURAS!$CA$7:$CA$11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27"/>
          <c:order val="27"/>
          <c:tx>
            <c:strRef>
              <c:f>"Operable 12"</c:f>
              <c:strCache>
                <c:ptCount val="1"/>
                <c:pt idx="0">
                  <c:v>Operable 12</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ABERTURAS!$CB$7:$CB$11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ABERTURAS!$CC$7:$CC$11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28"/>
          <c:order val="28"/>
          <c:tx>
            <c:strRef>
              <c:f>"Fija 13"</c:f>
              <c:strCache>
                <c:ptCount val="1"/>
                <c:pt idx="0">
                  <c:v>Fija 13</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ABERTURAS!$CD$7:$CD$11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ABERTURAS!$CE$7:$CE$11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29"/>
          <c:order val="29"/>
          <c:tx>
            <c:strRef>
              <c:f>"Operable 13"</c:f>
              <c:strCache>
                <c:ptCount val="1"/>
                <c:pt idx="0">
                  <c:v>Operable 13</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ABERTURAS!$CF$7:$CF$11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ABERTURAS!$CG$7:$CG$11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30"/>
          <c:order val="30"/>
          <c:tx>
            <c:strRef>
              <c:f>"Fija 14"</c:f>
              <c:strCache>
                <c:ptCount val="1"/>
                <c:pt idx="0">
                  <c:v>Fija 14</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ABERTURAS!$CH$7:$CH$11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ABERTURAS!$CI$7:$CI$11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31"/>
          <c:order val="31"/>
          <c:tx>
            <c:strRef>
              <c:f>"Operable 14"</c:f>
              <c:strCache>
                <c:ptCount val="1"/>
                <c:pt idx="0">
                  <c:v>Operable 14</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ABERTURAS!$CJ$7:$CJ$11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ABERTURAS!$CK$7:$CK$11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32"/>
          <c:order val="32"/>
          <c:tx>
            <c:strRef>
              <c:f>"Fija 15"</c:f>
              <c:strCache>
                <c:ptCount val="1"/>
                <c:pt idx="0">
                  <c:v>Fija 15</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ABERTURAS!$CL$7:$CL$11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ABERTURAS!$CM$7:$CM$11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33"/>
          <c:order val="33"/>
          <c:tx>
            <c:strRef>
              <c:f>"Operable 15"</c:f>
              <c:strCache>
                <c:ptCount val="1"/>
                <c:pt idx="0">
                  <c:v>Operable 15</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ABERTURAS!$CN$7:$CN$11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ABERTURAS!$CO$7:$CO$11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34"/>
          <c:order val="34"/>
          <c:tx>
            <c:strRef>
              <c:f>"Fija 16"</c:f>
              <c:strCache>
                <c:ptCount val="1"/>
                <c:pt idx="0">
                  <c:v>Fija 16</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ABERTURAS!$CP$7:$CP$11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ABERTURAS!$CQ$7:$CQ$11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35"/>
          <c:order val="35"/>
          <c:tx>
            <c:strRef>
              <c:f>"Operable 16"</c:f>
              <c:strCache>
                <c:ptCount val="1"/>
                <c:pt idx="0">
                  <c:v>Operable 16</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ABERTURAS!$CR$7:$CR$11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ABERTURAS!$CS$7:$CS$11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36"/>
          <c:order val="36"/>
          <c:tx>
            <c:strRef>
              <c:f>"Fija 17"</c:f>
              <c:strCache>
                <c:ptCount val="1"/>
                <c:pt idx="0">
                  <c:v>Fija 17</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ABERTURAS!$CT$7:$CT$11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ABERTURAS!$CU$7:$CU$11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37"/>
          <c:order val="37"/>
          <c:tx>
            <c:strRef>
              <c:f>"Operable 17"</c:f>
              <c:strCache>
                <c:ptCount val="1"/>
                <c:pt idx="0">
                  <c:v>Operable 17</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ABERTURAS!$CV$7:$CV$11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ABERTURAS!$CW$7:$CW$11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38"/>
          <c:order val="38"/>
          <c:tx>
            <c:strRef>
              <c:f>"Fija 18"</c:f>
              <c:strCache>
                <c:ptCount val="1"/>
                <c:pt idx="0">
                  <c:v>Fija 18</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ABERTURAS!$CX$7:$CX$11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ABERTURAS!$CY$7:$CY$11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39"/>
          <c:order val="39"/>
          <c:tx>
            <c:strRef>
              <c:f>"Operable 18"</c:f>
              <c:strCache>
                <c:ptCount val="1"/>
                <c:pt idx="0">
                  <c:v>Operable 18</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ABERTURAS!$CZ$7:$CZ$11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ABERTURAS!$DA$7:$DA$11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40"/>
          <c:order val="40"/>
          <c:tx>
            <c:strRef>
              <c:f>"Fija 19"</c:f>
              <c:strCache>
                <c:ptCount val="1"/>
                <c:pt idx="0">
                  <c:v>Fija 19</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ABERTURAS!$DB$7:$DB$11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ABERTURAS!$DC$7:$DC$11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41"/>
          <c:order val="41"/>
          <c:tx>
            <c:strRef>
              <c:f>"Operable 19"</c:f>
              <c:strCache>
                <c:ptCount val="1"/>
                <c:pt idx="0">
                  <c:v>Operable 19</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ABERTURAS!$DD$7:$DD$11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ABERTURAS!$DE$7:$DE$11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42"/>
          <c:order val="42"/>
          <c:tx>
            <c:strRef>
              <c:f>"Fija 20"</c:f>
              <c:strCache>
                <c:ptCount val="1"/>
                <c:pt idx="0">
                  <c:v>Fija 20</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ABERTURAS!$DF$7:$DF$11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ABERTURAS!$DG$7:$DG$11</c:f>
              <c:numCache>
                <c:formatCode>0.000</c:formatCode>
                <c:ptCount val="5"/>
                <c:pt idx="0">
                  <c:v>0.0695038461538462</c:v>
                </c:pt>
                <c:pt idx="1">
                  <c:v>0.0695038461538462</c:v>
                </c:pt>
                <c:pt idx="2">
                  <c:v>0.0695038461538462</c:v>
                </c:pt>
                <c:pt idx="3">
                  <c:v>0.0695038461538462</c:v>
                </c:pt>
                <c:pt idx="4">
                  <c:v>0.0695038461538462</c:v>
                </c:pt>
              </c:numCache>
            </c:numRef>
          </c:yVal>
          <c:smooth val="0"/>
        </c:ser>
        <c:ser>
          <c:idx val="43"/>
          <c:order val="43"/>
          <c:tx>
            <c:strRef>
              <c:f>"Operable 20"</c:f>
              <c:strCache>
                <c:ptCount val="1"/>
                <c:pt idx="0">
                  <c:v>Operable 20</c:v>
                </c:pt>
              </c:strCache>
            </c:strRef>
          </c:tx>
          <c:spPr>
            <a:solidFill>
              <a:srgbClr val="ed7d31"/>
            </a:solidFill>
            <a:ln w="19080">
              <a:solidFill>
                <a:srgbClr val="ed7d31"/>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ABERTURAS!$DH$7:$DH$11</c:f>
              <c:numCache>
                <c:formatCode>0.000</c:formatCode>
                <c:ptCount val="5"/>
                <c:pt idx="0">
                  <c:v>0.0695038461538462</c:v>
                </c:pt>
                <c:pt idx="1">
                  <c:v>0.0695038461538462</c:v>
                </c:pt>
                <c:pt idx="2">
                  <c:v>0.0695038461538462</c:v>
                </c:pt>
                <c:pt idx="3">
                  <c:v>0.0695038461538462</c:v>
                </c:pt>
                <c:pt idx="4">
                  <c:v>0.0695038461538462</c:v>
                </c:pt>
              </c:numCache>
            </c:numRef>
          </c:xVal>
          <c:yVal>
            <c:numRef>
              <c:f>ABERTURAS!$DI$7:$DI$11</c:f>
              <c:numCache>
                <c:formatCode>0.000</c:formatCode>
                <c:ptCount val="5"/>
                <c:pt idx="0">
                  <c:v>0.0695038461538462</c:v>
                </c:pt>
                <c:pt idx="1">
                  <c:v>0.0695038461538462</c:v>
                </c:pt>
                <c:pt idx="2">
                  <c:v>0.0695038461538462</c:v>
                </c:pt>
                <c:pt idx="3">
                  <c:v>0.0695038461538462</c:v>
                </c:pt>
                <c:pt idx="4">
                  <c:v>0.0695038461538462</c:v>
                </c:pt>
              </c:numCache>
            </c:numRef>
          </c:yVal>
          <c:smooth val="0"/>
        </c:ser>
        <c:axId val="31013669"/>
        <c:axId val="93695359"/>
      </c:scatterChart>
      <c:valAx>
        <c:axId val="31013669"/>
        <c:scaling>
          <c:orientation val="minMax"/>
          <c:max val="3.6142"/>
          <c:min val="0"/>
        </c:scaling>
        <c:delete val="1"/>
        <c:axPos val="b"/>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695359"/>
        <c:crossBetween val="midCat"/>
      </c:valAx>
      <c:valAx>
        <c:axId val="93695359"/>
        <c:scaling>
          <c:orientation val="minMax"/>
          <c:max val="1.06"/>
          <c:min val="0"/>
        </c:scaling>
        <c:delete val="1"/>
        <c:axPos val="l"/>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013669"/>
        <c:crossBetween val="midCat"/>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29</xdr:row>
      <xdr:rowOff>0</xdr:rowOff>
    </xdr:from>
    <xdr:to>
      <xdr:col>4</xdr:col>
      <xdr:colOff>621360</xdr:colOff>
      <xdr:row>46</xdr:row>
      <xdr:rowOff>720</xdr:rowOff>
    </xdr:to>
    <xdr:graphicFrame>
      <xdr:nvGraphicFramePr>
        <xdr:cNvPr id="0" name="Chart 1"/>
        <xdr:cNvGraphicFramePr/>
      </xdr:nvGraphicFramePr>
      <xdr:xfrm>
        <a:off x="158040" y="9048600"/>
        <a:ext cx="7555680" cy="323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30</xdr:row>
      <xdr:rowOff>0</xdr:rowOff>
    </xdr:from>
    <xdr:to>
      <xdr:col>10</xdr:col>
      <xdr:colOff>971640</xdr:colOff>
      <xdr:row>44</xdr:row>
      <xdr:rowOff>32400</xdr:rowOff>
    </xdr:to>
    <xdr:graphicFrame>
      <xdr:nvGraphicFramePr>
        <xdr:cNvPr id="1" name="Chart 1"/>
        <xdr:cNvGraphicFramePr/>
      </xdr:nvGraphicFramePr>
      <xdr:xfrm>
        <a:off x="158040" y="7201080"/>
        <a:ext cx="11550960" cy="26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N79"/>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8"/>
    <col collapsed="false" customWidth="true" hidden="false" outlineLevel="0" max="2" min="2" style="1" width="46"/>
    <col collapsed="false" customWidth="true" hidden="false" outlineLevel="0" max="3" min="3" style="1" width="19"/>
    <col collapsed="false" customWidth="true" hidden="false" outlineLevel="0" max="4" min="4" style="1" width="13"/>
    <col collapsed="false" customWidth="true" hidden="false" outlineLevel="0" max="5" min="5" style="1" width="54"/>
    <col collapsed="false" customWidth="true" hidden="false" outlineLevel="0" max="6" min="6" style="1" width="44"/>
  </cols>
  <sheetData>
    <row r="1" customFormat="false" ht="25.5" hidden="false" customHeight="true" outlineLevel="0" collapsed="false">
      <c r="B1" s="2" t="s">
        <v>0</v>
      </c>
      <c r="C1" s="2"/>
      <c r="D1" s="2"/>
      <c r="E1" s="2"/>
      <c r="F1" s="2"/>
      <c r="AA1" s="3" t="s">
        <v>1</v>
      </c>
    </row>
    <row r="2" customFormat="false" ht="30" hidden="false" customHeight="true" outlineLevel="0" collapsed="false">
      <c r="B2" s="4" t="s">
        <v>2</v>
      </c>
      <c r="C2" s="4"/>
      <c r="D2" s="4"/>
      <c r="E2" s="4"/>
      <c r="F2" s="4"/>
      <c r="AA2" s="5" t="s">
        <v>3</v>
      </c>
      <c r="AB2" s="5" t="s">
        <v>4</v>
      </c>
      <c r="AC2" s="5" t="s">
        <v>5</v>
      </c>
      <c r="AE2" s="5" t="s">
        <v>6</v>
      </c>
      <c r="AF2" s="5" t="s">
        <v>7</v>
      </c>
      <c r="AG2" s="5" t="s">
        <v>8</v>
      </c>
      <c r="AH2" s="5" t="s">
        <v>9</v>
      </c>
      <c r="AI2" s="5" t="s">
        <v>10</v>
      </c>
      <c r="AJ2" s="5" t="s">
        <v>11</v>
      </c>
      <c r="AK2" s="5" t="s">
        <v>12</v>
      </c>
      <c r="AL2" s="5" t="s">
        <v>13</v>
      </c>
      <c r="AM2" s="5" t="s">
        <v>14</v>
      </c>
      <c r="AN2" s="5" t="s">
        <v>15</v>
      </c>
      <c r="AO2" s="5" t="s">
        <v>16</v>
      </c>
      <c r="AP2" s="5" t="s">
        <v>17</v>
      </c>
      <c r="AQ2" s="5" t="s">
        <v>18</v>
      </c>
      <c r="AR2" s="5" t="s">
        <v>19</v>
      </c>
      <c r="AS2" s="5" t="s">
        <v>20</v>
      </c>
      <c r="AT2" s="5" t="s">
        <v>21</v>
      </c>
      <c r="AU2" s="5" t="s">
        <v>22</v>
      </c>
      <c r="AV2" s="5" t="s">
        <v>23</v>
      </c>
      <c r="AW2" s="5" t="s">
        <v>24</v>
      </c>
      <c r="AX2" s="5" t="s">
        <v>25</v>
      </c>
      <c r="BA2" s="5" t="s">
        <v>26</v>
      </c>
      <c r="BB2" s="5" t="s">
        <v>27</v>
      </c>
      <c r="BC2" s="5" t="s">
        <v>28</v>
      </c>
      <c r="BD2" s="5" t="s">
        <v>29</v>
      </c>
      <c r="BE2" s="5" t="s">
        <v>30</v>
      </c>
      <c r="BF2" s="5" t="s">
        <v>31</v>
      </c>
      <c r="BG2" s="5" t="s">
        <v>32</v>
      </c>
      <c r="BH2" s="5" t="s">
        <v>33</v>
      </c>
      <c r="BI2" s="5" t="s">
        <v>34</v>
      </c>
      <c r="BJ2" s="5" t="s">
        <v>35</v>
      </c>
      <c r="BK2" s="5" t="s">
        <v>36</v>
      </c>
      <c r="BL2" s="5" t="s">
        <v>37</v>
      </c>
      <c r="BM2" s="5" t="s">
        <v>38</v>
      </c>
      <c r="BN2" s="5" t="s">
        <v>39</v>
      </c>
      <c r="BO2" s="5" t="s">
        <v>40</v>
      </c>
      <c r="BP2" s="5" t="s">
        <v>41</v>
      </c>
      <c r="BQ2" s="5" t="s">
        <v>42</v>
      </c>
      <c r="BR2" s="5" t="s">
        <v>43</v>
      </c>
      <c r="BS2" s="5" t="s">
        <v>44</v>
      </c>
      <c r="BT2" s="5" t="s">
        <v>45</v>
      </c>
      <c r="BU2" s="5" t="s">
        <v>46</v>
      </c>
      <c r="BV2" s="5" t="s">
        <v>47</v>
      </c>
      <c r="BW2" s="5" t="s">
        <v>48</v>
      </c>
      <c r="BX2" s="5" t="s">
        <v>49</v>
      </c>
      <c r="BY2" s="5" t="s">
        <v>50</v>
      </c>
      <c r="BZ2" s="5" t="s">
        <v>51</v>
      </c>
      <c r="CA2" s="5" t="s">
        <v>52</v>
      </c>
      <c r="CB2" s="5" t="s">
        <v>53</v>
      </c>
      <c r="CC2" s="5" t="s">
        <v>54</v>
      </c>
      <c r="CD2" s="5" t="s">
        <v>55</v>
      </c>
      <c r="CE2" s="5" t="s">
        <v>56</v>
      </c>
      <c r="CF2" s="5" t="s">
        <v>57</v>
      </c>
      <c r="CG2" s="5" t="s">
        <v>58</v>
      </c>
      <c r="CH2" s="5" t="s">
        <v>59</v>
      </c>
      <c r="CI2" s="5" t="s">
        <v>60</v>
      </c>
      <c r="CJ2" s="5" t="s">
        <v>61</v>
      </c>
      <c r="CK2" s="5" t="s">
        <v>62</v>
      </c>
      <c r="CL2" s="5" t="s">
        <v>63</v>
      </c>
      <c r="CM2" s="5" t="s">
        <v>64</v>
      </c>
      <c r="CN2" s="5" t="s">
        <v>65</v>
      </c>
    </row>
    <row r="3" customFormat="false" ht="45" hidden="false" customHeight="true" outlineLevel="0" collapsed="false">
      <c r="B3" s="6" t="s">
        <v>66</v>
      </c>
      <c r="C3" s="6"/>
      <c r="D3" s="6"/>
      <c r="E3" s="6"/>
      <c r="F3" s="6"/>
      <c r="AA3" s="7" t="n">
        <f aca="false">$C$23*0/8</f>
        <v>0</v>
      </c>
      <c r="AB3" s="7" t="n">
        <f aca="false">IF($C$14="PLANO",$C$17,IF($C$14="DOS AGUAS",$C$17+($C$18-$C$17)*(1-ABS(2*($AA$3)/$C$23-1)),IF($C$14="UN AGUA",IF(N($C$25)=0,$C$18-($C$18-$C$17)*($AA$3)/$C$23,$C$17+($C$18-$C$17)*($AA$3)/$C$23),$C$17+4*($C$18-$C$17)*($AA$3)/$C$23*(1-($AA$3)/$C$23))))</f>
        <v>10.62</v>
      </c>
      <c r="AC3" s="5" t="str">
        <f aca="false">IF($C$22="Z","Z","X")</f>
        <v>Z</v>
      </c>
      <c r="AE3" s="7" t="n">
        <f aca="false">0</f>
        <v>0</v>
      </c>
      <c r="AF3" s="7" t="n">
        <f aca="false">0</f>
        <v>0</v>
      </c>
      <c r="AG3" s="7" t="n">
        <f aca="false">($AE3+0.42*0+$AZ$8)/$AZ$7</f>
        <v>0.305437459687422</v>
      </c>
      <c r="AH3" s="7" t="n">
        <f aca="false">($AF3+0.26*0+$AZ$9)/$AZ$7</f>
        <v>0.0416770032250062</v>
      </c>
      <c r="AI3" s="7" t="n">
        <f aca="false">0</f>
        <v>0</v>
      </c>
      <c r="AJ3" s="7" t="n">
        <f aca="false">0</f>
        <v>0</v>
      </c>
      <c r="AK3" s="7" t="n">
        <f aca="false">($AI3+0.42*$C$13+$AZ$8)/$AZ$7</f>
        <v>0.722207491937485</v>
      </c>
      <c r="AL3" s="7" t="n">
        <f aca="false">($AJ3+0.26*$C$13+$AZ$9)/$AZ$7</f>
        <v>0.299677499379807</v>
      </c>
      <c r="AM3" s="7" t="n">
        <f aca="false">0</f>
        <v>0</v>
      </c>
      <c r="AN3" s="7" t="n">
        <f aca="false">0</f>
        <v>0</v>
      </c>
      <c r="AO3" s="7" t="n">
        <f aca="false">(0+0.42*$AM3+$AZ$8)/$AZ$7</f>
        <v>0.305437459687422</v>
      </c>
      <c r="AP3" s="7" t="n">
        <f aca="false">($AN3+0.26*$AM3+$AZ$9)/$AZ$7</f>
        <v>0.0416770032250062</v>
      </c>
      <c r="AQ3" s="7" t="n">
        <f aca="false">0</f>
        <v>0</v>
      </c>
      <c r="AR3" s="7" t="n">
        <f aca="false">0</f>
        <v>0</v>
      </c>
      <c r="AS3" s="7" t="n">
        <f aca="false">($C$12+0.42*$AQ3+$AZ$8)/$AZ$7</f>
        <v>0.930592508062516</v>
      </c>
      <c r="AT3" s="7" t="n">
        <f aca="false">($AR3+0.26*$AQ3+$AZ$9)/$AZ$7</f>
        <v>0.0416770032250062</v>
      </c>
      <c r="AU3" s="7" t="n">
        <f aca="false">(IF($AC$3="X",$AA$3+0.42*0,0+0.42*$AA$3)+$AZ$8)/$AZ$7</f>
        <v>0.305437459687422</v>
      </c>
      <c r="AV3" s="7" t="n">
        <f aca="false">($AB$3+0.26*IF($AC$3="X",0,$AA$3)+$AZ$9)/$AZ$7</f>
        <v>0.700322500620194</v>
      </c>
      <c r="AW3" s="7" t="n">
        <f aca="false">(1.3*$C$12+$AZ$8)/$AZ$7</f>
        <v>1.11813902257504</v>
      </c>
      <c r="AX3" s="7" t="n">
        <f aca="false">(0+$AZ$9)/$AZ$7</f>
        <v>0.0416770032250062</v>
      </c>
      <c r="AY3" s="5" t="s">
        <v>67</v>
      </c>
      <c r="AZ3" s="8" t="n">
        <f aca="false">MAX(1.3*$C$12,$C$12+0.42*$C$13,0.42*1.25*$C$13)</f>
        <v>16.8</v>
      </c>
      <c r="BA3" s="7" t="n">
        <f aca="false">(IF(ABERTURAS!$K$7="OK",CHOOSE(ABERTURAS!$N$7,ABERTURAS!$O$7,ABERTURAS!$O$7+0.42*$C$13,0.42*ABERTURAS!$O$7,$C$12+0.42*ABERTURAS!$O$7),0)+$AZ$8)/$AZ$7</f>
        <v>0.345284892086331</v>
      </c>
      <c r="BB3" s="7" t="n">
        <f aca="false">(IF(ABERTURAS!$K$7="OK",ABERTURAS!$Q$7+0.26*CHOOSE(ABERTURAS!$N$7,0,$C$13,ABERTURAS!$O$7,ABERTURAS!$O$7),0)+$AZ$9)/$AZ$7</f>
        <v>0.0416770032250062</v>
      </c>
      <c r="BC3" s="7" t="n">
        <f aca="false">(IF(ABERTURAS!$K$8="OK",CHOOSE(ABERTURAS!$N$8,ABERTURAS!$O$8,ABERTURAS!$O$8+0.42*$C$13,0.42*ABERTURAS!$O$8,$C$12+0.42*ABERTURAS!$O$8),0)+$AZ$8)/$AZ$7</f>
        <v>0.459673381294964</v>
      </c>
      <c r="BD3" s="7" t="n">
        <f aca="false">(IF(ABERTURAS!$K$8="OK",ABERTURAS!$Q$8+0.26*CHOOSE(ABERTURAS!$N$8,0,$C$13,ABERTURAS!$O$8,ABERTURAS!$O$8),0)+$AZ$9)/$AZ$7</f>
        <v>0.0416770032250062</v>
      </c>
      <c r="BE3" s="7" t="n">
        <f aca="false">(IF(ABERTURAS!$K$9="OK",CHOOSE(ABERTURAS!$N$9,ABERTURAS!$O$9,ABERTURAS!$O$9+0.42*$C$13,0.42*ABERTURAS!$O$9,$C$12+0.42*ABERTURAS!$O$9),0)+$AZ$8)/$AZ$7</f>
        <v>0.722207491937485</v>
      </c>
      <c r="BF3" s="7" t="n">
        <f aca="false">(IF(ABERTURAS!$K$9="OK",ABERTURAS!$Q$9+0.26*CHOOSE(ABERTURAS!$N$9,0,$C$13,ABERTURAS!$O$9,ABERTURAS!$O$9),0)+$AZ$9)/$AZ$7</f>
        <v>0.299677499379807</v>
      </c>
      <c r="BG3" s="7" t="n">
        <f aca="false">(IF(ABERTURAS!$K$10="OK",CHOOSE(ABERTURAS!$N$10,ABERTURAS!$O$10,ABERTURAS!$O$10+0.42*$C$13,0.42*ABERTURAS!$O$10,$C$12+0.42*ABERTURAS!$O$10),0)+$AZ$8)/$AZ$7</f>
        <v>0.305437459687422</v>
      </c>
      <c r="BH3" s="7" t="n">
        <f aca="false">(IF(ABERTURAS!$K$10="OK",ABERTURAS!$Q$10+0.26*CHOOSE(ABERTURAS!$N$10,0,$C$13,ABERTURAS!$O$10,ABERTURAS!$O$10),0)+$AZ$9)/$AZ$7</f>
        <v>0.0416770032250062</v>
      </c>
      <c r="BI3" s="7" t="n">
        <f aca="false">(IF(ABERTURAS!$K$11="OK",CHOOSE(ABERTURAS!$N$11,ABERTURAS!$O$11,ABERTURAS!$O$11+0.42*$C$13,0.42*ABERTURAS!$O$11,$C$12+0.42*ABERTURAS!$O$11),0)+$AZ$8)/$AZ$7</f>
        <v>0.305437459687422</v>
      </c>
      <c r="BJ3" s="7" t="n">
        <f aca="false">(IF(ABERTURAS!$K$11="OK",ABERTURAS!$Q$11+0.26*CHOOSE(ABERTURAS!$N$11,0,$C$13,ABERTURAS!$O$11,ABERTURAS!$O$11),0)+$AZ$9)/$AZ$7</f>
        <v>0.0416770032250062</v>
      </c>
      <c r="BK3" s="7" t="n">
        <f aca="false">(IF(ABERTURAS!$K$12="OK",CHOOSE(ABERTURAS!$N$12,ABERTURAS!$O$12,ABERTURAS!$O$12+0.42*$C$13,0.42*ABERTURAS!$O$12,$C$12+0.42*ABERTURAS!$O$12),0)+$AZ$8)/$AZ$7</f>
        <v>0.305437459687422</v>
      </c>
      <c r="BL3" s="7" t="n">
        <f aca="false">(IF(ABERTURAS!$K$12="OK",ABERTURAS!$Q$12+0.26*CHOOSE(ABERTURAS!$N$12,0,$C$13,ABERTURAS!$O$12,ABERTURAS!$O$12),0)+$AZ$9)/$AZ$7</f>
        <v>0.0416770032250062</v>
      </c>
      <c r="BM3" s="7" t="n">
        <f aca="false">(IF(ABERTURAS!$K$13="OK",CHOOSE(ABERTURAS!$N$13,ABERTURAS!$O$13,ABERTURAS!$O$13+0.42*$C$13,0.42*ABERTURAS!$O$13,$C$12+0.42*ABERTURAS!$O$13),0)+$AZ$8)/$AZ$7</f>
        <v>0.305437459687422</v>
      </c>
      <c r="BN3" s="7" t="n">
        <f aca="false">(IF(ABERTURAS!$K$13="OK",ABERTURAS!$Q$13+0.26*CHOOSE(ABERTURAS!$N$13,0,$C$13,ABERTURAS!$O$13,ABERTURAS!$O$13),0)+$AZ$9)/$AZ$7</f>
        <v>0.0416770032250062</v>
      </c>
      <c r="BO3" s="7" t="n">
        <f aca="false">(IF(ABERTURAS!$K$14="OK",CHOOSE(ABERTURAS!$N$14,ABERTURAS!$O$14,ABERTURAS!$O$14+0.42*$C$13,0.42*ABERTURAS!$O$14,$C$12+0.42*ABERTURAS!$O$14),0)+$AZ$8)/$AZ$7</f>
        <v>0.305437459687422</v>
      </c>
      <c r="BP3" s="7" t="n">
        <f aca="false">(IF(ABERTURAS!$K$14="OK",ABERTURAS!$Q$14+0.26*CHOOSE(ABERTURAS!$N$14,0,$C$13,ABERTURAS!$O$14,ABERTURAS!$O$14),0)+$AZ$9)/$AZ$7</f>
        <v>0.0416770032250062</v>
      </c>
      <c r="BQ3" s="7" t="n">
        <f aca="false">(IF(ABERTURAS!$K$15="OK",CHOOSE(ABERTURAS!$N$15,ABERTURAS!$O$15,ABERTURAS!$O$15+0.42*$C$13,0.42*ABERTURAS!$O$15,$C$12+0.42*ABERTURAS!$O$15),0)+$AZ$8)/$AZ$7</f>
        <v>0.305437459687422</v>
      </c>
      <c r="BR3" s="7" t="n">
        <f aca="false">(IF(ABERTURAS!$K$15="OK",ABERTURAS!$Q$15+0.26*CHOOSE(ABERTURAS!$N$15,0,$C$13,ABERTURAS!$O$15,ABERTURAS!$O$15),0)+$AZ$9)/$AZ$7</f>
        <v>0.0416770032250062</v>
      </c>
      <c r="BS3" s="7" t="n">
        <f aca="false">(IF(ABERTURAS!$K$16="OK",CHOOSE(ABERTURAS!$N$16,ABERTURAS!$O$16,ABERTURAS!$O$16+0.42*$C$13,0.42*ABERTURAS!$O$16,$C$12+0.42*ABERTURAS!$O$16),0)+$AZ$8)/$AZ$7</f>
        <v>0.305437459687422</v>
      </c>
      <c r="BT3" s="7" t="n">
        <f aca="false">(IF(ABERTURAS!$K$16="OK",ABERTURAS!$Q$16+0.26*CHOOSE(ABERTURAS!$N$16,0,$C$13,ABERTURAS!$O$16,ABERTURAS!$O$16),0)+$AZ$9)/$AZ$7</f>
        <v>0.0416770032250062</v>
      </c>
      <c r="BU3" s="7" t="n">
        <f aca="false">(IF(ABERTURAS!$K$17="OK",CHOOSE(ABERTURAS!$N$17,ABERTURAS!$O$17,ABERTURAS!$O$17+0.42*$C$13,0.42*ABERTURAS!$O$17,$C$12+0.42*ABERTURAS!$O$17),0)+$AZ$8)/$AZ$7</f>
        <v>0.305437459687422</v>
      </c>
      <c r="BV3" s="7" t="n">
        <f aca="false">(IF(ABERTURAS!$K$17="OK",ABERTURAS!$Q$17+0.26*CHOOSE(ABERTURAS!$N$17,0,$C$13,ABERTURAS!$O$17,ABERTURAS!$O$17),0)+$AZ$9)/$AZ$7</f>
        <v>0.0416770032250062</v>
      </c>
      <c r="BW3" s="7" t="n">
        <f aca="false">(IF(ABERTURAS!$K$18="OK",CHOOSE(ABERTURAS!$N$18,ABERTURAS!$O$18,ABERTURAS!$O$18+0.42*$C$13,0.42*ABERTURAS!$O$18,$C$12+0.42*ABERTURAS!$O$18),0)+$AZ$8)/$AZ$7</f>
        <v>0.305437459687422</v>
      </c>
      <c r="BX3" s="7" t="n">
        <f aca="false">(IF(ABERTURAS!$K$18="OK",ABERTURAS!$Q$18+0.26*CHOOSE(ABERTURAS!$N$18,0,$C$13,ABERTURAS!$O$18,ABERTURAS!$O$18),0)+$AZ$9)/$AZ$7</f>
        <v>0.0416770032250062</v>
      </c>
      <c r="BY3" s="7" t="n">
        <f aca="false">(IF(ABERTURAS!$K$19="OK",CHOOSE(ABERTURAS!$N$19,ABERTURAS!$O$19,ABERTURAS!$O$19+0.42*$C$13,0.42*ABERTURAS!$O$19,$C$12+0.42*ABERTURAS!$O$19),0)+$AZ$8)/$AZ$7</f>
        <v>0.305437459687422</v>
      </c>
      <c r="BZ3" s="7" t="n">
        <f aca="false">(IF(ABERTURAS!$K$19="OK",ABERTURAS!$Q$19+0.26*CHOOSE(ABERTURAS!$N$19,0,$C$13,ABERTURAS!$O$19,ABERTURAS!$O$19),0)+$AZ$9)/$AZ$7</f>
        <v>0.0416770032250062</v>
      </c>
      <c r="CA3" s="7" t="n">
        <f aca="false">(IF(ABERTURAS!$K$20="OK",CHOOSE(ABERTURAS!$N$20,ABERTURAS!$O$20,ABERTURAS!$O$20+0.42*$C$13,0.42*ABERTURAS!$O$20,$C$12+0.42*ABERTURAS!$O$20),0)+$AZ$8)/$AZ$7</f>
        <v>0.305437459687422</v>
      </c>
      <c r="CB3" s="7" t="n">
        <f aca="false">(IF(ABERTURAS!$K$20="OK",ABERTURAS!$Q$20+0.26*CHOOSE(ABERTURAS!$N$20,0,$C$13,ABERTURAS!$O$20,ABERTURAS!$O$20),0)+$AZ$9)/$AZ$7</f>
        <v>0.0416770032250062</v>
      </c>
      <c r="CC3" s="7" t="n">
        <f aca="false">(IF(ABERTURAS!$K$21="OK",CHOOSE(ABERTURAS!$N$21,ABERTURAS!$O$21,ABERTURAS!$O$21+0.42*$C$13,0.42*ABERTURAS!$O$21,$C$12+0.42*ABERTURAS!$O$21),0)+$AZ$8)/$AZ$7</f>
        <v>0.305437459687422</v>
      </c>
      <c r="CD3" s="7" t="n">
        <f aca="false">(IF(ABERTURAS!$K$21="OK",ABERTURAS!$Q$21+0.26*CHOOSE(ABERTURAS!$N$21,0,$C$13,ABERTURAS!$O$21,ABERTURAS!$O$21),0)+$AZ$9)/$AZ$7</f>
        <v>0.0416770032250062</v>
      </c>
      <c r="CE3" s="7" t="n">
        <f aca="false">(IF(ABERTURAS!$K$22="OK",CHOOSE(ABERTURAS!$N$22,ABERTURAS!$O$22,ABERTURAS!$O$22+0.42*$C$13,0.42*ABERTURAS!$O$22,$C$12+0.42*ABERTURAS!$O$22),0)+$AZ$8)/$AZ$7</f>
        <v>0.305437459687422</v>
      </c>
      <c r="CF3" s="7" t="n">
        <f aca="false">(IF(ABERTURAS!$K$22="OK",ABERTURAS!$Q$22+0.26*CHOOSE(ABERTURAS!$N$22,0,$C$13,ABERTURAS!$O$22,ABERTURAS!$O$22),0)+$AZ$9)/$AZ$7</f>
        <v>0.0416770032250062</v>
      </c>
      <c r="CG3" s="7" t="n">
        <f aca="false">(IF(ABERTURAS!$K$23="OK",CHOOSE(ABERTURAS!$N$23,ABERTURAS!$O$23,ABERTURAS!$O$23+0.42*$C$13,0.42*ABERTURAS!$O$23,$C$12+0.42*ABERTURAS!$O$23),0)+$AZ$8)/$AZ$7</f>
        <v>0.305437459687422</v>
      </c>
      <c r="CH3" s="7" t="n">
        <f aca="false">(IF(ABERTURAS!$K$23="OK",ABERTURAS!$Q$23+0.26*CHOOSE(ABERTURAS!$N$23,0,$C$13,ABERTURAS!$O$23,ABERTURAS!$O$23),0)+$AZ$9)/$AZ$7</f>
        <v>0.0416770032250062</v>
      </c>
      <c r="CI3" s="7" t="n">
        <f aca="false">(IF(ABERTURAS!$K$24="OK",CHOOSE(ABERTURAS!$N$24,ABERTURAS!$O$24,ABERTURAS!$O$24+0.42*$C$13,0.42*ABERTURAS!$O$24,$C$12+0.42*ABERTURAS!$O$24),0)+$AZ$8)/$AZ$7</f>
        <v>0.305437459687422</v>
      </c>
      <c r="CJ3" s="7" t="n">
        <f aca="false">(IF(ABERTURAS!$K$24="OK",ABERTURAS!$Q$24+0.26*CHOOSE(ABERTURAS!$N$24,0,$C$13,ABERTURAS!$O$24,ABERTURAS!$O$24),0)+$AZ$9)/$AZ$7</f>
        <v>0.0416770032250062</v>
      </c>
      <c r="CK3" s="7" t="n">
        <f aca="false">(IF(ABERTURAS!$K$25="OK",CHOOSE(ABERTURAS!$N$25,ABERTURAS!$O$25,ABERTURAS!$O$25+0.42*$C$13,0.42*ABERTURAS!$O$25,$C$12+0.42*ABERTURAS!$O$25),0)+$AZ$8)/$AZ$7</f>
        <v>0.305437459687422</v>
      </c>
      <c r="CL3" s="7" t="n">
        <f aca="false">(IF(ABERTURAS!$K$25="OK",ABERTURAS!$Q$25+0.26*CHOOSE(ABERTURAS!$N$25,0,$C$13,ABERTURAS!$O$25,ABERTURAS!$O$25),0)+$AZ$9)/$AZ$7</f>
        <v>0.0416770032250062</v>
      </c>
      <c r="CM3" s="7" t="n">
        <f aca="false">(IF(ABERTURAS!$K$26="OK",CHOOSE(ABERTURAS!$N$26,ABERTURAS!$O$26,ABERTURAS!$O$26+0.42*$C$13,0.42*ABERTURAS!$O$26,$C$12+0.42*ABERTURAS!$O$26),0)+$AZ$8)/$AZ$7</f>
        <v>0.305437459687422</v>
      </c>
      <c r="CN3" s="7" t="n">
        <f aca="false">(IF(ABERTURAS!$K$26="OK",ABERTURAS!$Q$26+0.26*CHOOSE(ABERTURAS!$N$26,0,$C$13,ABERTURAS!$O$26,ABERTURAS!$O$26),0)+$AZ$9)/$AZ$7</f>
        <v>0.0416770032250062</v>
      </c>
    </row>
    <row r="4" customFormat="false" ht="6" hidden="false" customHeight="true" outlineLevel="0" collapsed="false">
      <c r="AA4" s="7" t="n">
        <f aca="false">$C$23*1/8</f>
        <v>2</v>
      </c>
      <c r="AB4" s="7" t="n">
        <f aca="false">IF($C$14="PLANO",$C$17,IF($C$14="DOS AGUAS",$C$17+($C$18-$C$17)*(1-ABS(2*($AA$4)/$C$23-1)),IF($C$14="UN AGUA",IF(N($C$25)=0,$C$18-($C$18-$C$17)*($AA$4)/$C$23,$C$17+($C$18-$C$17)*($AA$4)/$C$23),$C$17+4*($C$18-$C$17)*($AA$4)/$C$23*(1-($AA$4)/$C$23))))</f>
        <v>10.52</v>
      </c>
      <c r="AE4" s="7" t="n">
        <f aca="false">ABERTURAS!$D$51</f>
        <v>10.08</v>
      </c>
      <c r="AF4" s="7" t="n">
        <f aca="false">0</f>
        <v>0</v>
      </c>
      <c r="AG4" s="7" t="n">
        <f aca="false">($AE4+0.42*0+$AZ$8)/$AZ$7</f>
        <v>0.930592508062516</v>
      </c>
      <c r="AH4" s="7" t="n">
        <f aca="false">($AF4+0.26*0+$AZ$9)/$AZ$7</f>
        <v>0.0416770032250062</v>
      </c>
      <c r="AI4" s="7" t="n">
        <f aca="false">ABERTURAS!$D$52</f>
        <v>10.08</v>
      </c>
      <c r="AJ4" s="7" t="n">
        <f aca="false">0</f>
        <v>0</v>
      </c>
      <c r="AK4" s="7" t="n">
        <f aca="false">($AI4+0.42*$C$13+$AZ$8)/$AZ$7</f>
        <v>1.34736254031258</v>
      </c>
      <c r="AL4" s="7" t="n">
        <f aca="false">($AJ4+0.26*$C$13+$AZ$9)/$AZ$7</f>
        <v>0.299677499379807</v>
      </c>
      <c r="AM4" s="7" t="n">
        <f aca="false">ABERTURAS!$D$53</f>
        <v>16</v>
      </c>
      <c r="AN4" s="7" t="n">
        <f aca="false">0</f>
        <v>0</v>
      </c>
      <c r="AO4" s="7" t="n">
        <f aca="false">(0+0.42*$AM4+$AZ$8)/$AZ$7</f>
        <v>0.722207491937485</v>
      </c>
      <c r="AP4" s="7" t="n">
        <f aca="false">($AN4+0.26*$AM4+$AZ$9)/$AZ$7</f>
        <v>0.299677499379807</v>
      </c>
      <c r="AQ4" s="7" t="n">
        <f aca="false">ABERTURAS!$D$54</f>
        <v>16</v>
      </c>
      <c r="AR4" s="7" t="n">
        <f aca="false">0</f>
        <v>0</v>
      </c>
      <c r="AS4" s="7" t="n">
        <f aca="false">($C$12+0.42*$AQ4+$AZ$8)/$AZ$7</f>
        <v>1.34736254031258</v>
      </c>
      <c r="AT4" s="7" t="n">
        <f aca="false">($AR4+0.26*$AQ4+$AZ$9)/$AZ$7</f>
        <v>0.299677499379807</v>
      </c>
      <c r="AU4" s="7" t="n">
        <f aca="false">(IF($AC$3="X",$AA$3+0.42*IF($AC$3="X",$C$13,$C$12),IF($AC$3="X",$C$13,$C$12)+0.42*$AA$3)+$AZ$8)/$AZ$7</f>
        <v>0.930592508062516</v>
      </c>
      <c r="AV4" s="7" t="n">
        <f aca="false">($AB$3+0.26*IF($AC$3="X",IF($AC$3="X",$C$13,$C$12),$AA$3)+$AZ$9)/$AZ$7</f>
        <v>0.700322500620194</v>
      </c>
      <c r="AW4" s="7" t="n">
        <f aca="false">(0+$AZ$8)/$AZ$7</f>
        <v>0.305437459687422</v>
      </c>
      <c r="AX4" s="7" t="n">
        <f aca="false">(0+$AZ$9)/$AZ$7</f>
        <v>0.0416770032250062</v>
      </c>
      <c r="AY4" s="5" t="s">
        <v>68</v>
      </c>
      <c r="AZ4" s="8" t="n">
        <f aca="false">MAX(1.25*$C$21,$C$21+0.26*$C$13,0.26*1.25*$C$13)</f>
        <v>14.78</v>
      </c>
      <c r="BA4" s="7" t="n">
        <f aca="false">(IF(ABERTURAS!$K$7="OK",CHOOSE(ABERTURAS!$N$7,ABERTURAS!$P$7,ABERTURAS!$P$7+0.42*$C$13,0.42*ABERTURAS!$P$7,$C$12+0.42*ABERTURAS!$P$7),0)+$AZ$8)/$AZ$7</f>
        <v>0.425996874224758</v>
      </c>
      <c r="BB4" s="7" t="n">
        <f aca="false">(IF(ABERTURAS!$K$7="OK",ABERTURAS!$Q$7+0.26*CHOOSE(ABERTURAS!$N$7,0,$C$13,ABERTURAS!$P$7,ABERTURAS!$P$7),0)+$AZ$9)/$AZ$7</f>
        <v>0.0416770032250062</v>
      </c>
      <c r="BC4" s="7" t="n">
        <f aca="false">(IF(ABERTURAS!$K$8="OK",CHOOSE(ABERTURAS!$N$8,ABERTURAS!$P$8,ABERTURAS!$P$8+0.42*$C$13,0.42*ABERTURAS!$P$8,$C$12+0.42*ABERTURAS!$P$8),0)+$AZ$8)/$AZ$7</f>
        <v>0.776071297444803</v>
      </c>
      <c r="BD4" s="7" t="n">
        <f aca="false">(IF(ABERTURAS!$K$8="OK",ABERTURAS!$Q$8+0.26*CHOOSE(ABERTURAS!$N$8,0,$C$13,ABERTURAS!$P$8,ABERTURAS!$P$8),0)+$AZ$9)/$AZ$7</f>
        <v>0.0416770032250062</v>
      </c>
      <c r="BE4" s="7" t="n">
        <f aca="false">(IF(ABERTURAS!$K$9="OK",CHOOSE(ABERTURAS!$N$9,ABERTURAS!$P$9,ABERTURAS!$P$9+0.42*$C$13,0.42*ABERTURAS!$P$9,$C$12+0.42*ABERTURAS!$P$9),0)+$AZ$8)/$AZ$7</f>
        <v>1.34736254031258</v>
      </c>
      <c r="BF4" s="7" t="n">
        <f aca="false">(IF(ABERTURAS!$K$9="OK",ABERTURAS!$Q$9+0.26*CHOOSE(ABERTURAS!$N$9,0,$C$13,ABERTURAS!$P$9,ABERTURAS!$P$9),0)+$AZ$9)/$AZ$7</f>
        <v>0.299677499379807</v>
      </c>
      <c r="BG4" s="7" t="n">
        <f aca="false">(IF(ABERTURAS!$K$10="OK",CHOOSE(ABERTURAS!$N$10,ABERTURAS!$P$10,ABERTURAS!$P$10+0.42*$C$13,0.42*ABERTURAS!$P$10,$C$12+0.42*ABERTURAS!$P$10),0)+$AZ$8)/$AZ$7</f>
        <v>0.305437459687422</v>
      </c>
      <c r="BH4" s="7" t="n">
        <f aca="false">(IF(ABERTURAS!$K$10="OK",ABERTURAS!$Q$10+0.26*CHOOSE(ABERTURAS!$N$10,0,$C$13,ABERTURAS!$P$10,ABERTURAS!$P$10),0)+$AZ$9)/$AZ$7</f>
        <v>0.0416770032250062</v>
      </c>
      <c r="BI4" s="7" t="n">
        <f aca="false">(IF(ABERTURAS!$K$11="OK",CHOOSE(ABERTURAS!$N$11,ABERTURAS!$P$11,ABERTURAS!$P$11+0.42*$C$13,0.42*ABERTURAS!$P$11,$C$12+0.42*ABERTURAS!$P$11),0)+$AZ$8)/$AZ$7</f>
        <v>0.305437459687422</v>
      </c>
      <c r="BJ4" s="7" t="n">
        <f aca="false">(IF(ABERTURAS!$K$11="OK",ABERTURAS!$Q$11+0.26*CHOOSE(ABERTURAS!$N$11,0,$C$13,ABERTURAS!$P$11,ABERTURAS!$P$11),0)+$AZ$9)/$AZ$7</f>
        <v>0.0416770032250062</v>
      </c>
      <c r="BK4" s="7" t="n">
        <f aca="false">(IF(ABERTURAS!$K$12="OK",CHOOSE(ABERTURAS!$N$12,ABERTURAS!$P$12,ABERTURAS!$P$12+0.42*$C$13,0.42*ABERTURAS!$P$12,$C$12+0.42*ABERTURAS!$P$12),0)+$AZ$8)/$AZ$7</f>
        <v>0.305437459687422</v>
      </c>
      <c r="BL4" s="7" t="n">
        <f aca="false">(IF(ABERTURAS!$K$12="OK",ABERTURAS!$Q$12+0.26*CHOOSE(ABERTURAS!$N$12,0,$C$13,ABERTURAS!$P$12,ABERTURAS!$P$12),0)+$AZ$9)/$AZ$7</f>
        <v>0.0416770032250062</v>
      </c>
      <c r="BM4" s="7" t="n">
        <f aca="false">(IF(ABERTURAS!$K$13="OK",CHOOSE(ABERTURAS!$N$13,ABERTURAS!$P$13,ABERTURAS!$P$13+0.42*$C$13,0.42*ABERTURAS!$P$13,$C$12+0.42*ABERTURAS!$P$13),0)+$AZ$8)/$AZ$7</f>
        <v>0.305437459687422</v>
      </c>
      <c r="BN4" s="7" t="n">
        <f aca="false">(IF(ABERTURAS!$K$13="OK",ABERTURAS!$Q$13+0.26*CHOOSE(ABERTURAS!$N$13,0,$C$13,ABERTURAS!$P$13,ABERTURAS!$P$13),0)+$AZ$9)/$AZ$7</f>
        <v>0.0416770032250062</v>
      </c>
      <c r="BO4" s="7" t="n">
        <f aca="false">(IF(ABERTURAS!$K$14="OK",CHOOSE(ABERTURAS!$N$14,ABERTURAS!$P$14,ABERTURAS!$P$14+0.42*$C$13,0.42*ABERTURAS!$P$14,$C$12+0.42*ABERTURAS!$P$14),0)+$AZ$8)/$AZ$7</f>
        <v>0.305437459687422</v>
      </c>
      <c r="BP4" s="7" t="n">
        <f aca="false">(IF(ABERTURAS!$K$14="OK",ABERTURAS!$Q$14+0.26*CHOOSE(ABERTURAS!$N$14,0,$C$13,ABERTURAS!$P$14,ABERTURAS!$P$14),0)+$AZ$9)/$AZ$7</f>
        <v>0.0416770032250062</v>
      </c>
      <c r="BQ4" s="7" t="n">
        <f aca="false">(IF(ABERTURAS!$K$15="OK",CHOOSE(ABERTURAS!$N$15,ABERTURAS!$P$15,ABERTURAS!$P$15+0.42*$C$13,0.42*ABERTURAS!$P$15,$C$12+0.42*ABERTURAS!$P$15),0)+$AZ$8)/$AZ$7</f>
        <v>0.305437459687422</v>
      </c>
      <c r="BR4" s="7" t="n">
        <f aca="false">(IF(ABERTURAS!$K$15="OK",ABERTURAS!$Q$15+0.26*CHOOSE(ABERTURAS!$N$15,0,$C$13,ABERTURAS!$P$15,ABERTURAS!$P$15),0)+$AZ$9)/$AZ$7</f>
        <v>0.0416770032250062</v>
      </c>
      <c r="BS4" s="7" t="n">
        <f aca="false">(IF(ABERTURAS!$K$16="OK",CHOOSE(ABERTURAS!$N$16,ABERTURAS!$P$16,ABERTURAS!$P$16+0.42*$C$13,0.42*ABERTURAS!$P$16,$C$12+0.42*ABERTURAS!$P$16),0)+$AZ$8)/$AZ$7</f>
        <v>0.305437459687422</v>
      </c>
      <c r="BT4" s="7" t="n">
        <f aca="false">(IF(ABERTURAS!$K$16="OK",ABERTURAS!$Q$16+0.26*CHOOSE(ABERTURAS!$N$16,0,$C$13,ABERTURAS!$P$16,ABERTURAS!$P$16),0)+$AZ$9)/$AZ$7</f>
        <v>0.0416770032250062</v>
      </c>
      <c r="BU4" s="7" t="n">
        <f aca="false">(IF(ABERTURAS!$K$17="OK",CHOOSE(ABERTURAS!$N$17,ABERTURAS!$P$17,ABERTURAS!$P$17+0.42*$C$13,0.42*ABERTURAS!$P$17,$C$12+0.42*ABERTURAS!$P$17),0)+$AZ$8)/$AZ$7</f>
        <v>0.305437459687422</v>
      </c>
      <c r="BV4" s="7" t="n">
        <f aca="false">(IF(ABERTURAS!$K$17="OK",ABERTURAS!$Q$17+0.26*CHOOSE(ABERTURAS!$N$17,0,$C$13,ABERTURAS!$P$17,ABERTURAS!$P$17),0)+$AZ$9)/$AZ$7</f>
        <v>0.0416770032250062</v>
      </c>
      <c r="BW4" s="7" t="n">
        <f aca="false">(IF(ABERTURAS!$K$18="OK",CHOOSE(ABERTURAS!$N$18,ABERTURAS!$P$18,ABERTURAS!$P$18+0.42*$C$13,0.42*ABERTURAS!$P$18,$C$12+0.42*ABERTURAS!$P$18),0)+$AZ$8)/$AZ$7</f>
        <v>0.305437459687422</v>
      </c>
      <c r="BX4" s="7" t="n">
        <f aca="false">(IF(ABERTURAS!$K$18="OK",ABERTURAS!$Q$18+0.26*CHOOSE(ABERTURAS!$N$18,0,$C$13,ABERTURAS!$P$18,ABERTURAS!$P$18),0)+$AZ$9)/$AZ$7</f>
        <v>0.0416770032250062</v>
      </c>
      <c r="BY4" s="7" t="n">
        <f aca="false">(IF(ABERTURAS!$K$19="OK",CHOOSE(ABERTURAS!$N$19,ABERTURAS!$P$19,ABERTURAS!$P$19+0.42*$C$13,0.42*ABERTURAS!$P$19,$C$12+0.42*ABERTURAS!$P$19),0)+$AZ$8)/$AZ$7</f>
        <v>0.305437459687422</v>
      </c>
      <c r="BZ4" s="7" t="n">
        <f aca="false">(IF(ABERTURAS!$K$19="OK",ABERTURAS!$Q$19+0.26*CHOOSE(ABERTURAS!$N$19,0,$C$13,ABERTURAS!$P$19,ABERTURAS!$P$19),0)+$AZ$9)/$AZ$7</f>
        <v>0.0416770032250062</v>
      </c>
      <c r="CA4" s="7" t="n">
        <f aca="false">(IF(ABERTURAS!$K$20="OK",CHOOSE(ABERTURAS!$N$20,ABERTURAS!$P$20,ABERTURAS!$P$20+0.42*$C$13,0.42*ABERTURAS!$P$20,$C$12+0.42*ABERTURAS!$P$20),0)+$AZ$8)/$AZ$7</f>
        <v>0.305437459687422</v>
      </c>
      <c r="CB4" s="7" t="n">
        <f aca="false">(IF(ABERTURAS!$K$20="OK",ABERTURAS!$Q$20+0.26*CHOOSE(ABERTURAS!$N$20,0,$C$13,ABERTURAS!$P$20,ABERTURAS!$P$20),0)+$AZ$9)/$AZ$7</f>
        <v>0.0416770032250062</v>
      </c>
      <c r="CC4" s="7" t="n">
        <f aca="false">(IF(ABERTURAS!$K$21="OK",CHOOSE(ABERTURAS!$N$21,ABERTURAS!$P$21,ABERTURAS!$P$21+0.42*$C$13,0.42*ABERTURAS!$P$21,$C$12+0.42*ABERTURAS!$P$21),0)+$AZ$8)/$AZ$7</f>
        <v>0.305437459687422</v>
      </c>
      <c r="CD4" s="7" t="n">
        <f aca="false">(IF(ABERTURAS!$K$21="OK",ABERTURAS!$Q$21+0.26*CHOOSE(ABERTURAS!$N$21,0,$C$13,ABERTURAS!$P$21,ABERTURAS!$P$21),0)+$AZ$9)/$AZ$7</f>
        <v>0.0416770032250062</v>
      </c>
      <c r="CE4" s="7" t="n">
        <f aca="false">(IF(ABERTURAS!$K$22="OK",CHOOSE(ABERTURAS!$N$22,ABERTURAS!$P$22,ABERTURAS!$P$22+0.42*$C$13,0.42*ABERTURAS!$P$22,$C$12+0.42*ABERTURAS!$P$22),0)+$AZ$8)/$AZ$7</f>
        <v>0.305437459687422</v>
      </c>
      <c r="CF4" s="7" t="n">
        <f aca="false">(IF(ABERTURAS!$K$22="OK",ABERTURAS!$Q$22+0.26*CHOOSE(ABERTURAS!$N$22,0,$C$13,ABERTURAS!$P$22,ABERTURAS!$P$22),0)+$AZ$9)/$AZ$7</f>
        <v>0.0416770032250062</v>
      </c>
      <c r="CG4" s="7" t="n">
        <f aca="false">(IF(ABERTURAS!$K$23="OK",CHOOSE(ABERTURAS!$N$23,ABERTURAS!$P$23,ABERTURAS!$P$23+0.42*$C$13,0.42*ABERTURAS!$P$23,$C$12+0.42*ABERTURAS!$P$23),0)+$AZ$8)/$AZ$7</f>
        <v>0.305437459687422</v>
      </c>
      <c r="CH4" s="7" t="n">
        <f aca="false">(IF(ABERTURAS!$K$23="OK",ABERTURAS!$Q$23+0.26*CHOOSE(ABERTURAS!$N$23,0,$C$13,ABERTURAS!$P$23,ABERTURAS!$P$23),0)+$AZ$9)/$AZ$7</f>
        <v>0.0416770032250062</v>
      </c>
      <c r="CI4" s="7" t="n">
        <f aca="false">(IF(ABERTURAS!$K$24="OK",CHOOSE(ABERTURAS!$N$24,ABERTURAS!$P$24,ABERTURAS!$P$24+0.42*$C$13,0.42*ABERTURAS!$P$24,$C$12+0.42*ABERTURAS!$P$24),0)+$AZ$8)/$AZ$7</f>
        <v>0.305437459687422</v>
      </c>
      <c r="CJ4" s="7" t="n">
        <f aca="false">(IF(ABERTURAS!$K$24="OK",ABERTURAS!$Q$24+0.26*CHOOSE(ABERTURAS!$N$24,0,$C$13,ABERTURAS!$P$24,ABERTURAS!$P$24),0)+$AZ$9)/$AZ$7</f>
        <v>0.0416770032250062</v>
      </c>
      <c r="CK4" s="7" t="n">
        <f aca="false">(IF(ABERTURAS!$K$25="OK",CHOOSE(ABERTURAS!$N$25,ABERTURAS!$P$25,ABERTURAS!$P$25+0.42*$C$13,0.42*ABERTURAS!$P$25,$C$12+0.42*ABERTURAS!$P$25),0)+$AZ$8)/$AZ$7</f>
        <v>0.305437459687422</v>
      </c>
      <c r="CL4" s="7" t="n">
        <f aca="false">(IF(ABERTURAS!$K$25="OK",ABERTURAS!$Q$25+0.26*CHOOSE(ABERTURAS!$N$25,0,$C$13,ABERTURAS!$P$25,ABERTURAS!$P$25),0)+$AZ$9)/$AZ$7</f>
        <v>0.0416770032250062</v>
      </c>
      <c r="CM4" s="7" t="n">
        <f aca="false">(IF(ABERTURAS!$K$26="OK",CHOOSE(ABERTURAS!$N$26,ABERTURAS!$P$26,ABERTURAS!$P$26+0.42*$C$13,0.42*ABERTURAS!$P$26,$C$12+0.42*ABERTURAS!$P$26),0)+$AZ$8)/$AZ$7</f>
        <v>0.305437459687422</v>
      </c>
      <c r="CN4" s="7" t="n">
        <f aca="false">(IF(ABERTURAS!$K$26="OK",ABERTURAS!$Q$26+0.26*CHOOSE(ABERTURAS!$N$26,0,$C$13,ABERTURAS!$P$26,ABERTURAS!$P$26),0)+$AZ$9)/$AZ$7</f>
        <v>0.0416770032250062</v>
      </c>
    </row>
    <row r="5" customFormat="false" ht="21" hidden="false" customHeight="true" outlineLevel="0" collapsed="false">
      <c r="B5" s="9" t="s">
        <v>69</v>
      </c>
      <c r="C5" s="9"/>
      <c r="D5" s="9"/>
      <c r="E5" s="9"/>
      <c r="F5" s="9"/>
      <c r="AA5" s="7" t="n">
        <f aca="false">$C$23*2/8</f>
        <v>4</v>
      </c>
      <c r="AB5" s="7" t="n">
        <f aca="false">IF($C$14="PLANO",$C$17,IF($C$14="DOS AGUAS",$C$17+($C$18-$C$17)*(1-ABS(2*($AA$5)/$C$23-1)),IF($C$14="UN AGUA",IF(N($C$25)=0,$C$18-($C$18-$C$17)*($AA$5)/$C$23,$C$17+($C$18-$C$17)*($AA$5)/$C$23),$C$17+4*($C$18-$C$17)*($AA$5)/$C$23*(1-($AA$5)/$C$23))))</f>
        <v>10.42</v>
      </c>
      <c r="AE5" s="7" t="n">
        <f aca="false">ABERTURAS!$D$51*8/8</f>
        <v>10.08</v>
      </c>
      <c r="AF5" s="7" t="n">
        <f aca="false">IF(ABERTURAS!$E$51="SÍ",$AB$11,ABERTURAS!$F$51)</f>
        <v>10.62</v>
      </c>
      <c r="AG5" s="7" t="n">
        <f aca="false">($AE5+0.42*0+$AZ$8)/$AZ$7</f>
        <v>0.930592508062516</v>
      </c>
      <c r="AH5" s="7" t="n">
        <f aca="false">($AF5+0.26*0+$AZ$9)/$AZ$7</f>
        <v>0.700322500620194</v>
      </c>
      <c r="AI5" s="7" t="n">
        <f aca="false">ABERTURAS!$D$52*8/8</f>
        <v>10.08</v>
      </c>
      <c r="AJ5" s="7" t="n">
        <f aca="false">IF(ABERTURAS!$E$52="SÍ",$AB$11,ABERTURAS!$F$52)</f>
        <v>9.82</v>
      </c>
      <c r="AK5" s="7" t="n">
        <f aca="false">($AI5+0.42*$C$13+$AZ$8)/$AZ$7</f>
        <v>1.34736254031258</v>
      </c>
      <c r="AL5" s="7" t="n">
        <f aca="false">($AJ5+0.26*$C$13+$AZ$9)/$AZ$7</f>
        <v>0.908707516745225</v>
      </c>
      <c r="AM5" s="7" t="n">
        <f aca="false">ABERTURAS!$D$53*8/8</f>
        <v>16</v>
      </c>
      <c r="AN5" s="7" t="n">
        <f aca="false">IF(ABERTURAS!$E$53="SÍ",$AB$11,ABERTURAS!$F$53)</f>
        <v>9.82</v>
      </c>
      <c r="AO5" s="7" t="n">
        <f aca="false">(0+0.42*$AM5+$AZ$8)/$AZ$7</f>
        <v>0.722207491937485</v>
      </c>
      <c r="AP5" s="7" t="n">
        <f aca="false">($AN5+0.26*$AM5+$AZ$9)/$AZ$7</f>
        <v>0.908707516745225</v>
      </c>
      <c r="AQ5" s="7" t="n">
        <f aca="false">ABERTURAS!$D$54*8/8</f>
        <v>16</v>
      </c>
      <c r="AR5" s="7" t="n">
        <f aca="false">IF(ABERTURAS!$E$54="SÍ",$AB$11,ABERTURAS!$F$54)</f>
        <v>9.82</v>
      </c>
      <c r="AS5" s="7" t="n">
        <f aca="false">($C$12+0.42*$AQ5+$AZ$8)/$AZ$7</f>
        <v>1.34736254031258</v>
      </c>
      <c r="AT5" s="7" t="n">
        <f aca="false">($AR5+0.26*$AQ5+$AZ$9)/$AZ$7</f>
        <v>0.908707516745225</v>
      </c>
      <c r="AU5" s="7" t="n">
        <f aca="false">(IF($AC$3="X",$AA$5+0.42*IF($AC$3="X",$C$13,$C$12),IF($AC$3="X",$C$13,$C$12)+0.42*$AA$5)+$AZ$8)/$AZ$7</f>
        <v>1.03478501612503</v>
      </c>
      <c r="AV5" s="7" t="n">
        <f aca="false">($AB$5+0.26*IF($AC$3="X",IF($AC$3="X",$C$13,$C$12),$AA$5)+$AZ$9)/$AZ$7</f>
        <v>0.752418754651451</v>
      </c>
      <c r="AW5" s="7" t="n">
        <f aca="false">(0+$AZ$8)/$AZ$7</f>
        <v>0.305437459687422</v>
      </c>
      <c r="AX5" s="7" t="n">
        <f aca="false">(1.25*$C$21+$AZ$9)/$AZ$7</f>
        <v>0.86498387496899</v>
      </c>
      <c r="AY5" s="5" t="s">
        <v>70</v>
      </c>
      <c r="AZ5" s="8" t="n">
        <f aca="false">0.04*MAX($AZ$3,$AZ$4)</f>
        <v>0.672</v>
      </c>
      <c r="BA5" s="7" t="n">
        <f aca="false">(IF(ABERTURAS!$K$7="OK",CHOOSE(ABERTURAS!$N$7,ABERTURAS!$P$7,ABERTURAS!$P$7+0.42*$C$13,0.42*ABERTURAS!$P$7,$C$12+0.42*ABERTURAS!$P$7),0)+$AZ$8)/$AZ$7</f>
        <v>0.425996874224758</v>
      </c>
      <c r="BB5" s="7" t="n">
        <f aca="false">(IF(ABERTURAS!$K$7="OK",ABERTURAS!$R$7+0.26*CHOOSE(ABERTURAS!$N$7,0,$C$13,ABERTURAS!$P$7,ABERTURAS!$P$7),0)+$AZ$9)/$AZ$7</f>
        <v>0.190523443314314</v>
      </c>
      <c r="BC5" s="7" t="n">
        <f aca="false">(IF(ABERTURAS!$K$8="OK",CHOOSE(ABERTURAS!$N$8,ABERTURAS!$P$8,ABERTURAS!$P$8+0.42*$C$13,0.42*ABERTURAS!$P$8,$C$12+0.42*ABERTURAS!$P$8),0)+$AZ$8)/$AZ$7</f>
        <v>0.776071297444803</v>
      </c>
      <c r="BD5" s="7" t="n">
        <f aca="false">(IF(ABERTURAS!$K$8="OK",ABERTURAS!$R$8+0.26*CHOOSE(ABERTURAS!$N$8,0,$C$13,ABERTURAS!$P$8,ABERTURAS!$P$8),0)+$AZ$9)/$AZ$7</f>
        <v>0.434259488960556</v>
      </c>
      <c r="BE5" s="7" t="n">
        <f aca="false">(IF(ABERTURAS!$K$9="OK",CHOOSE(ABERTURAS!$N$9,ABERTURAS!$P$9,ABERTURAS!$P$9+0.42*$C$13,0.42*ABERTURAS!$P$9,$C$12+0.42*ABERTURAS!$P$9),0)+$AZ$8)/$AZ$7</f>
        <v>1.34736254031258</v>
      </c>
      <c r="BF5" s="7" t="n">
        <f aca="false">(IF(ABERTURAS!$K$9="OK",ABERTURAS!$R$9+0.26*CHOOSE(ABERTURAS!$N$9,0,$C$13,ABERTURAS!$P$9,ABERTURAS!$P$9),0)+$AZ$9)/$AZ$7</f>
        <v>0.908707516745225</v>
      </c>
      <c r="BG5" s="7" t="n">
        <f aca="false">(IF(ABERTURAS!$K$10="OK",CHOOSE(ABERTURAS!$N$10,ABERTURAS!$P$10,ABERTURAS!$P$10+0.42*$C$13,0.42*ABERTURAS!$P$10,$C$12+0.42*ABERTURAS!$P$10),0)+$AZ$8)/$AZ$7</f>
        <v>0.305437459687422</v>
      </c>
      <c r="BH5" s="7" t="n">
        <f aca="false">(IF(ABERTURAS!$K$10="OK",ABERTURAS!$R$10+0.26*CHOOSE(ABERTURAS!$N$10,0,$C$13,ABERTURAS!$P$10,ABERTURAS!$P$10),0)+$AZ$9)/$AZ$7</f>
        <v>0.0416770032250062</v>
      </c>
      <c r="BI5" s="7" t="n">
        <f aca="false">(IF(ABERTURAS!$K$11="OK",CHOOSE(ABERTURAS!$N$11,ABERTURAS!$P$11,ABERTURAS!$P$11+0.42*$C$13,0.42*ABERTURAS!$P$11,$C$12+0.42*ABERTURAS!$P$11),0)+$AZ$8)/$AZ$7</f>
        <v>0.305437459687422</v>
      </c>
      <c r="BJ5" s="7" t="n">
        <f aca="false">(IF(ABERTURAS!$K$11="OK",ABERTURAS!$R$11+0.26*CHOOSE(ABERTURAS!$N$11,0,$C$13,ABERTURAS!$P$11,ABERTURAS!$P$11),0)+$AZ$9)/$AZ$7</f>
        <v>0.0416770032250062</v>
      </c>
      <c r="BK5" s="7" t="n">
        <f aca="false">(IF(ABERTURAS!$K$12="OK",CHOOSE(ABERTURAS!$N$12,ABERTURAS!$P$12,ABERTURAS!$P$12+0.42*$C$13,0.42*ABERTURAS!$P$12,$C$12+0.42*ABERTURAS!$P$12),0)+$AZ$8)/$AZ$7</f>
        <v>0.305437459687422</v>
      </c>
      <c r="BL5" s="7" t="n">
        <f aca="false">(IF(ABERTURAS!$K$12="OK",ABERTURAS!$R$12+0.26*CHOOSE(ABERTURAS!$N$12,0,$C$13,ABERTURAS!$P$12,ABERTURAS!$P$12),0)+$AZ$9)/$AZ$7</f>
        <v>0.0416770032250062</v>
      </c>
      <c r="BM5" s="7" t="n">
        <f aca="false">(IF(ABERTURAS!$K$13="OK",CHOOSE(ABERTURAS!$N$13,ABERTURAS!$P$13,ABERTURAS!$P$13+0.42*$C$13,0.42*ABERTURAS!$P$13,$C$12+0.42*ABERTURAS!$P$13),0)+$AZ$8)/$AZ$7</f>
        <v>0.305437459687422</v>
      </c>
      <c r="BN5" s="7" t="n">
        <f aca="false">(IF(ABERTURAS!$K$13="OK",ABERTURAS!$R$13+0.26*CHOOSE(ABERTURAS!$N$13,0,$C$13,ABERTURAS!$P$13,ABERTURAS!$P$13),0)+$AZ$9)/$AZ$7</f>
        <v>0.0416770032250062</v>
      </c>
      <c r="BO5" s="7" t="n">
        <f aca="false">(IF(ABERTURAS!$K$14="OK",CHOOSE(ABERTURAS!$N$14,ABERTURAS!$P$14,ABERTURAS!$P$14+0.42*$C$13,0.42*ABERTURAS!$P$14,$C$12+0.42*ABERTURAS!$P$14),0)+$AZ$8)/$AZ$7</f>
        <v>0.305437459687422</v>
      </c>
      <c r="BP5" s="7" t="n">
        <f aca="false">(IF(ABERTURAS!$K$14="OK",ABERTURAS!$R$14+0.26*CHOOSE(ABERTURAS!$N$14,0,$C$13,ABERTURAS!$P$14,ABERTURAS!$P$14),0)+$AZ$9)/$AZ$7</f>
        <v>0.0416770032250062</v>
      </c>
      <c r="BQ5" s="7" t="n">
        <f aca="false">(IF(ABERTURAS!$K$15="OK",CHOOSE(ABERTURAS!$N$15,ABERTURAS!$P$15,ABERTURAS!$P$15+0.42*$C$13,0.42*ABERTURAS!$P$15,$C$12+0.42*ABERTURAS!$P$15),0)+$AZ$8)/$AZ$7</f>
        <v>0.305437459687422</v>
      </c>
      <c r="BR5" s="7" t="n">
        <f aca="false">(IF(ABERTURAS!$K$15="OK",ABERTURAS!$R$15+0.26*CHOOSE(ABERTURAS!$N$15,0,$C$13,ABERTURAS!$P$15,ABERTURAS!$P$15),0)+$AZ$9)/$AZ$7</f>
        <v>0.0416770032250062</v>
      </c>
      <c r="BS5" s="7" t="n">
        <f aca="false">(IF(ABERTURAS!$K$16="OK",CHOOSE(ABERTURAS!$N$16,ABERTURAS!$P$16,ABERTURAS!$P$16+0.42*$C$13,0.42*ABERTURAS!$P$16,$C$12+0.42*ABERTURAS!$P$16),0)+$AZ$8)/$AZ$7</f>
        <v>0.305437459687422</v>
      </c>
      <c r="BT5" s="7" t="n">
        <f aca="false">(IF(ABERTURAS!$K$16="OK",ABERTURAS!$R$16+0.26*CHOOSE(ABERTURAS!$N$16,0,$C$13,ABERTURAS!$P$16,ABERTURAS!$P$16),0)+$AZ$9)/$AZ$7</f>
        <v>0.0416770032250062</v>
      </c>
      <c r="BU5" s="7" t="n">
        <f aca="false">(IF(ABERTURAS!$K$17="OK",CHOOSE(ABERTURAS!$N$17,ABERTURAS!$P$17,ABERTURAS!$P$17+0.42*$C$13,0.42*ABERTURAS!$P$17,$C$12+0.42*ABERTURAS!$P$17),0)+$AZ$8)/$AZ$7</f>
        <v>0.305437459687422</v>
      </c>
      <c r="BV5" s="7" t="n">
        <f aca="false">(IF(ABERTURAS!$K$17="OK",ABERTURAS!$R$17+0.26*CHOOSE(ABERTURAS!$N$17,0,$C$13,ABERTURAS!$P$17,ABERTURAS!$P$17),0)+$AZ$9)/$AZ$7</f>
        <v>0.0416770032250062</v>
      </c>
      <c r="BW5" s="7" t="n">
        <f aca="false">(IF(ABERTURAS!$K$18="OK",CHOOSE(ABERTURAS!$N$18,ABERTURAS!$P$18,ABERTURAS!$P$18+0.42*$C$13,0.42*ABERTURAS!$P$18,$C$12+0.42*ABERTURAS!$P$18),0)+$AZ$8)/$AZ$7</f>
        <v>0.305437459687422</v>
      </c>
      <c r="BX5" s="7" t="n">
        <f aca="false">(IF(ABERTURAS!$K$18="OK",ABERTURAS!$R$18+0.26*CHOOSE(ABERTURAS!$N$18,0,$C$13,ABERTURAS!$P$18,ABERTURAS!$P$18),0)+$AZ$9)/$AZ$7</f>
        <v>0.0416770032250062</v>
      </c>
      <c r="BY5" s="7" t="n">
        <f aca="false">(IF(ABERTURAS!$K$19="OK",CHOOSE(ABERTURAS!$N$19,ABERTURAS!$P$19,ABERTURAS!$P$19+0.42*$C$13,0.42*ABERTURAS!$P$19,$C$12+0.42*ABERTURAS!$P$19),0)+$AZ$8)/$AZ$7</f>
        <v>0.305437459687422</v>
      </c>
      <c r="BZ5" s="7" t="n">
        <f aca="false">(IF(ABERTURAS!$K$19="OK",ABERTURAS!$R$19+0.26*CHOOSE(ABERTURAS!$N$19,0,$C$13,ABERTURAS!$P$19,ABERTURAS!$P$19),0)+$AZ$9)/$AZ$7</f>
        <v>0.0416770032250062</v>
      </c>
      <c r="CA5" s="7" t="n">
        <f aca="false">(IF(ABERTURAS!$K$20="OK",CHOOSE(ABERTURAS!$N$20,ABERTURAS!$P$20,ABERTURAS!$P$20+0.42*$C$13,0.42*ABERTURAS!$P$20,$C$12+0.42*ABERTURAS!$P$20),0)+$AZ$8)/$AZ$7</f>
        <v>0.305437459687422</v>
      </c>
      <c r="CB5" s="7" t="n">
        <f aca="false">(IF(ABERTURAS!$K$20="OK",ABERTURAS!$R$20+0.26*CHOOSE(ABERTURAS!$N$20,0,$C$13,ABERTURAS!$P$20,ABERTURAS!$P$20),0)+$AZ$9)/$AZ$7</f>
        <v>0.0416770032250062</v>
      </c>
      <c r="CC5" s="7" t="n">
        <f aca="false">(IF(ABERTURAS!$K$21="OK",CHOOSE(ABERTURAS!$N$21,ABERTURAS!$P$21,ABERTURAS!$P$21+0.42*$C$13,0.42*ABERTURAS!$P$21,$C$12+0.42*ABERTURAS!$P$21),0)+$AZ$8)/$AZ$7</f>
        <v>0.305437459687422</v>
      </c>
      <c r="CD5" s="7" t="n">
        <f aca="false">(IF(ABERTURAS!$K$21="OK",ABERTURAS!$R$21+0.26*CHOOSE(ABERTURAS!$N$21,0,$C$13,ABERTURAS!$P$21,ABERTURAS!$P$21),0)+$AZ$9)/$AZ$7</f>
        <v>0.0416770032250062</v>
      </c>
      <c r="CE5" s="7" t="n">
        <f aca="false">(IF(ABERTURAS!$K$22="OK",CHOOSE(ABERTURAS!$N$22,ABERTURAS!$P$22,ABERTURAS!$P$22+0.42*$C$13,0.42*ABERTURAS!$P$22,$C$12+0.42*ABERTURAS!$P$22),0)+$AZ$8)/$AZ$7</f>
        <v>0.305437459687422</v>
      </c>
      <c r="CF5" s="7" t="n">
        <f aca="false">(IF(ABERTURAS!$K$22="OK",ABERTURAS!$R$22+0.26*CHOOSE(ABERTURAS!$N$22,0,$C$13,ABERTURAS!$P$22,ABERTURAS!$P$22),0)+$AZ$9)/$AZ$7</f>
        <v>0.0416770032250062</v>
      </c>
      <c r="CG5" s="7" t="n">
        <f aca="false">(IF(ABERTURAS!$K$23="OK",CHOOSE(ABERTURAS!$N$23,ABERTURAS!$P$23,ABERTURAS!$P$23+0.42*$C$13,0.42*ABERTURAS!$P$23,$C$12+0.42*ABERTURAS!$P$23),0)+$AZ$8)/$AZ$7</f>
        <v>0.305437459687422</v>
      </c>
      <c r="CH5" s="7" t="n">
        <f aca="false">(IF(ABERTURAS!$K$23="OK",ABERTURAS!$R$23+0.26*CHOOSE(ABERTURAS!$N$23,0,$C$13,ABERTURAS!$P$23,ABERTURAS!$P$23),0)+$AZ$9)/$AZ$7</f>
        <v>0.0416770032250062</v>
      </c>
      <c r="CI5" s="7" t="n">
        <f aca="false">(IF(ABERTURAS!$K$24="OK",CHOOSE(ABERTURAS!$N$24,ABERTURAS!$P$24,ABERTURAS!$P$24+0.42*$C$13,0.42*ABERTURAS!$P$24,$C$12+0.42*ABERTURAS!$P$24),0)+$AZ$8)/$AZ$7</f>
        <v>0.305437459687422</v>
      </c>
      <c r="CJ5" s="7" t="n">
        <f aca="false">(IF(ABERTURAS!$K$24="OK",ABERTURAS!$R$24+0.26*CHOOSE(ABERTURAS!$N$24,0,$C$13,ABERTURAS!$P$24,ABERTURAS!$P$24),0)+$AZ$9)/$AZ$7</f>
        <v>0.0416770032250062</v>
      </c>
      <c r="CK5" s="7" t="n">
        <f aca="false">(IF(ABERTURAS!$K$25="OK",CHOOSE(ABERTURAS!$N$25,ABERTURAS!$P$25,ABERTURAS!$P$25+0.42*$C$13,0.42*ABERTURAS!$P$25,$C$12+0.42*ABERTURAS!$P$25),0)+$AZ$8)/$AZ$7</f>
        <v>0.305437459687422</v>
      </c>
      <c r="CL5" s="7" t="n">
        <f aca="false">(IF(ABERTURAS!$K$25="OK",ABERTURAS!$R$25+0.26*CHOOSE(ABERTURAS!$N$25,0,$C$13,ABERTURAS!$P$25,ABERTURAS!$P$25),0)+$AZ$9)/$AZ$7</f>
        <v>0.0416770032250062</v>
      </c>
      <c r="CM5" s="7" t="n">
        <f aca="false">(IF(ABERTURAS!$K$26="OK",CHOOSE(ABERTURAS!$N$26,ABERTURAS!$P$26,ABERTURAS!$P$26+0.42*$C$13,0.42*ABERTURAS!$P$26,$C$12+0.42*ABERTURAS!$P$26),0)+$AZ$8)/$AZ$7</f>
        <v>0.305437459687422</v>
      </c>
      <c r="CN5" s="7" t="n">
        <f aca="false">(IF(ABERTURAS!$K$26="OK",ABERTURAS!$R$26+0.26*CHOOSE(ABERTURAS!$N$26,0,$C$13,ABERTURAS!$P$26,ABERTURAS!$P$26),0)+$AZ$9)/$AZ$7</f>
        <v>0.0416770032250062</v>
      </c>
    </row>
    <row r="6" customFormat="false" ht="30" hidden="false" customHeight="true" outlineLevel="0" collapsed="false">
      <c r="B6" s="10" t="s">
        <v>71</v>
      </c>
      <c r="C6" s="10" t="s">
        <v>72</v>
      </c>
      <c r="D6" s="10" t="s">
        <v>73</v>
      </c>
      <c r="E6" s="10" t="s">
        <v>74</v>
      </c>
      <c r="F6" s="10" t="s">
        <v>75</v>
      </c>
      <c r="AA6" s="7" t="n">
        <f aca="false">$C$23*3/8</f>
        <v>6</v>
      </c>
      <c r="AB6" s="7" t="n">
        <f aca="false">IF($C$14="PLANO",$C$17,IF($C$14="DOS AGUAS",$C$17+($C$18-$C$17)*(1-ABS(2*($AA$6)/$C$23-1)),IF($C$14="UN AGUA",IF(N($C$25)=0,$C$18-($C$18-$C$17)*($AA$6)/$C$23,$C$17+($C$18-$C$17)*($AA$6)/$C$23),$C$17+4*($C$18-$C$17)*($AA$6)/$C$23*(1-($AA$6)/$C$23))))</f>
        <v>10.32</v>
      </c>
      <c r="AE6" s="7" t="n">
        <f aca="false">ABERTURAS!$D$51*7/8</f>
        <v>8.82</v>
      </c>
      <c r="AF6" s="7" t="n">
        <f aca="false">IF(ABERTURAS!$E$51="SÍ",$AB$10,ABERTURAS!$F$51)</f>
        <v>10.62</v>
      </c>
      <c r="AG6" s="7" t="n">
        <f aca="false">($AE6+0.42*0+$AZ$8)/$AZ$7</f>
        <v>0.852448127015629</v>
      </c>
      <c r="AH6" s="7" t="n">
        <f aca="false">($AF6+0.26*0+$AZ$9)/$AZ$7</f>
        <v>0.700322500620194</v>
      </c>
      <c r="AI6" s="7" t="n">
        <f aca="false">ABERTURAS!$D$52*7/8</f>
        <v>8.82</v>
      </c>
      <c r="AJ6" s="7" t="n">
        <f aca="false">IF(ABERTURAS!$E$52="SÍ",$AB$10,ABERTURAS!$F$52)</f>
        <v>9.82</v>
      </c>
      <c r="AK6" s="7" t="n">
        <f aca="false">($AI6+0.42*$C$13+$AZ$8)/$AZ$7</f>
        <v>1.26921815926569</v>
      </c>
      <c r="AL6" s="7" t="n">
        <f aca="false">($AJ6+0.26*$C$13+$AZ$9)/$AZ$7</f>
        <v>0.908707516745225</v>
      </c>
      <c r="AM6" s="7" t="n">
        <f aca="false">ABERTURAS!$D$53*7/8</f>
        <v>14</v>
      </c>
      <c r="AN6" s="7" t="n">
        <f aca="false">IF(ABERTURAS!$E$53="SÍ",$AB$10,ABERTURAS!$F$53)</f>
        <v>9.92</v>
      </c>
      <c r="AO6" s="7" t="n">
        <f aca="false">(0+0.42*$AM6+$AZ$8)/$AZ$7</f>
        <v>0.670111237906227</v>
      </c>
      <c r="AP6" s="7" t="n">
        <f aca="false">($AN6+0.26*$AM6+$AZ$9)/$AZ$7</f>
        <v>0.882659389729596</v>
      </c>
      <c r="AQ6" s="7" t="n">
        <f aca="false">ABERTURAS!$D$54*7/8</f>
        <v>14</v>
      </c>
      <c r="AR6" s="7" t="n">
        <f aca="false">IF(ABERTURAS!$E$54="SÍ",$AB$10,ABERTURAS!$F$54)</f>
        <v>9.92</v>
      </c>
      <c r="AS6" s="7" t="n">
        <f aca="false">($C$12+0.42*$AQ6+$AZ$8)/$AZ$7</f>
        <v>1.29526628628132</v>
      </c>
      <c r="AT6" s="7" t="n">
        <f aca="false">($AR6+0.26*$AQ6+$AZ$9)/$AZ$7</f>
        <v>0.882659389729596</v>
      </c>
      <c r="AU6" s="7" t="n">
        <f aca="false">(IF($AC$3="X",$AA$5+0.42*0,0+0.42*$AA$5)+$AZ$8)/$AZ$7</f>
        <v>0.409629967749938</v>
      </c>
      <c r="AV6" s="7" t="n">
        <f aca="false">($AB$5+0.26*IF($AC$3="X",0,$AA$5)+$AZ$9)/$AZ$7</f>
        <v>0.752418754651451</v>
      </c>
      <c r="AW6" s="7" t="n">
        <f aca="false">(0+$AZ$8)/$AZ$7</f>
        <v>0.305437459687422</v>
      </c>
      <c r="AX6" s="7" t="n">
        <f aca="false">(0+$AZ$9)/$AZ$7</f>
        <v>0.0416770032250062</v>
      </c>
      <c r="AY6" s="5" t="s">
        <v>76</v>
      </c>
      <c r="AZ6" s="8" t="n">
        <f aca="false">1.6528</f>
        <v>1.6528</v>
      </c>
      <c r="BA6" s="7" t="n">
        <f aca="false">(IF(ABERTURAS!$K$7="OK",CHOOSE(ABERTURAS!$N$7,ABERTURAS!$O$7,ABERTURAS!$O$7+0.42*$C$13,0.42*ABERTURAS!$O$7,$C$12+0.42*ABERTURAS!$O$7),0)+$AZ$8)/$AZ$7</f>
        <v>0.345284892086331</v>
      </c>
      <c r="BB6" s="7" t="n">
        <f aca="false">(IF(ABERTURAS!$K$7="OK",ABERTURAS!$R$7+0.26*CHOOSE(ABERTURAS!$N$7,0,$C$13,ABERTURAS!$O$7,ABERTURAS!$O$7),0)+$AZ$9)/$AZ$7</f>
        <v>0.190523443314314</v>
      </c>
      <c r="BC6" s="7" t="n">
        <f aca="false">(IF(ABERTURAS!$K$8="OK",CHOOSE(ABERTURAS!$N$8,ABERTURAS!$O$8,ABERTURAS!$O$8+0.42*$C$13,0.42*ABERTURAS!$O$8,$C$12+0.42*ABERTURAS!$O$8),0)+$AZ$8)/$AZ$7</f>
        <v>0.459673381294964</v>
      </c>
      <c r="BD6" s="7" t="n">
        <f aca="false">(IF(ABERTURAS!$K$8="OK",ABERTURAS!$R$8+0.26*CHOOSE(ABERTURAS!$N$8,0,$C$13,ABERTURAS!$O$8,ABERTURAS!$O$8),0)+$AZ$9)/$AZ$7</f>
        <v>0.434259488960556</v>
      </c>
      <c r="BE6" s="7" t="n">
        <f aca="false">(IF(ABERTURAS!$K$9="OK",CHOOSE(ABERTURAS!$N$9,ABERTURAS!$O$9,ABERTURAS!$O$9+0.42*$C$13,0.42*ABERTURAS!$O$9,$C$12+0.42*ABERTURAS!$O$9),0)+$AZ$8)/$AZ$7</f>
        <v>0.722207491937485</v>
      </c>
      <c r="BF6" s="7" t="n">
        <f aca="false">(IF(ABERTURAS!$K$9="OK",ABERTURAS!$R$9+0.26*CHOOSE(ABERTURAS!$N$9,0,$C$13,ABERTURAS!$O$9,ABERTURAS!$O$9),0)+$AZ$9)/$AZ$7</f>
        <v>0.908707516745225</v>
      </c>
      <c r="BG6" s="7" t="n">
        <f aca="false">(IF(ABERTURAS!$K$10="OK",CHOOSE(ABERTURAS!$N$10,ABERTURAS!$O$10,ABERTURAS!$O$10+0.42*$C$13,0.42*ABERTURAS!$O$10,$C$12+0.42*ABERTURAS!$O$10),0)+$AZ$8)/$AZ$7</f>
        <v>0.305437459687422</v>
      </c>
      <c r="BH6" s="7" t="n">
        <f aca="false">(IF(ABERTURAS!$K$10="OK",ABERTURAS!$R$10+0.26*CHOOSE(ABERTURAS!$N$10,0,$C$13,ABERTURAS!$O$10,ABERTURAS!$O$10),0)+$AZ$9)/$AZ$7</f>
        <v>0.0416770032250062</v>
      </c>
      <c r="BI6" s="7" t="n">
        <f aca="false">(IF(ABERTURAS!$K$11="OK",CHOOSE(ABERTURAS!$N$11,ABERTURAS!$O$11,ABERTURAS!$O$11+0.42*$C$13,0.42*ABERTURAS!$O$11,$C$12+0.42*ABERTURAS!$O$11),0)+$AZ$8)/$AZ$7</f>
        <v>0.305437459687422</v>
      </c>
      <c r="BJ6" s="7" t="n">
        <f aca="false">(IF(ABERTURAS!$K$11="OK",ABERTURAS!$R$11+0.26*CHOOSE(ABERTURAS!$N$11,0,$C$13,ABERTURAS!$O$11,ABERTURAS!$O$11),0)+$AZ$9)/$AZ$7</f>
        <v>0.0416770032250062</v>
      </c>
      <c r="BK6" s="7" t="n">
        <f aca="false">(IF(ABERTURAS!$K$12="OK",CHOOSE(ABERTURAS!$N$12,ABERTURAS!$O$12,ABERTURAS!$O$12+0.42*$C$13,0.42*ABERTURAS!$O$12,$C$12+0.42*ABERTURAS!$O$12),0)+$AZ$8)/$AZ$7</f>
        <v>0.305437459687422</v>
      </c>
      <c r="BL6" s="7" t="n">
        <f aca="false">(IF(ABERTURAS!$K$12="OK",ABERTURAS!$R$12+0.26*CHOOSE(ABERTURAS!$N$12,0,$C$13,ABERTURAS!$O$12,ABERTURAS!$O$12),0)+$AZ$9)/$AZ$7</f>
        <v>0.0416770032250062</v>
      </c>
      <c r="BM6" s="7" t="n">
        <f aca="false">(IF(ABERTURAS!$K$13="OK",CHOOSE(ABERTURAS!$N$13,ABERTURAS!$O$13,ABERTURAS!$O$13+0.42*$C$13,0.42*ABERTURAS!$O$13,$C$12+0.42*ABERTURAS!$O$13),0)+$AZ$8)/$AZ$7</f>
        <v>0.305437459687422</v>
      </c>
      <c r="BN6" s="7" t="n">
        <f aca="false">(IF(ABERTURAS!$K$13="OK",ABERTURAS!$R$13+0.26*CHOOSE(ABERTURAS!$N$13,0,$C$13,ABERTURAS!$O$13,ABERTURAS!$O$13),0)+$AZ$9)/$AZ$7</f>
        <v>0.0416770032250062</v>
      </c>
      <c r="BO6" s="7" t="n">
        <f aca="false">(IF(ABERTURAS!$K$14="OK",CHOOSE(ABERTURAS!$N$14,ABERTURAS!$O$14,ABERTURAS!$O$14+0.42*$C$13,0.42*ABERTURAS!$O$14,$C$12+0.42*ABERTURAS!$O$14),0)+$AZ$8)/$AZ$7</f>
        <v>0.305437459687422</v>
      </c>
      <c r="BP6" s="7" t="n">
        <f aca="false">(IF(ABERTURAS!$K$14="OK",ABERTURAS!$R$14+0.26*CHOOSE(ABERTURAS!$N$14,0,$C$13,ABERTURAS!$O$14,ABERTURAS!$O$14),0)+$AZ$9)/$AZ$7</f>
        <v>0.0416770032250062</v>
      </c>
      <c r="BQ6" s="7" t="n">
        <f aca="false">(IF(ABERTURAS!$K$15="OK",CHOOSE(ABERTURAS!$N$15,ABERTURAS!$O$15,ABERTURAS!$O$15+0.42*$C$13,0.42*ABERTURAS!$O$15,$C$12+0.42*ABERTURAS!$O$15),0)+$AZ$8)/$AZ$7</f>
        <v>0.305437459687422</v>
      </c>
      <c r="BR6" s="7" t="n">
        <f aca="false">(IF(ABERTURAS!$K$15="OK",ABERTURAS!$R$15+0.26*CHOOSE(ABERTURAS!$N$15,0,$C$13,ABERTURAS!$O$15,ABERTURAS!$O$15),0)+$AZ$9)/$AZ$7</f>
        <v>0.0416770032250062</v>
      </c>
      <c r="BS6" s="7" t="n">
        <f aca="false">(IF(ABERTURAS!$K$16="OK",CHOOSE(ABERTURAS!$N$16,ABERTURAS!$O$16,ABERTURAS!$O$16+0.42*$C$13,0.42*ABERTURAS!$O$16,$C$12+0.42*ABERTURAS!$O$16),0)+$AZ$8)/$AZ$7</f>
        <v>0.305437459687422</v>
      </c>
      <c r="BT6" s="7" t="n">
        <f aca="false">(IF(ABERTURAS!$K$16="OK",ABERTURAS!$R$16+0.26*CHOOSE(ABERTURAS!$N$16,0,$C$13,ABERTURAS!$O$16,ABERTURAS!$O$16),0)+$AZ$9)/$AZ$7</f>
        <v>0.0416770032250062</v>
      </c>
      <c r="BU6" s="7" t="n">
        <f aca="false">(IF(ABERTURAS!$K$17="OK",CHOOSE(ABERTURAS!$N$17,ABERTURAS!$O$17,ABERTURAS!$O$17+0.42*$C$13,0.42*ABERTURAS!$O$17,$C$12+0.42*ABERTURAS!$O$17),0)+$AZ$8)/$AZ$7</f>
        <v>0.305437459687422</v>
      </c>
      <c r="BV6" s="7" t="n">
        <f aca="false">(IF(ABERTURAS!$K$17="OK",ABERTURAS!$R$17+0.26*CHOOSE(ABERTURAS!$N$17,0,$C$13,ABERTURAS!$O$17,ABERTURAS!$O$17),0)+$AZ$9)/$AZ$7</f>
        <v>0.0416770032250062</v>
      </c>
      <c r="BW6" s="7" t="n">
        <f aca="false">(IF(ABERTURAS!$K$18="OK",CHOOSE(ABERTURAS!$N$18,ABERTURAS!$O$18,ABERTURAS!$O$18+0.42*$C$13,0.42*ABERTURAS!$O$18,$C$12+0.42*ABERTURAS!$O$18),0)+$AZ$8)/$AZ$7</f>
        <v>0.305437459687422</v>
      </c>
      <c r="BX6" s="7" t="n">
        <f aca="false">(IF(ABERTURAS!$K$18="OK",ABERTURAS!$R$18+0.26*CHOOSE(ABERTURAS!$N$18,0,$C$13,ABERTURAS!$O$18,ABERTURAS!$O$18),0)+$AZ$9)/$AZ$7</f>
        <v>0.0416770032250062</v>
      </c>
      <c r="BY6" s="7" t="n">
        <f aca="false">(IF(ABERTURAS!$K$19="OK",CHOOSE(ABERTURAS!$N$19,ABERTURAS!$O$19,ABERTURAS!$O$19+0.42*$C$13,0.42*ABERTURAS!$O$19,$C$12+0.42*ABERTURAS!$O$19),0)+$AZ$8)/$AZ$7</f>
        <v>0.305437459687422</v>
      </c>
      <c r="BZ6" s="7" t="n">
        <f aca="false">(IF(ABERTURAS!$K$19="OK",ABERTURAS!$R$19+0.26*CHOOSE(ABERTURAS!$N$19,0,$C$13,ABERTURAS!$O$19,ABERTURAS!$O$19),0)+$AZ$9)/$AZ$7</f>
        <v>0.0416770032250062</v>
      </c>
      <c r="CA6" s="7" t="n">
        <f aca="false">(IF(ABERTURAS!$K$20="OK",CHOOSE(ABERTURAS!$N$20,ABERTURAS!$O$20,ABERTURAS!$O$20+0.42*$C$13,0.42*ABERTURAS!$O$20,$C$12+0.42*ABERTURAS!$O$20),0)+$AZ$8)/$AZ$7</f>
        <v>0.305437459687422</v>
      </c>
      <c r="CB6" s="7" t="n">
        <f aca="false">(IF(ABERTURAS!$K$20="OK",ABERTURAS!$R$20+0.26*CHOOSE(ABERTURAS!$N$20,0,$C$13,ABERTURAS!$O$20,ABERTURAS!$O$20),0)+$AZ$9)/$AZ$7</f>
        <v>0.0416770032250062</v>
      </c>
      <c r="CC6" s="7" t="n">
        <f aca="false">(IF(ABERTURAS!$K$21="OK",CHOOSE(ABERTURAS!$N$21,ABERTURAS!$O$21,ABERTURAS!$O$21+0.42*$C$13,0.42*ABERTURAS!$O$21,$C$12+0.42*ABERTURAS!$O$21),0)+$AZ$8)/$AZ$7</f>
        <v>0.305437459687422</v>
      </c>
      <c r="CD6" s="7" t="n">
        <f aca="false">(IF(ABERTURAS!$K$21="OK",ABERTURAS!$R$21+0.26*CHOOSE(ABERTURAS!$N$21,0,$C$13,ABERTURAS!$O$21,ABERTURAS!$O$21),0)+$AZ$9)/$AZ$7</f>
        <v>0.0416770032250062</v>
      </c>
      <c r="CE6" s="7" t="n">
        <f aca="false">(IF(ABERTURAS!$K$22="OK",CHOOSE(ABERTURAS!$N$22,ABERTURAS!$O$22,ABERTURAS!$O$22+0.42*$C$13,0.42*ABERTURAS!$O$22,$C$12+0.42*ABERTURAS!$O$22),0)+$AZ$8)/$AZ$7</f>
        <v>0.305437459687422</v>
      </c>
      <c r="CF6" s="7" t="n">
        <f aca="false">(IF(ABERTURAS!$K$22="OK",ABERTURAS!$R$22+0.26*CHOOSE(ABERTURAS!$N$22,0,$C$13,ABERTURAS!$O$22,ABERTURAS!$O$22),0)+$AZ$9)/$AZ$7</f>
        <v>0.0416770032250062</v>
      </c>
      <c r="CG6" s="7" t="n">
        <f aca="false">(IF(ABERTURAS!$K$23="OK",CHOOSE(ABERTURAS!$N$23,ABERTURAS!$O$23,ABERTURAS!$O$23+0.42*$C$13,0.42*ABERTURAS!$O$23,$C$12+0.42*ABERTURAS!$O$23),0)+$AZ$8)/$AZ$7</f>
        <v>0.305437459687422</v>
      </c>
      <c r="CH6" s="7" t="n">
        <f aca="false">(IF(ABERTURAS!$K$23="OK",ABERTURAS!$R$23+0.26*CHOOSE(ABERTURAS!$N$23,0,$C$13,ABERTURAS!$O$23,ABERTURAS!$O$23),0)+$AZ$9)/$AZ$7</f>
        <v>0.0416770032250062</v>
      </c>
      <c r="CI6" s="7" t="n">
        <f aca="false">(IF(ABERTURAS!$K$24="OK",CHOOSE(ABERTURAS!$N$24,ABERTURAS!$O$24,ABERTURAS!$O$24+0.42*$C$13,0.42*ABERTURAS!$O$24,$C$12+0.42*ABERTURAS!$O$24),0)+$AZ$8)/$AZ$7</f>
        <v>0.305437459687422</v>
      </c>
      <c r="CJ6" s="7" t="n">
        <f aca="false">(IF(ABERTURAS!$K$24="OK",ABERTURAS!$R$24+0.26*CHOOSE(ABERTURAS!$N$24,0,$C$13,ABERTURAS!$O$24,ABERTURAS!$O$24),0)+$AZ$9)/$AZ$7</f>
        <v>0.0416770032250062</v>
      </c>
      <c r="CK6" s="7" t="n">
        <f aca="false">(IF(ABERTURAS!$K$25="OK",CHOOSE(ABERTURAS!$N$25,ABERTURAS!$O$25,ABERTURAS!$O$25+0.42*$C$13,0.42*ABERTURAS!$O$25,$C$12+0.42*ABERTURAS!$O$25),0)+$AZ$8)/$AZ$7</f>
        <v>0.305437459687422</v>
      </c>
      <c r="CL6" s="7" t="n">
        <f aca="false">(IF(ABERTURAS!$K$25="OK",ABERTURAS!$R$25+0.26*CHOOSE(ABERTURAS!$N$25,0,$C$13,ABERTURAS!$O$25,ABERTURAS!$O$25),0)+$AZ$9)/$AZ$7</f>
        <v>0.0416770032250062</v>
      </c>
      <c r="CM6" s="7" t="n">
        <f aca="false">(IF(ABERTURAS!$K$26="OK",CHOOSE(ABERTURAS!$N$26,ABERTURAS!$O$26,ABERTURAS!$O$26+0.42*$C$13,0.42*ABERTURAS!$O$26,$C$12+0.42*ABERTURAS!$O$26),0)+$AZ$8)/$AZ$7</f>
        <v>0.305437459687422</v>
      </c>
      <c r="CN6" s="7" t="n">
        <f aca="false">(IF(ABERTURAS!$K$26="OK",ABERTURAS!$R$26+0.26*CHOOSE(ABERTURAS!$N$26,0,$C$13,ABERTURAS!$O$26,ABERTURAS!$O$26),0)+$AZ$9)/$AZ$7</f>
        <v>0.0416770032250062</v>
      </c>
    </row>
    <row r="7" customFormat="false" ht="16.5" hidden="false" customHeight="true" outlineLevel="0" collapsed="false">
      <c r="B7" s="11" t="s">
        <v>77</v>
      </c>
      <c r="C7" s="12" t="s">
        <v>78</v>
      </c>
      <c r="D7" s="12"/>
      <c r="E7" s="13" t="s">
        <v>79</v>
      </c>
      <c r="F7" s="14" t="s">
        <v>80</v>
      </c>
      <c r="AA7" s="7" t="n">
        <f aca="false">$C$23*4/8</f>
        <v>8</v>
      </c>
      <c r="AB7" s="7" t="n">
        <f aca="false">IF($C$14="PLANO",$C$17,IF($C$14="DOS AGUAS",$C$17+($C$18-$C$17)*(1-ABS(2*($AA$7)/$C$23-1)),IF($C$14="UN AGUA",IF(N($C$25)=0,$C$18-($C$18-$C$17)*($AA$7)/$C$23,$C$17+($C$18-$C$17)*($AA$7)/$C$23),$C$17+4*($C$18-$C$17)*($AA$7)/$C$23*(1-($AA$7)/$C$23))))</f>
        <v>10.22</v>
      </c>
      <c r="AE7" s="7" t="n">
        <f aca="false">ABERTURAS!$D$51*6/8</f>
        <v>7.56</v>
      </c>
      <c r="AF7" s="7" t="n">
        <f aca="false">IF(ABERTURAS!$E$51="SÍ",$AB$9,ABERTURAS!$F$51)</f>
        <v>10.62</v>
      </c>
      <c r="AG7" s="7" t="n">
        <f aca="false">($AE7+0.42*0+$AZ$8)/$AZ$7</f>
        <v>0.774303745968742</v>
      </c>
      <c r="AH7" s="7" t="n">
        <f aca="false">($AF7+0.26*0+$AZ$9)/$AZ$7</f>
        <v>0.700322500620194</v>
      </c>
      <c r="AI7" s="7" t="n">
        <f aca="false">ABERTURAS!$D$52*6/8</f>
        <v>7.56</v>
      </c>
      <c r="AJ7" s="7" t="n">
        <f aca="false">IF(ABERTURAS!$E$52="SÍ",$AB$9,ABERTURAS!$F$52)</f>
        <v>9.82</v>
      </c>
      <c r="AK7" s="7" t="n">
        <f aca="false">($AI7+0.42*$C$13+$AZ$8)/$AZ$7</f>
        <v>1.1910737782188</v>
      </c>
      <c r="AL7" s="7" t="n">
        <f aca="false">($AJ7+0.26*$C$13+$AZ$9)/$AZ$7</f>
        <v>0.908707516745225</v>
      </c>
      <c r="AM7" s="7" t="n">
        <f aca="false">ABERTURAS!$D$53*6/8</f>
        <v>12</v>
      </c>
      <c r="AN7" s="7" t="n">
        <f aca="false">IF(ABERTURAS!$E$53="SÍ",$AB$9,ABERTURAS!$F$53)</f>
        <v>10.02</v>
      </c>
      <c r="AO7" s="7" t="n">
        <f aca="false">(0+0.42*$AM7+$AZ$8)/$AZ$7</f>
        <v>0.618014983874969</v>
      </c>
      <c r="AP7" s="7" t="n">
        <f aca="false">($AN7+0.26*$AM7+$AZ$9)/$AZ$7</f>
        <v>0.856611262713967</v>
      </c>
      <c r="AQ7" s="7" t="n">
        <f aca="false">ABERTURAS!$D$54*6/8</f>
        <v>12</v>
      </c>
      <c r="AR7" s="7" t="n">
        <f aca="false">IF(ABERTURAS!$E$54="SÍ",$AB$9,ABERTURAS!$F$54)</f>
        <v>10.02</v>
      </c>
      <c r="AS7" s="7" t="n">
        <f aca="false">($C$12+0.42*$AQ7+$AZ$8)/$AZ$7</f>
        <v>1.24317003225006</v>
      </c>
      <c r="AT7" s="7" t="n">
        <f aca="false">($AR7+0.26*$AQ7+$AZ$9)/$AZ$7</f>
        <v>0.856611262713967</v>
      </c>
      <c r="AU7" s="7" t="n">
        <f aca="false">(IF($AC$3="X",$AA$7+0.42*0,0+0.42*$AA$7)+$AZ$8)/$AZ$7</f>
        <v>0.513822475812453</v>
      </c>
      <c r="AV7" s="7" t="n">
        <f aca="false">($AB$7+0.26*IF($AC$3="X",0,$AA$7)+$AZ$9)/$AZ$7</f>
        <v>0.804515008682709</v>
      </c>
      <c r="AW7" s="7" t="n">
        <f aca="false">(0.42*1.25*$C$13+$AZ$8)/$AZ$7</f>
        <v>0.8264</v>
      </c>
      <c r="AX7" s="7" t="n">
        <f aca="false">(0.26*1.25*$C$13+$AZ$9)/$AZ$7</f>
        <v>0.364177623418507</v>
      </c>
      <c r="AY7" s="5" t="s">
        <v>81</v>
      </c>
      <c r="AZ7" s="8" t="n">
        <f aca="false">MAX(($AZ$3+2*$AZ$5)/$AZ$6,$AZ$4+2*$AZ$5)</f>
        <v>16.124</v>
      </c>
      <c r="BA7" s="7" t="n">
        <f aca="false">(IF(ABERTURAS!$K$7="OK",CHOOSE(ABERTURAS!$N$7,ABERTURAS!$O$7,ABERTURAS!$O$7+0.42*$C$13,0.42*ABERTURAS!$O$7,$C$12+0.42*ABERTURAS!$O$7),0)+$AZ$8)/$AZ$7</f>
        <v>0.345284892086331</v>
      </c>
      <c r="BB7" s="7" t="n">
        <f aca="false">(IF(ABERTURAS!$K$7="OK",ABERTURAS!$Q$7+0.26*CHOOSE(ABERTURAS!$N$7,0,$C$13,ABERTURAS!$O$7,ABERTURAS!$O$7),0)+$AZ$9)/$AZ$7</f>
        <v>0.0416770032250062</v>
      </c>
      <c r="BC7" s="7" t="n">
        <f aca="false">(IF(ABERTURAS!$K$8="OK",CHOOSE(ABERTURAS!$N$8,ABERTURAS!$O$8,ABERTURAS!$O$8+0.42*$C$13,0.42*ABERTURAS!$O$8,$C$12+0.42*ABERTURAS!$O$8),0)+$AZ$8)/$AZ$7</f>
        <v>0.459673381294964</v>
      </c>
      <c r="BD7" s="7" t="n">
        <f aca="false">(IF(ABERTURAS!$K$8="OK",ABERTURAS!$Q$8+0.26*CHOOSE(ABERTURAS!$N$8,0,$C$13,ABERTURAS!$O$8,ABERTURAS!$O$8),0)+$AZ$9)/$AZ$7</f>
        <v>0.0416770032250062</v>
      </c>
      <c r="BE7" s="7" t="n">
        <f aca="false">(IF(ABERTURAS!$K$9="OK",CHOOSE(ABERTURAS!$N$9,ABERTURAS!$O$9,ABERTURAS!$O$9+0.42*$C$13,0.42*ABERTURAS!$O$9,$C$12+0.42*ABERTURAS!$O$9),0)+$AZ$8)/$AZ$7</f>
        <v>0.722207491937485</v>
      </c>
      <c r="BF7" s="7" t="n">
        <f aca="false">(IF(ABERTURAS!$K$9="OK",ABERTURAS!$Q$9+0.26*CHOOSE(ABERTURAS!$N$9,0,$C$13,ABERTURAS!$O$9,ABERTURAS!$O$9),0)+$AZ$9)/$AZ$7</f>
        <v>0.299677499379807</v>
      </c>
      <c r="BG7" s="7" t="n">
        <f aca="false">(IF(ABERTURAS!$K$10="OK",CHOOSE(ABERTURAS!$N$10,ABERTURAS!$O$10,ABERTURAS!$O$10+0.42*$C$13,0.42*ABERTURAS!$O$10,$C$12+0.42*ABERTURAS!$O$10),0)+$AZ$8)/$AZ$7</f>
        <v>0.305437459687422</v>
      </c>
      <c r="BH7" s="7" t="n">
        <f aca="false">(IF(ABERTURAS!$K$10="OK",ABERTURAS!$Q$10+0.26*CHOOSE(ABERTURAS!$N$10,0,$C$13,ABERTURAS!$O$10,ABERTURAS!$O$10),0)+$AZ$9)/$AZ$7</f>
        <v>0.0416770032250062</v>
      </c>
      <c r="BI7" s="7" t="n">
        <f aca="false">(IF(ABERTURAS!$K$11="OK",CHOOSE(ABERTURAS!$N$11,ABERTURAS!$O$11,ABERTURAS!$O$11+0.42*$C$13,0.42*ABERTURAS!$O$11,$C$12+0.42*ABERTURAS!$O$11),0)+$AZ$8)/$AZ$7</f>
        <v>0.305437459687422</v>
      </c>
      <c r="BJ7" s="7" t="n">
        <f aca="false">(IF(ABERTURAS!$K$11="OK",ABERTURAS!$Q$11+0.26*CHOOSE(ABERTURAS!$N$11,0,$C$13,ABERTURAS!$O$11,ABERTURAS!$O$11),0)+$AZ$9)/$AZ$7</f>
        <v>0.0416770032250062</v>
      </c>
      <c r="BK7" s="7" t="n">
        <f aca="false">(IF(ABERTURAS!$K$12="OK",CHOOSE(ABERTURAS!$N$12,ABERTURAS!$O$12,ABERTURAS!$O$12+0.42*$C$13,0.42*ABERTURAS!$O$12,$C$12+0.42*ABERTURAS!$O$12),0)+$AZ$8)/$AZ$7</f>
        <v>0.305437459687422</v>
      </c>
      <c r="BL7" s="7" t="n">
        <f aca="false">(IF(ABERTURAS!$K$12="OK",ABERTURAS!$Q$12+0.26*CHOOSE(ABERTURAS!$N$12,0,$C$13,ABERTURAS!$O$12,ABERTURAS!$O$12),0)+$AZ$9)/$AZ$7</f>
        <v>0.0416770032250062</v>
      </c>
      <c r="BM7" s="7" t="n">
        <f aca="false">(IF(ABERTURAS!$K$13="OK",CHOOSE(ABERTURAS!$N$13,ABERTURAS!$O$13,ABERTURAS!$O$13+0.42*$C$13,0.42*ABERTURAS!$O$13,$C$12+0.42*ABERTURAS!$O$13),0)+$AZ$8)/$AZ$7</f>
        <v>0.305437459687422</v>
      </c>
      <c r="BN7" s="7" t="n">
        <f aca="false">(IF(ABERTURAS!$K$13="OK",ABERTURAS!$Q$13+0.26*CHOOSE(ABERTURAS!$N$13,0,$C$13,ABERTURAS!$O$13,ABERTURAS!$O$13),0)+$AZ$9)/$AZ$7</f>
        <v>0.0416770032250062</v>
      </c>
      <c r="BO7" s="7" t="n">
        <f aca="false">(IF(ABERTURAS!$K$14="OK",CHOOSE(ABERTURAS!$N$14,ABERTURAS!$O$14,ABERTURAS!$O$14+0.42*$C$13,0.42*ABERTURAS!$O$14,$C$12+0.42*ABERTURAS!$O$14),0)+$AZ$8)/$AZ$7</f>
        <v>0.305437459687422</v>
      </c>
      <c r="BP7" s="7" t="n">
        <f aca="false">(IF(ABERTURAS!$K$14="OK",ABERTURAS!$Q$14+0.26*CHOOSE(ABERTURAS!$N$14,0,$C$13,ABERTURAS!$O$14,ABERTURAS!$O$14),0)+$AZ$9)/$AZ$7</f>
        <v>0.0416770032250062</v>
      </c>
      <c r="BQ7" s="7" t="n">
        <f aca="false">(IF(ABERTURAS!$K$15="OK",CHOOSE(ABERTURAS!$N$15,ABERTURAS!$O$15,ABERTURAS!$O$15+0.42*$C$13,0.42*ABERTURAS!$O$15,$C$12+0.42*ABERTURAS!$O$15),0)+$AZ$8)/$AZ$7</f>
        <v>0.305437459687422</v>
      </c>
      <c r="BR7" s="7" t="n">
        <f aca="false">(IF(ABERTURAS!$K$15="OK",ABERTURAS!$Q$15+0.26*CHOOSE(ABERTURAS!$N$15,0,$C$13,ABERTURAS!$O$15,ABERTURAS!$O$15),0)+$AZ$9)/$AZ$7</f>
        <v>0.0416770032250062</v>
      </c>
      <c r="BS7" s="7" t="n">
        <f aca="false">(IF(ABERTURAS!$K$16="OK",CHOOSE(ABERTURAS!$N$16,ABERTURAS!$O$16,ABERTURAS!$O$16+0.42*$C$13,0.42*ABERTURAS!$O$16,$C$12+0.42*ABERTURAS!$O$16),0)+$AZ$8)/$AZ$7</f>
        <v>0.305437459687422</v>
      </c>
      <c r="BT7" s="7" t="n">
        <f aca="false">(IF(ABERTURAS!$K$16="OK",ABERTURAS!$Q$16+0.26*CHOOSE(ABERTURAS!$N$16,0,$C$13,ABERTURAS!$O$16,ABERTURAS!$O$16),0)+$AZ$9)/$AZ$7</f>
        <v>0.0416770032250062</v>
      </c>
      <c r="BU7" s="7" t="n">
        <f aca="false">(IF(ABERTURAS!$K$17="OK",CHOOSE(ABERTURAS!$N$17,ABERTURAS!$O$17,ABERTURAS!$O$17+0.42*$C$13,0.42*ABERTURAS!$O$17,$C$12+0.42*ABERTURAS!$O$17),0)+$AZ$8)/$AZ$7</f>
        <v>0.305437459687422</v>
      </c>
      <c r="BV7" s="7" t="n">
        <f aca="false">(IF(ABERTURAS!$K$17="OK",ABERTURAS!$Q$17+0.26*CHOOSE(ABERTURAS!$N$17,0,$C$13,ABERTURAS!$O$17,ABERTURAS!$O$17),0)+$AZ$9)/$AZ$7</f>
        <v>0.0416770032250062</v>
      </c>
      <c r="BW7" s="7" t="n">
        <f aca="false">(IF(ABERTURAS!$K$18="OK",CHOOSE(ABERTURAS!$N$18,ABERTURAS!$O$18,ABERTURAS!$O$18+0.42*$C$13,0.42*ABERTURAS!$O$18,$C$12+0.42*ABERTURAS!$O$18),0)+$AZ$8)/$AZ$7</f>
        <v>0.305437459687422</v>
      </c>
      <c r="BX7" s="7" t="n">
        <f aca="false">(IF(ABERTURAS!$K$18="OK",ABERTURAS!$Q$18+0.26*CHOOSE(ABERTURAS!$N$18,0,$C$13,ABERTURAS!$O$18,ABERTURAS!$O$18),0)+$AZ$9)/$AZ$7</f>
        <v>0.0416770032250062</v>
      </c>
      <c r="BY7" s="7" t="n">
        <f aca="false">(IF(ABERTURAS!$K$19="OK",CHOOSE(ABERTURAS!$N$19,ABERTURAS!$O$19,ABERTURAS!$O$19+0.42*$C$13,0.42*ABERTURAS!$O$19,$C$12+0.42*ABERTURAS!$O$19),0)+$AZ$8)/$AZ$7</f>
        <v>0.305437459687422</v>
      </c>
      <c r="BZ7" s="7" t="n">
        <f aca="false">(IF(ABERTURAS!$K$19="OK",ABERTURAS!$Q$19+0.26*CHOOSE(ABERTURAS!$N$19,0,$C$13,ABERTURAS!$O$19,ABERTURAS!$O$19),0)+$AZ$9)/$AZ$7</f>
        <v>0.0416770032250062</v>
      </c>
      <c r="CA7" s="7" t="n">
        <f aca="false">(IF(ABERTURAS!$K$20="OK",CHOOSE(ABERTURAS!$N$20,ABERTURAS!$O$20,ABERTURAS!$O$20+0.42*$C$13,0.42*ABERTURAS!$O$20,$C$12+0.42*ABERTURAS!$O$20),0)+$AZ$8)/$AZ$7</f>
        <v>0.305437459687422</v>
      </c>
      <c r="CB7" s="7" t="n">
        <f aca="false">(IF(ABERTURAS!$K$20="OK",ABERTURAS!$Q$20+0.26*CHOOSE(ABERTURAS!$N$20,0,$C$13,ABERTURAS!$O$20,ABERTURAS!$O$20),0)+$AZ$9)/$AZ$7</f>
        <v>0.0416770032250062</v>
      </c>
      <c r="CC7" s="7" t="n">
        <f aca="false">(IF(ABERTURAS!$K$21="OK",CHOOSE(ABERTURAS!$N$21,ABERTURAS!$O$21,ABERTURAS!$O$21+0.42*$C$13,0.42*ABERTURAS!$O$21,$C$12+0.42*ABERTURAS!$O$21),0)+$AZ$8)/$AZ$7</f>
        <v>0.305437459687422</v>
      </c>
      <c r="CD7" s="7" t="n">
        <f aca="false">(IF(ABERTURAS!$K$21="OK",ABERTURAS!$Q$21+0.26*CHOOSE(ABERTURAS!$N$21,0,$C$13,ABERTURAS!$O$21,ABERTURAS!$O$21),0)+$AZ$9)/$AZ$7</f>
        <v>0.0416770032250062</v>
      </c>
      <c r="CE7" s="7" t="n">
        <f aca="false">(IF(ABERTURAS!$K$22="OK",CHOOSE(ABERTURAS!$N$22,ABERTURAS!$O$22,ABERTURAS!$O$22+0.42*$C$13,0.42*ABERTURAS!$O$22,$C$12+0.42*ABERTURAS!$O$22),0)+$AZ$8)/$AZ$7</f>
        <v>0.305437459687422</v>
      </c>
      <c r="CF7" s="7" t="n">
        <f aca="false">(IF(ABERTURAS!$K$22="OK",ABERTURAS!$Q$22+0.26*CHOOSE(ABERTURAS!$N$22,0,$C$13,ABERTURAS!$O$22,ABERTURAS!$O$22),0)+$AZ$9)/$AZ$7</f>
        <v>0.0416770032250062</v>
      </c>
      <c r="CG7" s="7" t="n">
        <f aca="false">(IF(ABERTURAS!$K$23="OK",CHOOSE(ABERTURAS!$N$23,ABERTURAS!$O$23,ABERTURAS!$O$23+0.42*$C$13,0.42*ABERTURAS!$O$23,$C$12+0.42*ABERTURAS!$O$23),0)+$AZ$8)/$AZ$7</f>
        <v>0.305437459687422</v>
      </c>
      <c r="CH7" s="7" t="n">
        <f aca="false">(IF(ABERTURAS!$K$23="OK",ABERTURAS!$Q$23+0.26*CHOOSE(ABERTURAS!$N$23,0,$C$13,ABERTURAS!$O$23,ABERTURAS!$O$23),0)+$AZ$9)/$AZ$7</f>
        <v>0.0416770032250062</v>
      </c>
      <c r="CI7" s="7" t="n">
        <f aca="false">(IF(ABERTURAS!$K$24="OK",CHOOSE(ABERTURAS!$N$24,ABERTURAS!$O$24,ABERTURAS!$O$24+0.42*$C$13,0.42*ABERTURAS!$O$24,$C$12+0.42*ABERTURAS!$O$24),0)+$AZ$8)/$AZ$7</f>
        <v>0.305437459687422</v>
      </c>
      <c r="CJ7" s="7" t="n">
        <f aca="false">(IF(ABERTURAS!$K$24="OK",ABERTURAS!$Q$24+0.26*CHOOSE(ABERTURAS!$N$24,0,$C$13,ABERTURAS!$O$24,ABERTURAS!$O$24),0)+$AZ$9)/$AZ$7</f>
        <v>0.0416770032250062</v>
      </c>
      <c r="CK7" s="7" t="n">
        <f aca="false">(IF(ABERTURAS!$K$25="OK",CHOOSE(ABERTURAS!$N$25,ABERTURAS!$O$25,ABERTURAS!$O$25+0.42*$C$13,0.42*ABERTURAS!$O$25,$C$12+0.42*ABERTURAS!$O$25),0)+$AZ$8)/$AZ$7</f>
        <v>0.305437459687422</v>
      </c>
      <c r="CL7" s="7" t="n">
        <f aca="false">(IF(ABERTURAS!$K$25="OK",ABERTURAS!$Q$25+0.26*CHOOSE(ABERTURAS!$N$25,0,$C$13,ABERTURAS!$O$25,ABERTURAS!$O$25),0)+$AZ$9)/$AZ$7</f>
        <v>0.0416770032250062</v>
      </c>
      <c r="CM7" s="7" t="n">
        <f aca="false">(IF(ABERTURAS!$K$26="OK",CHOOSE(ABERTURAS!$N$26,ABERTURAS!$O$26,ABERTURAS!$O$26+0.42*$C$13,0.42*ABERTURAS!$O$26,$C$12+0.42*ABERTURAS!$O$26),0)+$AZ$8)/$AZ$7</f>
        <v>0.305437459687422</v>
      </c>
      <c r="CN7" s="7" t="n">
        <f aca="false">(IF(ABERTURAS!$K$26="OK",ABERTURAS!$Q$26+0.26*CHOOSE(ABERTURAS!$N$26,0,$C$13,ABERTURAS!$O$26,ABERTURAS!$O$26),0)+$AZ$9)/$AZ$7</f>
        <v>0.0416770032250062</v>
      </c>
    </row>
    <row r="8" customFormat="false" ht="29.25" hidden="false" customHeight="true" outlineLevel="0" collapsed="false">
      <c r="B8" s="11" t="s">
        <v>82</v>
      </c>
      <c r="C8" s="12" t="s">
        <v>83</v>
      </c>
      <c r="D8" s="12"/>
      <c r="E8" s="13" t="s">
        <v>84</v>
      </c>
      <c r="F8" s="14" t="s">
        <v>80</v>
      </c>
      <c r="AA8" s="7" t="n">
        <f aca="false">$C$23*5/8</f>
        <v>10</v>
      </c>
      <c r="AB8" s="7" t="n">
        <f aca="false">IF($C$14="PLANO",$C$17,IF($C$14="DOS AGUAS",$C$17+($C$18-$C$17)*(1-ABS(2*($AA$8)/$C$23-1)),IF($C$14="UN AGUA",IF(N($C$25)=0,$C$18-($C$18-$C$17)*($AA$8)/$C$23,$C$17+($C$18-$C$17)*($AA$8)/$C$23),$C$17+4*($C$18-$C$17)*($AA$8)/$C$23*(1-($AA$8)/$C$23))))</f>
        <v>10.12</v>
      </c>
      <c r="AE8" s="7" t="n">
        <f aca="false">ABERTURAS!$D$51*5/8</f>
        <v>6.3</v>
      </c>
      <c r="AF8" s="7" t="n">
        <f aca="false">IF(ABERTURAS!$E$51="SÍ",$AB$8,ABERTURAS!$F$51)</f>
        <v>10.62</v>
      </c>
      <c r="AG8" s="7" t="n">
        <f aca="false">($AE8+0.42*0+$AZ$8)/$AZ$7</f>
        <v>0.696159364921856</v>
      </c>
      <c r="AH8" s="7" t="n">
        <f aca="false">($AF8+0.26*0+$AZ$9)/$AZ$7</f>
        <v>0.700322500620194</v>
      </c>
      <c r="AI8" s="7" t="n">
        <f aca="false">ABERTURAS!$D$52*5/8</f>
        <v>6.3</v>
      </c>
      <c r="AJ8" s="7" t="n">
        <f aca="false">IF(ABERTURAS!$E$52="SÍ",$AB$8,ABERTURAS!$F$52)</f>
        <v>9.82</v>
      </c>
      <c r="AK8" s="7" t="n">
        <f aca="false">($AI8+0.42*$C$13+$AZ$8)/$AZ$7</f>
        <v>1.11292939717192</v>
      </c>
      <c r="AL8" s="7" t="n">
        <f aca="false">($AJ8+0.26*$C$13+$AZ$9)/$AZ$7</f>
        <v>0.908707516745225</v>
      </c>
      <c r="AM8" s="7" t="n">
        <f aca="false">ABERTURAS!$D$53*5/8</f>
        <v>10</v>
      </c>
      <c r="AN8" s="7" t="n">
        <f aca="false">IF(ABERTURAS!$E$53="SÍ",$AB$8,ABERTURAS!$F$53)</f>
        <v>10.12</v>
      </c>
      <c r="AO8" s="7" t="n">
        <f aca="false">(0+0.42*$AM8+$AZ$8)/$AZ$7</f>
        <v>0.565918729843711</v>
      </c>
      <c r="AP8" s="7" t="n">
        <f aca="false">($AN8+0.26*$AM8+$AZ$9)/$AZ$7</f>
        <v>0.830563135698338</v>
      </c>
      <c r="AQ8" s="7" t="n">
        <f aca="false">ABERTURAS!$D$54*5/8</f>
        <v>10</v>
      </c>
      <c r="AR8" s="7" t="n">
        <f aca="false">IF(ABERTURAS!$E$54="SÍ",$AB$8,ABERTURAS!$F$54)</f>
        <v>10.12</v>
      </c>
      <c r="AS8" s="7" t="n">
        <f aca="false">($C$12+0.42*$AQ8+$AZ$8)/$AZ$7</f>
        <v>1.1910737782188</v>
      </c>
      <c r="AT8" s="7" t="n">
        <f aca="false">($AR8+0.26*$AQ8+$AZ$9)/$AZ$7</f>
        <v>0.830563135698338</v>
      </c>
      <c r="AU8" s="7" t="n">
        <f aca="false">(IF($AC$3="X",$AA$7+0.42*IF($AC$3="X",$C$13,$C$12),IF($AC$3="X",$C$13,$C$12)+0.42*$AA$7)+$AZ$8)/$AZ$7</f>
        <v>1.13897752418755</v>
      </c>
      <c r="AV8" s="7" t="n">
        <f aca="false">($AB$7+0.26*IF($AC$3="X",IF($AC$3="X",$C$13,$C$12),$AA$7)+$AZ$9)/$AZ$7</f>
        <v>0.804515008682709</v>
      </c>
      <c r="AY8" s="5" t="s">
        <v>85</v>
      </c>
      <c r="AZ8" s="8" t="n">
        <f aca="false">($AZ$6*$AZ$7-($AZ$3+2*$AZ$5))/2+$AZ$5</f>
        <v>4.9248736</v>
      </c>
    </row>
    <row r="9" customFormat="false" ht="15" hidden="false" customHeight="true" outlineLevel="0" collapsed="false">
      <c r="AA9" s="7" t="n">
        <f aca="false">$C$23*6/8</f>
        <v>12</v>
      </c>
      <c r="AB9" s="7" t="n">
        <f aca="false">IF($C$14="PLANO",$C$17,IF($C$14="DOS AGUAS",$C$17+($C$18-$C$17)*(1-ABS(2*($AA$9)/$C$23-1)),IF($C$14="UN AGUA",IF(N($C$25)=0,$C$18-($C$18-$C$17)*($AA$9)/$C$23,$C$17+($C$18-$C$17)*($AA$9)/$C$23),$C$17+4*($C$18-$C$17)*($AA$9)/$C$23*(1-($AA$9)/$C$23))))</f>
        <v>10.02</v>
      </c>
      <c r="AE9" s="7" t="n">
        <f aca="false">ABERTURAS!$D$51*4/8</f>
        <v>5.04</v>
      </c>
      <c r="AF9" s="7" t="n">
        <f aca="false">IF(ABERTURAS!$E$51="SÍ",$AB$7,ABERTURAS!$F$51)</f>
        <v>10.62</v>
      </c>
      <c r="AG9" s="7" t="n">
        <f aca="false">($AE9+0.42*0+$AZ$8)/$AZ$7</f>
        <v>0.618014983874969</v>
      </c>
      <c r="AH9" s="7" t="n">
        <f aca="false">($AF9+0.26*0+$AZ$9)/$AZ$7</f>
        <v>0.700322500620194</v>
      </c>
      <c r="AI9" s="7" t="n">
        <f aca="false">ABERTURAS!$D$52*4/8</f>
        <v>5.04</v>
      </c>
      <c r="AJ9" s="7" t="n">
        <f aca="false">IF(ABERTURAS!$E$52="SÍ",$AB$7,ABERTURAS!$F$52)</f>
        <v>9.82</v>
      </c>
      <c r="AK9" s="7" t="n">
        <f aca="false">($AI9+0.42*$C$13+$AZ$8)/$AZ$7</f>
        <v>1.03478501612503</v>
      </c>
      <c r="AL9" s="7" t="n">
        <f aca="false">($AJ9+0.26*$C$13+$AZ$9)/$AZ$7</f>
        <v>0.908707516745225</v>
      </c>
      <c r="AM9" s="7" t="n">
        <f aca="false">ABERTURAS!$D$53*4/8</f>
        <v>8</v>
      </c>
      <c r="AN9" s="7" t="n">
        <f aca="false">IF(ABERTURAS!$E$53="SÍ",$AB$7,ABERTURAS!$F$53)</f>
        <v>10.22</v>
      </c>
      <c r="AO9" s="7" t="n">
        <f aca="false">(0+0.42*$AM9+$AZ$8)/$AZ$7</f>
        <v>0.513822475812453</v>
      </c>
      <c r="AP9" s="7" t="n">
        <f aca="false">($AN9+0.26*$AM9+$AZ$9)/$AZ$7</f>
        <v>0.804515008682709</v>
      </c>
      <c r="AQ9" s="7" t="n">
        <f aca="false">ABERTURAS!$D$54*4/8</f>
        <v>8</v>
      </c>
      <c r="AR9" s="7" t="n">
        <f aca="false">IF(ABERTURAS!$E$54="SÍ",$AB$7,ABERTURAS!$F$54)</f>
        <v>10.22</v>
      </c>
      <c r="AS9" s="7" t="n">
        <f aca="false">($C$12+0.42*$AQ9+$AZ$8)/$AZ$7</f>
        <v>1.13897752418755</v>
      </c>
      <c r="AT9" s="7" t="n">
        <f aca="false">($AR9+0.26*$AQ9+$AZ$9)/$AZ$7</f>
        <v>0.804515008682709</v>
      </c>
      <c r="AU9" s="7" t="n">
        <f aca="false">(IF($AC$3="X",$AA$9+0.42*IF($AC$3="X",$C$13,$C$12),IF($AC$3="X",$C$13,$C$12)+0.42*$AA$9)+$AZ$8)/$AZ$7</f>
        <v>1.24317003225006</v>
      </c>
      <c r="AV9" s="7" t="n">
        <f aca="false">($AB$9+0.26*IF($AC$3="X",IF($AC$3="X",$C$13,$C$12),$AA$9)+$AZ$9)/$AZ$7</f>
        <v>0.856611262713967</v>
      </c>
      <c r="AY9" s="5" t="s">
        <v>86</v>
      </c>
      <c r="AZ9" s="8" t="n">
        <f aca="false">($AZ$7-($AZ$4+2*$AZ$5))/2+$AZ$5</f>
        <v>0.672</v>
      </c>
    </row>
    <row r="10" customFormat="false" ht="21" hidden="false" customHeight="true" outlineLevel="0" collapsed="false">
      <c r="B10" s="9" t="s">
        <v>87</v>
      </c>
      <c r="C10" s="9"/>
      <c r="D10" s="9"/>
      <c r="E10" s="9"/>
      <c r="F10" s="9"/>
      <c r="AA10" s="7" t="n">
        <f aca="false">$C$23*7/8</f>
        <v>14</v>
      </c>
      <c r="AB10" s="7" t="n">
        <f aca="false">IF($C$14="PLANO",$C$17,IF($C$14="DOS AGUAS",$C$17+($C$18-$C$17)*(1-ABS(2*($AA$10)/$C$23-1)),IF($C$14="UN AGUA",IF(N($C$25)=0,$C$18-($C$18-$C$17)*($AA$10)/$C$23,$C$17+($C$18-$C$17)*($AA$10)/$C$23),$C$17+4*($C$18-$C$17)*($AA$10)/$C$23*(1-($AA$10)/$C$23))))</f>
        <v>9.92</v>
      </c>
      <c r="AE10" s="7" t="n">
        <f aca="false">ABERTURAS!$D$51*3/8</f>
        <v>3.78</v>
      </c>
      <c r="AF10" s="7" t="n">
        <f aca="false">IF(ABERTURAS!$E$51="SÍ",$AB$6,ABERTURAS!$F$51)</f>
        <v>10.62</v>
      </c>
      <c r="AG10" s="7" t="n">
        <f aca="false">($AE10+0.42*0+$AZ$8)/$AZ$7</f>
        <v>0.539870602828082</v>
      </c>
      <c r="AH10" s="7" t="n">
        <f aca="false">($AF10+0.26*0+$AZ$9)/$AZ$7</f>
        <v>0.700322500620194</v>
      </c>
      <c r="AI10" s="7" t="n">
        <f aca="false">ABERTURAS!$D$52*3/8</f>
        <v>3.78</v>
      </c>
      <c r="AJ10" s="7" t="n">
        <f aca="false">IF(ABERTURAS!$E$52="SÍ",$AB$6,ABERTURAS!$F$52)</f>
        <v>9.82</v>
      </c>
      <c r="AK10" s="7" t="n">
        <f aca="false">($AI10+0.42*$C$13+$AZ$8)/$AZ$7</f>
        <v>0.956640635078144</v>
      </c>
      <c r="AL10" s="7" t="n">
        <f aca="false">($AJ10+0.26*$C$13+$AZ$9)/$AZ$7</f>
        <v>0.908707516745225</v>
      </c>
      <c r="AM10" s="7" t="n">
        <f aca="false">ABERTURAS!$D$53*3/8</f>
        <v>6</v>
      </c>
      <c r="AN10" s="7" t="n">
        <f aca="false">IF(ABERTURAS!$E$53="SÍ",$AB$6,ABERTURAS!$F$53)</f>
        <v>10.32</v>
      </c>
      <c r="AO10" s="7" t="n">
        <f aca="false">(0+0.42*$AM10+$AZ$8)/$AZ$7</f>
        <v>0.461726221781196</v>
      </c>
      <c r="AP10" s="7" t="n">
        <f aca="false">($AN10+0.26*$AM10+$AZ$9)/$AZ$7</f>
        <v>0.77846688166708</v>
      </c>
      <c r="AQ10" s="7" t="n">
        <f aca="false">ABERTURAS!$D$54*3/8</f>
        <v>6</v>
      </c>
      <c r="AR10" s="7" t="n">
        <f aca="false">IF(ABERTURAS!$E$54="SÍ",$AB$6,ABERTURAS!$F$54)</f>
        <v>10.32</v>
      </c>
      <c r="AS10" s="7" t="n">
        <f aca="false">($C$12+0.42*$AQ10+$AZ$8)/$AZ$7</f>
        <v>1.08688127015629</v>
      </c>
      <c r="AT10" s="7" t="n">
        <f aca="false">($AR10+0.26*$AQ10+$AZ$9)/$AZ$7</f>
        <v>0.77846688166708</v>
      </c>
      <c r="AU10" s="7" t="n">
        <f aca="false">(IF($AC$3="X",$AA$9+0.42*0,0+0.42*$AA$9)+$AZ$8)/$AZ$7</f>
        <v>0.618014983874969</v>
      </c>
      <c r="AV10" s="7" t="n">
        <f aca="false">($AB$9+0.26*IF($AC$3="X",0,$AA$9)+$AZ$9)/$AZ$7</f>
        <v>0.856611262713967</v>
      </c>
    </row>
    <row r="11" customFormat="false" ht="30" hidden="false" customHeight="true" outlineLevel="0" collapsed="false">
      <c r="B11" s="10" t="s">
        <v>71</v>
      </c>
      <c r="C11" s="10" t="s">
        <v>72</v>
      </c>
      <c r="D11" s="10" t="s">
        <v>73</v>
      </c>
      <c r="E11" s="10" t="s">
        <v>74</v>
      </c>
      <c r="F11" s="10" t="s">
        <v>75</v>
      </c>
      <c r="AA11" s="7" t="n">
        <f aca="false">$C$23*8/8</f>
        <v>16</v>
      </c>
      <c r="AB11" s="7" t="n">
        <f aca="false">IF($C$14="PLANO",$C$17,IF($C$14="DOS AGUAS",$C$17+($C$18-$C$17)*(1-ABS(2*($AA$11)/$C$23-1)),IF($C$14="UN AGUA",IF(N($C$25)=0,$C$18-($C$18-$C$17)*($AA$11)/$C$23,$C$17+($C$18-$C$17)*($AA$11)/$C$23),$C$17+4*($C$18-$C$17)*($AA$11)/$C$23*(1-($AA$11)/$C$23))))</f>
        <v>9.82</v>
      </c>
      <c r="AE11" s="7" t="n">
        <f aca="false">ABERTURAS!$D$51*2/8</f>
        <v>2.52</v>
      </c>
      <c r="AF11" s="7" t="n">
        <f aca="false">IF(ABERTURAS!$E$51="SÍ",$AB$5,ABERTURAS!$F$51)</f>
        <v>10.62</v>
      </c>
      <c r="AG11" s="7" t="n">
        <f aca="false">($AE11+0.42*0+$AZ$8)/$AZ$7</f>
        <v>0.461726221781196</v>
      </c>
      <c r="AH11" s="7" t="n">
        <f aca="false">($AF11+0.26*0+$AZ$9)/$AZ$7</f>
        <v>0.700322500620194</v>
      </c>
      <c r="AI11" s="7" t="n">
        <f aca="false">ABERTURAS!$D$52*2/8</f>
        <v>2.52</v>
      </c>
      <c r="AJ11" s="7" t="n">
        <f aca="false">IF(ABERTURAS!$E$52="SÍ",$AB$5,ABERTURAS!$F$52)</f>
        <v>9.82</v>
      </c>
      <c r="AK11" s="7" t="n">
        <f aca="false">($AI11+0.42*$C$13+$AZ$8)/$AZ$7</f>
        <v>0.878496254031258</v>
      </c>
      <c r="AL11" s="7" t="n">
        <f aca="false">($AJ11+0.26*$C$13+$AZ$9)/$AZ$7</f>
        <v>0.908707516745225</v>
      </c>
      <c r="AM11" s="7" t="n">
        <f aca="false">ABERTURAS!$D$53*2/8</f>
        <v>4</v>
      </c>
      <c r="AN11" s="7" t="n">
        <f aca="false">IF(ABERTURAS!$E$53="SÍ",$AB$5,ABERTURAS!$F$53)</f>
        <v>10.42</v>
      </c>
      <c r="AO11" s="7" t="n">
        <f aca="false">(0+0.42*$AM11+$AZ$8)/$AZ$7</f>
        <v>0.409629967749938</v>
      </c>
      <c r="AP11" s="7" t="n">
        <f aca="false">($AN11+0.26*$AM11+$AZ$9)/$AZ$7</f>
        <v>0.752418754651451</v>
      </c>
      <c r="AQ11" s="7" t="n">
        <f aca="false">ABERTURAS!$D$54*2/8</f>
        <v>4</v>
      </c>
      <c r="AR11" s="7" t="n">
        <f aca="false">IF(ABERTURAS!$E$54="SÍ",$AB$5,ABERTURAS!$F$54)</f>
        <v>10.42</v>
      </c>
      <c r="AS11" s="7" t="n">
        <f aca="false">($C$12+0.42*$AQ11+$AZ$8)/$AZ$7</f>
        <v>1.03478501612503</v>
      </c>
      <c r="AT11" s="7" t="n">
        <f aca="false">($AR11+0.26*$AQ11+$AZ$9)/$AZ$7</f>
        <v>0.752418754651451</v>
      </c>
      <c r="AU11" s="7" t="n">
        <f aca="false">(IF($AC$3="X",$AA$11+0.42*0,0+0.42*$AA$11)+$AZ$8)/$AZ$7</f>
        <v>0.722207491937485</v>
      </c>
      <c r="AV11" s="7" t="n">
        <f aca="false">($AB$11+0.26*IF($AC$3="X",0,$AA$11)+$AZ$9)/$AZ$7</f>
        <v>0.908707516745225</v>
      </c>
    </row>
    <row r="12" customFormat="false" ht="27" hidden="false" customHeight="true" outlineLevel="0" collapsed="false">
      <c r="B12" s="11" t="s">
        <v>88</v>
      </c>
      <c r="C12" s="15" t="n">
        <v>10.08</v>
      </c>
      <c r="D12" s="16" t="s">
        <v>89</v>
      </c>
      <c r="E12" s="13" t="s">
        <v>90</v>
      </c>
      <c r="F12" s="14" t="s">
        <v>91</v>
      </c>
      <c r="AE12" s="7" t="n">
        <f aca="false">ABERTURAS!$D$51*1/8</f>
        <v>1.26</v>
      </c>
      <c r="AF12" s="7" t="n">
        <f aca="false">IF(ABERTURAS!$E$51="SÍ",$AB$4,ABERTURAS!$F$51)</f>
        <v>10.62</v>
      </c>
      <c r="AG12" s="7" t="n">
        <f aca="false">($AE12+0.42*0+$AZ$8)/$AZ$7</f>
        <v>0.383581840734309</v>
      </c>
      <c r="AH12" s="7" t="n">
        <f aca="false">($AF12+0.26*0+$AZ$9)/$AZ$7</f>
        <v>0.700322500620194</v>
      </c>
      <c r="AI12" s="7" t="n">
        <f aca="false">ABERTURAS!$D$52*1/8</f>
        <v>1.26</v>
      </c>
      <c r="AJ12" s="7" t="n">
        <f aca="false">IF(ABERTURAS!$E$52="SÍ",$AB$4,ABERTURAS!$F$52)</f>
        <v>9.82</v>
      </c>
      <c r="AK12" s="7" t="n">
        <f aca="false">($AI12+0.42*$C$13+$AZ$8)/$AZ$7</f>
        <v>0.800351872984371</v>
      </c>
      <c r="AL12" s="7" t="n">
        <f aca="false">($AJ12+0.26*$C$13+$AZ$9)/$AZ$7</f>
        <v>0.908707516745225</v>
      </c>
      <c r="AM12" s="7" t="n">
        <f aca="false">ABERTURAS!$D$53*1/8</f>
        <v>2</v>
      </c>
      <c r="AN12" s="7" t="n">
        <f aca="false">IF(ABERTURAS!$E$53="SÍ",$AB$4,ABERTURAS!$F$53)</f>
        <v>10.52</v>
      </c>
      <c r="AO12" s="7" t="n">
        <f aca="false">(0+0.42*$AM12+$AZ$8)/$AZ$7</f>
        <v>0.35753371371868</v>
      </c>
      <c r="AP12" s="7" t="n">
        <f aca="false">($AN12+0.26*$AM12+$AZ$9)/$AZ$7</f>
        <v>0.726370627635822</v>
      </c>
      <c r="AQ12" s="7" t="n">
        <f aca="false">ABERTURAS!$D$54*1/8</f>
        <v>2</v>
      </c>
      <c r="AR12" s="7" t="n">
        <f aca="false">IF(ABERTURAS!$E$54="SÍ",$AB$4,ABERTURAS!$F$54)</f>
        <v>10.52</v>
      </c>
      <c r="AS12" s="7" t="n">
        <f aca="false">($C$12+0.42*$AQ12+$AZ$8)/$AZ$7</f>
        <v>0.982688762093773</v>
      </c>
      <c r="AT12" s="7" t="n">
        <f aca="false">($AR12+0.26*$AQ12+$AZ$9)/$AZ$7</f>
        <v>0.726370627635822</v>
      </c>
      <c r="AU12" s="7" t="n">
        <f aca="false">(IF($AC$3="X",$AA$11+0.42*IF($AC$3="X",$C$13,$C$12),IF($AC$3="X",$C$13,$C$12)+0.42*$AA$11)+$AZ$8)/$AZ$7</f>
        <v>1.34736254031258</v>
      </c>
      <c r="AV12" s="7" t="n">
        <f aca="false">($AB$11+0.26*IF($AC$3="X",IF($AC$3="X",$C$13,$C$12),$AA$11)+$AZ$9)/$AZ$7</f>
        <v>0.908707516745225</v>
      </c>
    </row>
    <row r="13" customFormat="false" ht="16.5" hidden="false" customHeight="true" outlineLevel="0" collapsed="false">
      <c r="B13" s="11" t="s">
        <v>92</v>
      </c>
      <c r="C13" s="15" t="n">
        <v>16</v>
      </c>
      <c r="D13" s="16" t="s">
        <v>89</v>
      </c>
      <c r="E13" s="13" t="s">
        <v>93</v>
      </c>
      <c r="F13" s="14" t="s">
        <v>91</v>
      </c>
      <c r="AE13" s="7" t="n">
        <f aca="false">ABERTURAS!$D$51*0/8</f>
        <v>0</v>
      </c>
      <c r="AF13" s="7" t="n">
        <f aca="false">IF(ABERTURAS!$E$51="SÍ",$AB$3,ABERTURAS!$F$51)</f>
        <v>10.62</v>
      </c>
      <c r="AG13" s="7" t="n">
        <f aca="false">($AE13+0.42*0+$AZ$8)/$AZ$7</f>
        <v>0.305437459687422</v>
      </c>
      <c r="AH13" s="7" t="n">
        <f aca="false">($AF13+0.26*0+$AZ$9)/$AZ$7</f>
        <v>0.700322500620194</v>
      </c>
      <c r="AI13" s="7" t="n">
        <f aca="false">ABERTURAS!$D$52*0/8</f>
        <v>0</v>
      </c>
      <c r="AJ13" s="7" t="n">
        <f aca="false">IF(ABERTURAS!$E$52="SÍ",$AB$3,ABERTURAS!$F$52)</f>
        <v>9.82</v>
      </c>
      <c r="AK13" s="7" t="n">
        <f aca="false">($AI13+0.42*$C$13+$AZ$8)/$AZ$7</f>
        <v>0.722207491937485</v>
      </c>
      <c r="AL13" s="7" t="n">
        <f aca="false">($AJ13+0.26*$C$13+$AZ$9)/$AZ$7</f>
        <v>0.908707516745225</v>
      </c>
      <c r="AM13" s="7" t="n">
        <f aca="false">ABERTURAS!$D$53*0/8</f>
        <v>0</v>
      </c>
      <c r="AN13" s="7" t="n">
        <f aca="false">IF(ABERTURAS!$E$53="SÍ",$AB$3,ABERTURAS!$F$53)</f>
        <v>10.62</v>
      </c>
      <c r="AO13" s="7" t="n">
        <f aca="false">(0+0.42*$AM13+$AZ$8)/$AZ$7</f>
        <v>0.305437459687422</v>
      </c>
      <c r="AP13" s="7" t="n">
        <f aca="false">($AN13+0.26*$AM13+$AZ$9)/$AZ$7</f>
        <v>0.700322500620194</v>
      </c>
      <c r="AQ13" s="7" t="n">
        <f aca="false">ABERTURAS!$D$54*0/8</f>
        <v>0</v>
      </c>
      <c r="AR13" s="7" t="n">
        <f aca="false">IF(ABERTURAS!$E$54="SÍ",$AB$3,ABERTURAS!$F$54)</f>
        <v>10.62</v>
      </c>
      <c r="AS13" s="7" t="n">
        <f aca="false">($C$12+0.42*$AQ13+$AZ$8)/$AZ$7</f>
        <v>0.930592508062516</v>
      </c>
      <c r="AT13" s="7" t="n">
        <f aca="false">($AR13+0.26*$AQ13+$AZ$9)/$AZ$7</f>
        <v>0.700322500620194</v>
      </c>
    </row>
    <row r="14" customFormat="false" ht="16.5" hidden="false" customHeight="true" outlineLevel="0" collapsed="false">
      <c r="B14" s="11" t="s">
        <v>94</v>
      </c>
      <c r="C14" s="17" t="s">
        <v>95</v>
      </c>
      <c r="D14" s="16" t="s">
        <v>80</v>
      </c>
      <c r="E14" s="13" t="s">
        <v>96</v>
      </c>
      <c r="F14" s="14" t="s">
        <v>97</v>
      </c>
      <c r="AE14" s="7" t="n">
        <f aca="false">0</f>
        <v>0</v>
      </c>
      <c r="AF14" s="7" t="n">
        <f aca="false">0</f>
        <v>0</v>
      </c>
      <c r="AG14" s="7" t="n">
        <f aca="false">($AE14+0.42*0+$AZ$8)/$AZ$7</f>
        <v>0.305437459687422</v>
      </c>
      <c r="AH14" s="7" t="n">
        <f aca="false">($AF14+0.26*0+$AZ$9)/$AZ$7</f>
        <v>0.0416770032250062</v>
      </c>
      <c r="AI14" s="7" t="n">
        <f aca="false">0</f>
        <v>0</v>
      </c>
      <c r="AJ14" s="7" t="n">
        <f aca="false">0</f>
        <v>0</v>
      </c>
      <c r="AK14" s="7" t="n">
        <f aca="false">($AI14+0.42*$C$13+$AZ$8)/$AZ$7</f>
        <v>0.722207491937485</v>
      </c>
      <c r="AL14" s="7" t="n">
        <f aca="false">($AJ14+0.26*$C$13+$AZ$9)/$AZ$7</f>
        <v>0.299677499379807</v>
      </c>
      <c r="AM14" s="7" t="n">
        <f aca="false">0</f>
        <v>0</v>
      </c>
      <c r="AN14" s="7" t="n">
        <f aca="false">0</f>
        <v>0</v>
      </c>
      <c r="AO14" s="7" t="n">
        <f aca="false">(0+0.42*$AM14+$AZ$8)/$AZ$7</f>
        <v>0.305437459687422</v>
      </c>
      <c r="AP14" s="7" t="n">
        <f aca="false">($AN14+0.26*$AM14+$AZ$9)/$AZ$7</f>
        <v>0.0416770032250062</v>
      </c>
      <c r="AQ14" s="7" t="n">
        <f aca="false">0</f>
        <v>0</v>
      </c>
      <c r="AR14" s="7" t="n">
        <f aca="false">0</f>
        <v>0</v>
      </c>
      <c r="AS14" s="7" t="n">
        <f aca="false">($C$12+0.42*$AQ14+$AZ$8)/$AZ$7</f>
        <v>0.930592508062516</v>
      </c>
      <c r="AT14" s="7" t="n">
        <f aca="false">($AR14+0.26*$AQ14+$AZ$9)/$AZ$7</f>
        <v>0.0416770032250062</v>
      </c>
    </row>
    <row r="15" customFormat="false" ht="49.5" hidden="false" customHeight="true" outlineLevel="0" collapsed="false">
      <c r="B15" s="11" t="s">
        <v>98</v>
      </c>
      <c r="C15" s="17" t="s">
        <v>99</v>
      </c>
      <c r="D15" s="16" t="s">
        <v>80</v>
      </c>
      <c r="E15" s="13" t="s">
        <v>100</v>
      </c>
      <c r="F15" s="14" t="s">
        <v>101</v>
      </c>
    </row>
    <row r="16" customFormat="false" ht="38.25" hidden="false" customHeight="true" outlineLevel="0" collapsed="false">
      <c r="B16" s="11" t="s">
        <v>102</v>
      </c>
      <c r="C16" s="17" t="s">
        <v>103</v>
      </c>
      <c r="D16" s="16" t="s">
        <v>80</v>
      </c>
      <c r="E16" s="13" t="s">
        <v>104</v>
      </c>
      <c r="F16" s="14" t="s">
        <v>101</v>
      </c>
    </row>
    <row r="17" customFormat="false" ht="29.25" hidden="false" customHeight="true" outlineLevel="0" collapsed="false">
      <c r="B17" s="11" t="s">
        <v>105</v>
      </c>
      <c r="C17" s="15" t="n">
        <v>9.82</v>
      </c>
      <c r="D17" s="16" t="s">
        <v>89</v>
      </c>
      <c r="E17" s="13" t="s">
        <v>106</v>
      </c>
      <c r="F17" s="14" t="s">
        <v>91</v>
      </c>
    </row>
    <row r="18" customFormat="false" ht="29.25" hidden="false" customHeight="true" outlineLevel="0" collapsed="false">
      <c r="B18" s="11" t="s">
        <v>107</v>
      </c>
      <c r="C18" s="15" t="n">
        <v>10.62</v>
      </c>
      <c r="D18" s="16" t="s">
        <v>89</v>
      </c>
      <c r="E18" s="13" t="s">
        <v>108</v>
      </c>
      <c r="F18" s="14" t="s">
        <v>91</v>
      </c>
    </row>
    <row r="19" customFormat="false" ht="27" hidden="false" customHeight="true" outlineLevel="0" collapsed="false">
      <c r="B19" s="11" t="s">
        <v>109</v>
      </c>
      <c r="C19" s="17" t="s">
        <v>110</v>
      </c>
      <c r="D19" s="16" t="s">
        <v>80</v>
      </c>
      <c r="E19" s="13" t="s">
        <v>111</v>
      </c>
      <c r="F19" s="14" t="s">
        <v>112</v>
      </c>
    </row>
    <row r="20" customFormat="false" ht="27" hidden="false" customHeight="true" outlineLevel="0" collapsed="false">
      <c r="B20" s="11" t="s">
        <v>113</v>
      </c>
      <c r="C20" s="15" t="n">
        <v>6.75</v>
      </c>
      <c r="D20" s="16" t="s">
        <v>89</v>
      </c>
      <c r="E20" s="13" t="s">
        <v>114</v>
      </c>
      <c r="F20" s="14" t="s">
        <v>91</v>
      </c>
    </row>
    <row r="21" customFormat="false" ht="16.5" hidden="false" customHeight="true" outlineLevel="0" collapsed="false">
      <c r="B21" s="11" t="s">
        <v>115</v>
      </c>
      <c r="C21" s="18" t="n">
        <f aca="false">IF($C$14="PLANO",$C$17,MAX($C$17,$C$18))</f>
        <v>10.62</v>
      </c>
      <c r="D21" s="16" t="s">
        <v>89</v>
      </c>
      <c r="E21" s="13" t="s">
        <v>116</v>
      </c>
      <c r="F21" s="14" t="s">
        <v>80</v>
      </c>
    </row>
    <row r="22" customFormat="false" ht="27" hidden="false" customHeight="true" outlineLevel="0" collapsed="false">
      <c r="B22" s="11" t="s">
        <v>117</v>
      </c>
      <c r="C22" s="16" t="str">
        <f aca="false">IF($C$14="PLANO","—",IF($C$14="UN AGUA",IF(OR(LEFT($C$15,6)="MURO 1",LEFT($C$15,6)="MURO 2"),"Z","X"),IF(LEFT($C$16,1)="L","X","Z")))</f>
        <v>Z</v>
      </c>
      <c r="D22" s="16" t="s">
        <v>80</v>
      </c>
      <c r="E22" s="13" t="s">
        <v>118</v>
      </c>
      <c r="F22" s="14" t="s">
        <v>119</v>
      </c>
    </row>
    <row r="23" customFormat="false" ht="16.5" hidden="false" customHeight="true" outlineLevel="0" collapsed="false">
      <c r="B23" s="11" t="s">
        <v>120</v>
      </c>
      <c r="C23" s="18" t="n">
        <f aca="false">IF($C$22="Z",$C$13,$C$12)</f>
        <v>16</v>
      </c>
      <c r="D23" s="16" t="s">
        <v>89</v>
      </c>
      <c r="E23" s="13" t="s">
        <v>116</v>
      </c>
      <c r="F23" s="14" t="s">
        <v>80</v>
      </c>
    </row>
    <row r="24" customFormat="false" ht="16.5" hidden="false" customHeight="true" outlineLevel="0" collapsed="false">
      <c r="B24" s="11" t="s">
        <v>121</v>
      </c>
      <c r="C24" s="16" t="str">
        <f aca="false">IF($C$14&lt;&gt;"UN AGUA","—",CHOOSE(VALUE(MID($C$15,6,1)),"MURO 2","MURO 1","MURO 4","MURO 3"))</f>
        <v>MURO 1</v>
      </c>
      <c r="D24" s="16" t="s">
        <v>80</v>
      </c>
      <c r="E24" s="13" t="s">
        <v>122</v>
      </c>
      <c r="F24" s="14" t="s">
        <v>119</v>
      </c>
    </row>
    <row r="25" customFormat="false" ht="27" hidden="false" customHeight="true" outlineLevel="0" collapsed="false">
      <c r="B25" s="11" t="s">
        <v>123</v>
      </c>
      <c r="C25" s="18" t="n">
        <f aca="false">IF($C$14&lt;&gt;"UN AGUA","—",IF(OR($C$24="MURO 1",$C$24="MURO 3"),0,$C$23))</f>
        <v>0</v>
      </c>
      <c r="D25" s="16" t="s">
        <v>89</v>
      </c>
      <c r="E25" s="13" t="s">
        <v>124</v>
      </c>
      <c r="F25" s="14" t="s">
        <v>80</v>
      </c>
    </row>
    <row r="26" customFormat="false" ht="16.5" hidden="false" customHeight="true" outlineLevel="0" collapsed="false">
      <c r="B26" s="11" t="s">
        <v>125</v>
      </c>
      <c r="C26" s="18" t="n">
        <f aca="false">IF($C$14="DOS AGUAS",DEGREES(ATAN(($C$18-$C$17)/($C$23/2))),IF($C$14="UN AGUA",DEGREES(ATAN(($C$18-$C$17)/$C$23)),0))</f>
        <v>2.86240522611174</v>
      </c>
      <c r="D26" s="16" t="s">
        <v>126</v>
      </c>
      <c r="E26" s="13" t="s">
        <v>127</v>
      </c>
      <c r="F26" s="14" t="s">
        <v>128</v>
      </c>
    </row>
    <row r="27" customFormat="false" ht="16.5" hidden="false" customHeight="true" outlineLevel="0" collapsed="false">
      <c r="B27" s="11" t="s">
        <v>129</v>
      </c>
      <c r="C27" s="19" t="n">
        <f aca="false">TAN(RADIANS($C$26))</f>
        <v>0.0499999999999999</v>
      </c>
      <c r="D27" s="16" t="s">
        <v>130</v>
      </c>
      <c r="E27" s="13" t="s">
        <v>116</v>
      </c>
      <c r="F27" s="14" t="s">
        <v>80</v>
      </c>
    </row>
    <row r="28" customFormat="false" ht="16.5" hidden="false" customHeight="true" outlineLevel="0" collapsed="false">
      <c r="B28" s="11" t="s">
        <v>131</v>
      </c>
      <c r="C28" s="20" t="str">
        <f aca="false">IF(OR(N($C$12)&lt;=0,N($C$13)&lt;=0),"FALTA B o L",IF(AND(N($C$17)&lt;=0,NOT(AND($C$14="CURVO",$C$19="SÍ"))),"FALTA h_a",IF(AND($C$14&lt;&gt;"PLANO",N($C$18)&lt;=N($C$17)),"h_c debe ser mayor que h_a (salvo techo PLANO)",IF(AND($C$14="CURVO",PRESIONES!$C$17&gt;0.6),"Techo curvo con r &gt; 0.6: fuera de la Tabla 4.2","OK"))))</f>
        <v>OK</v>
      </c>
      <c r="D28" s="16" t="s">
        <v>80</v>
      </c>
      <c r="E28" s="13" t="s">
        <v>132</v>
      </c>
      <c r="F28" s="14" t="s">
        <v>80</v>
      </c>
    </row>
    <row r="29" customFormat="false" ht="30" hidden="false" customHeight="true" outlineLevel="0" collapsed="false">
      <c r="B29" s="21" t="s">
        <v>133</v>
      </c>
      <c r="C29" s="21"/>
      <c r="D29" s="21"/>
      <c r="E29" s="21"/>
      <c r="F29" s="21"/>
    </row>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21" hidden="false" customHeight="true" outlineLevel="0" collapsed="false">
      <c r="B52" s="9" t="s">
        <v>134</v>
      </c>
      <c r="C52" s="9"/>
      <c r="D52" s="9"/>
      <c r="E52" s="9"/>
      <c r="F52" s="9"/>
    </row>
    <row r="53" customFormat="false" ht="30" hidden="false" customHeight="true" outlineLevel="0" collapsed="false">
      <c r="B53" s="10" t="s">
        <v>71</v>
      </c>
      <c r="C53" s="10" t="s">
        <v>72</v>
      </c>
      <c r="D53" s="10" t="s">
        <v>73</v>
      </c>
      <c r="E53" s="10" t="s">
        <v>74</v>
      </c>
      <c r="F53" s="10" t="s">
        <v>75</v>
      </c>
    </row>
    <row r="54" customFormat="false" ht="49.5" hidden="false" customHeight="true" outlineLevel="0" collapsed="false">
      <c r="B54" s="11" t="s">
        <v>135</v>
      </c>
      <c r="C54" s="17" t="s">
        <v>136</v>
      </c>
      <c r="D54" s="16" t="s">
        <v>80</v>
      </c>
      <c r="E54" s="13" t="s">
        <v>137</v>
      </c>
      <c r="F54" s="14" t="s">
        <v>138</v>
      </c>
    </row>
    <row r="55" customFormat="false" ht="16.5" hidden="false" customHeight="true" outlineLevel="0" collapsed="false">
      <c r="B55" s="11" t="s">
        <v>139</v>
      </c>
      <c r="C55" s="18" t="n">
        <f aca="false">INDEX(TABLAS!$D$7:$D$9,MATCH($C$54,TABLAS!$B$7:$B$9,0))</f>
        <v>1.6</v>
      </c>
      <c r="D55" s="16" t="s">
        <v>80</v>
      </c>
      <c r="E55" s="13" t="s">
        <v>140</v>
      </c>
      <c r="F55" s="14" t="s">
        <v>138</v>
      </c>
    </row>
    <row r="56" customFormat="false" ht="16.5" hidden="false" customHeight="true" outlineLevel="0" collapsed="false">
      <c r="B56" s="11" t="s">
        <v>141</v>
      </c>
      <c r="C56" s="22" t="n">
        <f aca="false">INDEX(TABLAS!$E$7:$E$9,MATCH($C$54,TABLAS!$B$7:$B$9,0))</f>
        <v>7</v>
      </c>
      <c r="D56" s="16" t="s">
        <v>80</v>
      </c>
      <c r="E56" s="13" t="s">
        <v>142</v>
      </c>
      <c r="F56" s="14" t="s">
        <v>143</v>
      </c>
    </row>
    <row r="57" customFormat="false" ht="16.5" hidden="false" customHeight="true" outlineLevel="0" collapsed="false">
      <c r="B57" s="11" t="s">
        <v>144</v>
      </c>
      <c r="C57" s="23" t="n">
        <v>30</v>
      </c>
      <c r="D57" s="16" t="s">
        <v>145</v>
      </c>
      <c r="E57" s="13" t="s">
        <v>146</v>
      </c>
      <c r="F57" s="14" t="s">
        <v>147</v>
      </c>
    </row>
    <row r="58" customFormat="false" ht="27" hidden="false" customHeight="true" outlineLevel="0" collapsed="false">
      <c r="B58" s="11" t="s">
        <v>148</v>
      </c>
      <c r="C58" s="15" t="n">
        <v>0.579</v>
      </c>
      <c r="D58" s="16" t="s">
        <v>81</v>
      </c>
      <c r="E58" s="13" t="s">
        <v>149</v>
      </c>
      <c r="F58" s="14" t="s">
        <v>150</v>
      </c>
    </row>
    <row r="59" customFormat="false" ht="16.5" hidden="false" customHeight="true" outlineLevel="0" collapsed="false">
      <c r="B59" s="11" t="s">
        <v>151</v>
      </c>
      <c r="C59" s="18" t="n">
        <f aca="false">$C$21/MIN($C$12,$C$13)</f>
        <v>1.05357142857143</v>
      </c>
      <c r="D59" s="16" t="s">
        <v>80</v>
      </c>
      <c r="E59" s="13" t="s">
        <v>116</v>
      </c>
      <c r="F59" s="14" t="s">
        <v>152</v>
      </c>
    </row>
    <row r="60" customFormat="false" ht="38.25" hidden="false" customHeight="true" outlineLevel="0" collapsed="false">
      <c r="B60" s="11" t="s">
        <v>153</v>
      </c>
      <c r="C60" s="24" t="str">
        <f aca="false">IF(AND($C$59&lt;=5,$C$58&lt;=2),"TIPO 1","TIPO 2")</f>
        <v>TIPO 1</v>
      </c>
      <c r="D60" s="16" t="s">
        <v>80</v>
      </c>
      <c r="E60" s="13" t="s">
        <v>154</v>
      </c>
      <c r="F60" s="14" t="s">
        <v>155</v>
      </c>
    </row>
    <row r="61" customFormat="false" ht="16.5" hidden="false" customHeight="true" outlineLevel="0" collapsed="false">
      <c r="B61" s="11" t="s">
        <v>156</v>
      </c>
      <c r="C61" s="18" t="n">
        <f aca="false">IF($C$60="TIPO 2",1.3,1)</f>
        <v>1</v>
      </c>
      <c r="D61" s="16" t="s">
        <v>80</v>
      </c>
      <c r="E61" s="13" t="s">
        <v>116</v>
      </c>
      <c r="F61" s="14" t="s">
        <v>157</v>
      </c>
    </row>
    <row r="62" customFormat="false" ht="15" hidden="false" customHeight="true" outlineLevel="0" collapsed="false"/>
    <row r="63" customFormat="false" ht="21" hidden="false" customHeight="true" outlineLevel="0" collapsed="false">
      <c r="B63" s="9" t="s">
        <v>158</v>
      </c>
      <c r="C63" s="9"/>
      <c r="D63" s="9"/>
      <c r="E63" s="9"/>
      <c r="F63" s="9"/>
    </row>
    <row r="64" customFormat="false" ht="30" hidden="false" customHeight="true" outlineLevel="0" collapsed="false">
      <c r="B64" s="10" t="s">
        <v>71</v>
      </c>
      <c r="C64" s="10" t="s">
        <v>72</v>
      </c>
      <c r="D64" s="10" t="s">
        <v>73</v>
      </c>
      <c r="E64" s="10" t="s">
        <v>74</v>
      </c>
      <c r="F64" s="10" t="s">
        <v>75</v>
      </c>
    </row>
    <row r="65" customFormat="false" ht="27" hidden="false" customHeight="true" outlineLevel="0" collapsed="false">
      <c r="B65" s="11" t="s">
        <v>159</v>
      </c>
      <c r="C65" s="17" t="s">
        <v>160</v>
      </c>
      <c r="D65" s="16" t="s">
        <v>80</v>
      </c>
      <c r="E65" s="13" t="s">
        <v>161</v>
      </c>
      <c r="F65" s="14" t="s">
        <v>162</v>
      </c>
    </row>
    <row r="66" customFormat="false" ht="27" hidden="false" customHeight="true" outlineLevel="0" collapsed="false">
      <c r="B66" s="11" t="s">
        <v>163</v>
      </c>
      <c r="C66" s="25" t="n">
        <v>8</v>
      </c>
      <c r="D66" s="16" t="s">
        <v>80</v>
      </c>
      <c r="E66" s="13" t="s">
        <v>164</v>
      </c>
      <c r="F66" s="14" t="s">
        <v>165</v>
      </c>
    </row>
    <row r="67" customFormat="false" ht="16.5" hidden="false" customHeight="true" outlineLevel="0" collapsed="false">
      <c r="B67" s="11" t="s">
        <v>166</v>
      </c>
      <c r="C67" s="26" t="n">
        <f aca="false">IF($C$65="CM KG",0.01,IF($C$65="METER KG",1,0.00980665))</f>
        <v>0.01</v>
      </c>
      <c r="D67" s="16" t="s">
        <v>80</v>
      </c>
      <c r="E67" s="13" t="s">
        <v>167</v>
      </c>
      <c r="F67" s="14" t="s">
        <v>80</v>
      </c>
    </row>
    <row r="68" customFormat="false" ht="16.5" hidden="false" customHeight="true" outlineLevel="0" collapsed="false">
      <c r="B68" s="11" t="s">
        <v>168</v>
      </c>
      <c r="C68" s="16" t="str">
        <f aca="false">IF($C$65="METER KG","0.00","0.0000")</f>
        <v>0.0000</v>
      </c>
      <c r="D68" s="16" t="s">
        <v>80</v>
      </c>
      <c r="E68" s="13" t="s">
        <v>116</v>
      </c>
      <c r="F68" s="14" t="s">
        <v>80</v>
      </c>
    </row>
    <row r="69" customFormat="false" ht="38.25" hidden="false" customHeight="true" outlineLevel="0" collapsed="false">
      <c r="B69" s="11" t="s">
        <v>169</v>
      </c>
      <c r="C69" s="25" t="n">
        <v>101</v>
      </c>
      <c r="D69" s="16" t="s">
        <v>80</v>
      </c>
      <c r="E69" s="13" t="s">
        <v>170</v>
      </c>
      <c r="F69" s="14" t="s">
        <v>97</v>
      </c>
    </row>
    <row r="70" customFormat="false" ht="15" hidden="false" customHeight="true" outlineLevel="0" collapsed="false"/>
    <row r="71" customFormat="false" ht="30" hidden="false" customHeight="true" outlineLevel="0" collapsed="false">
      <c r="B71" s="10" t="s">
        <v>171</v>
      </c>
      <c r="C71" s="10" t="s">
        <v>172</v>
      </c>
      <c r="D71" s="10" t="s">
        <v>173</v>
      </c>
      <c r="E71" s="10" t="s">
        <v>174</v>
      </c>
      <c r="F71" s="10" t="s">
        <v>175</v>
      </c>
    </row>
    <row r="72" customFormat="false" ht="30" hidden="false" customHeight="true" outlineLevel="0" collapsed="false">
      <c r="B72" s="20" t="str">
        <f aca="false">"LOAD "&amp;($C$66+0)</f>
        <v>LOAD 8</v>
      </c>
      <c r="C72" s="20" t="s">
        <v>176</v>
      </c>
      <c r="D72" s="16" t="s">
        <v>177</v>
      </c>
      <c r="E72" s="27" t="s">
        <v>178</v>
      </c>
      <c r="F72" s="13" t="s">
        <v>179</v>
      </c>
    </row>
    <row r="73" customFormat="false" ht="30" hidden="false" customHeight="true" outlineLevel="0" collapsed="false">
      <c r="B73" s="20" t="str">
        <f aca="false">"LOAD "&amp;($C$66+1)</f>
        <v>LOAD 9</v>
      </c>
      <c r="C73" s="20" t="s">
        <v>180</v>
      </c>
      <c r="D73" s="16" t="s">
        <v>177</v>
      </c>
      <c r="E73" s="27" t="s">
        <v>181</v>
      </c>
      <c r="F73" s="13" t="s">
        <v>182</v>
      </c>
    </row>
    <row r="74" customFormat="false" ht="30" hidden="false" customHeight="true" outlineLevel="0" collapsed="false">
      <c r="B74" s="20" t="str">
        <f aca="false">"LOAD "&amp;($C$66+2)</f>
        <v>LOAD 10</v>
      </c>
      <c r="C74" s="20" t="s">
        <v>183</v>
      </c>
      <c r="D74" s="16" t="s">
        <v>177</v>
      </c>
      <c r="E74" s="27" t="s">
        <v>184</v>
      </c>
      <c r="F74" s="13" t="s">
        <v>185</v>
      </c>
    </row>
    <row r="75" customFormat="false" ht="30" hidden="false" customHeight="true" outlineLevel="0" collapsed="false">
      <c r="B75" s="20" t="str">
        <f aca="false">"LOAD "&amp;($C$66+3)</f>
        <v>LOAD 11</v>
      </c>
      <c r="C75" s="20" t="s">
        <v>186</v>
      </c>
      <c r="D75" s="16" t="s">
        <v>177</v>
      </c>
      <c r="E75" s="27" t="s">
        <v>187</v>
      </c>
      <c r="F75" s="13" t="s">
        <v>188</v>
      </c>
    </row>
    <row r="76" customFormat="false" ht="30" hidden="false" customHeight="true" outlineLevel="0" collapsed="false">
      <c r="B76" s="20" t="str">
        <f aca="false">"LOAD "&amp;($C$66+4)</f>
        <v>LOAD 12</v>
      </c>
      <c r="C76" s="20" t="s">
        <v>176</v>
      </c>
      <c r="D76" s="16" t="s">
        <v>189</v>
      </c>
      <c r="E76" s="27" t="s">
        <v>190</v>
      </c>
      <c r="F76" s="13" t="s">
        <v>191</v>
      </c>
    </row>
    <row r="77" customFormat="false" ht="30" hidden="false" customHeight="true" outlineLevel="0" collapsed="false">
      <c r="B77" s="20" t="str">
        <f aca="false">"LOAD "&amp;($C$66+5)</f>
        <v>LOAD 13</v>
      </c>
      <c r="C77" s="20" t="s">
        <v>180</v>
      </c>
      <c r="D77" s="16" t="s">
        <v>189</v>
      </c>
      <c r="E77" s="27" t="s">
        <v>192</v>
      </c>
      <c r="F77" s="13" t="s">
        <v>193</v>
      </c>
    </row>
    <row r="78" customFormat="false" ht="30" hidden="false" customHeight="true" outlineLevel="0" collapsed="false">
      <c r="B78" s="20" t="str">
        <f aca="false">"LOAD "&amp;($C$66+6)</f>
        <v>LOAD 14</v>
      </c>
      <c r="C78" s="20" t="s">
        <v>183</v>
      </c>
      <c r="D78" s="16" t="s">
        <v>189</v>
      </c>
      <c r="E78" s="27" t="s">
        <v>194</v>
      </c>
      <c r="F78" s="13" t="s">
        <v>195</v>
      </c>
    </row>
    <row r="79" customFormat="false" ht="30" hidden="false" customHeight="true" outlineLevel="0" collapsed="false">
      <c r="B79" s="20" t="str">
        <f aca="false">"LOAD "&amp;($C$66+7)</f>
        <v>LOAD 15</v>
      </c>
      <c r="C79" s="20" t="s">
        <v>186</v>
      </c>
      <c r="D79" s="16" t="s">
        <v>189</v>
      </c>
      <c r="E79" s="27" t="s">
        <v>196</v>
      </c>
      <c r="F79" s="13" t="s">
        <v>197</v>
      </c>
    </row>
  </sheetData>
  <mergeCells count="10">
    <mergeCell ref="B1:F1"/>
    <mergeCell ref="B2:F2"/>
    <mergeCell ref="B3:F3"/>
    <mergeCell ref="B5:F5"/>
    <mergeCell ref="C7:D7"/>
    <mergeCell ref="C8:D8"/>
    <mergeCell ref="B10:F10"/>
    <mergeCell ref="B29:F29"/>
    <mergeCell ref="B52:F52"/>
    <mergeCell ref="B63:F63"/>
  </mergeCells>
  <conditionalFormatting sqref="C15">
    <cfRule type="expression" priority="2" aboveAverage="0" equalAverage="0" bottom="0" percent="0" rank="0" text="" dxfId="0">
      <formula>$C$14&lt;&gt;"UN AGUA"</formula>
    </cfRule>
  </conditionalFormatting>
  <conditionalFormatting sqref="C16">
    <cfRule type="expression" priority="3" aboveAverage="0" equalAverage="0" bottom="0" percent="0" rank="0" text="" dxfId="0">
      <formula>AND($C$14&lt;&gt;"DOS AGUAS",$C$14&lt;&gt;"CURVO")</formula>
    </cfRule>
  </conditionalFormatting>
  <conditionalFormatting sqref="C18">
    <cfRule type="expression" priority="4" aboveAverage="0" equalAverage="0" bottom="0" percent="0" rank="0" text="" dxfId="0">
      <formula>$C$14="PLANO"</formula>
    </cfRule>
  </conditionalFormatting>
  <conditionalFormatting sqref="C19">
    <cfRule type="expression" priority="5" aboveAverage="0" equalAverage="0" bottom="0" percent="0" rank="0" text="" dxfId="0">
      <formula>$C$14&lt;&gt;"CURVO"</formula>
    </cfRule>
  </conditionalFormatting>
  <conditionalFormatting sqref="C28">
    <cfRule type="expression" priority="6" aboveAverage="0" equalAverage="0" bottom="0" percent="0" rank="0" text="" dxfId="1">
      <formula>$C$28="OK"</formula>
    </cfRule>
    <cfRule type="expression" priority="7" aboveAverage="0" equalAverage="0" bottom="0" percent="0" rank="0" text="" dxfId="2">
      <formula>$C$28&lt;&gt;"OK"</formula>
    </cfRule>
  </conditionalFormatting>
  <dataValidations count="6">
    <dataValidation allowBlank="true" error="Elige una opción de la lista." errorStyle="stop" errorTitle="Valor no válido" operator="between" showDropDown="false" showErrorMessage="false" showInputMessage="false" sqref="C14" type="list">
      <formula1>"DOS AGUAS,UN AGUA,PLANO,CURVO"</formula1>
      <formula2>0</formula2>
    </dataValidation>
    <dataValidation allowBlank="true" error="Elige una opción de la lista." errorStyle="stop" errorTitle="Valor no válido" operator="between" showDropDown="false" showErrorMessage="false" showInputMessage="false" sqref="C15" type="list">
      <formula1>"MURO 1 (Z = 0),MURO 2 (Z = L),MURO 3 (X = 0),MURO 4 (X = B)"</formula1>
      <formula2>0</formula2>
    </dataValidation>
    <dataValidation allowBlank="true" error="Elige una opción de la lista." errorStyle="stop" errorTitle="Valor no válido" operator="between" showDropDown="false" showErrorMessage="false" showInputMessage="false" sqref="C16" type="list">
      <formula1>"L (EJE Z),B (EJE X)"</formula1>
      <formula2>0</formula2>
    </dataValidation>
    <dataValidation allowBlank="true" error="Elige una opción de la lista." errorStyle="stop" errorTitle="Valor no válido" operator="between" showDropDown="false" showErrorMessage="false" showInputMessage="false" sqref="C19" type="list">
      <formula1>"SÍ,NO"</formula1>
      <formula2>0</formula2>
    </dataValidation>
    <dataValidation allowBlank="true" error="Elige una opción de la lista." errorStyle="stop" errorTitle="Valor no válido" operator="between" showDropDown="false" showErrorMessage="false" showInputMessage="false" sqref="C54" type="list">
      <formula1>"A,B,C"</formula1>
      <formula2>0</formula2>
    </dataValidation>
    <dataValidation allowBlank="true" error="Elige una opción de la lista." errorStyle="stop" errorTitle="Valor no válido" operator="between" showDropDown="false" showErrorMessage="false" showInputMessage="false" sqref="C65" type="list">
      <formula1>"CM KG,METER KG,METER KN"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DL6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8"/>
    <col collapsed="false" customWidth="true" hidden="false" outlineLevel="0" max="2" min="2" style="1" width="9"/>
    <col collapsed="false" customWidth="true" hidden="false" outlineLevel="0" max="3" min="3" style="1" width="34"/>
    <col collapsed="false" customWidth="true" hidden="false" outlineLevel="0" max="4" min="4" style="1" width="12"/>
    <col collapsed="false" customWidth="true" hidden="false" outlineLevel="0" max="5" min="5" style="1" width="13"/>
    <col collapsed="false" customWidth="true" hidden="false" outlineLevel="0" max="9" min="6" style="1" width="10"/>
    <col collapsed="false" customWidth="true" hidden="false" outlineLevel="0" max="10" min="10" style="1" width="11"/>
    <col collapsed="false" customWidth="true" hidden="false" outlineLevel="0" max="11" min="11" style="1" width="19"/>
    <col collapsed="false" customWidth="true" hidden="false" outlineLevel="0" max="12" min="12" style="1" width="26"/>
    <col collapsed="false" customWidth="true" hidden="false" outlineLevel="0" max="13" min="13" style="1" width="10"/>
    <col collapsed="false" customWidth="true" hidden="false" outlineLevel="0" max="20" min="14" style="1" width="9"/>
    <col collapsed="false" customWidth="true" hidden="false" outlineLevel="0" max="22" min="21" style="1" width="7"/>
    <col collapsed="false" customWidth="true" hidden="false" outlineLevel="0" max="23" min="23" style="1" width="9"/>
  </cols>
  <sheetData>
    <row r="1" customFormat="false" ht="25.5" hidden="false" customHeight="true" outlineLevel="0" collapsed="false">
      <c r="B1" s="2" t="s">
        <v>198</v>
      </c>
      <c r="C1" s="2"/>
      <c r="D1" s="2"/>
      <c r="E1" s="2"/>
      <c r="F1" s="2"/>
      <c r="G1" s="2"/>
      <c r="H1" s="2"/>
      <c r="I1" s="2"/>
      <c r="J1" s="2"/>
      <c r="K1" s="2"/>
      <c r="L1" s="2"/>
    </row>
    <row r="2" customFormat="false" ht="30" hidden="false" customHeight="true" outlineLevel="0" collapsed="false">
      <c r="B2" s="4" t="s">
        <v>199</v>
      </c>
      <c r="C2" s="4"/>
      <c r="D2" s="4"/>
      <c r="E2" s="4"/>
      <c r="F2" s="4"/>
      <c r="G2" s="4"/>
      <c r="H2" s="4"/>
      <c r="I2" s="4"/>
      <c r="J2" s="4"/>
      <c r="K2" s="4"/>
      <c r="L2" s="4"/>
    </row>
    <row r="3" customFormat="false" ht="45" hidden="false" customHeight="true" outlineLevel="0" collapsed="false">
      <c r="B3" s="6" t="s">
        <v>200</v>
      </c>
      <c r="C3" s="6"/>
      <c r="D3" s="6"/>
      <c r="E3" s="6"/>
      <c r="F3" s="6"/>
      <c r="G3" s="6"/>
      <c r="H3" s="6"/>
      <c r="I3" s="6"/>
      <c r="J3" s="6"/>
      <c r="K3" s="6"/>
      <c r="L3" s="6"/>
    </row>
    <row r="4" customFormat="false" ht="6" hidden="false" customHeight="true" outlineLevel="0" collapsed="false"/>
    <row r="5" customFormat="false" ht="21" hidden="false" customHeight="true" outlineLevel="0" collapsed="false">
      <c r="B5" s="9" t="s">
        <v>201</v>
      </c>
      <c r="C5" s="9"/>
      <c r="D5" s="9"/>
      <c r="E5" s="9"/>
      <c r="F5" s="9"/>
      <c r="G5" s="9"/>
      <c r="H5" s="9"/>
      <c r="I5" s="9"/>
      <c r="J5" s="9"/>
      <c r="K5" s="9"/>
      <c r="L5" s="9"/>
      <c r="N5" s="3" t="s">
        <v>202</v>
      </c>
      <c r="Y5" s="3" t="s">
        <v>203</v>
      </c>
    </row>
    <row r="6" customFormat="false" ht="30" hidden="false" customHeight="true" outlineLevel="0" collapsed="false">
      <c r="B6" s="10" t="s">
        <v>204</v>
      </c>
      <c r="C6" s="10" t="s">
        <v>205</v>
      </c>
      <c r="D6" s="10" t="s">
        <v>206</v>
      </c>
      <c r="E6" s="10" t="s">
        <v>207</v>
      </c>
      <c r="F6" s="10" t="s">
        <v>208</v>
      </c>
      <c r="G6" s="10" t="s">
        <v>209</v>
      </c>
      <c r="H6" s="10" t="s">
        <v>210</v>
      </c>
      <c r="I6" s="10" t="s">
        <v>211</v>
      </c>
      <c r="J6" s="10" t="s">
        <v>212</v>
      </c>
      <c r="K6" s="10" t="s">
        <v>213</v>
      </c>
      <c r="L6" s="10" t="s">
        <v>214</v>
      </c>
      <c r="N6" s="5" t="s">
        <v>215</v>
      </c>
      <c r="O6" s="5" t="s">
        <v>216</v>
      </c>
      <c r="P6" s="5" t="s">
        <v>217</v>
      </c>
      <c r="Q6" s="5" t="s">
        <v>218</v>
      </c>
      <c r="R6" s="5" t="s">
        <v>219</v>
      </c>
      <c r="S6" s="5" t="s">
        <v>220</v>
      </c>
      <c r="T6" s="5" t="s">
        <v>221</v>
      </c>
      <c r="U6" s="5" t="s">
        <v>222</v>
      </c>
      <c r="V6" s="5" t="s">
        <v>223</v>
      </c>
      <c r="W6" s="5" t="s">
        <v>224</v>
      </c>
      <c r="Y6" s="5" t="s">
        <v>225</v>
      </c>
      <c r="Z6" s="28" t="n">
        <f aca="false">MAX(1.5,0.1*MAX(DATOS!$C$12,DATOS!$C$13))</f>
        <v>1.6</v>
      </c>
      <c r="AA6" s="5" t="s">
        <v>226</v>
      </c>
      <c r="AB6" s="28" t="n">
        <f aca="false">0</f>
        <v>0</v>
      </c>
      <c r="AC6" s="28" t="n">
        <f aca="false">$D$51+$Z$6</f>
        <v>11.68</v>
      </c>
      <c r="AD6" s="28" t="n">
        <f aca="false">$D$51+$D$52+2*$Z$6</f>
        <v>23.36</v>
      </c>
      <c r="AE6" s="28" t="n">
        <f aca="false">$D$51+$D$52+$D$53+3*$Z$6</f>
        <v>40.96</v>
      </c>
    </row>
    <row r="7" customFormat="false" ht="24.75" hidden="false" customHeight="true" outlineLevel="0" collapsed="false">
      <c r="B7" s="23" t="n">
        <v>1</v>
      </c>
      <c r="C7" s="27" t="s">
        <v>227</v>
      </c>
      <c r="D7" s="17" t="s">
        <v>228</v>
      </c>
      <c r="E7" s="17" t="s">
        <v>229</v>
      </c>
      <c r="F7" s="29" t="n">
        <v>0.6425</v>
      </c>
      <c r="G7" s="29" t="n">
        <v>0</v>
      </c>
      <c r="H7" s="29" t="n">
        <v>1.3014</v>
      </c>
      <c r="I7" s="29" t="n">
        <v>2.4</v>
      </c>
      <c r="J7" s="30" t="n">
        <f aca="false">IF($K7="OK",$H7*$I7,0)</f>
        <v>3.12336</v>
      </c>
      <c r="K7" s="20" t="str">
        <f aca="false">IF($D7="","",IF(OR($F7="",$G7=""),"FALTA POSICIÓN",IF(OR(N($H7)&lt;=0,N($I7)&lt;=0),"FALTA TAMAÑO",IF($E7="","FALTA TIPO",IF(OR(N($F7)&lt;0,N($G7)&lt;0,N($F7)+N($H7)&gt;$W7+0.001),"SE SALE A LO LARGO",IF(N($G7)+N($I7)&gt;MIN($S7,$T7)+0.001,"SE SALE POR ARRIBA","OK"))))))</f>
        <v>OK</v>
      </c>
      <c r="L7" s="31" t="s">
        <v>230</v>
      </c>
      <c r="N7" s="32" t="n">
        <f aca="false">IF($D7="",0,VALUE(MID($D7,6,1)))</f>
        <v>1</v>
      </c>
      <c r="O7" s="7" t="n">
        <f aca="false">IF($K7="OK",N($F7),0)</f>
        <v>0.6425</v>
      </c>
      <c r="P7" s="7" t="n">
        <f aca="false">IF($K7="OK",N($F7)+N($H7),0)</f>
        <v>1.9439</v>
      </c>
      <c r="Q7" s="7" t="n">
        <f aca="false">IF($K7="OK",N($G7),0)</f>
        <v>0</v>
      </c>
      <c r="R7" s="7" t="n">
        <f aca="false">IF($K7="OK",N($G7)+N($I7),0)</f>
        <v>2.4</v>
      </c>
      <c r="S7" s="7" t="n">
        <f aca="false">IF($N7=0,0,IF(INDEX($E$51:$E$54,$N7)="SÍ",IF(DATOS!$C$14="PLANO",DATOS!$C$17,IF(DATOS!$C$14="DOS AGUAS",DATOS!$C$17+(DATOS!$C$18-DATOS!$C$17)*(1-ABS(2*(N($F7))/DATOS!$C$23-1)),IF(DATOS!$C$14="UN AGUA",IF(N(DATOS!$C$25)=0,DATOS!$C$18-(DATOS!$C$18-DATOS!$C$17)*(N($F7))/DATOS!$C$23,DATOS!$C$17+(DATOS!$C$18-DATOS!$C$17)*(N($F7))/DATOS!$C$23),DATOS!$C$17+4*(DATOS!$C$18-DATOS!$C$17)*(N($F7))/DATOS!$C$23*(1-(N($F7))/DATOS!$C$23)))),INDEX($F$51:$F$54,$N7)))</f>
        <v>10.62</v>
      </c>
      <c r="T7" s="7" t="n">
        <f aca="false">IF($N7=0,0,IF(INDEX($E$51:$E$54,$N7)="SÍ",IF(DATOS!$C$14="PLANO",DATOS!$C$17,IF(DATOS!$C$14="DOS AGUAS",DATOS!$C$17+(DATOS!$C$18-DATOS!$C$17)*(1-ABS(2*(N($F7)+N($H7))/DATOS!$C$23-1)),IF(DATOS!$C$14="UN AGUA",IF(N(DATOS!$C$25)=0,DATOS!$C$18-(DATOS!$C$18-DATOS!$C$17)*(N($F7)+N($H7))/DATOS!$C$23,DATOS!$C$17+(DATOS!$C$18-DATOS!$C$17)*(N($F7)+N($H7))/DATOS!$C$23),DATOS!$C$17+4*(DATOS!$C$18-DATOS!$C$17)*(N($F7)+N($H7))/DATOS!$C$23*(1-(N($F7)+N($H7))/DATOS!$C$23)))),INDEX($F$51:$F$54,$N7)))</f>
        <v>10.62</v>
      </c>
      <c r="U7" s="32" t="n">
        <f aca="false">IF(AND($K7="OK",$E7="FIJA"),1,0)</f>
        <v>0</v>
      </c>
      <c r="V7" s="32" t="n">
        <f aca="false">IF($K7="OK",1,0)</f>
        <v>1</v>
      </c>
      <c r="W7" s="7" t="n">
        <f aca="false">IF($N7=0,0,INDEX($D$51:$D$54,$N7))</f>
        <v>10.08</v>
      </c>
      <c r="Y7" s="7" t="n">
        <f aca="false">($AB$6+DATOS!$AE$3+$DL$12)/$DL$11</f>
        <v>0.0695038461538462</v>
      </c>
      <c r="Z7" s="7" t="n">
        <f aca="false">(DATOS!$AF$3+$DL$13)/$DL$11</f>
        <v>0.0695038461538462</v>
      </c>
      <c r="AA7" s="7" t="n">
        <f aca="false">($AC$6+DATOS!$AI$3+$DL$12)/$DL$11</f>
        <v>0.782113504753674</v>
      </c>
      <c r="AB7" s="7" t="n">
        <f aca="false">(DATOS!$AJ$3+$DL$13)/$DL$11</f>
        <v>0.0695038461538462</v>
      </c>
      <c r="AC7" s="7" t="n">
        <f aca="false">($AD$6+DATOS!$AM$3+$DL$12)/$DL$11</f>
        <v>1.4947231633535</v>
      </c>
      <c r="AD7" s="7" t="n">
        <f aca="false">(DATOS!$AN$3+$DL$13)/$DL$11</f>
        <v>0.0695038461538462</v>
      </c>
      <c r="AE7" s="7" t="n">
        <f aca="false">($AE$6+DATOS!$AQ$3+$DL$12)/$DL$11</f>
        <v>2.56851853932584</v>
      </c>
      <c r="AF7" s="7" t="n">
        <f aca="false">(DATOS!$AR$3+$DL$13)/$DL$11</f>
        <v>0.0695038461538462</v>
      </c>
      <c r="AH7" s="7" t="n">
        <f aca="false">(IF(AND($K$7="OK",$E$7="FIJA"),CHOOSE($N$7,$AB$6,$AC$6,$AD$6,$AE$6)+$O$7,0)+$DL$12)/$DL$11</f>
        <v>0.0695038461538462</v>
      </c>
      <c r="AI7" s="7" t="n">
        <f aca="false">(IF(AND($K$7="OK",$E$7="FIJA"),$Q$7,0)+$DL$13)/$DL$11</f>
        <v>0.0695038461538462</v>
      </c>
      <c r="AJ7" s="7" t="n">
        <f aca="false">(IF(AND($K$7="OK",$E$7="OPERABLE"),CHOOSE($N$7,$AB$6,$AC$6,$AD$6,$AE$6)+$O$7,0)+$DL$12)/$DL$11</f>
        <v>0.108703478486927</v>
      </c>
      <c r="AK7" s="7" t="n">
        <f aca="false">(IF(AND($K$7="OK",$E$7="OPERABLE"),$Q$7,0)+$DL$13)/$DL$11</f>
        <v>0.0695038461538462</v>
      </c>
      <c r="AL7" s="7" t="n">
        <f aca="false">(IF(AND($K$8="OK",$E$8="FIJA"),CHOOSE($N$8,$AB$6,$AC$6,$AD$6,$AE$6)+$O$8,0)+$DL$12)/$DL$11</f>
        <v>0.0695038461538462</v>
      </c>
      <c r="AM7" s="7" t="n">
        <f aca="false">(IF(AND($K$8="OK",$E$8="FIJA"),$Q$8,0)+$DL$13)/$DL$11</f>
        <v>0.0695038461538462</v>
      </c>
      <c r="AN7" s="7" t="n">
        <f aca="false">(IF(AND($K$8="OK",$E$8="OPERABLE"),CHOOSE($N$8,$AB$6,$AC$6,$AD$6,$AE$6)+$O$8,0)+$DL$12)/$DL$11</f>
        <v>0.221232353000756</v>
      </c>
      <c r="AO7" s="7" t="n">
        <f aca="false">(IF(AND($K$8="OK",$E$8="OPERABLE"),$Q$8,0)+$DL$13)/$DL$11</f>
        <v>0.0695038461538462</v>
      </c>
      <c r="AP7" s="7" t="n">
        <f aca="false">(IF(AND($K$9="OK",$E$9="FIJA"),CHOOSE($N$9,$AB$6,$AC$6,$AD$6,$AE$6)+$O$9,0)+$DL$12)/$DL$11</f>
        <v>0.782113504753674</v>
      </c>
      <c r="AQ7" s="7" t="n">
        <f aca="false">(IF(AND($K$9="OK",$E$9="FIJA"),$Q$9,0)+$DL$13)/$DL$11</f>
        <v>0.0695038461538462</v>
      </c>
      <c r="AR7" s="7" t="n">
        <f aca="false">(IF(AND($K$9="OK",$E$9="OPERABLE"),CHOOSE($N$9,$AB$6,$AC$6,$AD$6,$AE$6)+$O$9,0)+$DL$12)/$DL$11</f>
        <v>0.0695038461538462</v>
      </c>
      <c r="AS7" s="7" t="n">
        <f aca="false">(IF(AND($K$9="OK",$E$9="OPERABLE"),$Q$9,0)+$DL$13)/$DL$11</f>
        <v>0.0695038461538462</v>
      </c>
      <c r="AT7" s="7" t="n">
        <f aca="false">(IF(AND($K$10="OK",$E$10="FIJA"),CHOOSE($N$10,$AB$6,$AC$6,$AD$6,$AE$6)+$O$10,0)+$DL$12)/$DL$11</f>
        <v>0.0695038461538462</v>
      </c>
      <c r="AU7" s="7" t="n">
        <f aca="false">(IF(AND($K$10="OK",$E$10="FIJA"),$Q$10,0)+$DL$13)/$DL$11</f>
        <v>0.0695038461538462</v>
      </c>
      <c r="AV7" s="7" t="n">
        <f aca="false">(IF(AND($K$10="OK",$E$10="OPERABLE"),CHOOSE($N$10,$AB$6,$AC$6,$AD$6,$AE$6)+$O$10,0)+$DL$12)/$DL$11</f>
        <v>0.0695038461538462</v>
      </c>
      <c r="AW7" s="7" t="n">
        <f aca="false">(IF(AND($K$10="OK",$E$10="OPERABLE"),$Q$10,0)+$DL$13)/$DL$11</f>
        <v>0.0695038461538462</v>
      </c>
      <c r="AX7" s="7" t="n">
        <f aca="false">(IF(AND($K$11="OK",$E$11="FIJA"),CHOOSE($N$11,$AB$6,$AC$6,$AD$6,$AE$6)+$O$11,0)+$DL$12)/$DL$11</f>
        <v>0.0695038461538462</v>
      </c>
      <c r="AY7" s="7" t="n">
        <f aca="false">(IF(AND($K$11="OK",$E$11="FIJA"),$Q$11,0)+$DL$13)/$DL$11</f>
        <v>0.0695038461538462</v>
      </c>
      <c r="AZ7" s="7" t="n">
        <f aca="false">(IF(AND($K$11="OK",$E$11="OPERABLE"),CHOOSE($N$11,$AB$6,$AC$6,$AD$6,$AE$6)+$O$11,0)+$DL$12)/$DL$11</f>
        <v>0.0695038461538462</v>
      </c>
      <c r="BA7" s="7" t="n">
        <f aca="false">(IF(AND($K$11="OK",$E$11="OPERABLE"),$Q$11,0)+$DL$13)/$DL$11</f>
        <v>0.0695038461538462</v>
      </c>
      <c r="BB7" s="7" t="n">
        <f aca="false">(IF(AND($K$12="OK",$E$12="FIJA"),CHOOSE($N$12,$AB$6,$AC$6,$AD$6,$AE$6)+$O$12,0)+$DL$12)/$DL$11</f>
        <v>0.0695038461538462</v>
      </c>
      <c r="BC7" s="7" t="n">
        <f aca="false">(IF(AND($K$12="OK",$E$12="FIJA"),$Q$12,0)+$DL$13)/$DL$11</f>
        <v>0.0695038461538462</v>
      </c>
      <c r="BD7" s="7" t="n">
        <f aca="false">(IF(AND($K$12="OK",$E$12="OPERABLE"),CHOOSE($N$12,$AB$6,$AC$6,$AD$6,$AE$6)+$O$12,0)+$DL$12)/$DL$11</f>
        <v>0.0695038461538462</v>
      </c>
      <c r="BE7" s="7" t="n">
        <f aca="false">(IF(AND($K$12="OK",$E$12="OPERABLE"),$Q$12,0)+$DL$13)/$DL$11</f>
        <v>0.0695038461538462</v>
      </c>
      <c r="BF7" s="7" t="n">
        <f aca="false">(IF(AND($K$13="OK",$E$13="FIJA"),CHOOSE($N$13,$AB$6,$AC$6,$AD$6,$AE$6)+$O$13,0)+$DL$12)/$DL$11</f>
        <v>0.0695038461538462</v>
      </c>
      <c r="BG7" s="7" t="n">
        <f aca="false">(IF(AND($K$13="OK",$E$13="FIJA"),$Q$13,0)+$DL$13)/$DL$11</f>
        <v>0.0695038461538462</v>
      </c>
      <c r="BH7" s="7" t="n">
        <f aca="false">(IF(AND($K$13="OK",$E$13="OPERABLE"),CHOOSE($N$13,$AB$6,$AC$6,$AD$6,$AE$6)+$O$13,0)+$DL$12)/$DL$11</f>
        <v>0.0695038461538462</v>
      </c>
      <c r="BI7" s="7" t="n">
        <f aca="false">(IF(AND($K$13="OK",$E$13="OPERABLE"),$Q$13,0)+$DL$13)/$DL$11</f>
        <v>0.0695038461538462</v>
      </c>
      <c r="BJ7" s="7" t="n">
        <f aca="false">(IF(AND($K$14="OK",$E$14="FIJA"),CHOOSE($N$14,$AB$6,$AC$6,$AD$6,$AE$6)+$O$14,0)+$DL$12)/$DL$11</f>
        <v>0.0695038461538462</v>
      </c>
      <c r="BK7" s="7" t="n">
        <f aca="false">(IF(AND($K$14="OK",$E$14="FIJA"),$Q$14,0)+$DL$13)/$DL$11</f>
        <v>0.0695038461538462</v>
      </c>
      <c r="BL7" s="7" t="n">
        <f aca="false">(IF(AND($K$14="OK",$E$14="OPERABLE"),CHOOSE($N$14,$AB$6,$AC$6,$AD$6,$AE$6)+$O$14,0)+$DL$12)/$DL$11</f>
        <v>0.0695038461538462</v>
      </c>
      <c r="BM7" s="7" t="n">
        <f aca="false">(IF(AND($K$14="OK",$E$14="OPERABLE"),$Q$14,0)+$DL$13)/$DL$11</f>
        <v>0.0695038461538462</v>
      </c>
      <c r="BN7" s="7" t="n">
        <f aca="false">(IF(AND($K$15="OK",$E$15="FIJA"),CHOOSE($N$15,$AB$6,$AC$6,$AD$6,$AE$6)+$O$15,0)+$DL$12)/$DL$11</f>
        <v>0.0695038461538462</v>
      </c>
      <c r="BO7" s="7" t="n">
        <f aca="false">(IF(AND($K$15="OK",$E$15="FIJA"),$Q$15,0)+$DL$13)/$DL$11</f>
        <v>0.0695038461538462</v>
      </c>
      <c r="BP7" s="7" t="n">
        <f aca="false">(IF(AND($K$15="OK",$E$15="OPERABLE"),CHOOSE($N$15,$AB$6,$AC$6,$AD$6,$AE$6)+$O$15,0)+$DL$12)/$DL$11</f>
        <v>0.0695038461538462</v>
      </c>
      <c r="BQ7" s="7" t="n">
        <f aca="false">(IF(AND($K$15="OK",$E$15="OPERABLE"),$Q$15,0)+$DL$13)/$DL$11</f>
        <v>0.0695038461538462</v>
      </c>
      <c r="BR7" s="7" t="n">
        <f aca="false">(IF(AND($K$16="OK",$E$16="FIJA"),CHOOSE($N$16,$AB$6,$AC$6,$AD$6,$AE$6)+$O$16,0)+$DL$12)/$DL$11</f>
        <v>0.0695038461538462</v>
      </c>
      <c r="BS7" s="7" t="n">
        <f aca="false">(IF(AND($K$16="OK",$E$16="FIJA"),$Q$16,0)+$DL$13)/$DL$11</f>
        <v>0.0695038461538462</v>
      </c>
      <c r="BT7" s="7" t="n">
        <f aca="false">(IF(AND($K$16="OK",$E$16="OPERABLE"),CHOOSE($N$16,$AB$6,$AC$6,$AD$6,$AE$6)+$O$16,0)+$DL$12)/$DL$11</f>
        <v>0.0695038461538462</v>
      </c>
      <c r="BU7" s="7" t="n">
        <f aca="false">(IF(AND($K$16="OK",$E$16="OPERABLE"),$Q$16,0)+$DL$13)/$DL$11</f>
        <v>0.0695038461538462</v>
      </c>
      <c r="BV7" s="7" t="n">
        <f aca="false">(IF(AND($K$17="OK",$E$17="FIJA"),CHOOSE($N$17,$AB$6,$AC$6,$AD$6,$AE$6)+$O$17,0)+$DL$12)/$DL$11</f>
        <v>0.0695038461538462</v>
      </c>
      <c r="BW7" s="7" t="n">
        <f aca="false">(IF(AND($K$17="OK",$E$17="FIJA"),$Q$17,0)+$DL$13)/$DL$11</f>
        <v>0.0695038461538462</v>
      </c>
      <c r="BX7" s="7" t="n">
        <f aca="false">(IF(AND($K$17="OK",$E$17="OPERABLE"),CHOOSE($N$17,$AB$6,$AC$6,$AD$6,$AE$6)+$O$17,0)+$DL$12)/$DL$11</f>
        <v>0.0695038461538462</v>
      </c>
      <c r="BY7" s="7" t="n">
        <f aca="false">(IF(AND($K$17="OK",$E$17="OPERABLE"),$Q$17,0)+$DL$13)/$DL$11</f>
        <v>0.0695038461538462</v>
      </c>
      <c r="BZ7" s="7" t="n">
        <f aca="false">(IF(AND($K$18="OK",$E$18="FIJA"),CHOOSE($N$18,$AB$6,$AC$6,$AD$6,$AE$6)+$O$18,0)+$DL$12)/$DL$11</f>
        <v>0.0695038461538462</v>
      </c>
      <c r="CA7" s="7" t="n">
        <f aca="false">(IF(AND($K$18="OK",$E$18="FIJA"),$Q$18,0)+$DL$13)/$DL$11</f>
        <v>0.0695038461538462</v>
      </c>
      <c r="CB7" s="7" t="n">
        <f aca="false">(IF(AND($K$18="OK",$E$18="OPERABLE"),CHOOSE($N$18,$AB$6,$AC$6,$AD$6,$AE$6)+$O$18,0)+$DL$12)/$DL$11</f>
        <v>0.0695038461538462</v>
      </c>
      <c r="CC7" s="7" t="n">
        <f aca="false">(IF(AND($K$18="OK",$E$18="OPERABLE"),$Q$18,0)+$DL$13)/$DL$11</f>
        <v>0.0695038461538462</v>
      </c>
      <c r="CD7" s="7" t="n">
        <f aca="false">(IF(AND($K$19="OK",$E$19="FIJA"),CHOOSE($N$19,$AB$6,$AC$6,$AD$6,$AE$6)+$O$19,0)+$DL$12)/$DL$11</f>
        <v>0.0695038461538462</v>
      </c>
      <c r="CE7" s="7" t="n">
        <f aca="false">(IF(AND($K$19="OK",$E$19="FIJA"),$Q$19,0)+$DL$13)/$DL$11</f>
        <v>0.0695038461538462</v>
      </c>
      <c r="CF7" s="7" t="n">
        <f aca="false">(IF(AND($K$19="OK",$E$19="OPERABLE"),CHOOSE($N$19,$AB$6,$AC$6,$AD$6,$AE$6)+$O$19,0)+$DL$12)/$DL$11</f>
        <v>0.0695038461538462</v>
      </c>
      <c r="CG7" s="7" t="n">
        <f aca="false">(IF(AND($K$19="OK",$E$19="OPERABLE"),$Q$19,0)+$DL$13)/$DL$11</f>
        <v>0.0695038461538462</v>
      </c>
      <c r="CH7" s="7" t="n">
        <f aca="false">(IF(AND($K$20="OK",$E$20="FIJA"),CHOOSE($N$20,$AB$6,$AC$6,$AD$6,$AE$6)+$O$20,0)+$DL$12)/$DL$11</f>
        <v>0.0695038461538462</v>
      </c>
      <c r="CI7" s="7" t="n">
        <f aca="false">(IF(AND($K$20="OK",$E$20="FIJA"),$Q$20,0)+$DL$13)/$DL$11</f>
        <v>0.0695038461538462</v>
      </c>
      <c r="CJ7" s="7" t="n">
        <f aca="false">(IF(AND($K$20="OK",$E$20="OPERABLE"),CHOOSE($N$20,$AB$6,$AC$6,$AD$6,$AE$6)+$O$20,0)+$DL$12)/$DL$11</f>
        <v>0.0695038461538462</v>
      </c>
      <c r="CK7" s="7" t="n">
        <f aca="false">(IF(AND($K$20="OK",$E$20="OPERABLE"),$Q$20,0)+$DL$13)/$DL$11</f>
        <v>0.0695038461538462</v>
      </c>
      <c r="CL7" s="7" t="n">
        <f aca="false">(IF(AND($K$21="OK",$E$21="FIJA"),CHOOSE($N$21,$AB$6,$AC$6,$AD$6,$AE$6)+$O$21,0)+$DL$12)/$DL$11</f>
        <v>0.0695038461538462</v>
      </c>
      <c r="CM7" s="7" t="n">
        <f aca="false">(IF(AND($K$21="OK",$E$21="FIJA"),$Q$21,0)+$DL$13)/$DL$11</f>
        <v>0.0695038461538462</v>
      </c>
      <c r="CN7" s="7" t="n">
        <f aca="false">(IF(AND($K$21="OK",$E$21="OPERABLE"),CHOOSE($N$21,$AB$6,$AC$6,$AD$6,$AE$6)+$O$21,0)+$DL$12)/$DL$11</f>
        <v>0.0695038461538462</v>
      </c>
      <c r="CO7" s="7" t="n">
        <f aca="false">(IF(AND($K$21="OK",$E$21="OPERABLE"),$Q$21,0)+$DL$13)/$DL$11</f>
        <v>0.0695038461538462</v>
      </c>
      <c r="CP7" s="7" t="n">
        <f aca="false">(IF(AND($K$22="OK",$E$22="FIJA"),CHOOSE($N$22,$AB$6,$AC$6,$AD$6,$AE$6)+$O$22,0)+$DL$12)/$DL$11</f>
        <v>0.0695038461538462</v>
      </c>
      <c r="CQ7" s="7" t="n">
        <f aca="false">(IF(AND($K$22="OK",$E$22="FIJA"),$Q$22,0)+$DL$13)/$DL$11</f>
        <v>0.0695038461538462</v>
      </c>
      <c r="CR7" s="7" t="n">
        <f aca="false">(IF(AND($K$22="OK",$E$22="OPERABLE"),CHOOSE($N$22,$AB$6,$AC$6,$AD$6,$AE$6)+$O$22,0)+$DL$12)/$DL$11</f>
        <v>0.0695038461538462</v>
      </c>
      <c r="CS7" s="7" t="n">
        <f aca="false">(IF(AND($K$22="OK",$E$22="OPERABLE"),$Q$22,0)+$DL$13)/$DL$11</f>
        <v>0.0695038461538462</v>
      </c>
      <c r="CT7" s="7" t="n">
        <f aca="false">(IF(AND($K$23="OK",$E$23="FIJA"),CHOOSE($N$23,$AB$6,$AC$6,$AD$6,$AE$6)+$O$23,0)+$DL$12)/$DL$11</f>
        <v>0.0695038461538462</v>
      </c>
      <c r="CU7" s="7" t="n">
        <f aca="false">(IF(AND($K$23="OK",$E$23="FIJA"),$Q$23,0)+$DL$13)/$DL$11</f>
        <v>0.0695038461538462</v>
      </c>
      <c r="CV7" s="7" t="n">
        <f aca="false">(IF(AND($K$23="OK",$E$23="OPERABLE"),CHOOSE($N$23,$AB$6,$AC$6,$AD$6,$AE$6)+$O$23,0)+$DL$12)/$DL$11</f>
        <v>0.0695038461538462</v>
      </c>
      <c r="CW7" s="7" t="n">
        <f aca="false">(IF(AND($K$23="OK",$E$23="OPERABLE"),$Q$23,0)+$DL$13)/$DL$11</f>
        <v>0.0695038461538462</v>
      </c>
      <c r="CX7" s="7" t="n">
        <f aca="false">(IF(AND($K$24="OK",$E$24="FIJA"),CHOOSE($N$24,$AB$6,$AC$6,$AD$6,$AE$6)+$O$24,0)+$DL$12)/$DL$11</f>
        <v>0.0695038461538462</v>
      </c>
      <c r="CY7" s="7" t="n">
        <f aca="false">(IF(AND($K$24="OK",$E$24="FIJA"),$Q$24,0)+$DL$13)/$DL$11</f>
        <v>0.0695038461538462</v>
      </c>
      <c r="CZ7" s="7" t="n">
        <f aca="false">(IF(AND($K$24="OK",$E$24="OPERABLE"),CHOOSE($N$24,$AB$6,$AC$6,$AD$6,$AE$6)+$O$24,0)+$DL$12)/$DL$11</f>
        <v>0.0695038461538462</v>
      </c>
      <c r="DA7" s="7" t="n">
        <f aca="false">(IF(AND($K$24="OK",$E$24="OPERABLE"),$Q$24,0)+$DL$13)/$DL$11</f>
        <v>0.0695038461538462</v>
      </c>
      <c r="DB7" s="7" t="n">
        <f aca="false">(IF(AND($K$25="OK",$E$25="FIJA"),CHOOSE($N$25,$AB$6,$AC$6,$AD$6,$AE$6)+$O$25,0)+$DL$12)/$DL$11</f>
        <v>0.0695038461538462</v>
      </c>
      <c r="DC7" s="7" t="n">
        <f aca="false">(IF(AND($K$25="OK",$E$25="FIJA"),$Q$25,0)+$DL$13)/$DL$11</f>
        <v>0.0695038461538462</v>
      </c>
      <c r="DD7" s="7" t="n">
        <f aca="false">(IF(AND($K$25="OK",$E$25="OPERABLE"),CHOOSE($N$25,$AB$6,$AC$6,$AD$6,$AE$6)+$O$25,0)+$DL$12)/$DL$11</f>
        <v>0.0695038461538462</v>
      </c>
      <c r="DE7" s="7" t="n">
        <f aca="false">(IF(AND($K$25="OK",$E$25="OPERABLE"),$Q$25,0)+$DL$13)/$DL$11</f>
        <v>0.0695038461538462</v>
      </c>
      <c r="DF7" s="7" t="n">
        <f aca="false">(IF(AND($K$26="OK",$E$26="FIJA"),CHOOSE($N$26,$AB$6,$AC$6,$AD$6,$AE$6)+$O$26,0)+$DL$12)/$DL$11</f>
        <v>0.0695038461538462</v>
      </c>
      <c r="DG7" s="7" t="n">
        <f aca="false">(IF(AND($K$26="OK",$E$26="FIJA"),$Q$26,0)+$DL$13)/$DL$11</f>
        <v>0.0695038461538462</v>
      </c>
      <c r="DH7" s="7" t="n">
        <f aca="false">(IF(AND($K$26="OK",$E$26="OPERABLE"),CHOOSE($N$26,$AB$6,$AC$6,$AD$6,$AE$6)+$O$26,0)+$DL$12)/$DL$11</f>
        <v>0.0695038461538462</v>
      </c>
      <c r="DI7" s="7" t="n">
        <f aca="false">(IF(AND($K$26="OK",$E$26="OPERABLE"),$Q$26,0)+$DL$13)/$DL$11</f>
        <v>0.0695038461538462</v>
      </c>
      <c r="DK7" s="5" t="s">
        <v>231</v>
      </c>
      <c r="DL7" s="8" t="n">
        <f aca="false">$AE$6+$D$54</f>
        <v>56.96</v>
      </c>
    </row>
    <row r="8" customFormat="false" ht="29.25" hidden="false" customHeight="true" outlineLevel="0" collapsed="false">
      <c r="B8" s="23" t="n">
        <v>2</v>
      </c>
      <c r="C8" s="27" t="s">
        <v>232</v>
      </c>
      <c r="D8" s="17" t="s">
        <v>228</v>
      </c>
      <c r="E8" s="17" t="s">
        <v>229</v>
      </c>
      <c r="F8" s="29" t="n">
        <v>2.4869</v>
      </c>
      <c r="G8" s="29" t="n">
        <v>0</v>
      </c>
      <c r="H8" s="29" t="n">
        <v>5.1016</v>
      </c>
      <c r="I8" s="29" t="n">
        <v>6.33</v>
      </c>
      <c r="J8" s="30" t="n">
        <f aca="false">IF($K8="OK",$H8*$I8,0)</f>
        <v>32.293128</v>
      </c>
      <c r="K8" s="20" t="str">
        <f aca="false">IF($D8="","",IF(OR($F8="",$G8=""),"FALTA POSICIÓN",IF(OR(N($H8)&lt;=0,N($I8)&lt;=0),"FALTA TAMAÑO",IF($E8="","FALTA TIPO",IF(OR(N($F8)&lt;0,N($G8)&lt;0,N($F8)+N($H8)&gt;$W8+0.001),"SE SALE A LO LARGO",IF(N($G8)+N($I8)&gt;MIN($S8,$T8)+0.001,"SE SALE POR ARRIBA","OK"))))))</f>
        <v>OK</v>
      </c>
      <c r="L8" s="31" t="s">
        <v>233</v>
      </c>
      <c r="N8" s="32" t="n">
        <f aca="false">IF($D8="",0,VALUE(MID($D8,6,1)))</f>
        <v>1</v>
      </c>
      <c r="O8" s="7" t="n">
        <f aca="false">IF($K8="OK",N($F8),0)</f>
        <v>2.4869</v>
      </c>
      <c r="P8" s="7" t="n">
        <f aca="false">IF($K8="OK",N($F8)+N($H8),0)</f>
        <v>7.5885</v>
      </c>
      <c r="Q8" s="7" t="n">
        <f aca="false">IF($K8="OK",N($G8),0)</f>
        <v>0</v>
      </c>
      <c r="R8" s="7" t="n">
        <f aca="false">IF($K8="OK",N($G8)+N($I8),0)</f>
        <v>6.33</v>
      </c>
      <c r="S8" s="7" t="n">
        <f aca="false">IF($N8=0,0,IF(INDEX($E$51:$E$54,$N8)="SÍ",IF(DATOS!$C$14="PLANO",DATOS!$C$17,IF(DATOS!$C$14="DOS AGUAS",DATOS!$C$17+(DATOS!$C$18-DATOS!$C$17)*(1-ABS(2*(N($F8))/DATOS!$C$23-1)),IF(DATOS!$C$14="UN AGUA",IF(N(DATOS!$C$25)=0,DATOS!$C$18-(DATOS!$C$18-DATOS!$C$17)*(N($F8))/DATOS!$C$23,DATOS!$C$17+(DATOS!$C$18-DATOS!$C$17)*(N($F8))/DATOS!$C$23),DATOS!$C$17+4*(DATOS!$C$18-DATOS!$C$17)*(N($F8))/DATOS!$C$23*(1-(N($F8))/DATOS!$C$23)))),INDEX($F$51:$F$54,$N8)))</f>
        <v>10.62</v>
      </c>
      <c r="T8" s="7" t="n">
        <f aca="false">IF($N8=0,0,IF(INDEX($E$51:$E$54,$N8)="SÍ",IF(DATOS!$C$14="PLANO",DATOS!$C$17,IF(DATOS!$C$14="DOS AGUAS",DATOS!$C$17+(DATOS!$C$18-DATOS!$C$17)*(1-ABS(2*(N($F8)+N($H8))/DATOS!$C$23-1)),IF(DATOS!$C$14="UN AGUA",IF(N(DATOS!$C$25)=0,DATOS!$C$18-(DATOS!$C$18-DATOS!$C$17)*(N($F8)+N($H8))/DATOS!$C$23,DATOS!$C$17+(DATOS!$C$18-DATOS!$C$17)*(N($F8)+N($H8))/DATOS!$C$23),DATOS!$C$17+4*(DATOS!$C$18-DATOS!$C$17)*(N($F8)+N($H8))/DATOS!$C$23*(1-(N($F8)+N($H8))/DATOS!$C$23)))),INDEX($F$51:$F$54,$N8)))</f>
        <v>10.62</v>
      </c>
      <c r="U8" s="32" t="n">
        <f aca="false">IF(AND($K8="OK",$E8="FIJA"),1,0)</f>
        <v>0</v>
      </c>
      <c r="V8" s="32" t="n">
        <f aca="false">IF($K8="OK",1,0)</f>
        <v>1</v>
      </c>
      <c r="W8" s="7" t="n">
        <f aca="false">IF($N8=0,0,INDEX($D$51:$D$54,$N8))</f>
        <v>10.08</v>
      </c>
      <c r="Y8" s="7" t="n">
        <f aca="false">($AB$6+DATOS!$AE$4+$DL$12)/$DL$11</f>
        <v>0.684495743301642</v>
      </c>
      <c r="Z8" s="7" t="n">
        <f aca="false">(DATOS!$AF$4+$DL$13)/$DL$11</f>
        <v>0.0695038461538462</v>
      </c>
      <c r="AA8" s="7" t="n">
        <f aca="false">($AC$6+DATOS!$AI$4+$DL$12)/$DL$11</f>
        <v>1.39710540190147</v>
      </c>
      <c r="AB8" s="7" t="n">
        <f aca="false">(DATOS!$AJ$4+$DL$13)/$DL$11</f>
        <v>0.0695038461538462</v>
      </c>
      <c r="AC8" s="7" t="n">
        <f aca="false">($AD$6+DATOS!$AM$4+$DL$12)/$DL$11</f>
        <v>2.47090077787381</v>
      </c>
      <c r="AD8" s="7" t="n">
        <f aca="false">(DATOS!$AN$4+$DL$13)/$DL$11</f>
        <v>0.0695038461538462</v>
      </c>
      <c r="AE8" s="7" t="n">
        <f aca="false">($AE$6+DATOS!$AQ$4+$DL$12)/$DL$11</f>
        <v>3.54469615384615</v>
      </c>
      <c r="AF8" s="7" t="n">
        <f aca="false">(DATOS!$AR$4+$DL$13)/$DL$11</f>
        <v>0.0695038461538462</v>
      </c>
      <c r="AH8" s="7" t="n">
        <f aca="false">(IF(AND($K$7="OK",$E$7="FIJA"),CHOOSE($N$7,$AB$6,$AC$6,$AD$6,$AE$6)+$P$7,0)+$DL$12)/$DL$11</f>
        <v>0.0695038461538462</v>
      </c>
      <c r="AI8" s="7" t="n">
        <f aca="false">(IF(AND($K$7="OK",$E$7="FIJA"),$Q$7,0)+$DL$13)/$DL$11</f>
        <v>0.0695038461538462</v>
      </c>
      <c r="AJ8" s="7" t="n">
        <f aca="false">(IF(AND($K$7="OK",$E$7="OPERABLE"),CHOOSE($N$7,$AB$6,$AC$6,$AD$6,$AE$6)+$P$7,0)+$DL$12)/$DL$11</f>
        <v>0.188103325207973</v>
      </c>
      <c r="AK8" s="7" t="n">
        <f aca="false">(IF(AND($K$7="OK",$E$7="OPERABLE"),$Q$7,0)+$DL$13)/$DL$11</f>
        <v>0.0695038461538462</v>
      </c>
      <c r="AL8" s="7" t="n">
        <f aca="false">(IF(AND($K$8="OK",$E$8="FIJA"),CHOOSE($N$8,$AB$6,$AC$6,$AD$6,$AE$6)+$P$8,0)+$DL$12)/$DL$11</f>
        <v>0.0695038461538462</v>
      </c>
      <c r="AM8" s="7" t="n">
        <f aca="false">(IF(AND($K$8="OK",$E$8="FIJA"),$Q$8,0)+$DL$13)/$DL$11</f>
        <v>0.0695038461538462</v>
      </c>
      <c r="AN8" s="7" t="n">
        <f aca="false">(IF(AND($K$8="OK",$E$8="OPERABLE"),CHOOSE($N$8,$AB$6,$AC$6,$AD$6,$AE$6)+$P$8,0)+$DL$12)/$DL$11</f>
        <v>0.532486585390558</v>
      </c>
      <c r="AO8" s="7" t="n">
        <f aca="false">(IF(AND($K$8="OK",$E$8="OPERABLE"),$Q$8,0)+$DL$13)/$DL$11</f>
        <v>0.0695038461538462</v>
      </c>
      <c r="AP8" s="7" t="n">
        <f aca="false">(IF(AND($K$9="OK",$E$9="FIJA"),CHOOSE($N$9,$AB$6,$AC$6,$AD$6,$AE$6)+$P$9,0)+$DL$12)/$DL$11</f>
        <v>1.39710540190147</v>
      </c>
      <c r="AQ8" s="7" t="n">
        <f aca="false">(IF(AND($K$9="OK",$E$9="FIJA"),$Q$9,0)+$DL$13)/$DL$11</f>
        <v>0.0695038461538462</v>
      </c>
      <c r="AR8" s="7" t="n">
        <f aca="false">(IF(AND($K$9="OK",$E$9="OPERABLE"),CHOOSE($N$9,$AB$6,$AC$6,$AD$6,$AE$6)+$P$9,0)+$DL$12)/$DL$11</f>
        <v>0.0695038461538462</v>
      </c>
      <c r="AS8" s="7" t="n">
        <f aca="false">(IF(AND($K$9="OK",$E$9="OPERABLE"),$Q$9,0)+$DL$13)/$DL$11</f>
        <v>0.0695038461538462</v>
      </c>
      <c r="AT8" s="7" t="n">
        <f aca="false">(IF(AND($K$10="OK",$E$10="FIJA"),CHOOSE($N$10,$AB$6,$AC$6,$AD$6,$AE$6)+$P$10,0)+$DL$12)/$DL$11</f>
        <v>0.0695038461538462</v>
      </c>
      <c r="AU8" s="7" t="n">
        <f aca="false">(IF(AND($K$10="OK",$E$10="FIJA"),$Q$10,0)+$DL$13)/$DL$11</f>
        <v>0.0695038461538462</v>
      </c>
      <c r="AV8" s="7" t="n">
        <f aca="false">(IF(AND($K$10="OK",$E$10="OPERABLE"),CHOOSE($N$10,$AB$6,$AC$6,$AD$6,$AE$6)+$P$10,0)+$DL$12)/$DL$11</f>
        <v>0.0695038461538462</v>
      </c>
      <c r="AW8" s="7" t="n">
        <f aca="false">(IF(AND($K$10="OK",$E$10="OPERABLE"),$Q$10,0)+$DL$13)/$DL$11</f>
        <v>0.0695038461538462</v>
      </c>
      <c r="AX8" s="7" t="n">
        <f aca="false">(IF(AND($K$11="OK",$E$11="FIJA"),CHOOSE($N$11,$AB$6,$AC$6,$AD$6,$AE$6)+$P$11,0)+$DL$12)/$DL$11</f>
        <v>0.0695038461538462</v>
      </c>
      <c r="AY8" s="7" t="n">
        <f aca="false">(IF(AND($K$11="OK",$E$11="FIJA"),$Q$11,0)+$DL$13)/$DL$11</f>
        <v>0.0695038461538462</v>
      </c>
      <c r="AZ8" s="7" t="n">
        <f aca="false">(IF(AND($K$11="OK",$E$11="OPERABLE"),CHOOSE($N$11,$AB$6,$AC$6,$AD$6,$AE$6)+$P$11,0)+$DL$12)/$DL$11</f>
        <v>0.0695038461538462</v>
      </c>
      <c r="BA8" s="7" t="n">
        <f aca="false">(IF(AND($K$11="OK",$E$11="OPERABLE"),$Q$11,0)+$DL$13)/$DL$11</f>
        <v>0.0695038461538462</v>
      </c>
      <c r="BB8" s="7" t="n">
        <f aca="false">(IF(AND($K$12="OK",$E$12="FIJA"),CHOOSE($N$12,$AB$6,$AC$6,$AD$6,$AE$6)+$P$12,0)+$DL$12)/$DL$11</f>
        <v>0.0695038461538462</v>
      </c>
      <c r="BC8" s="7" t="n">
        <f aca="false">(IF(AND($K$12="OK",$E$12="FIJA"),$Q$12,0)+$DL$13)/$DL$11</f>
        <v>0.0695038461538462</v>
      </c>
      <c r="BD8" s="7" t="n">
        <f aca="false">(IF(AND($K$12="OK",$E$12="OPERABLE"),CHOOSE($N$12,$AB$6,$AC$6,$AD$6,$AE$6)+$P$12,0)+$DL$12)/$DL$11</f>
        <v>0.0695038461538462</v>
      </c>
      <c r="BE8" s="7" t="n">
        <f aca="false">(IF(AND($K$12="OK",$E$12="OPERABLE"),$Q$12,0)+$DL$13)/$DL$11</f>
        <v>0.0695038461538462</v>
      </c>
      <c r="BF8" s="7" t="n">
        <f aca="false">(IF(AND($K$13="OK",$E$13="FIJA"),CHOOSE($N$13,$AB$6,$AC$6,$AD$6,$AE$6)+$P$13,0)+$DL$12)/$DL$11</f>
        <v>0.0695038461538462</v>
      </c>
      <c r="BG8" s="7" t="n">
        <f aca="false">(IF(AND($K$13="OK",$E$13="FIJA"),$Q$13,0)+$DL$13)/$DL$11</f>
        <v>0.0695038461538462</v>
      </c>
      <c r="BH8" s="7" t="n">
        <f aca="false">(IF(AND($K$13="OK",$E$13="OPERABLE"),CHOOSE($N$13,$AB$6,$AC$6,$AD$6,$AE$6)+$P$13,0)+$DL$12)/$DL$11</f>
        <v>0.0695038461538462</v>
      </c>
      <c r="BI8" s="7" t="n">
        <f aca="false">(IF(AND($K$13="OK",$E$13="OPERABLE"),$Q$13,0)+$DL$13)/$DL$11</f>
        <v>0.0695038461538462</v>
      </c>
      <c r="BJ8" s="7" t="n">
        <f aca="false">(IF(AND($K$14="OK",$E$14="FIJA"),CHOOSE($N$14,$AB$6,$AC$6,$AD$6,$AE$6)+$P$14,0)+$DL$12)/$DL$11</f>
        <v>0.0695038461538462</v>
      </c>
      <c r="BK8" s="7" t="n">
        <f aca="false">(IF(AND($K$14="OK",$E$14="FIJA"),$Q$14,0)+$DL$13)/$DL$11</f>
        <v>0.0695038461538462</v>
      </c>
      <c r="BL8" s="7" t="n">
        <f aca="false">(IF(AND($K$14="OK",$E$14="OPERABLE"),CHOOSE($N$14,$AB$6,$AC$6,$AD$6,$AE$6)+$P$14,0)+$DL$12)/$DL$11</f>
        <v>0.0695038461538462</v>
      </c>
      <c r="BM8" s="7" t="n">
        <f aca="false">(IF(AND($K$14="OK",$E$14="OPERABLE"),$Q$14,0)+$DL$13)/$DL$11</f>
        <v>0.0695038461538462</v>
      </c>
      <c r="BN8" s="7" t="n">
        <f aca="false">(IF(AND($K$15="OK",$E$15="FIJA"),CHOOSE($N$15,$AB$6,$AC$6,$AD$6,$AE$6)+$P$15,0)+$DL$12)/$DL$11</f>
        <v>0.0695038461538462</v>
      </c>
      <c r="BO8" s="7" t="n">
        <f aca="false">(IF(AND($K$15="OK",$E$15="FIJA"),$Q$15,0)+$DL$13)/$DL$11</f>
        <v>0.0695038461538462</v>
      </c>
      <c r="BP8" s="7" t="n">
        <f aca="false">(IF(AND($K$15="OK",$E$15="OPERABLE"),CHOOSE($N$15,$AB$6,$AC$6,$AD$6,$AE$6)+$P$15,0)+$DL$12)/$DL$11</f>
        <v>0.0695038461538462</v>
      </c>
      <c r="BQ8" s="7" t="n">
        <f aca="false">(IF(AND($K$15="OK",$E$15="OPERABLE"),$Q$15,0)+$DL$13)/$DL$11</f>
        <v>0.0695038461538462</v>
      </c>
      <c r="BR8" s="7" t="n">
        <f aca="false">(IF(AND($K$16="OK",$E$16="FIJA"),CHOOSE($N$16,$AB$6,$AC$6,$AD$6,$AE$6)+$P$16,0)+$DL$12)/$DL$11</f>
        <v>0.0695038461538462</v>
      </c>
      <c r="BS8" s="7" t="n">
        <f aca="false">(IF(AND($K$16="OK",$E$16="FIJA"),$Q$16,0)+$DL$13)/$DL$11</f>
        <v>0.0695038461538462</v>
      </c>
      <c r="BT8" s="7" t="n">
        <f aca="false">(IF(AND($K$16="OK",$E$16="OPERABLE"),CHOOSE($N$16,$AB$6,$AC$6,$AD$6,$AE$6)+$P$16,0)+$DL$12)/$DL$11</f>
        <v>0.0695038461538462</v>
      </c>
      <c r="BU8" s="7" t="n">
        <f aca="false">(IF(AND($K$16="OK",$E$16="OPERABLE"),$Q$16,0)+$DL$13)/$DL$11</f>
        <v>0.0695038461538462</v>
      </c>
      <c r="BV8" s="7" t="n">
        <f aca="false">(IF(AND($K$17="OK",$E$17="FIJA"),CHOOSE($N$17,$AB$6,$AC$6,$AD$6,$AE$6)+$P$17,0)+$DL$12)/$DL$11</f>
        <v>0.0695038461538462</v>
      </c>
      <c r="BW8" s="7" t="n">
        <f aca="false">(IF(AND($K$17="OK",$E$17="FIJA"),$Q$17,0)+$DL$13)/$DL$11</f>
        <v>0.0695038461538462</v>
      </c>
      <c r="BX8" s="7" t="n">
        <f aca="false">(IF(AND($K$17="OK",$E$17="OPERABLE"),CHOOSE($N$17,$AB$6,$AC$6,$AD$6,$AE$6)+$P$17,0)+$DL$12)/$DL$11</f>
        <v>0.0695038461538462</v>
      </c>
      <c r="BY8" s="7" t="n">
        <f aca="false">(IF(AND($K$17="OK",$E$17="OPERABLE"),$Q$17,0)+$DL$13)/$DL$11</f>
        <v>0.0695038461538462</v>
      </c>
      <c r="BZ8" s="7" t="n">
        <f aca="false">(IF(AND($K$18="OK",$E$18="FIJA"),CHOOSE($N$18,$AB$6,$AC$6,$AD$6,$AE$6)+$P$18,0)+$DL$12)/$DL$11</f>
        <v>0.0695038461538462</v>
      </c>
      <c r="CA8" s="7" t="n">
        <f aca="false">(IF(AND($K$18="OK",$E$18="FIJA"),$Q$18,0)+$DL$13)/$DL$11</f>
        <v>0.0695038461538462</v>
      </c>
      <c r="CB8" s="7" t="n">
        <f aca="false">(IF(AND($K$18="OK",$E$18="OPERABLE"),CHOOSE($N$18,$AB$6,$AC$6,$AD$6,$AE$6)+$P$18,0)+$DL$12)/$DL$11</f>
        <v>0.0695038461538462</v>
      </c>
      <c r="CC8" s="7" t="n">
        <f aca="false">(IF(AND($K$18="OK",$E$18="OPERABLE"),$Q$18,0)+$DL$13)/$DL$11</f>
        <v>0.0695038461538462</v>
      </c>
      <c r="CD8" s="7" t="n">
        <f aca="false">(IF(AND($K$19="OK",$E$19="FIJA"),CHOOSE($N$19,$AB$6,$AC$6,$AD$6,$AE$6)+$P$19,0)+$DL$12)/$DL$11</f>
        <v>0.0695038461538462</v>
      </c>
      <c r="CE8" s="7" t="n">
        <f aca="false">(IF(AND($K$19="OK",$E$19="FIJA"),$Q$19,0)+$DL$13)/$DL$11</f>
        <v>0.0695038461538462</v>
      </c>
      <c r="CF8" s="7" t="n">
        <f aca="false">(IF(AND($K$19="OK",$E$19="OPERABLE"),CHOOSE($N$19,$AB$6,$AC$6,$AD$6,$AE$6)+$P$19,0)+$DL$12)/$DL$11</f>
        <v>0.0695038461538462</v>
      </c>
      <c r="CG8" s="7" t="n">
        <f aca="false">(IF(AND($K$19="OK",$E$19="OPERABLE"),$Q$19,0)+$DL$13)/$DL$11</f>
        <v>0.0695038461538462</v>
      </c>
      <c r="CH8" s="7" t="n">
        <f aca="false">(IF(AND($K$20="OK",$E$20="FIJA"),CHOOSE($N$20,$AB$6,$AC$6,$AD$6,$AE$6)+$P$20,0)+$DL$12)/$DL$11</f>
        <v>0.0695038461538462</v>
      </c>
      <c r="CI8" s="7" t="n">
        <f aca="false">(IF(AND($K$20="OK",$E$20="FIJA"),$Q$20,0)+$DL$13)/$DL$11</f>
        <v>0.0695038461538462</v>
      </c>
      <c r="CJ8" s="7" t="n">
        <f aca="false">(IF(AND($K$20="OK",$E$20="OPERABLE"),CHOOSE($N$20,$AB$6,$AC$6,$AD$6,$AE$6)+$P$20,0)+$DL$12)/$DL$11</f>
        <v>0.0695038461538462</v>
      </c>
      <c r="CK8" s="7" t="n">
        <f aca="false">(IF(AND($K$20="OK",$E$20="OPERABLE"),$Q$20,0)+$DL$13)/$DL$11</f>
        <v>0.0695038461538462</v>
      </c>
      <c r="CL8" s="7" t="n">
        <f aca="false">(IF(AND($K$21="OK",$E$21="FIJA"),CHOOSE($N$21,$AB$6,$AC$6,$AD$6,$AE$6)+$P$21,0)+$DL$12)/$DL$11</f>
        <v>0.0695038461538462</v>
      </c>
      <c r="CM8" s="7" t="n">
        <f aca="false">(IF(AND($K$21="OK",$E$21="FIJA"),$Q$21,0)+$DL$13)/$DL$11</f>
        <v>0.0695038461538462</v>
      </c>
      <c r="CN8" s="7" t="n">
        <f aca="false">(IF(AND($K$21="OK",$E$21="OPERABLE"),CHOOSE($N$21,$AB$6,$AC$6,$AD$6,$AE$6)+$P$21,0)+$DL$12)/$DL$11</f>
        <v>0.0695038461538462</v>
      </c>
      <c r="CO8" s="7" t="n">
        <f aca="false">(IF(AND($K$21="OK",$E$21="OPERABLE"),$Q$21,0)+$DL$13)/$DL$11</f>
        <v>0.0695038461538462</v>
      </c>
      <c r="CP8" s="7" t="n">
        <f aca="false">(IF(AND($K$22="OK",$E$22="FIJA"),CHOOSE($N$22,$AB$6,$AC$6,$AD$6,$AE$6)+$P$22,0)+$DL$12)/$DL$11</f>
        <v>0.0695038461538462</v>
      </c>
      <c r="CQ8" s="7" t="n">
        <f aca="false">(IF(AND($K$22="OK",$E$22="FIJA"),$Q$22,0)+$DL$13)/$DL$11</f>
        <v>0.0695038461538462</v>
      </c>
      <c r="CR8" s="7" t="n">
        <f aca="false">(IF(AND($K$22="OK",$E$22="OPERABLE"),CHOOSE($N$22,$AB$6,$AC$6,$AD$6,$AE$6)+$P$22,0)+$DL$12)/$DL$11</f>
        <v>0.0695038461538462</v>
      </c>
      <c r="CS8" s="7" t="n">
        <f aca="false">(IF(AND($K$22="OK",$E$22="OPERABLE"),$Q$22,0)+$DL$13)/$DL$11</f>
        <v>0.0695038461538462</v>
      </c>
      <c r="CT8" s="7" t="n">
        <f aca="false">(IF(AND($K$23="OK",$E$23="FIJA"),CHOOSE($N$23,$AB$6,$AC$6,$AD$6,$AE$6)+$P$23,0)+$DL$12)/$DL$11</f>
        <v>0.0695038461538462</v>
      </c>
      <c r="CU8" s="7" t="n">
        <f aca="false">(IF(AND($K$23="OK",$E$23="FIJA"),$Q$23,0)+$DL$13)/$DL$11</f>
        <v>0.0695038461538462</v>
      </c>
      <c r="CV8" s="7" t="n">
        <f aca="false">(IF(AND($K$23="OK",$E$23="OPERABLE"),CHOOSE($N$23,$AB$6,$AC$6,$AD$6,$AE$6)+$P$23,0)+$DL$12)/$DL$11</f>
        <v>0.0695038461538462</v>
      </c>
      <c r="CW8" s="7" t="n">
        <f aca="false">(IF(AND($K$23="OK",$E$23="OPERABLE"),$Q$23,0)+$DL$13)/$DL$11</f>
        <v>0.0695038461538462</v>
      </c>
      <c r="CX8" s="7" t="n">
        <f aca="false">(IF(AND($K$24="OK",$E$24="FIJA"),CHOOSE($N$24,$AB$6,$AC$6,$AD$6,$AE$6)+$P$24,0)+$DL$12)/$DL$11</f>
        <v>0.0695038461538462</v>
      </c>
      <c r="CY8" s="7" t="n">
        <f aca="false">(IF(AND($K$24="OK",$E$24="FIJA"),$Q$24,0)+$DL$13)/$DL$11</f>
        <v>0.0695038461538462</v>
      </c>
      <c r="CZ8" s="7" t="n">
        <f aca="false">(IF(AND($K$24="OK",$E$24="OPERABLE"),CHOOSE($N$24,$AB$6,$AC$6,$AD$6,$AE$6)+$P$24,0)+$DL$12)/$DL$11</f>
        <v>0.0695038461538462</v>
      </c>
      <c r="DA8" s="7" t="n">
        <f aca="false">(IF(AND($K$24="OK",$E$24="OPERABLE"),$Q$24,0)+$DL$13)/$DL$11</f>
        <v>0.0695038461538462</v>
      </c>
      <c r="DB8" s="7" t="n">
        <f aca="false">(IF(AND($K$25="OK",$E$25="FIJA"),CHOOSE($N$25,$AB$6,$AC$6,$AD$6,$AE$6)+$P$25,0)+$DL$12)/$DL$11</f>
        <v>0.0695038461538462</v>
      </c>
      <c r="DC8" s="7" t="n">
        <f aca="false">(IF(AND($K$25="OK",$E$25="FIJA"),$Q$25,0)+$DL$13)/$DL$11</f>
        <v>0.0695038461538462</v>
      </c>
      <c r="DD8" s="7" t="n">
        <f aca="false">(IF(AND($K$25="OK",$E$25="OPERABLE"),CHOOSE($N$25,$AB$6,$AC$6,$AD$6,$AE$6)+$P$25,0)+$DL$12)/$DL$11</f>
        <v>0.0695038461538462</v>
      </c>
      <c r="DE8" s="7" t="n">
        <f aca="false">(IF(AND($K$25="OK",$E$25="OPERABLE"),$Q$25,0)+$DL$13)/$DL$11</f>
        <v>0.0695038461538462</v>
      </c>
      <c r="DF8" s="7" t="n">
        <f aca="false">(IF(AND($K$26="OK",$E$26="FIJA"),CHOOSE($N$26,$AB$6,$AC$6,$AD$6,$AE$6)+$P$26,0)+$DL$12)/$DL$11</f>
        <v>0.0695038461538462</v>
      </c>
      <c r="DG8" s="7" t="n">
        <f aca="false">(IF(AND($K$26="OK",$E$26="FIJA"),$Q$26,0)+$DL$13)/$DL$11</f>
        <v>0.0695038461538462</v>
      </c>
      <c r="DH8" s="7" t="n">
        <f aca="false">(IF(AND($K$26="OK",$E$26="OPERABLE"),CHOOSE($N$26,$AB$6,$AC$6,$AD$6,$AE$6)+$P$26,0)+$DL$12)/$DL$11</f>
        <v>0.0695038461538462</v>
      </c>
      <c r="DI8" s="7" t="n">
        <f aca="false">(IF(AND($K$26="OK",$E$26="OPERABLE"),$Q$26,0)+$DL$13)/$DL$11</f>
        <v>0.0695038461538462</v>
      </c>
      <c r="DK8" s="5" t="s">
        <v>234</v>
      </c>
      <c r="DL8" s="8" t="n">
        <f aca="false">DATOS!$C$21*1.22</f>
        <v>12.9564</v>
      </c>
    </row>
    <row r="9" customFormat="false" ht="15" hidden="false" customHeight="true" outlineLevel="0" collapsed="false">
      <c r="B9" s="23" t="n">
        <v>3</v>
      </c>
      <c r="C9" s="27" t="s">
        <v>235</v>
      </c>
      <c r="D9" s="17" t="s">
        <v>236</v>
      </c>
      <c r="E9" s="17" t="s">
        <v>237</v>
      </c>
      <c r="F9" s="29" t="n">
        <v>0</v>
      </c>
      <c r="G9" s="29" t="n">
        <v>0</v>
      </c>
      <c r="H9" s="29" t="n">
        <v>10.08</v>
      </c>
      <c r="I9" s="29" t="n">
        <v>9.82</v>
      </c>
      <c r="J9" s="30" t="n">
        <f aca="false">IF($K9="OK",$H9*$I9,0)</f>
        <v>98.9856</v>
      </c>
      <c r="K9" s="20" t="str">
        <f aca="false">IF($D9="","",IF(OR($F9="",$G9=""),"FALTA POSICIÓN",IF(OR(N($H9)&lt;=0,N($I9)&lt;=0),"FALTA TAMAÑO",IF($E9="","FALTA TIPO",IF(OR(N($F9)&lt;0,N($G9)&lt;0,N($F9)+N($H9)&gt;$W9+0.001),"SE SALE A LO LARGO",IF(N($G9)+N($I9)&gt;MIN($S9,$T9)+0.001,"SE SALE POR ARRIBA","OK"))))))</f>
        <v>OK</v>
      </c>
      <c r="L9" s="31" t="s">
        <v>238</v>
      </c>
      <c r="N9" s="32" t="n">
        <f aca="false">IF($D9="",0,VALUE(MID($D9,6,1)))</f>
        <v>2</v>
      </c>
      <c r="O9" s="7" t="n">
        <f aca="false">IF($K9="OK",N($F9),0)</f>
        <v>0</v>
      </c>
      <c r="P9" s="7" t="n">
        <f aca="false">IF($K9="OK",N($F9)+N($H9),0)</f>
        <v>10.08</v>
      </c>
      <c r="Q9" s="7" t="n">
        <f aca="false">IF($K9="OK",N($G9),0)</f>
        <v>0</v>
      </c>
      <c r="R9" s="7" t="n">
        <f aca="false">IF($K9="OK",N($G9)+N($I9),0)</f>
        <v>9.82</v>
      </c>
      <c r="S9" s="7" t="n">
        <f aca="false">IF($N9=0,0,IF(INDEX($E$51:$E$54,$N9)="SÍ",IF(DATOS!$C$14="PLANO",DATOS!$C$17,IF(DATOS!$C$14="DOS AGUAS",DATOS!$C$17+(DATOS!$C$18-DATOS!$C$17)*(1-ABS(2*(N($F9))/DATOS!$C$23-1)),IF(DATOS!$C$14="UN AGUA",IF(N(DATOS!$C$25)=0,DATOS!$C$18-(DATOS!$C$18-DATOS!$C$17)*(N($F9))/DATOS!$C$23,DATOS!$C$17+(DATOS!$C$18-DATOS!$C$17)*(N($F9))/DATOS!$C$23),DATOS!$C$17+4*(DATOS!$C$18-DATOS!$C$17)*(N($F9))/DATOS!$C$23*(1-(N($F9))/DATOS!$C$23)))),INDEX($F$51:$F$54,$N9)))</f>
        <v>9.82</v>
      </c>
      <c r="T9" s="7" t="n">
        <f aca="false">IF($N9=0,0,IF(INDEX($E$51:$E$54,$N9)="SÍ",IF(DATOS!$C$14="PLANO",DATOS!$C$17,IF(DATOS!$C$14="DOS AGUAS",DATOS!$C$17+(DATOS!$C$18-DATOS!$C$17)*(1-ABS(2*(N($F9)+N($H9))/DATOS!$C$23-1)),IF(DATOS!$C$14="UN AGUA",IF(N(DATOS!$C$25)=0,DATOS!$C$18-(DATOS!$C$18-DATOS!$C$17)*(N($F9)+N($H9))/DATOS!$C$23,DATOS!$C$17+(DATOS!$C$18-DATOS!$C$17)*(N($F9)+N($H9))/DATOS!$C$23),DATOS!$C$17+4*(DATOS!$C$18-DATOS!$C$17)*(N($F9)+N($H9))/DATOS!$C$23*(1-(N($F9)+N($H9))/DATOS!$C$23)))),INDEX($F$51:$F$54,$N9)))</f>
        <v>9.82</v>
      </c>
      <c r="U9" s="32" t="n">
        <f aca="false">IF(AND($K9="OK",$E9="FIJA"),1,0)</f>
        <v>1</v>
      </c>
      <c r="V9" s="32" t="n">
        <f aca="false">IF($K9="OK",1,0)</f>
        <v>1</v>
      </c>
      <c r="W9" s="7" t="n">
        <f aca="false">IF($N9=0,0,INDEX($D$51:$D$54,$N9))</f>
        <v>10.08</v>
      </c>
      <c r="Y9" s="7" t="n">
        <f aca="false">($AB$6+DATOS!$AE$5+$DL$12)/$DL$11</f>
        <v>0.684495743301642</v>
      </c>
      <c r="Z9" s="7" t="n">
        <f aca="false">(DATOS!$AF$5+$DL$13)/$DL$11</f>
        <v>0.717441737791703</v>
      </c>
      <c r="AA9" s="7" t="n">
        <f aca="false">($AC$6+DATOS!$AI$5+$DL$12)/$DL$11</f>
        <v>1.39710540190147</v>
      </c>
      <c r="AB9" s="7" t="n">
        <f aca="false">(DATOS!$AJ$5+$DL$13)/$DL$11</f>
        <v>0.668632857065687</v>
      </c>
      <c r="AC9" s="7" t="n">
        <f aca="false">($AD$6+DATOS!$AM$5+$DL$12)/$DL$11</f>
        <v>2.47090077787381</v>
      </c>
      <c r="AD9" s="7" t="n">
        <f aca="false">(DATOS!$AN$5+$DL$13)/$DL$11</f>
        <v>0.668632857065687</v>
      </c>
      <c r="AE9" s="7" t="n">
        <f aca="false">($AE$6+DATOS!$AQ$5+$DL$12)/$DL$11</f>
        <v>3.54469615384615</v>
      </c>
      <c r="AF9" s="7" t="n">
        <f aca="false">(DATOS!$AR$5+$DL$13)/$DL$11</f>
        <v>0.668632857065687</v>
      </c>
      <c r="AH9" s="7" t="n">
        <f aca="false">(IF(AND($K$7="OK",$E$7="FIJA"),CHOOSE($N$7,$AB$6,$AC$6,$AD$6,$AE$6)+$P$7,0)+$DL$12)/$DL$11</f>
        <v>0.0695038461538462</v>
      </c>
      <c r="AI9" s="7" t="n">
        <f aca="false">(IF(AND($K$7="OK",$E$7="FIJA"),$R$7,0)+$DL$13)/$DL$11</f>
        <v>0.0695038461538462</v>
      </c>
      <c r="AJ9" s="7" t="n">
        <f aca="false">(IF(AND($K$7="OK",$E$7="OPERABLE"),CHOOSE($N$7,$AB$6,$AC$6,$AD$6,$AE$6)+$P$7,0)+$DL$12)/$DL$11</f>
        <v>0.188103325207973</v>
      </c>
      <c r="AK9" s="7" t="n">
        <f aca="false">(IF(AND($K$7="OK",$E$7="OPERABLE"),$R$7,0)+$DL$13)/$DL$11</f>
        <v>0.215930488331893</v>
      </c>
      <c r="AL9" s="7" t="n">
        <f aca="false">(IF(AND($K$8="OK",$E$8="FIJA"),CHOOSE($N$8,$AB$6,$AC$6,$AD$6,$AE$6)+$P$8,0)+$DL$12)/$DL$11</f>
        <v>0.0695038461538462</v>
      </c>
      <c r="AM9" s="7" t="n">
        <f aca="false">(IF(AND($K$8="OK",$E$8="FIJA"),$R$8,0)+$DL$13)/$DL$11</f>
        <v>0.0695038461538462</v>
      </c>
      <c r="AN9" s="7" t="n">
        <f aca="false">(IF(AND($K$8="OK",$E$8="OPERABLE"),CHOOSE($N$8,$AB$6,$AC$6,$AD$6,$AE$6)+$P$8,0)+$DL$12)/$DL$11</f>
        <v>0.532486585390558</v>
      </c>
      <c r="AO9" s="7" t="n">
        <f aca="false">(IF(AND($K$8="OK",$E$8="OPERABLE"),$R$8,0)+$DL$13)/$DL$11</f>
        <v>0.455704114898444</v>
      </c>
      <c r="AP9" s="7" t="n">
        <f aca="false">(IF(AND($K$9="OK",$E$9="FIJA"),CHOOSE($N$9,$AB$6,$AC$6,$AD$6,$AE$6)+$P$9,0)+$DL$12)/$DL$11</f>
        <v>1.39710540190147</v>
      </c>
      <c r="AQ9" s="7" t="n">
        <f aca="false">(IF(AND($K$9="OK",$E$9="FIJA"),$R$9,0)+$DL$13)/$DL$11</f>
        <v>0.668632857065687</v>
      </c>
      <c r="AR9" s="7" t="n">
        <f aca="false">(IF(AND($K$9="OK",$E$9="OPERABLE"),CHOOSE($N$9,$AB$6,$AC$6,$AD$6,$AE$6)+$P$9,0)+$DL$12)/$DL$11</f>
        <v>0.0695038461538462</v>
      </c>
      <c r="AS9" s="7" t="n">
        <f aca="false">(IF(AND($K$9="OK",$E$9="OPERABLE"),$R$9,0)+$DL$13)/$DL$11</f>
        <v>0.0695038461538462</v>
      </c>
      <c r="AT9" s="7" t="n">
        <f aca="false">(IF(AND($K$10="OK",$E$10="FIJA"),CHOOSE($N$10,$AB$6,$AC$6,$AD$6,$AE$6)+$P$10,0)+$DL$12)/$DL$11</f>
        <v>0.0695038461538462</v>
      </c>
      <c r="AU9" s="7" t="n">
        <f aca="false">(IF(AND($K$10="OK",$E$10="FIJA"),$R$10,0)+$DL$13)/$DL$11</f>
        <v>0.0695038461538462</v>
      </c>
      <c r="AV9" s="7" t="n">
        <f aca="false">(IF(AND($K$10="OK",$E$10="OPERABLE"),CHOOSE($N$10,$AB$6,$AC$6,$AD$6,$AE$6)+$P$10,0)+$DL$12)/$DL$11</f>
        <v>0.0695038461538462</v>
      </c>
      <c r="AW9" s="7" t="n">
        <f aca="false">(IF(AND($K$10="OK",$E$10="OPERABLE"),$R$10,0)+$DL$13)/$DL$11</f>
        <v>0.0695038461538462</v>
      </c>
      <c r="AX9" s="7" t="n">
        <f aca="false">(IF(AND($K$11="OK",$E$11="FIJA"),CHOOSE($N$11,$AB$6,$AC$6,$AD$6,$AE$6)+$P$11,0)+$DL$12)/$DL$11</f>
        <v>0.0695038461538462</v>
      </c>
      <c r="AY9" s="7" t="n">
        <f aca="false">(IF(AND($K$11="OK",$E$11="FIJA"),$R$11,0)+$DL$13)/$DL$11</f>
        <v>0.0695038461538462</v>
      </c>
      <c r="AZ9" s="7" t="n">
        <f aca="false">(IF(AND($K$11="OK",$E$11="OPERABLE"),CHOOSE($N$11,$AB$6,$AC$6,$AD$6,$AE$6)+$P$11,0)+$DL$12)/$DL$11</f>
        <v>0.0695038461538462</v>
      </c>
      <c r="BA9" s="7" t="n">
        <f aca="false">(IF(AND($K$11="OK",$E$11="OPERABLE"),$R$11,0)+$DL$13)/$DL$11</f>
        <v>0.0695038461538462</v>
      </c>
      <c r="BB9" s="7" t="n">
        <f aca="false">(IF(AND($K$12="OK",$E$12="FIJA"),CHOOSE($N$12,$AB$6,$AC$6,$AD$6,$AE$6)+$P$12,0)+$DL$12)/$DL$11</f>
        <v>0.0695038461538462</v>
      </c>
      <c r="BC9" s="7" t="n">
        <f aca="false">(IF(AND($K$12="OK",$E$12="FIJA"),$R$12,0)+$DL$13)/$DL$11</f>
        <v>0.0695038461538462</v>
      </c>
      <c r="BD9" s="7" t="n">
        <f aca="false">(IF(AND($K$12="OK",$E$12="OPERABLE"),CHOOSE($N$12,$AB$6,$AC$6,$AD$6,$AE$6)+$P$12,0)+$DL$12)/$DL$11</f>
        <v>0.0695038461538462</v>
      </c>
      <c r="BE9" s="7" t="n">
        <f aca="false">(IF(AND($K$12="OK",$E$12="OPERABLE"),$R$12,0)+$DL$13)/$DL$11</f>
        <v>0.0695038461538462</v>
      </c>
      <c r="BF9" s="7" t="n">
        <f aca="false">(IF(AND($K$13="OK",$E$13="FIJA"),CHOOSE($N$13,$AB$6,$AC$6,$AD$6,$AE$6)+$P$13,0)+$DL$12)/$DL$11</f>
        <v>0.0695038461538462</v>
      </c>
      <c r="BG9" s="7" t="n">
        <f aca="false">(IF(AND($K$13="OK",$E$13="FIJA"),$R$13,0)+$DL$13)/$DL$11</f>
        <v>0.0695038461538462</v>
      </c>
      <c r="BH9" s="7" t="n">
        <f aca="false">(IF(AND($K$13="OK",$E$13="OPERABLE"),CHOOSE($N$13,$AB$6,$AC$6,$AD$6,$AE$6)+$P$13,0)+$DL$12)/$DL$11</f>
        <v>0.0695038461538462</v>
      </c>
      <c r="BI9" s="7" t="n">
        <f aca="false">(IF(AND($K$13="OK",$E$13="OPERABLE"),$R$13,0)+$DL$13)/$DL$11</f>
        <v>0.0695038461538462</v>
      </c>
      <c r="BJ9" s="7" t="n">
        <f aca="false">(IF(AND($K$14="OK",$E$14="FIJA"),CHOOSE($N$14,$AB$6,$AC$6,$AD$6,$AE$6)+$P$14,0)+$DL$12)/$DL$11</f>
        <v>0.0695038461538462</v>
      </c>
      <c r="BK9" s="7" t="n">
        <f aca="false">(IF(AND($K$14="OK",$E$14="FIJA"),$R$14,0)+$DL$13)/$DL$11</f>
        <v>0.0695038461538462</v>
      </c>
      <c r="BL9" s="7" t="n">
        <f aca="false">(IF(AND($K$14="OK",$E$14="OPERABLE"),CHOOSE($N$14,$AB$6,$AC$6,$AD$6,$AE$6)+$P$14,0)+$DL$12)/$DL$11</f>
        <v>0.0695038461538462</v>
      </c>
      <c r="BM9" s="7" t="n">
        <f aca="false">(IF(AND($K$14="OK",$E$14="OPERABLE"),$R$14,0)+$DL$13)/$DL$11</f>
        <v>0.0695038461538462</v>
      </c>
      <c r="BN9" s="7" t="n">
        <f aca="false">(IF(AND($K$15="OK",$E$15="FIJA"),CHOOSE($N$15,$AB$6,$AC$6,$AD$6,$AE$6)+$P$15,0)+$DL$12)/$DL$11</f>
        <v>0.0695038461538462</v>
      </c>
      <c r="BO9" s="7" t="n">
        <f aca="false">(IF(AND($K$15="OK",$E$15="FIJA"),$R$15,0)+$DL$13)/$DL$11</f>
        <v>0.0695038461538462</v>
      </c>
      <c r="BP9" s="7" t="n">
        <f aca="false">(IF(AND($K$15="OK",$E$15="OPERABLE"),CHOOSE($N$15,$AB$6,$AC$6,$AD$6,$AE$6)+$P$15,0)+$DL$12)/$DL$11</f>
        <v>0.0695038461538462</v>
      </c>
      <c r="BQ9" s="7" t="n">
        <f aca="false">(IF(AND($K$15="OK",$E$15="OPERABLE"),$R$15,0)+$DL$13)/$DL$11</f>
        <v>0.0695038461538462</v>
      </c>
      <c r="BR9" s="7" t="n">
        <f aca="false">(IF(AND($K$16="OK",$E$16="FIJA"),CHOOSE($N$16,$AB$6,$AC$6,$AD$6,$AE$6)+$P$16,0)+$DL$12)/$DL$11</f>
        <v>0.0695038461538462</v>
      </c>
      <c r="BS9" s="7" t="n">
        <f aca="false">(IF(AND($K$16="OK",$E$16="FIJA"),$R$16,0)+$DL$13)/$DL$11</f>
        <v>0.0695038461538462</v>
      </c>
      <c r="BT9" s="7" t="n">
        <f aca="false">(IF(AND($K$16="OK",$E$16="OPERABLE"),CHOOSE($N$16,$AB$6,$AC$6,$AD$6,$AE$6)+$P$16,0)+$DL$12)/$DL$11</f>
        <v>0.0695038461538462</v>
      </c>
      <c r="BU9" s="7" t="n">
        <f aca="false">(IF(AND($K$16="OK",$E$16="OPERABLE"),$R$16,0)+$DL$13)/$DL$11</f>
        <v>0.0695038461538462</v>
      </c>
      <c r="BV9" s="7" t="n">
        <f aca="false">(IF(AND($K$17="OK",$E$17="FIJA"),CHOOSE($N$17,$AB$6,$AC$6,$AD$6,$AE$6)+$P$17,0)+$DL$12)/$DL$11</f>
        <v>0.0695038461538462</v>
      </c>
      <c r="BW9" s="7" t="n">
        <f aca="false">(IF(AND($K$17="OK",$E$17="FIJA"),$R$17,0)+$DL$13)/$DL$11</f>
        <v>0.0695038461538462</v>
      </c>
      <c r="BX9" s="7" t="n">
        <f aca="false">(IF(AND($K$17="OK",$E$17="OPERABLE"),CHOOSE($N$17,$AB$6,$AC$6,$AD$6,$AE$6)+$P$17,0)+$DL$12)/$DL$11</f>
        <v>0.0695038461538462</v>
      </c>
      <c r="BY9" s="7" t="n">
        <f aca="false">(IF(AND($K$17="OK",$E$17="OPERABLE"),$R$17,0)+$DL$13)/$DL$11</f>
        <v>0.0695038461538462</v>
      </c>
      <c r="BZ9" s="7" t="n">
        <f aca="false">(IF(AND($K$18="OK",$E$18="FIJA"),CHOOSE($N$18,$AB$6,$AC$6,$AD$6,$AE$6)+$P$18,0)+$DL$12)/$DL$11</f>
        <v>0.0695038461538462</v>
      </c>
      <c r="CA9" s="7" t="n">
        <f aca="false">(IF(AND($K$18="OK",$E$18="FIJA"),$R$18,0)+$DL$13)/$DL$11</f>
        <v>0.0695038461538462</v>
      </c>
      <c r="CB9" s="7" t="n">
        <f aca="false">(IF(AND($K$18="OK",$E$18="OPERABLE"),CHOOSE($N$18,$AB$6,$AC$6,$AD$6,$AE$6)+$P$18,0)+$DL$12)/$DL$11</f>
        <v>0.0695038461538462</v>
      </c>
      <c r="CC9" s="7" t="n">
        <f aca="false">(IF(AND($K$18="OK",$E$18="OPERABLE"),$R$18,0)+$DL$13)/$DL$11</f>
        <v>0.0695038461538462</v>
      </c>
      <c r="CD9" s="7" t="n">
        <f aca="false">(IF(AND($K$19="OK",$E$19="FIJA"),CHOOSE($N$19,$AB$6,$AC$6,$AD$6,$AE$6)+$P$19,0)+$DL$12)/$DL$11</f>
        <v>0.0695038461538462</v>
      </c>
      <c r="CE9" s="7" t="n">
        <f aca="false">(IF(AND($K$19="OK",$E$19="FIJA"),$R$19,0)+$DL$13)/$DL$11</f>
        <v>0.0695038461538462</v>
      </c>
      <c r="CF9" s="7" t="n">
        <f aca="false">(IF(AND($K$19="OK",$E$19="OPERABLE"),CHOOSE($N$19,$AB$6,$AC$6,$AD$6,$AE$6)+$P$19,0)+$DL$12)/$DL$11</f>
        <v>0.0695038461538462</v>
      </c>
      <c r="CG9" s="7" t="n">
        <f aca="false">(IF(AND($K$19="OK",$E$19="OPERABLE"),$R$19,0)+$DL$13)/$DL$11</f>
        <v>0.0695038461538462</v>
      </c>
      <c r="CH9" s="7" t="n">
        <f aca="false">(IF(AND($K$20="OK",$E$20="FIJA"),CHOOSE($N$20,$AB$6,$AC$6,$AD$6,$AE$6)+$P$20,0)+$DL$12)/$DL$11</f>
        <v>0.0695038461538462</v>
      </c>
      <c r="CI9" s="7" t="n">
        <f aca="false">(IF(AND($K$20="OK",$E$20="FIJA"),$R$20,0)+$DL$13)/$DL$11</f>
        <v>0.0695038461538462</v>
      </c>
      <c r="CJ9" s="7" t="n">
        <f aca="false">(IF(AND($K$20="OK",$E$20="OPERABLE"),CHOOSE($N$20,$AB$6,$AC$6,$AD$6,$AE$6)+$P$20,0)+$DL$12)/$DL$11</f>
        <v>0.0695038461538462</v>
      </c>
      <c r="CK9" s="7" t="n">
        <f aca="false">(IF(AND($K$20="OK",$E$20="OPERABLE"),$R$20,0)+$DL$13)/$DL$11</f>
        <v>0.0695038461538462</v>
      </c>
      <c r="CL9" s="7" t="n">
        <f aca="false">(IF(AND($K$21="OK",$E$21="FIJA"),CHOOSE($N$21,$AB$6,$AC$6,$AD$6,$AE$6)+$P$21,0)+$DL$12)/$DL$11</f>
        <v>0.0695038461538462</v>
      </c>
      <c r="CM9" s="7" t="n">
        <f aca="false">(IF(AND($K$21="OK",$E$21="FIJA"),$R$21,0)+$DL$13)/$DL$11</f>
        <v>0.0695038461538462</v>
      </c>
      <c r="CN9" s="7" t="n">
        <f aca="false">(IF(AND($K$21="OK",$E$21="OPERABLE"),CHOOSE($N$21,$AB$6,$AC$6,$AD$6,$AE$6)+$P$21,0)+$DL$12)/$DL$11</f>
        <v>0.0695038461538462</v>
      </c>
      <c r="CO9" s="7" t="n">
        <f aca="false">(IF(AND($K$21="OK",$E$21="OPERABLE"),$R$21,0)+$DL$13)/$DL$11</f>
        <v>0.0695038461538462</v>
      </c>
      <c r="CP9" s="7" t="n">
        <f aca="false">(IF(AND($K$22="OK",$E$22="FIJA"),CHOOSE($N$22,$AB$6,$AC$6,$AD$6,$AE$6)+$P$22,0)+$DL$12)/$DL$11</f>
        <v>0.0695038461538462</v>
      </c>
      <c r="CQ9" s="7" t="n">
        <f aca="false">(IF(AND($K$22="OK",$E$22="FIJA"),$R$22,0)+$DL$13)/$DL$11</f>
        <v>0.0695038461538462</v>
      </c>
      <c r="CR9" s="7" t="n">
        <f aca="false">(IF(AND($K$22="OK",$E$22="OPERABLE"),CHOOSE($N$22,$AB$6,$AC$6,$AD$6,$AE$6)+$P$22,0)+$DL$12)/$DL$11</f>
        <v>0.0695038461538462</v>
      </c>
      <c r="CS9" s="7" t="n">
        <f aca="false">(IF(AND($K$22="OK",$E$22="OPERABLE"),$R$22,0)+$DL$13)/$DL$11</f>
        <v>0.0695038461538462</v>
      </c>
      <c r="CT9" s="7" t="n">
        <f aca="false">(IF(AND($K$23="OK",$E$23="FIJA"),CHOOSE($N$23,$AB$6,$AC$6,$AD$6,$AE$6)+$P$23,0)+$DL$12)/$DL$11</f>
        <v>0.0695038461538462</v>
      </c>
      <c r="CU9" s="7" t="n">
        <f aca="false">(IF(AND($K$23="OK",$E$23="FIJA"),$R$23,0)+$DL$13)/$DL$11</f>
        <v>0.0695038461538462</v>
      </c>
      <c r="CV9" s="7" t="n">
        <f aca="false">(IF(AND($K$23="OK",$E$23="OPERABLE"),CHOOSE($N$23,$AB$6,$AC$6,$AD$6,$AE$6)+$P$23,0)+$DL$12)/$DL$11</f>
        <v>0.0695038461538462</v>
      </c>
      <c r="CW9" s="7" t="n">
        <f aca="false">(IF(AND($K$23="OK",$E$23="OPERABLE"),$R$23,0)+$DL$13)/$DL$11</f>
        <v>0.0695038461538462</v>
      </c>
      <c r="CX9" s="7" t="n">
        <f aca="false">(IF(AND($K$24="OK",$E$24="FIJA"),CHOOSE($N$24,$AB$6,$AC$6,$AD$6,$AE$6)+$P$24,0)+$DL$12)/$DL$11</f>
        <v>0.0695038461538462</v>
      </c>
      <c r="CY9" s="7" t="n">
        <f aca="false">(IF(AND($K$24="OK",$E$24="FIJA"),$R$24,0)+$DL$13)/$DL$11</f>
        <v>0.0695038461538462</v>
      </c>
      <c r="CZ9" s="7" t="n">
        <f aca="false">(IF(AND($K$24="OK",$E$24="OPERABLE"),CHOOSE($N$24,$AB$6,$AC$6,$AD$6,$AE$6)+$P$24,0)+$DL$12)/$DL$11</f>
        <v>0.0695038461538462</v>
      </c>
      <c r="DA9" s="7" t="n">
        <f aca="false">(IF(AND($K$24="OK",$E$24="OPERABLE"),$R$24,0)+$DL$13)/$DL$11</f>
        <v>0.0695038461538462</v>
      </c>
      <c r="DB9" s="7" t="n">
        <f aca="false">(IF(AND($K$25="OK",$E$25="FIJA"),CHOOSE($N$25,$AB$6,$AC$6,$AD$6,$AE$6)+$P$25,0)+$DL$12)/$DL$11</f>
        <v>0.0695038461538462</v>
      </c>
      <c r="DC9" s="7" t="n">
        <f aca="false">(IF(AND($K$25="OK",$E$25="FIJA"),$R$25,0)+$DL$13)/$DL$11</f>
        <v>0.0695038461538462</v>
      </c>
      <c r="DD9" s="7" t="n">
        <f aca="false">(IF(AND($K$25="OK",$E$25="OPERABLE"),CHOOSE($N$25,$AB$6,$AC$6,$AD$6,$AE$6)+$P$25,0)+$DL$12)/$DL$11</f>
        <v>0.0695038461538462</v>
      </c>
      <c r="DE9" s="7" t="n">
        <f aca="false">(IF(AND($K$25="OK",$E$25="OPERABLE"),$R$25,0)+$DL$13)/$DL$11</f>
        <v>0.0695038461538462</v>
      </c>
      <c r="DF9" s="7" t="n">
        <f aca="false">(IF(AND($K$26="OK",$E$26="FIJA"),CHOOSE($N$26,$AB$6,$AC$6,$AD$6,$AE$6)+$P$26,0)+$DL$12)/$DL$11</f>
        <v>0.0695038461538462</v>
      </c>
      <c r="DG9" s="7" t="n">
        <f aca="false">(IF(AND($K$26="OK",$E$26="FIJA"),$R$26,0)+$DL$13)/$DL$11</f>
        <v>0.0695038461538462</v>
      </c>
      <c r="DH9" s="7" t="n">
        <f aca="false">(IF(AND($K$26="OK",$E$26="OPERABLE"),CHOOSE($N$26,$AB$6,$AC$6,$AD$6,$AE$6)+$P$26,0)+$DL$12)/$DL$11</f>
        <v>0.0695038461538462</v>
      </c>
      <c r="DI9" s="7" t="n">
        <f aca="false">(IF(AND($K$26="OK",$E$26="OPERABLE"),$R$26,0)+$DL$13)/$DL$11</f>
        <v>0.0695038461538462</v>
      </c>
      <c r="DK9" s="5" t="s">
        <v>70</v>
      </c>
      <c r="DL9" s="8" t="n">
        <f aca="false">0.02*$DL$7</f>
        <v>1.1392</v>
      </c>
    </row>
    <row r="10" customFormat="false" ht="15" hidden="false" customHeight="true" outlineLevel="0" collapsed="false">
      <c r="B10" s="23" t="n">
        <v>4</v>
      </c>
      <c r="C10" s="27"/>
      <c r="D10" s="17"/>
      <c r="E10" s="17"/>
      <c r="F10" s="29"/>
      <c r="G10" s="29"/>
      <c r="H10" s="29"/>
      <c r="I10" s="29"/>
      <c r="J10" s="30" t="n">
        <f aca="false">IF($K10="OK",$H10*$I10,0)</f>
        <v>0</v>
      </c>
      <c r="K10" s="20" t="str">
        <f aca="false">IF($D10="","",IF(OR($F10="",$G10=""),"FALTA POSICIÓN",IF(OR(N($H10)&lt;=0,N($I10)&lt;=0),"FALTA TAMAÑO",IF($E10="","FALTA TIPO",IF(OR(N($F10)&lt;0,N($G10)&lt;0,N($F10)+N($H10)&gt;$W10+0.001),"SE SALE A LO LARGO",IF(N($G10)+N($I10)&gt;MIN($S10,$T10)+0.001,"SE SALE POR ARRIBA","OK"))))))</f>
        <v/>
      </c>
      <c r="L10" s="31"/>
      <c r="N10" s="32" t="n">
        <f aca="false">IF($D10="",0,VALUE(MID($D10,6,1)))</f>
        <v>0</v>
      </c>
      <c r="O10" s="7" t="n">
        <f aca="false">IF($K10="OK",N($F10),0)</f>
        <v>0</v>
      </c>
      <c r="P10" s="7" t="n">
        <f aca="false">IF($K10="OK",N($F10)+N($H10),0)</f>
        <v>0</v>
      </c>
      <c r="Q10" s="7" t="n">
        <f aca="false">IF($K10="OK",N($G10),0)</f>
        <v>0</v>
      </c>
      <c r="R10" s="7" t="n">
        <f aca="false">IF($K10="OK",N($G10)+N($I10),0)</f>
        <v>0</v>
      </c>
      <c r="S10" s="7" t="n">
        <f aca="false">IF($N10=0,0,IF(INDEX($E$51:$E$54,$N10)="SÍ",IF(DATOS!$C$14="PLANO",DATOS!$C$17,IF(DATOS!$C$14="DOS AGUAS",DATOS!$C$17+(DATOS!$C$18-DATOS!$C$17)*(1-ABS(2*(N($F10))/DATOS!$C$23-1)),IF(DATOS!$C$14="UN AGUA",IF(N(DATOS!$C$25)=0,DATOS!$C$18-(DATOS!$C$18-DATOS!$C$17)*(N($F10))/DATOS!$C$23,DATOS!$C$17+(DATOS!$C$18-DATOS!$C$17)*(N($F10))/DATOS!$C$23),DATOS!$C$17+4*(DATOS!$C$18-DATOS!$C$17)*(N($F10))/DATOS!$C$23*(1-(N($F10))/DATOS!$C$23)))),INDEX($F$51:$F$54,$N10)))</f>
        <v>0</v>
      </c>
      <c r="T10" s="7" t="n">
        <f aca="false">IF($N10=0,0,IF(INDEX($E$51:$E$54,$N10)="SÍ",IF(DATOS!$C$14="PLANO",DATOS!$C$17,IF(DATOS!$C$14="DOS AGUAS",DATOS!$C$17+(DATOS!$C$18-DATOS!$C$17)*(1-ABS(2*(N($F10)+N($H10))/DATOS!$C$23-1)),IF(DATOS!$C$14="UN AGUA",IF(N(DATOS!$C$25)=0,DATOS!$C$18-(DATOS!$C$18-DATOS!$C$17)*(N($F10)+N($H10))/DATOS!$C$23,DATOS!$C$17+(DATOS!$C$18-DATOS!$C$17)*(N($F10)+N($H10))/DATOS!$C$23),DATOS!$C$17+4*(DATOS!$C$18-DATOS!$C$17)*(N($F10)+N($H10))/DATOS!$C$23*(1-(N($F10)+N($H10))/DATOS!$C$23)))),INDEX($F$51:$F$54,$N10)))</f>
        <v>0</v>
      </c>
      <c r="U10" s="32" t="n">
        <f aca="false">IF(AND($K10="OK",$E10="FIJA"),1,0)</f>
        <v>0</v>
      </c>
      <c r="V10" s="32" t="n">
        <f aca="false">IF($K10="OK",1,0)</f>
        <v>0</v>
      </c>
      <c r="W10" s="7" t="n">
        <f aca="false">IF($N10=0,0,INDEX($D$51:$D$54,$N10))</f>
        <v>0</v>
      </c>
      <c r="Y10" s="7" t="n">
        <f aca="false">($AB$6+DATOS!$AE$6+$DL$12)/$DL$11</f>
        <v>0.607621756158168</v>
      </c>
      <c r="Z10" s="7" t="n">
        <f aca="false">(DATOS!$AF$6+$DL$13)/$DL$11</f>
        <v>0.717441737791703</v>
      </c>
      <c r="AA10" s="7" t="n">
        <f aca="false">($AC$6+DATOS!$AI$6+$DL$12)/$DL$11</f>
        <v>1.320231414758</v>
      </c>
      <c r="AB10" s="7" t="n">
        <f aca="false">(DATOS!$AJ$6+$DL$13)/$DL$11</f>
        <v>0.668632857065687</v>
      </c>
      <c r="AC10" s="7" t="n">
        <f aca="false">($AD$6+DATOS!$AM$6+$DL$12)/$DL$11</f>
        <v>2.34887857605877</v>
      </c>
      <c r="AD10" s="7" t="n">
        <f aca="false">(DATOS!$AN$6+$DL$13)/$DL$11</f>
        <v>0.674733967156439</v>
      </c>
      <c r="AE10" s="7" t="n">
        <f aca="false">($AE$6+DATOS!$AQ$6+$DL$12)/$DL$11</f>
        <v>3.42267395203112</v>
      </c>
      <c r="AF10" s="7" t="n">
        <f aca="false">(DATOS!$AR$6+$DL$13)/$DL$11</f>
        <v>0.674733967156439</v>
      </c>
      <c r="AH10" s="7" t="n">
        <f aca="false">(IF(AND($K$7="OK",$E$7="FIJA"),CHOOSE($N$7,$AB$6,$AC$6,$AD$6,$AE$6)+$O$7,0)+$DL$12)/$DL$11</f>
        <v>0.0695038461538462</v>
      </c>
      <c r="AI10" s="7" t="n">
        <f aca="false">(IF(AND($K$7="OK",$E$7="FIJA"),$R$7,0)+$DL$13)/$DL$11</f>
        <v>0.0695038461538462</v>
      </c>
      <c r="AJ10" s="7" t="n">
        <f aca="false">(IF(AND($K$7="OK",$E$7="OPERABLE"),CHOOSE($N$7,$AB$6,$AC$6,$AD$6,$AE$6)+$O$7,0)+$DL$12)/$DL$11</f>
        <v>0.108703478486927</v>
      </c>
      <c r="AK10" s="7" t="n">
        <f aca="false">(IF(AND($K$7="OK",$E$7="OPERABLE"),$R$7,0)+$DL$13)/$DL$11</f>
        <v>0.215930488331893</v>
      </c>
      <c r="AL10" s="7" t="n">
        <f aca="false">(IF(AND($K$8="OK",$E$8="FIJA"),CHOOSE($N$8,$AB$6,$AC$6,$AD$6,$AE$6)+$O$8,0)+$DL$12)/$DL$11</f>
        <v>0.0695038461538462</v>
      </c>
      <c r="AM10" s="7" t="n">
        <f aca="false">(IF(AND($K$8="OK",$E$8="FIJA"),$R$8,0)+$DL$13)/$DL$11</f>
        <v>0.0695038461538462</v>
      </c>
      <c r="AN10" s="7" t="n">
        <f aca="false">(IF(AND($K$8="OK",$E$8="OPERABLE"),CHOOSE($N$8,$AB$6,$AC$6,$AD$6,$AE$6)+$O$8,0)+$DL$12)/$DL$11</f>
        <v>0.221232353000756</v>
      </c>
      <c r="AO10" s="7" t="n">
        <f aca="false">(IF(AND($K$8="OK",$E$8="OPERABLE"),$R$8,0)+$DL$13)/$DL$11</f>
        <v>0.455704114898444</v>
      </c>
      <c r="AP10" s="7" t="n">
        <f aca="false">(IF(AND($K$9="OK",$E$9="FIJA"),CHOOSE($N$9,$AB$6,$AC$6,$AD$6,$AE$6)+$O$9,0)+$DL$12)/$DL$11</f>
        <v>0.782113504753674</v>
      </c>
      <c r="AQ10" s="7" t="n">
        <f aca="false">(IF(AND($K$9="OK",$E$9="FIJA"),$R$9,0)+$DL$13)/$DL$11</f>
        <v>0.668632857065687</v>
      </c>
      <c r="AR10" s="7" t="n">
        <f aca="false">(IF(AND($K$9="OK",$E$9="OPERABLE"),CHOOSE($N$9,$AB$6,$AC$6,$AD$6,$AE$6)+$O$9,0)+$DL$12)/$DL$11</f>
        <v>0.0695038461538462</v>
      </c>
      <c r="AS10" s="7" t="n">
        <f aca="false">(IF(AND($K$9="OK",$E$9="OPERABLE"),$R$9,0)+$DL$13)/$DL$11</f>
        <v>0.0695038461538462</v>
      </c>
      <c r="AT10" s="7" t="n">
        <f aca="false">(IF(AND($K$10="OK",$E$10="FIJA"),CHOOSE($N$10,$AB$6,$AC$6,$AD$6,$AE$6)+$O$10,0)+$DL$12)/$DL$11</f>
        <v>0.0695038461538462</v>
      </c>
      <c r="AU10" s="7" t="n">
        <f aca="false">(IF(AND($K$10="OK",$E$10="FIJA"),$R$10,0)+$DL$13)/$DL$11</f>
        <v>0.0695038461538462</v>
      </c>
      <c r="AV10" s="7" t="n">
        <f aca="false">(IF(AND($K$10="OK",$E$10="OPERABLE"),CHOOSE($N$10,$AB$6,$AC$6,$AD$6,$AE$6)+$O$10,0)+$DL$12)/$DL$11</f>
        <v>0.0695038461538462</v>
      </c>
      <c r="AW10" s="7" t="n">
        <f aca="false">(IF(AND($K$10="OK",$E$10="OPERABLE"),$R$10,0)+$DL$13)/$DL$11</f>
        <v>0.0695038461538462</v>
      </c>
      <c r="AX10" s="7" t="n">
        <f aca="false">(IF(AND($K$11="OK",$E$11="FIJA"),CHOOSE($N$11,$AB$6,$AC$6,$AD$6,$AE$6)+$O$11,0)+$DL$12)/$DL$11</f>
        <v>0.0695038461538462</v>
      </c>
      <c r="AY10" s="7" t="n">
        <f aca="false">(IF(AND($K$11="OK",$E$11="FIJA"),$R$11,0)+$DL$13)/$DL$11</f>
        <v>0.0695038461538462</v>
      </c>
      <c r="AZ10" s="7" t="n">
        <f aca="false">(IF(AND($K$11="OK",$E$11="OPERABLE"),CHOOSE($N$11,$AB$6,$AC$6,$AD$6,$AE$6)+$O$11,0)+$DL$12)/$DL$11</f>
        <v>0.0695038461538462</v>
      </c>
      <c r="BA10" s="7" t="n">
        <f aca="false">(IF(AND($K$11="OK",$E$11="OPERABLE"),$R$11,0)+$DL$13)/$DL$11</f>
        <v>0.0695038461538462</v>
      </c>
      <c r="BB10" s="7" t="n">
        <f aca="false">(IF(AND($K$12="OK",$E$12="FIJA"),CHOOSE($N$12,$AB$6,$AC$6,$AD$6,$AE$6)+$O$12,0)+$DL$12)/$DL$11</f>
        <v>0.0695038461538462</v>
      </c>
      <c r="BC10" s="7" t="n">
        <f aca="false">(IF(AND($K$12="OK",$E$12="FIJA"),$R$12,0)+$DL$13)/$DL$11</f>
        <v>0.0695038461538462</v>
      </c>
      <c r="BD10" s="7" t="n">
        <f aca="false">(IF(AND($K$12="OK",$E$12="OPERABLE"),CHOOSE($N$12,$AB$6,$AC$6,$AD$6,$AE$6)+$O$12,0)+$DL$12)/$DL$11</f>
        <v>0.0695038461538462</v>
      </c>
      <c r="BE10" s="7" t="n">
        <f aca="false">(IF(AND($K$12="OK",$E$12="OPERABLE"),$R$12,0)+$DL$13)/$DL$11</f>
        <v>0.0695038461538462</v>
      </c>
      <c r="BF10" s="7" t="n">
        <f aca="false">(IF(AND($K$13="OK",$E$13="FIJA"),CHOOSE($N$13,$AB$6,$AC$6,$AD$6,$AE$6)+$O$13,0)+$DL$12)/$DL$11</f>
        <v>0.0695038461538462</v>
      </c>
      <c r="BG10" s="7" t="n">
        <f aca="false">(IF(AND($K$13="OK",$E$13="FIJA"),$R$13,0)+$DL$13)/$DL$11</f>
        <v>0.0695038461538462</v>
      </c>
      <c r="BH10" s="7" t="n">
        <f aca="false">(IF(AND($K$13="OK",$E$13="OPERABLE"),CHOOSE($N$13,$AB$6,$AC$6,$AD$6,$AE$6)+$O$13,0)+$DL$12)/$DL$11</f>
        <v>0.0695038461538462</v>
      </c>
      <c r="BI10" s="7" t="n">
        <f aca="false">(IF(AND($K$13="OK",$E$13="OPERABLE"),$R$13,0)+$DL$13)/$DL$11</f>
        <v>0.0695038461538462</v>
      </c>
      <c r="BJ10" s="7" t="n">
        <f aca="false">(IF(AND($K$14="OK",$E$14="FIJA"),CHOOSE($N$14,$AB$6,$AC$6,$AD$6,$AE$6)+$O$14,0)+$DL$12)/$DL$11</f>
        <v>0.0695038461538462</v>
      </c>
      <c r="BK10" s="7" t="n">
        <f aca="false">(IF(AND($K$14="OK",$E$14="FIJA"),$R$14,0)+$DL$13)/$DL$11</f>
        <v>0.0695038461538462</v>
      </c>
      <c r="BL10" s="7" t="n">
        <f aca="false">(IF(AND($K$14="OK",$E$14="OPERABLE"),CHOOSE($N$14,$AB$6,$AC$6,$AD$6,$AE$6)+$O$14,0)+$DL$12)/$DL$11</f>
        <v>0.0695038461538462</v>
      </c>
      <c r="BM10" s="7" t="n">
        <f aca="false">(IF(AND($K$14="OK",$E$14="OPERABLE"),$R$14,0)+$DL$13)/$DL$11</f>
        <v>0.0695038461538462</v>
      </c>
      <c r="BN10" s="7" t="n">
        <f aca="false">(IF(AND($K$15="OK",$E$15="FIJA"),CHOOSE($N$15,$AB$6,$AC$6,$AD$6,$AE$6)+$O$15,0)+$DL$12)/$DL$11</f>
        <v>0.0695038461538462</v>
      </c>
      <c r="BO10" s="7" t="n">
        <f aca="false">(IF(AND($K$15="OK",$E$15="FIJA"),$R$15,0)+$DL$13)/$DL$11</f>
        <v>0.0695038461538462</v>
      </c>
      <c r="BP10" s="7" t="n">
        <f aca="false">(IF(AND($K$15="OK",$E$15="OPERABLE"),CHOOSE($N$15,$AB$6,$AC$6,$AD$6,$AE$6)+$O$15,0)+$DL$12)/$DL$11</f>
        <v>0.0695038461538462</v>
      </c>
      <c r="BQ10" s="7" t="n">
        <f aca="false">(IF(AND($K$15="OK",$E$15="OPERABLE"),$R$15,0)+$DL$13)/$DL$11</f>
        <v>0.0695038461538462</v>
      </c>
      <c r="BR10" s="7" t="n">
        <f aca="false">(IF(AND($K$16="OK",$E$16="FIJA"),CHOOSE($N$16,$AB$6,$AC$6,$AD$6,$AE$6)+$O$16,0)+$DL$12)/$DL$11</f>
        <v>0.0695038461538462</v>
      </c>
      <c r="BS10" s="7" t="n">
        <f aca="false">(IF(AND($K$16="OK",$E$16="FIJA"),$R$16,0)+$DL$13)/$DL$11</f>
        <v>0.0695038461538462</v>
      </c>
      <c r="BT10" s="7" t="n">
        <f aca="false">(IF(AND($K$16="OK",$E$16="OPERABLE"),CHOOSE($N$16,$AB$6,$AC$6,$AD$6,$AE$6)+$O$16,0)+$DL$12)/$DL$11</f>
        <v>0.0695038461538462</v>
      </c>
      <c r="BU10" s="7" t="n">
        <f aca="false">(IF(AND($K$16="OK",$E$16="OPERABLE"),$R$16,0)+$DL$13)/$DL$11</f>
        <v>0.0695038461538462</v>
      </c>
      <c r="BV10" s="7" t="n">
        <f aca="false">(IF(AND($K$17="OK",$E$17="FIJA"),CHOOSE($N$17,$AB$6,$AC$6,$AD$6,$AE$6)+$O$17,0)+$DL$12)/$DL$11</f>
        <v>0.0695038461538462</v>
      </c>
      <c r="BW10" s="7" t="n">
        <f aca="false">(IF(AND($K$17="OK",$E$17="FIJA"),$R$17,0)+$DL$13)/$DL$11</f>
        <v>0.0695038461538462</v>
      </c>
      <c r="BX10" s="7" t="n">
        <f aca="false">(IF(AND($K$17="OK",$E$17="OPERABLE"),CHOOSE($N$17,$AB$6,$AC$6,$AD$6,$AE$6)+$O$17,0)+$DL$12)/$DL$11</f>
        <v>0.0695038461538462</v>
      </c>
      <c r="BY10" s="7" t="n">
        <f aca="false">(IF(AND($K$17="OK",$E$17="OPERABLE"),$R$17,0)+$DL$13)/$DL$11</f>
        <v>0.0695038461538462</v>
      </c>
      <c r="BZ10" s="7" t="n">
        <f aca="false">(IF(AND($K$18="OK",$E$18="FIJA"),CHOOSE($N$18,$AB$6,$AC$6,$AD$6,$AE$6)+$O$18,0)+$DL$12)/$DL$11</f>
        <v>0.0695038461538462</v>
      </c>
      <c r="CA10" s="7" t="n">
        <f aca="false">(IF(AND($K$18="OK",$E$18="FIJA"),$R$18,0)+$DL$13)/$DL$11</f>
        <v>0.0695038461538462</v>
      </c>
      <c r="CB10" s="7" t="n">
        <f aca="false">(IF(AND($K$18="OK",$E$18="OPERABLE"),CHOOSE($N$18,$AB$6,$AC$6,$AD$6,$AE$6)+$O$18,0)+$DL$12)/$DL$11</f>
        <v>0.0695038461538462</v>
      </c>
      <c r="CC10" s="7" t="n">
        <f aca="false">(IF(AND($K$18="OK",$E$18="OPERABLE"),$R$18,0)+$DL$13)/$DL$11</f>
        <v>0.0695038461538462</v>
      </c>
      <c r="CD10" s="7" t="n">
        <f aca="false">(IF(AND($K$19="OK",$E$19="FIJA"),CHOOSE($N$19,$AB$6,$AC$6,$AD$6,$AE$6)+$O$19,0)+$DL$12)/$DL$11</f>
        <v>0.0695038461538462</v>
      </c>
      <c r="CE10" s="7" t="n">
        <f aca="false">(IF(AND($K$19="OK",$E$19="FIJA"),$R$19,0)+$DL$13)/$DL$11</f>
        <v>0.0695038461538462</v>
      </c>
      <c r="CF10" s="7" t="n">
        <f aca="false">(IF(AND($K$19="OK",$E$19="OPERABLE"),CHOOSE($N$19,$AB$6,$AC$6,$AD$6,$AE$6)+$O$19,0)+$DL$12)/$DL$11</f>
        <v>0.0695038461538462</v>
      </c>
      <c r="CG10" s="7" t="n">
        <f aca="false">(IF(AND($K$19="OK",$E$19="OPERABLE"),$R$19,0)+$DL$13)/$DL$11</f>
        <v>0.0695038461538462</v>
      </c>
      <c r="CH10" s="7" t="n">
        <f aca="false">(IF(AND($K$20="OK",$E$20="FIJA"),CHOOSE($N$20,$AB$6,$AC$6,$AD$6,$AE$6)+$O$20,0)+$DL$12)/$DL$11</f>
        <v>0.0695038461538462</v>
      </c>
      <c r="CI10" s="7" t="n">
        <f aca="false">(IF(AND($K$20="OK",$E$20="FIJA"),$R$20,0)+$DL$13)/$DL$11</f>
        <v>0.0695038461538462</v>
      </c>
      <c r="CJ10" s="7" t="n">
        <f aca="false">(IF(AND($K$20="OK",$E$20="OPERABLE"),CHOOSE($N$20,$AB$6,$AC$6,$AD$6,$AE$6)+$O$20,0)+$DL$12)/$DL$11</f>
        <v>0.0695038461538462</v>
      </c>
      <c r="CK10" s="7" t="n">
        <f aca="false">(IF(AND($K$20="OK",$E$20="OPERABLE"),$R$20,0)+$DL$13)/$DL$11</f>
        <v>0.0695038461538462</v>
      </c>
      <c r="CL10" s="7" t="n">
        <f aca="false">(IF(AND($K$21="OK",$E$21="FIJA"),CHOOSE($N$21,$AB$6,$AC$6,$AD$6,$AE$6)+$O$21,0)+$DL$12)/$DL$11</f>
        <v>0.0695038461538462</v>
      </c>
      <c r="CM10" s="7" t="n">
        <f aca="false">(IF(AND($K$21="OK",$E$21="FIJA"),$R$21,0)+$DL$13)/$DL$11</f>
        <v>0.0695038461538462</v>
      </c>
      <c r="CN10" s="7" t="n">
        <f aca="false">(IF(AND($K$21="OK",$E$21="OPERABLE"),CHOOSE($N$21,$AB$6,$AC$6,$AD$6,$AE$6)+$O$21,0)+$DL$12)/$DL$11</f>
        <v>0.0695038461538462</v>
      </c>
      <c r="CO10" s="7" t="n">
        <f aca="false">(IF(AND($K$21="OK",$E$21="OPERABLE"),$R$21,0)+$DL$13)/$DL$11</f>
        <v>0.0695038461538462</v>
      </c>
      <c r="CP10" s="7" t="n">
        <f aca="false">(IF(AND($K$22="OK",$E$22="FIJA"),CHOOSE($N$22,$AB$6,$AC$6,$AD$6,$AE$6)+$O$22,0)+$DL$12)/$DL$11</f>
        <v>0.0695038461538462</v>
      </c>
      <c r="CQ10" s="7" t="n">
        <f aca="false">(IF(AND($K$22="OK",$E$22="FIJA"),$R$22,0)+$DL$13)/$DL$11</f>
        <v>0.0695038461538462</v>
      </c>
      <c r="CR10" s="7" t="n">
        <f aca="false">(IF(AND($K$22="OK",$E$22="OPERABLE"),CHOOSE($N$22,$AB$6,$AC$6,$AD$6,$AE$6)+$O$22,0)+$DL$12)/$DL$11</f>
        <v>0.0695038461538462</v>
      </c>
      <c r="CS10" s="7" t="n">
        <f aca="false">(IF(AND($K$22="OK",$E$22="OPERABLE"),$R$22,0)+$DL$13)/$DL$11</f>
        <v>0.0695038461538462</v>
      </c>
      <c r="CT10" s="7" t="n">
        <f aca="false">(IF(AND($K$23="OK",$E$23="FIJA"),CHOOSE($N$23,$AB$6,$AC$6,$AD$6,$AE$6)+$O$23,0)+$DL$12)/$DL$11</f>
        <v>0.0695038461538462</v>
      </c>
      <c r="CU10" s="7" t="n">
        <f aca="false">(IF(AND($K$23="OK",$E$23="FIJA"),$R$23,0)+$DL$13)/$DL$11</f>
        <v>0.0695038461538462</v>
      </c>
      <c r="CV10" s="7" t="n">
        <f aca="false">(IF(AND($K$23="OK",$E$23="OPERABLE"),CHOOSE($N$23,$AB$6,$AC$6,$AD$6,$AE$6)+$O$23,0)+$DL$12)/$DL$11</f>
        <v>0.0695038461538462</v>
      </c>
      <c r="CW10" s="7" t="n">
        <f aca="false">(IF(AND($K$23="OK",$E$23="OPERABLE"),$R$23,0)+$DL$13)/$DL$11</f>
        <v>0.0695038461538462</v>
      </c>
      <c r="CX10" s="7" t="n">
        <f aca="false">(IF(AND($K$24="OK",$E$24="FIJA"),CHOOSE($N$24,$AB$6,$AC$6,$AD$6,$AE$6)+$O$24,0)+$DL$12)/$DL$11</f>
        <v>0.0695038461538462</v>
      </c>
      <c r="CY10" s="7" t="n">
        <f aca="false">(IF(AND($K$24="OK",$E$24="FIJA"),$R$24,0)+$DL$13)/$DL$11</f>
        <v>0.0695038461538462</v>
      </c>
      <c r="CZ10" s="7" t="n">
        <f aca="false">(IF(AND($K$24="OK",$E$24="OPERABLE"),CHOOSE($N$24,$AB$6,$AC$6,$AD$6,$AE$6)+$O$24,0)+$DL$12)/$DL$11</f>
        <v>0.0695038461538462</v>
      </c>
      <c r="DA10" s="7" t="n">
        <f aca="false">(IF(AND($K$24="OK",$E$24="OPERABLE"),$R$24,0)+$DL$13)/$DL$11</f>
        <v>0.0695038461538462</v>
      </c>
      <c r="DB10" s="7" t="n">
        <f aca="false">(IF(AND($K$25="OK",$E$25="FIJA"),CHOOSE($N$25,$AB$6,$AC$6,$AD$6,$AE$6)+$O$25,0)+$DL$12)/$DL$11</f>
        <v>0.0695038461538462</v>
      </c>
      <c r="DC10" s="7" t="n">
        <f aca="false">(IF(AND($K$25="OK",$E$25="FIJA"),$R$25,0)+$DL$13)/$DL$11</f>
        <v>0.0695038461538462</v>
      </c>
      <c r="DD10" s="7" t="n">
        <f aca="false">(IF(AND($K$25="OK",$E$25="OPERABLE"),CHOOSE($N$25,$AB$6,$AC$6,$AD$6,$AE$6)+$O$25,0)+$DL$12)/$DL$11</f>
        <v>0.0695038461538462</v>
      </c>
      <c r="DE10" s="7" t="n">
        <f aca="false">(IF(AND($K$25="OK",$E$25="OPERABLE"),$R$25,0)+$DL$13)/$DL$11</f>
        <v>0.0695038461538462</v>
      </c>
      <c r="DF10" s="7" t="n">
        <f aca="false">(IF(AND($K$26="OK",$E$26="FIJA"),CHOOSE($N$26,$AB$6,$AC$6,$AD$6,$AE$6)+$O$26,0)+$DL$12)/$DL$11</f>
        <v>0.0695038461538462</v>
      </c>
      <c r="DG10" s="7" t="n">
        <f aca="false">(IF(AND($K$26="OK",$E$26="FIJA"),$R$26,0)+$DL$13)/$DL$11</f>
        <v>0.0695038461538462</v>
      </c>
      <c r="DH10" s="7" t="n">
        <f aca="false">(IF(AND($K$26="OK",$E$26="OPERABLE"),CHOOSE($N$26,$AB$6,$AC$6,$AD$6,$AE$6)+$O$26,0)+$DL$12)/$DL$11</f>
        <v>0.0695038461538462</v>
      </c>
      <c r="DI10" s="7" t="n">
        <f aca="false">(IF(AND($K$26="OK",$E$26="OPERABLE"),$R$26,0)+$DL$13)/$DL$11</f>
        <v>0.0695038461538462</v>
      </c>
      <c r="DK10" s="5" t="s">
        <v>76</v>
      </c>
      <c r="DL10" s="8" t="n">
        <f aca="false">3.6142</f>
        <v>3.6142</v>
      </c>
    </row>
    <row r="11" customFormat="false" ht="15" hidden="false" customHeight="true" outlineLevel="0" collapsed="false">
      <c r="B11" s="23" t="n">
        <v>5</v>
      </c>
      <c r="C11" s="27"/>
      <c r="D11" s="17"/>
      <c r="E11" s="17"/>
      <c r="F11" s="29"/>
      <c r="G11" s="29"/>
      <c r="H11" s="29"/>
      <c r="I11" s="29"/>
      <c r="J11" s="30" t="n">
        <f aca="false">IF($K11="OK",$H11*$I11,0)</f>
        <v>0</v>
      </c>
      <c r="K11" s="20" t="str">
        <f aca="false">IF($D11="","",IF(OR($F11="",$G11=""),"FALTA POSICIÓN",IF(OR(N($H11)&lt;=0,N($I11)&lt;=0),"FALTA TAMAÑO",IF($E11="","FALTA TIPO",IF(OR(N($F11)&lt;0,N($G11)&lt;0,N($F11)+N($H11)&gt;$W11+0.001),"SE SALE A LO LARGO",IF(N($G11)+N($I11)&gt;MIN($S11,$T11)+0.001,"SE SALE POR ARRIBA","OK"))))))</f>
        <v/>
      </c>
      <c r="L11" s="31"/>
      <c r="N11" s="32" t="n">
        <f aca="false">IF($D11="",0,VALUE(MID($D11,6,1)))</f>
        <v>0</v>
      </c>
      <c r="O11" s="7" t="n">
        <f aca="false">IF($K11="OK",N($F11),0)</f>
        <v>0</v>
      </c>
      <c r="P11" s="7" t="n">
        <f aca="false">IF($K11="OK",N($F11)+N($H11),0)</f>
        <v>0</v>
      </c>
      <c r="Q11" s="7" t="n">
        <f aca="false">IF($K11="OK",N($G11),0)</f>
        <v>0</v>
      </c>
      <c r="R11" s="7" t="n">
        <f aca="false">IF($K11="OK",N($G11)+N($I11),0)</f>
        <v>0</v>
      </c>
      <c r="S11" s="7" t="n">
        <f aca="false">IF($N11=0,0,IF(INDEX($E$51:$E$54,$N11)="SÍ",IF(DATOS!$C$14="PLANO",DATOS!$C$17,IF(DATOS!$C$14="DOS AGUAS",DATOS!$C$17+(DATOS!$C$18-DATOS!$C$17)*(1-ABS(2*(N($F11))/DATOS!$C$23-1)),IF(DATOS!$C$14="UN AGUA",IF(N(DATOS!$C$25)=0,DATOS!$C$18-(DATOS!$C$18-DATOS!$C$17)*(N($F11))/DATOS!$C$23,DATOS!$C$17+(DATOS!$C$18-DATOS!$C$17)*(N($F11))/DATOS!$C$23),DATOS!$C$17+4*(DATOS!$C$18-DATOS!$C$17)*(N($F11))/DATOS!$C$23*(1-(N($F11))/DATOS!$C$23)))),INDEX($F$51:$F$54,$N11)))</f>
        <v>0</v>
      </c>
      <c r="T11" s="7" t="n">
        <f aca="false">IF($N11=0,0,IF(INDEX($E$51:$E$54,$N11)="SÍ",IF(DATOS!$C$14="PLANO",DATOS!$C$17,IF(DATOS!$C$14="DOS AGUAS",DATOS!$C$17+(DATOS!$C$18-DATOS!$C$17)*(1-ABS(2*(N($F11)+N($H11))/DATOS!$C$23-1)),IF(DATOS!$C$14="UN AGUA",IF(N(DATOS!$C$25)=0,DATOS!$C$18-(DATOS!$C$18-DATOS!$C$17)*(N($F11)+N($H11))/DATOS!$C$23,DATOS!$C$17+(DATOS!$C$18-DATOS!$C$17)*(N($F11)+N($H11))/DATOS!$C$23),DATOS!$C$17+4*(DATOS!$C$18-DATOS!$C$17)*(N($F11)+N($H11))/DATOS!$C$23*(1-(N($F11)+N($H11))/DATOS!$C$23)))),INDEX($F$51:$F$54,$N11)))</f>
        <v>0</v>
      </c>
      <c r="U11" s="32" t="n">
        <f aca="false">IF(AND($K11="OK",$E11="FIJA"),1,0)</f>
        <v>0</v>
      </c>
      <c r="V11" s="32" t="n">
        <f aca="false">IF($K11="OK",1,0)</f>
        <v>0</v>
      </c>
      <c r="W11" s="7" t="n">
        <f aca="false">IF($N11=0,0,INDEX($D$51:$D$54,$N11))</f>
        <v>0</v>
      </c>
      <c r="Y11" s="7" t="n">
        <f aca="false">($AB$6+DATOS!$AE$7+$DL$12)/$DL$11</f>
        <v>0.530747769014693</v>
      </c>
      <c r="Z11" s="7" t="n">
        <f aca="false">(DATOS!$AF$7+$DL$13)/$DL$11</f>
        <v>0.717441737791703</v>
      </c>
      <c r="AA11" s="7" t="n">
        <f aca="false">($AC$6+DATOS!$AI$7+$DL$12)/$DL$11</f>
        <v>1.24335742761452</v>
      </c>
      <c r="AB11" s="7" t="n">
        <f aca="false">(DATOS!$AJ$7+$DL$13)/$DL$11</f>
        <v>0.668632857065687</v>
      </c>
      <c r="AC11" s="7" t="n">
        <f aca="false">($AD$6+DATOS!$AM$7+$DL$12)/$DL$11</f>
        <v>2.22685637424373</v>
      </c>
      <c r="AD11" s="7" t="n">
        <f aca="false">(DATOS!$AN$7+$DL$13)/$DL$11</f>
        <v>0.680835077247191</v>
      </c>
      <c r="AE11" s="7" t="n">
        <f aca="false">($AE$6+DATOS!$AQ$7+$DL$12)/$DL$11</f>
        <v>3.30065175021608</v>
      </c>
      <c r="AF11" s="7" t="n">
        <f aca="false">(DATOS!$AR$7+$DL$13)/$DL$11</f>
        <v>0.680835077247191</v>
      </c>
      <c r="AH11" s="7" t="n">
        <f aca="false">(IF(AND($K$7="OK",$E$7="FIJA"),CHOOSE($N$7,$AB$6,$AC$6,$AD$6,$AE$6)+$O$7,0)+$DL$12)/$DL$11</f>
        <v>0.0695038461538462</v>
      </c>
      <c r="AI11" s="7" t="n">
        <f aca="false">(IF(AND($K$7="OK",$E$7="FIJA"),$Q$7,0)+$DL$13)/$DL$11</f>
        <v>0.0695038461538462</v>
      </c>
      <c r="AJ11" s="7" t="n">
        <f aca="false">(IF(AND($K$7="OK",$E$7="OPERABLE"),CHOOSE($N$7,$AB$6,$AC$6,$AD$6,$AE$6)+$O$7,0)+$DL$12)/$DL$11</f>
        <v>0.108703478486927</v>
      </c>
      <c r="AK11" s="7" t="n">
        <f aca="false">(IF(AND($K$7="OK",$E$7="OPERABLE"),$Q$7,0)+$DL$13)/$DL$11</f>
        <v>0.0695038461538462</v>
      </c>
      <c r="AL11" s="7" t="n">
        <f aca="false">(IF(AND($K$8="OK",$E$8="FIJA"),CHOOSE($N$8,$AB$6,$AC$6,$AD$6,$AE$6)+$O$8,0)+$DL$12)/$DL$11</f>
        <v>0.0695038461538462</v>
      </c>
      <c r="AM11" s="7" t="n">
        <f aca="false">(IF(AND($K$8="OK",$E$8="FIJA"),$Q$8,0)+$DL$13)/$DL$11</f>
        <v>0.0695038461538462</v>
      </c>
      <c r="AN11" s="7" t="n">
        <f aca="false">(IF(AND($K$8="OK",$E$8="OPERABLE"),CHOOSE($N$8,$AB$6,$AC$6,$AD$6,$AE$6)+$O$8,0)+$DL$12)/$DL$11</f>
        <v>0.221232353000756</v>
      </c>
      <c r="AO11" s="7" t="n">
        <f aca="false">(IF(AND($K$8="OK",$E$8="OPERABLE"),$Q$8,0)+$DL$13)/$DL$11</f>
        <v>0.0695038461538462</v>
      </c>
      <c r="AP11" s="7" t="n">
        <f aca="false">(IF(AND($K$9="OK",$E$9="FIJA"),CHOOSE($N$9,$AB$6,$AC$6,$AD$6,$AE$6)+$O$9,0)+$DL$12)/$DL$11</f>
        <v>0.782113504753674</v>
      </c>
      <c r="AQ11" s="7" t="n">
        <f aca="false">(IF(AND($K$9="OK",$E$9="FIJA"),$Q$9,0)+$DL$13)/$DL$11</f>
        <v>0.0695038461538462</v>
      </c>
      <c r="AR11" s="7" t="n">
        <f aca="false">(IF(AND($K$9="OK",$E$9="OPERABLE"),CHOOSE($N$9,$AB$6,$AC$6,$AD$6,$AE$6)+$O$9,0)+$DL$12)/$DL$11</f>
        <v>0.0695038461538462</v>
      </c>
      <c r="AS11" s="7" t="n">
        <f aca="false">(IF(AND($K$9="OK",$E$9="OPERABLE"),$Q$9,0)+$DL$13)/$DL$11</f>
        <v>0.0695038461538462</v>
      </c>
      <c r="AT11" s="7" t="n">
        <f aca="false">(IF(AND($K$10="OK",$E$10="FIJA"),CHOOSE($N$10,$AB$6,$AC$6,$AD$6,$AE$6)+$O$10,0)+$DL$12)/$DL$11</f>
        <v>0.0695038461538462</v>
      </c>
      <c r="AU11" s="7" t="n">
        <f aca="false">(IF(AND($K$10="OK",$E$10="FIJA"),$Q$10,0)+$DL$13)/$DL$11</f>
        <v>0.0695038461538462</v>
      </c>
      <c r="AV11" s="7" t="n">
        <f aca="false">(IF(AND($K$10="OK",$E$10="OPERABLE"),CHOOSE($N$10,$AB$6,$AC$6,$AD$6,$AE$6)+$O$10,0)+$DL$12)/$DL$11</f>
        <v>0.0695038461538462</v>
      </c>
      <c r="AW11" s="7" t="n">
        <f aca="false">(IF(AND($K$10="OK",$E$10="OPERABLE"),$Q$10,0)+$DL$13)/$DL$11</f>
        <v>0.0695038461538462</v>
      </c>
      <c r="AX11" s="7" t="n">
        <f aca="false">(IF(AND($K$11="OK",$E$11="FIJA"),CHOOSE($N$11,$AB$6,$AC$6,$AD$6,$AE$6)+$O$11,0)+$DL$12)/$DL$11</f>
        <v>0.0695038461538462</v>
      </c>
      <c r="AY11" s="7" t="n">
        <f aca="false">(IF(AND($K$11="OK",$E$11="FIJA"),$Q$11,0)+$DL$13)/$DL$11</f>
        <v>0.0695038461538462</v>
      </c>
      <c r="AZ11" s="7" t="n">
        <f aca="false">(IF(AND($K$11="OK",$E$11="OPERABLE"),CHOOSE($N$11,$AB$6,$AC$6,$AD$6,$AE$6)+$O$11,0)+$DL$12)/$DL$11</f>
        <v>0.0695038461538462</v>
      </c>
      <c r="BA11" s="7" t="n">
        <f aca="false">(IF(AND($K$11="OK",$E$11="OPERABLE"),$Q$11,0)+$DL$13)/$DL$11</f>
        <v>0.0695038461538462</v>
      </c>
      <c r="BB11" s="7" t="n">
        <f aca="false">(IF(AND($K$12="OK",$E$12="FIJA"),CHOOSE($N$12,$AB$6,$AC$6,$AD$6,$AE$6)+$O$12,0)+$DL$12)/$DL$11</f>
        <v>0.0695038461538462</v>
      </c>
      <c r="BC11" s="7" t="n">
        <f aca="false">(IF(AND($K$12="OK",$E$12="FIJA"),$Q$12,0)+$DL$13)/$DL$11</f>
        <v>0.0695038461538462</v>
      </c>
      <c r="BD11" s="7" t="n">
        <f aca="false">(IF(AND($K$12="OK",$E$12="OPERABLE"),CHOOSE($N$12,$AB$6,$AC$6,$AD$6,$AE$6)+$O$12,0)+$DL$12)/$DL$11</f>
        <v>0.0695038461538462</v>
      </c>
      <c r="BE11" s="7" t="n">
        <f aca="false">(IF(AND($K$12="OK",$E$12="OPERABLE"),$Q$12,0)+$DL$13)/$DL$11</f>
        <v>0.0695038461538462</v>
      </c>
      <c r="BF11" s="7" t="n">
        <f aca="false">(IF(AND($K$13="OK",$E$13="FIJA"),CHOOSE($N$13,$AB$6,$AC$6,$AD$6,$AE$6)+$O$13,0)+$DL$12)/$DL$11</f>
        <v>0.0695038461538462</v>
      </c>
      <c r="BG11" s="7" t="n">
        <f aca="false">(IF(AND($K$13="OK",$E$13="FIJA"),$Q$13,0)+$DL$13)/$DL$11</f>
        <v>0.0695038461538462</v>
      </c>
      <c r="BH11" s="7" t="n">
        <f aca="false">(IF(AND($K$13="OK",$E$13="OPERABLE"),CHOOSE($N$13,$AB$6,$AC$6,$AD$6,$AE$6)+$O$13,0)+$DL$12)/$DL$11</f>
        <v>0.0695038461538462</v>
      </c>
      <c r="BI11" s="7" t="n">
        <f aca="false">(IF(AND($K$13="OK",$E$13="OPERABLE"),$Q$13,0)+$DL$13)/$DL$11</f>
        <v>0.0695038461538462</v>
      </c>
      <c r="BJ11" s="7" t="n">
        <f aca="false">(IF(AND($K$14="OK",$E$14="FIJA"),CHOOSE($N$14,$AB$6,$AC$6,$AD$6,$AE$6)+$O$14,0)+$DL$12)/$DL$11</f>
        <v>0.0695038461538462</v>
      </c>
      <c r="BK11" s="7" t="n">
        <f aca="false">(IF(AND($K$14="OK",$E$14="FIJA"),$Q$14,0)+$DL$13)/$DL$11</f>
        <v>0.0695038461538462</v>
      </c>
      <c r="BL11" s="7" t="n">
        <f aca="false">(IF(AND($K$14="OK",$E$14="OPERABLE"),CHOOSE($N$14,$AB$6,$AC$6,$AD$6,$AE$6)+$O$14,0)+$DL$12)/$DL$11</f>
        <v>0.0695038461538462</v>
      </c>
      <c r="BM11" s="7" t="n">
        <f aca="false">(IF(AND($K$14="OK",$E$14="OPERABLE"),$Q$14,0)+$DL$13)/$DL$11</f>
        <v>0.0695038461538462</v>
      </c>
      <c r="BN11" s="7" t="n">
        <f aca="false">(IF(AND($K$15="OK",$E$15="FIJA"),CHOOSE($N$15,$AB$6,$AC$6,$AD$6,$AE$6)+$O$15,0)+$DL$12)/$DL$11</f>
        <v>0.0695038461538462</v>
      </c>
      <c r="BO11" s="7" t="n">
        <f aca="false">(IF(AND($K$15="OK",$E$15="FIJA"),$Q$15,0)+$DL$13)/$DL$11</f>
        <v>0.0695038461538462</v>
      </c>
      <c r="BP11" s="7" t="n">
        <f aca="false">(IF(AND($K$15="OK",$E$15="OPERABLE"),CHOOSE($N$15,$AB$6,$AC$6,$AD$6,$AE$6)+$O$15,0)+$DL$12)/$DL$11</f>
        <v>0.0695038461538462</v>
      </c>
      <c r="BQ11" s="7" t="n">
        <f aca="false">(IF(AND($K$15="OK",$E$15="OPERABLE"),$Q$15,0)+$DL$13)/$DL$11</f>
        <v>0.0695038461538462</v>
      </c>
      <c r="BR11" s="7" t="n">
        <f aca="false">(IF(AND($K$16="OK",$E$16="FIJA"),CHOOSE($N$16,$AB$6,$AC$6,$AD$6,$AE$6)+$O$16,0)+$DL$12)/$DL$11</f>
        <v>0.0695038461538462</v>
      </c>
      <c r="BS11" s="7" t="n">
        <f aca="false">(IF(AND($K$16="OK",$E$16="FIJA"),$Q$16,0)+$DL$13)/$DL$11</f>
        <v>0.0695038461538462</v>
      </c>
      <c r="BT11" s="7" t="n">
        <f aca="false">(IF(AND($K$16="OK",$E$16="OPERABLE"),CHOOSE($N$16,$AB$6,$AC$6,$AD$6,$AE$6)+$O$16,0)+$DL$12)/$DL$11</f>
        <v>0.0695038461538462</v>
      </c>
      <c r="BU11" s="7" t="n">
        <f aca="false">(IF(AND($K$16="OK",$E$16="OPERABLE"),$Q$16,0)+$DL$13)/$DL$11</f>
        <v>0.0695038461538462</v>
      </c>
      <c r="BV11" s="7" t="n">
        <f aca="false">(IF(AND($K$17="OK",$E$17="FIJA"),CHOOSE($N$17,$AB$6,$AC$6,$AD$6,$AE$6)+$O$17,0)+$DL$12)/$DL$11</f>
        <v>0.0695038461538462</v>
      </c>
      <c r="BW11" s="7" t="n">
        <f aca="false">(IF(AND($K$17="OK",$E$17="FIJA"),$Q$17,0)+$DL$13)/$DL$11</f>
        <v>0.0695038461538462</v>
      </c>
      <c r="BX11" s="7" t="n">
        <f aca="false">(IF(AND($K$17="OK",$E$17="OPERABLE"),CHOOSE($N$17,$AB$6,$AC$6,$AD$6,$AE$6)+$O$17,0)+$DL$12)/$DL$11</f>
        <v>0.0695038461538462</v>
      </c>
      <c r="BY11" s="7" t="n">
        <f aca="false">(IF(AND($K$17="OK",$E$17="OPERABLE"),$Q$17,0)+$DL$13)/$DL$11</f>
        <v>0.0695038461538462</v>
      </c>
      <c r="BZ11" s="7" t="n">
        <f aca="false">(IF(AND($K$18="OK",$E$18="FIJA"),CHOOSE($N$18,$AB$6,$AC$6,$AD$6,$AE$6)+$O$18,0)+$DL$12)/$DL$11</f>
        <v>0.0695038461538462</v>
      </c>
      <c r="CA11" s="7" t="n">
        <f aca="false">(IF(AND($K$18="OK",$E$18="FIJA"),$Q$18,0)+$DL$13)/$DL$11</f>
        <v>0.0695038461538462</v>
      </c>
      <c r="CB11" s="7" t="n">
        <f aca="false">(IF(AND($K$18="OK",$E$18="OPERABLE"),CHOOSE($N$18,$AB$6,$AC$6,$AD$6,$AE$6)+$O$18,0)+$DL$12)/$DL$11</f>
        <v>0.0695038461538462</v>
      </c>
      <c r="CC11" s="7" t="n">
        <f aca="false">(IF(AND($K$18="OK",$E$18="OPERABLE"),$Q$18,0)+$DL$13)/$DL$11</f>
        <v>0.0695038461538462</v>
      </c>
      <c r="CD11" s="7" t="n">
        <f aca="false">(IF(AND($K$19="OK",$E$19="FIJA"),CHOOSE($N$19,$AB$6,$AC$6,$AD$6,$AE$6)+$O$19,0)+$DL$12)/$DL$11</f>
        <v>0.0695038461538462</v>
      </c>
      <c r="CE11" s="7" t="n">
        <f aca="false">(IF(AND($K$19="OK",$E$19="FIJA"),$Q$19,0)+$DL$13)/$DL$11</f>
        <v>0.0695038461538462</v>
      </c>
      <c r="CF11" s="7" t="n">
        <f aca="false">(IF(AND($K$19="OK",$E$19="OPERABLE"),CHOOSE($N$19,$AB$6,$AC$6,$AD$6,$AE$6)+$O$19,0)+$DL$12)/$DL$11</f>
        <v>0.0695038461538462</v>
      </c>
      <c r="CG11" s="7" t="n">
        <f aca="false">(IF(AND($K$19="OK",$E$19="OPERABLE"),$Q$19,0)+$DL$13)/$DL$11</f>
        <v>0.0695038461538462</v>
      </c>
      <c r="CH11" s="7" t="n">
        <f aca="false">(IF(AND($K$20="OK",$E$20="FIJA"),CHOOSE($N$20,$AB$6,$AC$6,$AD$6,$AE$6)+$O$20,0)+$DL$12)/$DL$11</f>
        <v>0.0695038461538462</v>
      </c>
      <c r="CI11" s="7" t="n">
        <f aca="false">(IF(AND($K$20="OK",$E$20="FIJA"),$Q$20,0)+$DL$13)/$DL$11</f>
        <v>0.0695038461538462</v>
      </c>
      <c r="CJ11" s="7" t="n">
        <f aca="false">(IF(AND($K$20="OK",$E$20="OPERABLE"),CHOOSE($N$20,$AB$6,$AC$6,$AD$6,$AE$6)+$O$20,0)+$DL$12)/$DL$11</f>
        <v>0.0695038461538462</v>
      </c>
      <c r="CK11" s="7" t="n">
        <f aca="false">(IF(AND($K$20="OK",$E$20="OPERABLE"),$Q$20,0)+$DL$13)/$DL$11</f>
        <v>0.0695038461538462</v>
      </c>
      <c r="CL11" s="7" t="n">
        <f aca="false">(IF(AND($K$21="OK",$E$21="FIJA"),CHOOSE($N$21,$AB$6,$AC$6,$AD$6,$AE$6)+$O$21,0)+$DL$12)/$DL$11</f>
        <v>0.0695038461538462</v>
      </c>
      <c r="CM11" s="7" t="n">
        <f aca="false">(IF(AND($K$21="OK",$E$21="FIJA"),$Q$21,0)+$DL$13)/$DL$11</f>
        <v>0.0695038461538462</v>
      </c>
      <c r="CN11" s="7" t="n">
        <f aca="false">(IF(AND($K$21="OK",$E$21="OPERABLE"),CHOOSE($N$21,$AB$6,$AC$6,$AD$6,$AE$6)+$O$21,0)+$DL$12)/$DL$11</f>
        <v>0.0695038461538462</v>
      </c>
      <c r="CO11" s="7" t="n">
        <f aca="false">(IF(AND($K$21="OK",$E$21="OPERABLE"),$Q$21,0)+$DL$13)/$DL$11</f>
        <v>0.0695038461538462</v>
      </c>
      <c r="CP11" s="7" t="n">
        <f aca="false">(IF(AND($K$22="OK",$E$22="FIJA"),CHOOSE($N$22,$AB$6,$AC$6,$AD$6,$AE$6)+$O$22,0)+$DL$12)/$DL$11</f>
        <v>0.0695038461538462</v>
      </c>
      <c r="CQ11" s="7" t="n">
        <f aca="false">(IF(AND($K$22="OK",$E$22="FIJA"),$Q$22,0)+$DL$13)/$DL$11</f>
        <v>0.0695038461538462</v>
      </c>
      <c r="CR11" s="7" t="n">
        <f aca="false">(IF(AND($K$22="OK",$E$22="OPERABLE"),CHOOSE($N$22,$AB$6,$AC$6,$AD$6,$AE$6)+$O$22,0)+$DL$12)/$DL$11</f>
        <v>0.0695038461538462</v>
      </c>
      <c r="CS11" s="7" t="n">
        <f aca="false">(IF(AND($K$22="OK",$E$22="OPERABLE"),$Q$22,0)+$DL$13)/$DL$11</f>
        <v>0.0695038461538462</v>
      </c>
      <c r="CT11" s="7" t="n">
        <f aca="false">(IF(AND($K$23="OK",$E$23="FIJA"),CHOOSE($N$23,$AB$6,$AC$6,$AD$6,$AE$6)+$O$23,0)+$DL$12)/$DL$11</f>
        <v>0.0695038461538462</v>
      </c>
      <c r="CU11" s="7" t="n">
        <f aca="false">(IF(AND($K$23="OK",$E$23="FIJA"),$Q$23,0)+$DL$13)/$DL$11</f>
        <v>0.0695038461538462</v>
      </c>
      <c r="CV11" s="7" t="n">
        <f aca="false">(IF(AND($K$23="OK",$E$23="OPERABLE"),CHOOSE($N$23,$AB$6,$AC$6,$AD$6,$AE$6)+$O$23,0)+$DL$12)/$DL$11</f>
        <v>0.0695038461538462</v>
      </c>
      <c r="CW11" s="7" t="n">
        <f aca="false">(IF(AND($K$23="OK",$E$23="OPERABLE"),$Q$23,0)+$DL$13)/$DL$11</f>
        <v>0.0695038461538462</v>
      </c>
      <c r="CX11" s="7" t="n">
        <f aca="false">(IF(AND($K$24="OK",$E$24="FIJA"),CHOOSE($N$24,$AB$6,$AC$6,$AD$6,$AE$6)+$O$24,0)+$DL$12)/$DL$11</f>
        <v>0.0695038461538462</v>
      </c>
      <c r="CY11" s="7" t="n">
        <f aca="false">(IF(AND($K$24="OK",$E$24="FIJA"),$Q$24,0)+$DL$13)/$DL$11</f>
        <v>0.0695038461538462</v>
      </c>
      <c r="CZ11" s="7" t="n">
        <f aca="false">(IF(AND($K$24="OK",$E$24="OPERABLE"),CHOOSE($N$24,$AB$6,$AC$6,$AD$6,$AE$6)+$O$24,0)+$DL$12)/$DL$11</f>
        <v>0.0695038461538462</v>
      </c>
      <c r="DA11" s="7" t="n">
        <f aca="false">(IF(AND($K$24="OK",$E$24="OPERABLE"),$Q$24,0)+$DL$13)/$DL$11</f>
        <v>0.0695038461538462</v>
      </c>
      <c r="DB11" s="7" t="n">
        <f aca="false">(IF(AND($K$25="OK",$E$25="FIJA"),CHOOSE($N$25,$AB$6,$AC$6,$AD$6,$AE$6)+$O$25,0)+$DL$12)/$DL$11</f>
        <v>0.0695038461538462</v>
      </c>
      <c r="DC11" s="7" t="n">
        <f aca="false">(IF(AND($K$25="OK",$E$25="FIJA"),$Q$25,0)+$DL$13)/$DL$11</f>
        <v>0.0695038461538462</v>
      </c>
      <c r="DD11" s="7" t="n">
        <f aca="false">(IF(AND($K$25="OK",$E$25="OPERABLE"),CHOOSE($N$25,$AB$6,$AC$6,$AD$6,$AE$6)+$O$25,0)+$DL$12)/$DL$11</f>
        <v>0.0695038461538462</v>
      </c>
      <c r="DE11" s="7" t="n">
        <f aca="false">(IF(AND($K$25="OK",$E$25="OPERABLE"),$Q$25,0)+$DL$13)/$DL$11</f>
        <v>0.0695038461538462</v>
      </c>
      <c r="DF11" s="7" t="n">
        <f aca="false">(IF(AND($K$26="OK",$E$26="FIJA"),CHOOSE($N$26,$AB$6,$AC$6,$AD$6,$AE$6)+$O$26,0)+$DL$12)/$DL$11</f>
        <v>0.0695038461538462</v>
      </c>
      <c r="DG11" s="7" t="n">
        <f aca="false">(IF(AND($K$26="OK",$E$26="FIJA"),$Q$26,0)+$DL$13)/$DL$11</f>
        <v>0.0695038461538462</v>
      </c>
      <c r="DH11" s="7" t="n">
        <f aca="false">(IF(AND($K$26="OK",$E$26="OPERABLE"),CHOOSE($N$26,$AB$6,$AC$6,$AD$6,$AE$6)+$O$26,0)+$DL$12)/$DL$11</f>
        <v>0.0695038461538462</v>
      </c>
      <c r="DI11" s="7" t="n">
        <f aca="false">(IF(AND($K$26="OK",$E$26="OPERABLE"),$Q$26,0)+$DL$13)/$DL$11</f>
        <v>0.0695038461538462</v>
      </c>
      <c r="DK11" s="5" t="s">
        <v>81</v>
      </c>
      <c r="DL11" s="8" t="n">
        <f aca="false">MAX(($DL$7+2*$DL$9)/$DL$10,$DL$8+2*$DL$9)</f>
        <v>16.3904598528028</v>
      </c>
    </row>
    <row r="12" customFormat="false" ht="15" hidden="false" customHeight="true" outlineLevel="0" collapsed="false">
      <c r="B12" s="23" t="n">
        <v>6</v>
      </c>
      <c r="C12" s="27"/>
      <c r="D12" s="17"/>
      <c r="E12" s="17"/>
      <c r="F12" s="29"/>
      <c r="G12" s="29"/>
      <c r="H12" s="29"/>
      <c r="I12" s="29"/>
      <c r="J12" s="30" t="n">
        <f aca="false">IF($K12="OK",$H12*$I12,0)</f>
        <v>0</v>
      </c>
      <c r="K12" s="20" t="str">
        <f aca="false">IF($D12="","",IF(OR($F12="",$G12=""),"FALTA POSICIÓN",IF(OR(N($H12)&lt;=0,N($I12)&lt;=0),"FALTA TAMAÑO",IF($E12="","FALTA TIPO",IF(OR(N($F12)&lt;0,N($G12)&lt;0,N($F12)+N($H12)&gt;$W12+0.001),"SE SALE A LO LARGO",IF(N($G12)+N($I12)&gt;MIN($S12,$T12)+0.001,"SE SALE POR ARRIBA","OK"))))))</f>
        <v/>
      </c>
      <c r="L12" s="31"/>
      <c r="N12" s="32" t="n">
        <f aca="false">IF($D12="",0,VALUE(MID($D12,6,1)))</f>
        <v>0</v>
      </c>
      <c r="O12" s="7" t="n">
        <f aca="false">IF($K12="OK",N($F12),0)</f>
        <v>0</v>
      </c>
      <c r="P12" s="7" t="n">
        <f aca="false">IF($K12="OK",N($F12)+N($H12),0)</f>
        <v>0</v>
      </c>
      <c r="Q12" s="7" t="n">
        <f aca="false">IF($K12="OK",N($G12),0)</f>
        <v>0</v>
      </c>
      <c r="R12" s="7" t="n">
        <f aca="false">IF($K12="OK",N($G12)+N($I12),0)</f>
        <v>0</v>
      </c>
      <c r="S12" s="7" t="n">
        <f aca="false">IF($N12=0,0,IF(INDEX($E$51:$E$54,$N12)="SÍ",IF(DATOS!$C$14="PLANO",DATOS!$C$17,IF(DATOS!$C$14="DOS AGUAS",DATOS!$C$17+(DATOS!$C$18-DATOS!$C$17)*(1-ABS(2*(N($F12))/DATOS!$C$23-1)),IF(DATOS!$C$14="UN AGUA",IF(N(DATOS!$C$25)=0,DATOS!$C$18-(DATOS!$C$18-DATOS!$C$17)*(N($F12))/DATOS!$C$23,DATOS!$C$17+(DATOS!$C$18-DATOS!$C$17)*(N($F12))/DATOS!$C$23),DATOS!$C$17+4*(DATOS!$C$18-DATOS!$C$17)*(N($F12))/DATOS!$C$23*(1-(N($F12))/DATOS!$C$23)))),INDEX($F$51:$F$54,$N12)))</f>
        <v>0</v>
      </c>
      <c r="T12" s="7" t="n">
        <f aca="false">IF($N12=0,0,IF(INDEX($E$51:$E$54,$N12)="SÍ",IF(DATOS!$C$14="PLANO",DATOS!$C$17,IF(DATOS!$C$14="DOS AGUAS",DATOS!$C$17+(DATOS!$C$18-DATOS!$C$17)*(1-ABS(2*(N($F12)+N($H12))/DATOS!$C$23-1)),IF(DATOS!$C$14="UN AGUA",IF(N(DATOS!$C$25)=0,DATOS!$C$18-(DATOS!$C$18-DATOS!$C$17)*(N($F12)+N($H12))/DATOS!$C$23,DATOS!$C$17+(DATOS!$C$18-DATOS!$C$17)*(N($F12)+N($H12))/DATOS!$C$23),DATOS!$C$17+4*(DATOS!$C$18-DATOS!$C$17)*(N($F12)+N($H12))/DATOS!$C$23*(1-(N($F12)+N($H12))/DATOS!$C$23)))),INDEX($F$51:$F$54,$N12)))</f>
        <v>0</v>
      </c>
      <c r="U12" s="32" t="n">
        <f aca="false">IF(AND($K12="OK",$E12="FIJA"),1,0)</f>
        <v>0</v>
      </c>
      <c r="V12" s="32" t="n">
        <f aca="false">IF($K12="OK",1,0)</f>
        <v>0</v>
      </c>
      <c r="W12" s="7" t="n">
        <f aca="false">IF($N12=0,0,INDEX($D$51:$D$54,$N12))</f>
        <v>0</v>
      </c>
      <c r="Y12" s="7" t="n">
        <f aca="false">($AB$6+DATOS!$AE$8+$DL$12)/$DL$11</f>
        <v>0.453873781871219</v>
      </c>
      <c r="Z12" s="7" t="n">
        <f aca="false">(DATOS!$AF$8+$DL$13)/$DL$11</f>
        <v>0.717441737791703</v>
      </c>
      <c r="AA12" s="7" t="n">
        <f aca="false">($AC$6+DATOS!$AI$8+$DL$12)/$DL$11</f>
        <v>1.16648344047105</v>
      </c>
      <c r="AB12" s="7" t="n">
        <f aca="false">(DATOS!$AJ$8+$DL$13)/$DL$11</f>
        <v>0.668632857065687</v>
      </c>
      <c r="AC12" s="7" t="n">
        <f aca="false">($AD$6+DATOS!$AM$8+$DL$12)/$DL$11</f>
        <v>2.1048341724287</v>
      </c>
      <c r="AD12" s="7" t="n">
        <f aca="false">(DATOS!$AN$8+$DL$13)/$DL$11</f>
        <v>0.686936187337943</v>
      </c>
      <c r="AE12" s="7" t="n">
        <f aca="false">($AE$6+DATOS!$AQ$8+$DL$12)/$DL$11</f>
        <v>3.17862954840104</v>
      </c>
      <c r="AF12" s="7" t="n">
        <f aca="false">(DATOS!$AR$8+$DL$13)/$DL$11</f>
        <v>0.686936187337943</v>
      </c>
      <c r="DK12" s="5" t="s">
        <v>85</v>
      </c>
      <c r="DL12" s="8" t="n">
        <f aca="false">($DL$10*$DL$11-($DL$7+2*$DL$9))/2+$DL$9</f>
        <v>1.1392</v>
      </c>
    </row>
    <row r="13" customFormat="false" ht="15" hidden="false" customHeight="true" outlineLevel="0" collapsed="false">
      <c r="B13" s="23" t="n">
        <v>7</v>
      </c>
      <c r="C13" s="27"/>
      <c r="D13" s="17"/>
      <c r="E13" s="17"/>
      <c r="F13" s="29"/>
      <c r="G13" s="29"/>
      <c r="H13" s="29"/>
      <c r="I13" s="29"/>
      <c r="J13" s="30" t="n">
        <f aca="false">IF($K13="OK",$H13*$I13,0)</f>
        <v>0</v>
      </c>
      <c r="K13" s="20" t="str">
        <f aca="false">IF($D13="","",IF(OR($F13="",$G13=""),"FALTA POSICIÓN",IF(OR(N($H13)&lt;=0,N($I13)&lt;=0),"FALTA TAMAÑO",IF($E13="","FALTA TIPO",IF(OR(N($F13)&lt;0,N($G13)&lt;0,N($F13)+N($H13)&gt;$W13+0.001),"SE SALE A LO LARGO",IF(N($G13)+N($I13)&gt;MIN($S13,$T13)+0.001,"SE SALE POR ARRIBA","OK"))))))</f>
        <v/>
      </c>
      <c r="L13" s="31"/>
      <c r="N13" s="32" t="n">
        <f aca="false">IF($D13="",0,VALUE(MID($D13,6,1)))</f>
        <v>0</v>
      </c>
      <c r="O13" s="7" t="n">
        <f aca="false">IF($K13="OK",N($F13),0)</f>
        <v>0</v>
      </c>
      <c r="P13" s="7" t="n">
        <f aca="false">IF($K13="OK",N($F13)+N($H13),0)</f>
        <v>0</v>
      </c>
      <c r="Q13" s="7" t="n">
        <f aca="false">IF($K13="OK",N($G13),0)</f>
        <v>0</v>
      </c>
      <c r="R13" s="7" t="n">
        <f aca="false">IF($K13="OK",N($G13)+N($I13),0)</f>
        <v>0</v>
      </c>
      <c r="S13" s="7" t="n">
        <f aca="false">IF($N13=0,0,IF(INDEX($E$51:$E$54,$N13)="SÍ",IF(DATOS!$C$14="PLANO",DATOS!$C$17,IF(DATOS!$C$14="DOS AGUAS",DATOS!$C$17+(DATOS!$C$18-DATOS!$C$17)*(1-ABS(2*(N($F13))/DATOS!$C$23-1)),IF(DATOS!$C$14="UN AGUA",IF(N(DATOS!$C$25)=0,DATOS!$C$18-(DATOS!$C$18-DATOS!$C$17)*(N($F13))/DATOS!$C$23,DATOS!$C$17+(DATOS!$C$18-DATOS!$C$17)*(N($F13))/DATOS!$C$23),DATOS!$C$17+4*(DATOS!$C$18-DATOS!$C$17)*(N($F13))/DATOS!$C$23*(1-(N($F13))/DATOS!$C$23)))),INDEX($F$51:$F$54,$N13)))</f>
        <v>0</v>
      </c>
      <c r="T13" s="7" t="n">
        <f aca="false">IF($N13=0,0,IF(INDEX($E$51:$E$54,$N13)="SÍ",IF(DATOS!$C$14="PLANO",DATOS!$C$17,IF(DATOS!$C$14="DOS AGUAS",DATOS!$C$17+(DATOS!$C$18-DATOS!$C$17)*(1-ABS(2*(N($F13)+N($H13))/DATOS!$C$23-1)),IF(DATOS!$C$14="UN AGUA",IF(N(DATOS!$C$25)=0,DATOS!$C$18-(DATOS!$C$18-DATOS!$C$17)*(N($F13)+N($H13))/DATOS!$C$23,DATOS!$C$17+(DATOS!$C$18-DATOS!$C$17)*(N($F13)+N($H13))/DATOS!$C$23),DATOS!$C$17+4*(DATOS!$C$18-DATOS!$C$17)*(N($F13)+N($H13))/DATOS!$C$23*(1-(N($F13)+N($H13))/DATOS!$C$23)))),INDEX($F$51:$F$54,$N13)))</f>
        <v>0</v>
      </c>
      <c r="U13" s="32" t="n">
        <f aca="false">IF(AND($K13="OK",$E13="FIJA"),1,0)</f>
        <v>0</v>
      </c>
      <c r="V13" s="32" t="n">
        <f aca="false">IF($K13="OK",1,0)</f>
        <v>0</v>
      </c>
      <c r="W13" s="7" t="n">
        <f aca="false">IF($N13=0,0,INDEX($D$51:$D$54,$N13))</f>
        <v>0</v>
      </c>
      <c r="Y13" s="7" t="n">
        <f aca="false">($AB$6+DATOS!$AE$9+$DL$12)/$DL$11</f>
        <v>0.376999794727744</v>
      </c>
      <c r="Z13" s="7" t="n">
        <f aca="false">(DATOS!$AF$9+$DL$13)/$DL$11</f>
        <v>0.717441737791703</v>
      </c>
      <c r="AA13" s="7" t="n">
        <f aca="false">($AC$6+DATOS!$AI$9+$DL$12)/$DL$11</f>
        <v>1.08960945332757</v>
      </c>
      <c r="AB13" s="7" t="n">
        <f aca="false">(DATOS!$AJ$9+$DL$13)/$DL$11</f>
        <v>0.668632857065687</v>
      </c>
      <c r="AC13" s="7" t="n">
        <f aca="false">($AD$6+DATOS!$AM$9+$DL$12)/$DL$11</f>
        <v>1.98281197061366</v>
      </c>
      <c r="AD13" s="7" t="n">
        <f aca="false">(DATOS!$AN$9+$DL$13)/$DL$11</f>
        <v>0.693037297428695</v>
      </c>
      <c r="AE13" s="7" t="n">
        <f aca="false">($AE$6+DATOS!$AQ$9+$DL$12)/$DL$11</f>
        <v>3.056607346586</v>
      </c>
      <c r="AF13" s="7" t="n">
        <f aca="false">(DATOS!$AR$9+$DL$13)/$DL$11</f>
        <v>0.693037297428695</v>
      </c>
      <c r="DK13" s="5" t="s">
        <v>86</v>
      </c>
      <c r="DL13" s="8" t="n">
        <f aca="false">$DL$9</f>
        <v>1.1392</v>
      </c>
    </row>
    <row r="14" customFormat="false" ht="15" hidden="false" customHeight="true" outlineLevel="0" collapsed="false">
      <c r="B14" s="23" t="n">
        <v>8</v>
      </c>
      <c r="C14" s="27"/>
      <c r="D14" s="17"/>
      <c r="E14" s="17"/>
      <c r="F14" s="29"/>
      <c r="G14" s="29"/>
      <c r="H14" s="29"/>
      <c r="I14" s="29"/>
      <c r="J14" s="30" t="n">
        <f aca="false">IF($K14="OK",$H14*$I14,0)</f>
        <v>0</v>
      </c>
      <c r="K14" s="20" t="str">
        <f aca="false">IF($D14="","",IF(OR($F14="",$G14=""),"FALTA POSICIÓN",IF(OR(N($H14)&lt;=0,N($I14)&lt;=0),"FALTA TAMAÑO",IF($E14="","FALTA TIPO",IF(OR(N($F14)&lt;0,N($G14)&lt;0,N($F14)+N($H14)&gt;$W14+0.001),"SE SALE A LO LARGO",IF(N($G14)+N($I14)&gt;MIN($S14,$T14)+0.001,"SE SALE POR ARRIBA","OK"))))))</f>
        <v/>
      </c>
      <c r="L14" s="31"/>
      <c r="N14" s="32" t="n">
        <f aca="false">IF($D14="",0,VALUE(MID($D14,6,1)))</f>
        <v>0</v>
      </c>
      <c r="O14" s="7" t="n">
        <f aca="false">IF($K14="OK",N($F14),0)</f>
        <v>0</v>
      </c>
      <c r="P14" s="7" t="n">
        <f aca="false">IF($K14="OK",N($F14)+N($H14),0)</f>
        <v>0</v>
      </c>
      <c r="Q14" s="7" t="n">
        <f aca="false">IF($K14="OK",N($G14),0)</f>
        <v>0</v>
      </c>
      <c r="R14" s="7" t="n">
        <f aca="false">IF($K14="OK",N($G14)+N($I14),0)</f>
        <v>0</v>
      </c>
      <c r="S14" s="7" t="n">
        <f aca="false">IF($N14=0,0,IF(INDEX($E$51:$E$54,$N14)="SÍ",IF(DATOS!$C$14="PLANO",DATOS!$C$17,IF(DATOS!$C$14="DOS AGUAS",DATOS!$C$17+(DATOS!$C$18-DATOS!$C$17)*(1-ABS(2*(N($F14))/DATOS!$C$23-1)),IF(DATOS!$C$14="UN AGUA",IF(N(DATOS!$C$25)=0,DATOS!$C$18-(DATOS!$C$18-DATOS!$C$17)*(N($F14))/DATOS!$C$23,DATOS!$C$17+(DATOS!$C$18-DATOS!$C$17)*(N($F14))/DATOS!$C$23),DATOS!$C$17+4*(DATOS!$C$18-DATOS!$C$17)*(N($F14))/DATOS!$C$23*(1-(N($F14))/DATOS!$C$23)))),INDEX($F$51:$F$54,$N14)))</f>
        <v>0</v>
      </c>
      <c r="T14" s="7" t="n">
        <f aca="false">IF($N14=0,0,IF(INDEX($E$51:$E$54,$N14)="SÍ",IF(DATOS!$C$14="PLANO",DATOS!$C$17,IF(DATOS!$C$14="DOS AGUAS",DATOS!$C$17+(DATOS!$C$18-DATOS!$C$17)*(1-ABS(2*(N($F14)+N($H14))/DATOS!$C$23-1)),IF(DATOS!$C$14="UN AGUA",IF(N(DATOS!$C$25)=0,DATOS!$C$18-(DATOS!$C$18-DATOS!$C$17)*(N($F14)+N($H14))/DATOS!$C$23,DATOS!$C$17+(DATOS!$C$18-DATOS!$C$17)*(N($F14)+N($H14))/DATOS!$C$23),DATOS!$C$17+4*(DATOS!$C$18-DATOS!$C$17)*(N($F14)+N($H14))/DATOS!$C$23*(1-(N($F14)+N($H14))/DATOS!$C$23)))),INDEX($F$51:$F$54,$N14)))</f>
        <v>0</v>
      </c>
      <c r="U14" s="32" t="n">
        <f aca="false">IF(AND($K14="OK",$E14="FIJA"),1,0)</f>
        <v>0</v>
      </c>
      <c r="V14" s="32" t="n">
        <f aca="false">IF($K14="OK",1,0)</f>
        <v>0</v>
      </c>
      <c r="W14" s="7" t="n">
        <f aca="false">IF($N14=0,0,INDEX($D$51:$D$54,$N14))</f>
        <v>0</v>
      </c>
      <c r="Y14" s="7" t="n">
        <f aca="false">($AB$6+DATOS!$AE$10+$DL$12)/$DL$11</f>
        <v>0.30012580758427</v>
      </c>
      <c r="Z14" s="7" t="n">
        <f aca="false">(DATOS!$AF$10+$DL$13)/$DL$11</f>
        <v>0.717441737791703</v>
      </c>
      <c r="AA14" s="7" t="n">
        <f aca="false">($AC$6+DATOS!$AI$10+$DL$12)/$DL$11</f>
        <v>1.0127354661841</v>
      </c>
      <c r="AB14" s="7" t="n">
        <f aca="false">(DATOS!$AJ$10+$DL$13)/$DL$11</f>
        <v>0.668632857065687</v>
      </c>
      <c r="AC14" s="7" t="n">
        <f aca="false">($AD$6+DATOS!$AM$10+$DL$12)/$DL$11</f>
        <v>1.86078976879862</v>
      </c>
      <c r="AD14" s="7" t="n">
        <f aca="false">(DATOS!$AN$10+$DL$13)/$DL$11</f>
        <v>0.699138407519447</v>
      </c>
      <c r="AE14" s="7" t="n">
        <f aca="false">($AE$6+DATOS!$AQ$10+$DL$12)/$DL$11</f>
        <v>2.93458514477096</v>
      </c>
      <c r="AF14" s="7" t="n">
        <f aca="false">(DATOS!$AR$10+$DL$13)/$DL$11</f>
        <v>0.699138407519447</v>
      </c>
    </row>
    <row r="15" customFormat="false" ht="15" hidden="false" customHeight="true" outlineLevel="0" collapsed="false">
      <c r="B15" s="23" t="n">
        <v>9</v>
      </c>
      <c r="C15" s="27"/>
      <c r="D15" s="17"/>
      <c r="E15" s="17"/>
      <c r="F15" s="29"/>
      <c r="G15" s="29"/>
      <c r="H15" s="29"/>
      <c r="I15" s="29"/>
      <c r="J15" s="30" t="n">
        <f aca="false">IF($K15="OK",$H15*$I15,0)</f>
        <v>0</v>
      </c>
      <c r="K15" s="20" t="str">
        <f aca="false">IF($D15="","",IF(OR($F15="",$G15=""),"FALTA POSICIÓN",IF(OR(N($H15)&lt;=0,N($I15)&lt;=0),"FALTA TAMAÑO",IF($E15="","FALTA TIPO",IF(OR(N($F15)&lt;0,N($G15)&lt;0,N($F15)+N($H15)&gt;$W15+0.001),"SE SALE A LO LARGO",IF(N($G15)+N($I15)&gt;MIN($S15,$T15)+0.001,"SE SALE POR ARRIBA","OK"))))))</f>
        <v/>
      </c>
      <c r="L15" s="31"/>
      <c r="N15" s="32" t="n">
        <f aca="false">IF($D15="",0,VALUE(MID($D15,6,1)))</f>
        <v>0</v>
      </c>
      <c r="O15" s="7" t="n">
        <f aca="false">IF($K15="OK",N($F15),0)</f>
        <v>0</v>
      </c>
      <c r="P15" s="7" t="n">
        <f aca="false">IF($K15="OK",N($F15)+N($H15),0)</f>
        <v>0</v>
      </c>
      <c r="Q15" s="7" t="n">
        <f aca="false">IF($K15="OK",N($G15),0)</f>
        <v>0</v>
      </c>
      <c r="R15" s="7" t="n">
        <f aca="false">IF($K15="OK",N($G15)+N($I15),0)</f>
        <v>0</v>
      </c>
      <c r="S15" s="7" t="n">
        <f aca="false">IF($N15=0,0,IF(INDEX($E$51:$E$54,$N15)="SÍ",IF(DATOS!$C$14="PLANO",DATOS!$C$17,IF(DATOS!$C$14="DOS AGUAS",DATOS!$C$17+(DATOS!$C$18-DATOS!$C$17)*(1-ABS(2*(N($F15))/DATOS!$C$23-1)),IF(DATOS!$C$14="UN AGUA",IF(N(DATOS!$C$25)=0,DATOS!$C$18-(DATOS!$C$18-DATOS!$C$17)*(N($F15))/DATOS!$C$23,DATOS!$C$17+(DATOS!$C$18-DATOS!$C$17)*(N($F15))/DATOS!$C$23),DATOS!$C$17+4*(DATOS!$C$18-DATOS!$C$17)*(N($F15))/DATOS!$C$23*(1-(N($F15))/DATOS!$C$23)))),INDEX($F$51:$F$54,$N15)))</f>
        <v>0</v>
      </c>
      <c r="T15" s="7" t="n">
        <f aca="false">IF($N15=0,0,IF(INDEX($E$51:$E$54,$N15)="SÍ",IF(DATOS!$C$14="PLANO",DATOS!$C$17,IF(DATOS!$C$14="DOS AGUAS",DATOS!$C$17+(DATOS!$C$18-DATOS!$C$17)*(1-ABS(2*(N($F15)+N($H15))/DATOS!$C$23-1)),IF(DATOS!$C$14="UN AGUA",IF(N(DATOS!$C$25)=0,DATOS!$C$18-(DATOS!$C$18-DATOS!$C$17)*(N($F15)+N($H15))/DATOS!$C$23,DATOS!$C$17+(DATOS!$C$18-DATOS!$C$17)*(N($F15)+N($H15))/DATOS!$C$23),DATOS!$C$17+4*(DATOS!$C$18-DATOS!$C$17)*(N($F15)+N($H15))/DATOS!$C$23*(1-(N($F15)+N($H15))/DATOS!$C$23)))),INDEX($F$51:$F$54,$N15)))</f>
        <v>0</v>
      </c>
      <c r="U15" s="32" t="n">
        <f aca="false">IF(AND($K15="OK",$E15="FIJA"),1,0)</f>
        <v>0</v>
      </c>
      <c r="V15" s="32" t="n">
        <f aca="false">IF($K15="OK",1,0)</f>
        <v>0</v>
      </c>
      <c r="W15" s="7" t="n">
        <f aca="false">IF($N15=0,0,INDEX($D$51:$D$54,$N15))</f>
        <v>0</v>
      </c>
      <c r="Y15" s="7" t="n">
        <f aca="false">($AB$6+DATOS!$AE$11+$DL$12)/$DL$11</f>
        <v>0.223251820440795</v>
      </c>
      <c r="Z15" s="7" t="n">
        <f aca="false">(DATOS!$AF$11+$DL$13)/$DL$11</f>
        <v>0.717441737791703</v>
      </c>
      <c r="AA15" s="7" t="n">
        <f aca="false">($AC$6+DATOS!$AI$11+$DL$12)/$DL$11</f>
        <v>0.935861479040622</v>
      </c>
      <c r="AB15" s="7" t="n">
        <f aca="false">(DATOS!$AJ$11+$DL$13)/$DL$11</f>
        <v>0.668632857065687</v>
      </c>
      <c r="AC15" s="7" t="n">
        <f aca="false">($AD$6+DATOS!$AM$11+$DL$12)/$DL$11</f>
        <v>1.73876756698358</v>
      </c>
      <c r="AD15" s="7" t="n">
        <f aca="false">(DATOS!$AN$11+$DL$13)/$DL$11</f>
        <v>0.705239517610199</v>
      </c>
      <c r="AE15" s="7" t="n">
        <f aca="false">($AE$6+DATOS!$AQ$11+$DL$12)/$DL$11</f>
        <v>2.81256294295592</v>
      </c>
      <c r="AF15" s="7" t="n">
        <f aca="false">(DATOS!$AR$11+$DL$13)/$DL$11</f>
        <v>0.705239517610199</v>
      </c>
    </row>
    <row r="16" customFormat="false" ht="15" hidden="false" customHeight="true" outlineLevel="0" collapsed="false">
      <c r="B16" s="23" t="n">
        <v>10</v>
      </c>
      <c r="C16" s="27"/>
      <c r="D16" s="17"/>
      <c r="E16" s="17"/>
      <c r="F16" s="29"/>
      <c r="G16" s="29"/>
      <c r="H16" s="29"/>
      <c r="I16" s="29"/>
      <c r="J16" s="30" t="n">
        <f aca="false">IF($K16="OK",$H16*$I16,0)</f>
        <v>0</v>
      </c>
      <c r="K16" s="20" t="str">
        <f aca="false">IF($D16="","",IF(OR($F16="",$G16=""),"FALTA POSICIÓN",IF(OR(N($H16)&lt;=0,N($I16)&lt;=0),"FALTA TAMAÑO",IF($E16="","FALTA TIPO",IF(OR(N($F16)&lt;0,N($G16)&lt;0,N($F16)+N($H16)&gt;$W16+0.001),"SE SALE A LO LARGO",IF(N($G16)+N($I16)&gt;MIN($S16,$T16)+0.001,"SE SALE POR ARRIBA","OK"))))))</f>
        <v/>
      </c>
      <c r="L16" s="31"/>
      <c r="N16" s="32" t="n">
        <f aca="false">IF($D16="",0,VALUE(MID($D16,6,1)))</f>
        <v>0</v>
      </c>
      <c r="O16" s="7" t="n">
        <f aca="false">IF($K16="OK",N($F16),0)</f>
        <v>0</v>
      </c>
      <c r="P16" s="7" t="n">
        <f aca="false">IF($K16="OK",N($F16)+N($H16),0)</f>
        <v>0</v>
      </c>
      <c r="Q16" s="7" t="n">
        <f aca="false">IF($K16="OK",N($G16),0)</f>
        <v>0</v>
      </c>
      <c r="R16" s="7" t="n">
        <f aca="false">IF($K16="OK",N($G16)+N($I16),0)</f>
        <v>0</v>
      </c>
      <c r="S16" s="7" t="n">
        <f aca="false">IF($N16=0,0,IF(INDEX($E$51:$E$54,$N16)="SÍ",IF(DATOS!$C$14="PLANO",DATOS!$C$17,IF(DATOS!$C$14="DOS AGUAS",DATOS!$C$17+(DATOS!$C$18-DATOS!$C$17)*(1-ABS(2*(N($F16))/DATOS!$C$23-1)),IF(DATOS!$C$14="UN AGUA",IF(N(DATOS!$C$25)=0,DATOS!$C$18-(DATOS!$C$18-DATOS!$C$17)*(N($F16))/DATOS!$C$23,DATOS!$C$17+(DATOS!$C$18-DATOS!$C$17)*(N($F16))/DATOS!$C$23),DATOS!$C$17+4*(DATOS!$C$18-DATOS!$C$17)*(N($F16))/DATOS!$C$23*(1-(N($F16))/DATOS!$C$23)))),INDEX($F$51:$F$54,$N16)))</f>
        <v>0</v>
      </c>
      <c r="T16" s="7" t="n">
        <f aca="false">IF($N16=0,0,IF(INDEX($E$51:$E$54,$N16)="SÍ",IF(DATOS!$C$14="PLANO",DATOS!$C$17,IF(DATOS!$C$14="DOS AGUAS",DATOS!$C$17+(DATOS!$C$18-DATOS!$C$17)*(1-ABS(2*(N($F16)+N($H16))/DATOS!$C$23-1)),IF(DATOS!$C$14="UN AGUA",IF(N(DATOS!$C$25)=0,DATOS!$C$18-(DATOS!$C$18-DATOS!$C$17)*(N($F16)+N($H16))/DATOS!$C$23,DATOS!$C$17+(DATOS!$C$18-DATOS!$C$17)*(N($F16)+N($H16))/DATOS!$C$23),DATOS!$C$17+4*(DATOS!$C$18-DATOS!$C$17)*(N($F16)+N($H16))/DATOS!$C$23*(1-(N($F16)+N($H16))/DATOS!$C$23)))),INDEX($F$51:$F$54,$N16)))</f>
        <v>0</v>
      </c>
      <c r="U16" s="32" t="n">
        <f aca="false">IF(AND($K16="OK",$E16="FIJA"),1,0)</f>
        <v>0</v>
      </c>
      <c r="V16" s="32" t="n">
        <f aca="false">IF($K16="OK",1,0)</f>
        <v>0</v>
      </c>
      <c r="W16" s="7" t="n">
        <f aca="false">IF($N16=0,0,INDEX($D$51:$D$54,$N16))</f>
        <v>0</v>
      </c>
      <c r="Y16" s="7" t="n">
        <f aca="false">($AB$6+DATOS!$AE$12+$DL$12)/$DL$11</f>
        <v>0.146377833297321</v>
      </c>
      <c r="Z16" s="7" t="n">
        <f aca="false">(DATOS!$AF$12+$DL$13)/$DL$11</f>
        <v>0.717441737791703</v>
      </c>
      <c r="AA16" s="7" t="n">
        <f aca="false">($AC$6+DATOS!$AI$12+$DL$12)/$DL$11</f>
        <v>0.858987491897148</v>
      </c>
      <c r="AB16" s="7" t="n">
        <f aca="false">(DATOS!$AJ$12+$DL$13)/$DL$11</f>
        <v>0.668632857065687</v>
      </c>
      <c r="AC16" s="7" t="n">
        <f aca="false">($AD$6+DATOS!$AM$12+$DL$12)/$DL$11</f>
        <v>1.61674536516854</v>
      </c>
      <c r="AD16" s="7" t="n">
        <f aca="false">(DATOS!$AN$12+$DL$13)/$DL$11</f>
        <v>0.711340627700951</v>
      </c>
      <c r="AE16" s="7" t="n">
        <f aca="false">($AE$6+DATOS!$AQ$12+$DL$12)/$DL$11</f>
        <v>2.69054074114088</v>
      </c>
      <c r="AF16" s="7" t="n">
        <f aca="false">(DATOS!$AR$12+$DL$13)/$DL$11</f>
        <v>0.711340627700951</v>
      </c>
    </row>
    <row r="17" customFormat="false" ht="15" hidden="false" customHeight="true" outlineLevel="0" collapsed="false">
      <c r="B17" s="23" t="n">
        <v>11</v>
      </c>
      <c r="C17" s="27"/>
      <c r="D17" s="17"/>
      <c r="E17" s="17"/>
      <c r="F17" s="29"/>
      <c r="G17" s="29"/>
      <c r="H17" s="29"/>
      <c r="I17" s="29"/>
      <c r="J17" s="30" t="n">
        <f aca="false">IF($K17="OK",$H17*$I17,0)</f>
        <v>0</v>
      </c>
      <c r="K17" s="20" t="str">
        <f aca="false">IF($D17="","",IF(OR($F17="",$G17=""),"FALTA POSICIÓN",IF(OR(N($H17)&lt;=0,N($I17)&lt;=0),"FALTA TAMAÑO",IF($E17="","FALTA TIPO",IF(OR(N($F17)&lt;0,N($G17)&lt;0,N($F17)+N($H17)&gt;$W17+0.001),"SE SALE A LO LARGO",IF(N($G17)+N($I17)&gt;MIN($S17,$T17)+0.001,"SE SALE POR ARRIBA","OK"))))))</f>
        <v/>
      </c>
      <c r="L17" s="31"/>
      <c r="N17" s="32" t="n">
        <f aca="false">IF($D17="",0,VALUE(MID($D17,6,1)))</f>
        <v>0</v>
      </c>
      <c r="O17" s="7" t="n">
        <f aca="false">IF($K17="OK",N($F17),0)</f>
        <v>0</v>
      </c>
      <c r="P17" s="7" t="n">
        <f aca="false">IF($K17="OK",N($F17)+N($H17),0)</f>
        <v>0</v>
      </c>
      <c r="Q17" s="7" t="n">
        <f aca="false">IF($K17="OK",N($G17),0)</f>
        <v>0</v>
      </c>
      <c r="R17" s="7" t="n">
        <f aca="false">IF($K17="OK",N($G17)+N($I17),0)</f>
        <v>0</v>
      </c>
      <c r="S17" s="7" t="n">
        <f aca="false">IF($N17=0,0,IF(INDEX($E$51:$E$54,$N17)="SÍ",IF(DATOS!$C$14="PLANO",DATOS!$C$17,IF(DATOS!$C$14="DOS AGUAS",DATOS!$C$17+(DATOS!$C$18-DATOS!$C$17)*(1-ABS(2*(N($F17))/DATOS!$C$23-1)),IF(DATOS!$C$14="UN AGUA",IF(N(DATOS!$C$25)=0,DATOS!$C$18-(DATOS!$C$18-DATOS!$C$17)*(N($F17))/DATOS!$C$23,DATOS!$C$17+(DATOS!$C$18-DATOS!$C$17)*(N($F17))/DATOS!$C$23),DATOS!$C$17+4*(DATOS!$C$18-DATOS!$C$17)*(N($F17))/DATOS!$C$23*(1-(N($F17))/DATOS!$C$23)))),INDEX($F$51:$F$54,$N17)))</f>
        <v>0</v>
      </c>
      <c r="T17" s="7" t="n">
        <f aca="false">IF($N17=0,0,IF(INDEX($E$51:$E$54,$N17)="SÍ",IF(DATOS!$C$14="PLANO",DATOS!$C$17,IF(DATOS!$C$14="DOS AGUAS",DATOS!$C$17+(DATOS!$C$18-DATOS!$C$17)*(1-ABS(2*(N($F17)+N($H17))/DATOS!$C$23-1)),IF(DATOS!$C$14="UN AGUA",IF(N(DATOS!$C$25)=0,DATOS!$C$18-(DATOS!$C$18-DATOS!$C$17)*(N($F17)+N($H17))/DATOS!$C$23,DATOS!$C$17+(DATOS!$C$18-DATOS!$C$17)*(N($F17)+N($H17))/DATOS!$C$23),DATOS!$C$17+4*(DATOS!$C$18-DATOS!$C$17)*(N($F17)+N($H17))/DATOS!$C$23*(1-(N($F17)+N($H17))/DATOS!$C$23)))),INDEX($F$51:$F$54,$N17)))</f>
        <v>0</v>
      </c>
      <c r="U17" s="32" t="n">
        <f aca="false">IF(AND($K17="OK",$E17="FIJA"),1,0)</f>
        <v>0</v>
      </c>
      <c r="V17" s="32" t="n">
        <f aca="false">IF($K17="OK",1,0)</f>
        <v>0</v>
      </c>
      <c r="W17" s="7" t="n">
        <f aca="false">IF($N17=0,0,INDEX($D$51:$D$54,$N17))</f>
        <v>0</v>
      </c>
      <c r="Y17" s="7" t="n">
        <f aca="false">($AB$6+DATOS!$AE$13+$DL$12)/$DL$11</f>
        <v>0.0695038461538462</v>
      </c>
      <c r="Z17" s="7" t="n">
        <f aca="false">(DATOS!$AF$13+$DL$13)/$DL$11</f>
        <v>0.717441737791703</v>
      </c>
      <c r="AA17" s="7" t="n">
        <f aca="false">($AC$6+DATOS!$AI$13+$DL$12)/$DL$11</f>
        <v>0.782113504753674</v>
      </c>
      <c r="AB17" s="7" t="n">
        <f aca="false">(DATOS!$AJ$13+$DL$13)/$DL$11</f>
        <v>0.668632857065687</v>
      </c>
      <c r="AC17" s="7" t="n">
        <f aca="false">($AD$6+DATOS!$AM$13+$DL$12)/$DL$11</f>
        <v>1.4947231633535</v>
      </c>
      <c r="AD17" s="7" t="n">
        <f aca="false">(DATOS!$AN$13+$DL$13)/$DL$11</f>
        <v>0.717441737791703</v>
      </c>
      <c r="AE17" s="7" t="n">
        <f aca="false">($AE$6+DATOS!$AQ$13+$DL$12)/$DL$11</f>
        <v>2.56851853932584</v>
      </c>
      <c r="AF17" s="7" t="n">
        <f aca="false">(DATOS!$AR$13+$DL$13)/$DL$11</f>
        <v>0.717441737791703</v>
      </c>
    </row>
    <row r="18" customFormat="false" ht="15" hidden="false" customHeight="true" outlineLevel="0" collapsed="false">
      <c r="B18" s="23" t="n">
        <v>12</v>
      </c>
      <c r="C18" s="27"/>
      <c r="D18" s="17"/>
      <c r="E18" s="17"/>
      <c r="F18" s="29"/>
      <c r="G18" s="29"/>
      <c r="H18" s="29"/>
      <c r="I18" s="29"/>
      <c r="J18" s="30" t="n">
        <f aca="false">IF($K18="OK",$H18*$I18,0)</f>
        <v>0</v>
      </c>
      <c r="K18" s="20" t="str">
        <f aca="false">IF($D18="","",IF(OR($F18="",$G18=""),"FALTA POSICIÓN",IF(OR(N($H18)&lt;=0,N($I18)&lt;=0),"FALTA TAMAÑO",IF($E18="","FALTA TIPO",IF(OR(N($F18)&lt;0,N($G18)&lt;0,N($F18)+N($H18)&gt;$W18+0.001),"SE SALE A LO LARGO",IF(N($G18)+N($I18)&gt;MIN($S18,$T18)+0.001,"SE SALE POR ARRIBA","OK"))))))</f>
        <v/>
      </c>
      <c r="L18" s="31"/>
      <c r="N18" s="32" t="n">
        <f aca="false">IF($D18="",0,VALUE(MID($D18,6,1)))</f>
        <v>0</v>
      </c>
      <c r="O18" s="7" t="n">
        <f aca="false">IF($K18="OK",N($F18),0)</f>
        <v>0</v>
      </c>
      <c r="P18" s="7" t="n">
        <f aca="false">IF($K18="OK",N($F18)+N($H18),0)</f>
        <v>0</v>
      </c>
      <c r="Q18" s="7" t="n">
        <f aca="false">IF($K18="OK",N($G18),0)</f>
        <v>0</v>
      </c>
      <c r="R18" s="7" t="n">
        <f aca="false">IF($K18="OK",N($G18)+N($I18),0)</f>
        <v>0</v>
      </c>
      <c r="S18" s="7" t="n">
        <f aca="false">IF($N18=0,0,IF(INDEX($E$51:$E$54,$N18)="SÍ",IF(DATOS!$C$14="PLANO",DATOS!$C$17,IF(DATOS!$C$14="DOS AGUAS",DATOS!$C$17+(DATOS!$C$18-DATOS!$C$17)*(1-ABS(2*(N($F18))/DATOS!$C$23-1)),IF(DATOS!$C$14="UN AGUA",IF(N(DATOS!$C$25)=0,DATOS!$C$18-(DATOS!$C$18-DATOS!$C$17)*(N($F18))/DATOS!$C$23,DATOS!$C$17+(DATOS!$C$18-DATOS!$C$17)*(N($F18))/DATOS!$C$23),DATOS!$C$17+4*(DATOS!$C$18-DATOS!$C$17)*(N($F18))/DATOS!$C$23*(1-(N($F18))/DATOS!$C$23)))),INDEX($F$51:$F$54,$N18)))</f>
        <v>0</v>
      </c>
      <c r="T18" s="7" t="n">
        <f aca="false">IF($N18=0,0,IF(INDEX($E$51:$E$54,$N18)="SÍ",IF(DATOS!$C$14="PLANO",DATOS!$C$17,IF(DATOS!$C$14="DOS AGUAS",DATOS!$C$17+(DATOS!$C$18-DATOS!$C$17)*(1-ABS(2*(N($F18)+N($H18))/DATOS!$C$23-1)),IF(DATOS!$C$14="UN AGUA",IF(N(DATOS!$C$25)=0,DATOS!$C$18-(DATOS!$C$18-DATOS!$C$17)*(N($F18)+N($H18))/DATOS!$C$23,DATOS!$C$17+(DATOS!$C$18-DATOS!$C$17)*(N($F18)+N($H18))/DATOS!$C$23),DATOS!$C$17+4*(DATOS!$C$18-DATOS!$C$17)*(N($F18)+N($H18))/DATOS!$C$23*(1-(N($F18)+N($H18))/DATOS!$C$23)))),INDEX($F$51:$F$54,$N18)))</f>
        <v>0</v>
      </c>
      <c r="U18" s="32" t="n">
        <f aca="false">IF(AND($K18="OK",$E18="FIJA"),1,0)</f>
        <v>0</v>
      </c>
      <c r="V18" s="32" t="n">
        <f aca="false">IF($K18="OK",1,0)</f>
        <v>0</v>
      </c>
      <c r="W18" s="7" t="n">
        <f aca="false">IF($N18=0,0,INDEX($D$51:$D$54,$N18))</f>
        <v>0</v>
      </c>
      <c r="Y18" s="7" t="n">
        <f aca="false">($AB$6+DATOS!$AE$14+$DL$12)/$DL$11</f>
        <v>0.0695038461538462</v>
      </c>
      <c r="Z18" s="7" t="n">
        <f aca="false">(DATOS!$AF$14+$DL$13)/$DL$11</f>
        <v>0.0695038461538462</v>
      </c>
      <c r="AA18" s="7" t="n">
        <f aca="false">($AC$6+DATOS!$AI$14+$DL$12)/$DL$11</f>
        <v>0.782113504753674</v>
      </c>
      <c r="AB18" s="7" t="n">
        <f aca="false">(DATOS!$AJ$14+$DL$13)/$DL$11</f>
        <v>0.0695038461538462</v>
      </c>
      <c r="AC18" s="7" t="n">
        <f aca="false">($AD$6+DATOS!$AM$14+$DL$12)/$DL$11</f>
        <v>1.4947231633535</v>
      </c>
      <c r="AD18" s="7" t="n">
        <f aca="false">(DATOS!$AN$14+$DL$13)/$DL$11</f>
        <v>0.0695038461538462</v>
      </c>
      <c r="AE18" s="7" t="n">
        <f aca="false">($AE$6+DATOS!$AQ$14+$DL$12)/$DL$11</f>
        <v>2.56851853932584</v>
      </c>
      <c r="AF18" s="7" t="n">
        <f aca="false">(DATOS!$AR$14+$DL$13)/$DL$11</f>
        <v>0.0695038461538462</v>
      </c>
    </row>
    <row r="19" customFormat="false" ht="15" hidden="false" customHeight="true" outlineLevel="0" collapsed="false">
      <c r="B19" s="23" t="n">
        <v>13</v>
      </c>
      <c r="C19" s="27"/>
      <c r="D19" s="17"/>
      <c r="E19" s="17"/>
      <c r="F19" s="29"/>
      <c r="G19" s="29"/>
      <c r="H19" s="29"/>
      <c r="I19" s="29"/>
      <c r="J19" s="30" t="n">
        <f aca="false">IF($K19="OK",$H19*$I19,0)</f>
        <v>0</v>
      </c>
      <c r="K19" s="20" t="str">
        <f aca="false">IF($D19="","",IF(OR($F19="",$G19=""),"FALTA POSICIÓN",IF(OR(N($H19)&lt;=0,N($I19)&lt;=0),"FALTA TAMAÑO",IF($E19="","FALTA TIPO",IF(OR(N($F19)&lt;0,N($G19)&lt;0,N($F19)+N($H19)&gt;$W19+0.001),"SE SALE A LO LARGO",IF(N($G19)+N($I19)&gt;MIN($S19,$T19)+0.001,"SE SALE POR ARRIBA","OK"))))))</f>
        <v/>
      </c>
      <c r="L19" s="31"/>
      <c r="N19" s="32" t="n">
        <f aca="false">IF($D19="",0,VALUE(MID($D19,6,1)))</f>
        <v>0</v>
      </c>
      <c r="O19" s="7" t="n">
        <f aca="false">IF($K19="OK",N($F19),0)</f>
        <v>0</v>
      </c>
      <c r="P19" s="7" t="n">
        <f aca="false">IF($K19="OK",N($F19)+N($H19),0)</f>
        <v>0</v>
      </c>
      <c r="Q19" s="7" t="n">
        <f aca="false">IF($K19="OK",N($G19),0)</f>
        <v>0</v>
      </c>
      <c r="R19" s="7" t="n">
        <f aca="false">IF($K19="OK",N($G19)+N($I19),0)</f>
        <v>0</v>
      </c>
      <c r="S19" s="7" t="n">
        <f aca="false">IF($N19=0,0,IF(INDEX($E$51:$E$54,$N19)="SÍ",IF(DATOS!$C$14="PLANO",DATOS!$C$17,IF(DATOS!$C$14="DOS AGUAS",DATOS!$C$17+(DATOS!$C$18-DATOS!$C$17)*(1-ABS(2*(N($F19))/DATOS!$C$23-1)),IF(DATOS!$C$14="UN AGUA",IF(N(DATOS!$C$25)=0,DATOS!$C$18-(DATOS!$C$18-DATOS!$C$17)*(N($F19))/DATOS!$C$23,DATOS!$C$17+(DATOS!$C$18-DATOS!$C$17)*(N($F19))/DATOS!$C$23),DATOS!$C$17+4*(DATOS!$C$18-DATOS!$C$17)*(N($F19))/DATOS!$C$23*(1-(N($F19))/DATOS!$C$23)))),INDEX($F$51:$F$54,$N19)))</f>
        <v>0</v>
      </c>
      <c r="T19" s="7" t="n">
        <f aca="false">IF($N19=0,0,IF(INDEX($E$51:$E$54,$N19)="SÍ",IF(DATOS!$C$14="PLANO",DATOS!$C$17,IF(DATOS!$C$14="DOS AGUAS",DATOS!$C$17+(DATOS!$C$18-DATOS!$C$17)*(1-ABS(2*(N($F19)+N($H19))/DATOS!$C$23-1)),IF(DATOS!$C$14="UN AGUA",IF(N(DATOS!$C$25)=0,DATOS!$C$18-(DATOS!$C$18-DATOS!$C$17)*(N($F19)+N($H19))/DATOS!$C$23,DATOS!$C$17+(DATOS!$C$18-DATOS!$C$17)*(N($F19)+N($H19))/DATOS!$C$23),DATOS!$C$17+4*(DATOS!$C$18-DATOS!$C$17)*(N($F19)+N($H19))/DATOS!$C$23*(1-(N($F19)+N($H19))/DATOS!$C$23)))),INDEX($F$51:$F$54,$N19)))</f>
        <v>0</v>
      </c>
      <c r="U19" s="32" t="n">
        <f aca="false">IF(AND($K19="OK",$E19="FIJA"),1,0)</f>
        <v>0</v>
      </c>
      <c r="V19" s="32" t="n">
        <f aca="false">IF($K19="OK",1,0)</f>
        <v>0</v>
      </c>
      <c r="W19" s="7" t="n">
        <f aca="false">IF($N19=0,0,INDEX($D$51:$D$54,$N19))</f>
        <v>0</v>
      </c>
    </row>
    <row r="20" customFormat="false" ht="15" hidden="false" customHeight="true" outlineLevel="0" collapsed="false">
      <c r="B20" s="23" t="n">
        <v>14</v>
      </c>
      <c r="C20" s="27"/>
      <c r="D20" s="17"/>
      <c r="E20" s="17"/>
      <c r="F20" s="29"/>
      <c r="G20" s="29"/>
      <c r="H20" s="29"/>
      <c r="I20" s="29"/>
      <c r="J20" s="30" t="n">
        <f aca="false">IF($K20="OK",$H20*$I20,0)</f>
        <v>0</v>
      </c>
      <c r="K20" s="20" t="str">
        <f aca="false">IF($D20="","",IF(OR($F20="",$G20=""),"FALTA POSICIÓN",IF(OR(N($H20)&lt;=0,N($I20)&lt;=0),"FALTA TAMAÑO",IF($E20="","FALTA TIPO",IF(OR(N($F20)&lt;0,N($G20)&lt;0,N($F20)+N($H20)&gt;$W20+0.001),"SE SALE A LO LARGO",IF(N($G20)+N($I20)&gt;MIN($S20,$T20)+0.001,"SE SALE POR ARRIBA","OK"))))))</f>
        <v/>
      </c>
      <c r="L20" s="31"/>
      <c r="N20" s="32" t="n">
        <f aca="false">IF($D20="",0,VALUE(MID($D20,6,1)))</f>
        <v>0</v>
      </c>
      <c r="O20" s="7" t="n">
        <f aca="false">IF($K20="OK",N($F20),0)</f>
        <v>0</v>
      </c>
      <c r="P20" s="7" t="n">
        <f aca="false">IF($K20="OK",N($F20)+N($H20),0)</f>
        <v>0</v>
      </c>
      <c r="Q20" s="7" t="n">
        <f aca="false">IF($K20="OK",N($G20),0)</f>
        <v>0</v>
      </c>
      <c r="R20" s="7" t="n">
        <f aca="false">IF($K20="OK",N($G20)+N($I20),0)</f>
        <v>0</v>
      </c>
      <c r="S20" s="7" t="n">
        <f aca="false">IF($N20=0,0,IF(INDEX($E$51:$E$54,$N20)="SÍ",IF(DATOS!$C$14="PLANO",DATOS!$C$17,IF(DATOS!$C$14="DOS AGUAS",DATOS!$C$17+(DATOS!$C$18-DATOS!$C$17)*(1-ABS(2*(N($F20))/DATOS!$C$23-1)),IF(DATOS!$C$14="UN AGUA",IF(N(DATOS!$C$25)=0,DATOS!$C$18-(DATOS!$C$18-DATOS!$C$17)*(N($F20))/DATOS!$C$23,DATOS!$C$17+(DATOS!$C$18-DATOS!$C$17)*(N($F20))/DATOS!$C$23),DATOS!$C$17+4*(DATOS!$C$18-DATOS!$C$17)*(N($F20))/DATOS!$C$23*(1-(N($F20))/DATOS!$C$23)))),INDEX($F$51:$F$54,$N20)))</f>
        <v>0</v>
      </c>
      <c r="T20" s="7" t="n">
        <f aca="false">IF($N20=0,0,IF(INDEX($E$51:$E$54,$N20)="SÍ",IF(DATOS!$C$14="PLANO",DATOS!$C$17,IF(DATOS!$C$14="DOS AGUAS",DATOS!$C$17+(DATOS!$C$18-DATOS!$C$17)*(1-ABS(2*(N($F20)+N($H20))/DATOS!$C$23-1)),IF(DATOS!$C$14="UN AGUA",IF(N(DATOS!$C$25)=0,DATOS!$C$18-(DATOS!$C$18-DATOS!$C$17)*(N($F20)+N($H20))/DATOS!$C$23,DATOS!$C$17+(DATOS!$C$18-DATOS!$C$17)*(N($F20)+N($H20))/DATOS!$C$23),DATOS!$C$17+4*(DATOS!$C$18-DATOS!$C$17)*(N($F20)+N($H20))/DATOS!$C$23*(1-(N($F20)+N($H20))/DATOS!$C$23)))),INDEX($F$51:$F$54,$N20)))</f>
        <v>0</v>
      </c>
      <c r="U20" s="32" t="n">
        <f aca="false">IF(AND($K20="OK",$E20="FIJA"),1,0)</f>
        <v>0</v>
      </c>
      <c r="V20" s="32" t="n">
        <f aca="false">IF($K20="OK",1,0)</f>
        <v>0</v>
      </c>
      <c r="W20" s="7" t="n">
        <f aca="false">IF($N20=0,0,INDEX($D$51:$D$54,$N20))</f>
        <v>0</v>
      </c>
    </row>
    <row r="21" customFormat="false" ht="15" hidden="false" customHeight="true" outlineLevel="0" collapsed="false">
      <c r="B21" s="23" t="n">
        <v>15</v>
      </c>
      <c r="C21" s="27"/>
      <c r="D21" s="17"/>
      <c r="E21" s="17"/>
      <c r="F21" s="29"/>
      <c r="G21" s="29"/>
      <c r="H21" s="29"/>
      <c r="I21" s="29"/>
      <c r="J21" s="30" t="n">
        <f aca="false">IF($K21="OK",$H21*$I21,0)</f>
        <v>0</v>
      </c>
      <c r="K21" s="20" t="str">
        <f aca="false">IF($D21="","",IF(OR($F21="",$G21=""),"FALTA POSICIÓN",IF(OR(N($H21)&lt;=0,N($I21)&lt;=0),"FALTA TAMAÑO",IF($E21="","FALTA TIPO",IF(OR(N($F21)&lt;0,N($G21)&lt;0,N($F21)+N($H21)&gt;$W21+0.001),"SE SALE A LO LARGO",IF(N($G21)+N($I21)&gt;MIN($S21,$T21)+0.001,"SE SALE POR ARRIBA","OK"))))))</f>
        <v/>
      </c>
      <c r="L21" s="31"/>
      <c r="N21" s="32" t="n">
        <f aca="false">IF($D21="",0,VALUE(MID($D21,6,1)))</f>
        <v>0</v>
      </c>
      <c r="O21" s="7" t="n">
        <f aca="false">IF($K21="OK",N($F21),0)</f>
        <v>0</v>
      </c>
      <c r="P21" s="7" t="n">
        <f aca="false">IF($K21="OK",N($F21)+N($H21),0)</f>
        <v>0</v>
      </c>
      <c r="Q21" s="7" t="n">
        <f aca="false">IF($K21="OK",N($G21),0)</f>
        <v>0</v>
      </c>
      <c r="R21" s="7" t="n">
        <f aca="false">IF($K21="OK",N($G21)+N($I21),0)</f>
        <v>0</v>
      </c>
      <c r="S21" s="7" t="n">
        <f aca="false">IF($N21=0,0,IF(INDEX($E$51:$E$54,$N21)="SÍ",IF(DATOS!$C$14="PLANO",DATOS!$C$17,IF(DATOS!$C$14="DOS AGUAS",DATOS!$C$17+(DATOS!$C$18-DATOS!$C$17)*(1-ABS(2*(N($F21))/DATOS!$C$23-1)),IF(DATOS!$C$14="UN AGUA",IF(N(DATOS!$C$25)=0,DATOS!$C$18-(DATOS!$C$18-DATOS!$C$17)*(N($F21))/DATOS!$C$23,DATOS!$C$17+(DATOS!$C$18-DATOS!$C$17)*(N($F21))/DATOS!$C$23),DATOS!$C$17+4*(DATOS!$C$18-DATOS!$C$17)*(N($F21))/DATOS!$C$23*(1-(N($F21))/DATOS!$C$23)))),INDEX($F$51:$F$54,$N21)))</f>
        <v>0</v>
      </c>
      <c r="T21" s="7" t="n">
        <f aca="false">IF($N21=0,0,IF(INDEX($E$51:$E$54,$N21)="SÍ",IF(DATOS!$C$14="PLANO",DATOS!$C$17,IF(DATOS!$C$14="DOS AGUAS",DATOS!$C$17+(DATOS!$C$18-DATOS!$C$17)*(1-ABS(2*(N($F21)+N($H21))/DATOS!$C$23-1)),IF(DATOS!$C$14="UN AGUA",IF(N(DATOS!$C$25)=0,DATOS!$C$18-(DATOS!$C$18-DATOS!$C$17)*(N($F21)+N($H21))/DATOS!$C$23,DATOS!$C$17+(DATOS!$C$18-DATOS!$C$17)*(N($F21)+N($H21))/DATOS!$C$23),DATOS!$C$17+4*(DATOS!$C$18-DATOS!$C$17)*(N($F21)+N($H21))/DATOS!$C$23*(1-(N($F21)+N($H21))/DATOS!$C$23)))),INDEX($F$51:$F$54,$N21)))</f>
        <v>0</v>
      </c>
      <c r="U21" s="32" t="n">
        <f aca="false">IF(AND($K21="OK",$E21="FIJA"),1,0)</f>
        <v>0</v>
      </c>
      <c r="V21" s="32" t="n">
        <f aca="false">IF($K21="OK",1,0)</f>
        <v>0</v>
      </c>
      <c r="W21" s="7" t="n">
        <f aca="false">IF($N21=0,0,INDEX($D$51:$D$54,$N21))</f>
        <v>0</v>
      </c>
    </row>
    <row r="22" customFormat="false" ht="15" hidden="false" customHeight="true" outlineLevel="0" collapsed="false">
      <c r="B22" s="23" t="n">
        <v>16</v>
      </c>
      <c r="C22" s="27"/>
      <c r="D22" s="17"/>
      <c r="E22" s="17"/>
      <c r="F22" s="29"/>
      <c r="G22" s="29"/>
      <c r="H22" s="29"/>
      <c r="I22" s="29"/>
      <c r="J22" s="30" t="n">
        <f aca="false">IF($K22="OK",$H22*$I22,0)</f>
        <v>0</v>
      </c>
      <c r="K22" s="20" t="str">
        <f aca="false">IF($D22="","",IF(OR($F22="",$G22=""),"FALTA POSICIÓN",IF(OR(N($H22)&lt;=0,N($I22)&lt;=0),"FALTA TAMAÑO",IF($E22="","FALTA TIPO",IF(OR(N($F22)&lt;0,N($G22)&lt;0,N($F22)+N($H22)&gt;$W22+0.001),"SE SALE A LO LARGO",IF(N($G22)+N($I22)&gt;MIN($S22,$T22)+0.001,"SE SALE POR ARRIBA","OK"))))))</f>
        <v/>
      </c>
      <c r="L22" s="31"/>
      <c r="N22" s="32" t="n">
        <f aca="false">IF($D22="",0,VALUE(MID($D22,6,1)))</f>
        <v>0</v>
      </c>
      <c r="O22" s="7" t="n">
        <f aca="false">IF($K22="OK",N($F22),0)</f>
        <v>0</v>
      </c>
      <c r="P22" s="7" t="n">
        <f aca="false">IF($K22="OK",N($F22)+N($H22),0)</f>
        <v>0</v>
      </c>
      <c r="Q22" s="7" t="n">
        <f aca="false">IF($K22="OK",N($G22),0)</f>
        <v>0</v>
      </c>
      <c r="R22" s="7" t="n">
        <f aca="false">IF($K22="OK",N($G22)+N($I22),0)</f>
        <v>0</v>
      </c>
      <c r="S22" s="7" t="n">
        <f aca="false">IF($N22=0,0,IF(INDEX($E$51:$E$54,$N22)="SÍ",IF(DATOS!$C$14="PLANO",DATOS!$C$17,IF(DATOS!$C$14="DOS AGUAS",DATOS!$C$17+(DATOS!$C$18-DATOS!$C$17)*(1-ABS(2*(N($F22))/DATOS!$C$23-1)),IF(DATOS!$C$14="UN AGUA",IF(N(DATOS!$C$25)=0,DATOS!$C$18-(DATOS!$C$18-DATOS!$C$17)*(N($F22))/DATOS!$C$23,DATOS!$C$17+(DATOS!$C$18-DATOS!$C$17)*(N($F22))/DATOS!$C$23),DATOS!$C$17+4*(DATOS!$C$18-DATOS!$C$17)*(N($F22))/DATOS!$C$23*(1-(N($F22))/DATOS!$C$23)))),INDEX($F$51:$F$54,$N22)))</f>
        <v>0</v>
      </c>
      <c r="T22" s="7" t="n">
        <f aca="false">IF($N22=0,0,IF(INDEX($E$51:$E$54,$N22)="SÍ",IF(DATOS!$C$14="PLANO",DATOS!$C$17,IF(DATOS!$C$14="DOS AGUAS",DATOS!$C$17+(DATOS!$C$18-DATOS!$C$17)*(1-ABS(2*(N($F22)+N($H22))/DATOS!$C$23-1)),IF(DATOS!$C$14="UN AGUA",IF(N(DATOS!$C$25)=0,DATOS!$C$18-(DATOS!$C$18-DATOS!$C$17)*(N($F22)+N($H22))/DATOS!$C$23,DATOS!$C$17+(DATOS!$C$18-DATOS!$C$17)*(N($F22)+N($H22))/DATOS!$C$23),DATOS!$C$17+4*(DATOS!$C$18-DATOS!$C$17)*(N($F22)+N($H22))/DATOS!$C$23*(1-(N($F22)+N($H22))/DATOS!$C$23)))),INDEX($F$51:$F$54,$N22)))</f>
        <v>0</v>
      </c>
      <c r="U22" s="32" t="n">
        <f aca="false">IF(AND($K22="OK",$E22="FIJA"),1,0)</f>
        <v>0</v>
      </c>
      <c r="V22" s="32" t="n">
        <f aca="false">IF($K22="OK",1,0)</f>
        <v>0</v>
      </c>
      <c r="W22" s="7" t="n">
        <f aca="false">IF($N22=0,0,INDEX($D$51:$D$54,$N22))</f>
        <v>0</v>
      </c>
    </row>
    <row r="23" customFormat="false" ht="15" hidden="false" customHeight="true" outlineLevel="0" collapsed="false">
      <c r="B23" s="23" t="n">
        <v>17</v>
      </c>
      <c r="C23" s="27"/>
      <c r="D23" s="17"/>
      <c r="E23" s="17"/>
      <c r="F23" s="29"/>
      <c r="G23" s="29"/>
      <c r="H23" s="29"/>
      <c r="I23" s="29"/>
      <c r="J23" s="30" t="n">
        <f aca="false">IF($K23="OK",$H23*$I23,0)</f>
        <v>0</v>
      </c>
      <c r="K23" s="20" t="str">
        <f aca="false">IF($D23="","",IF(OR($F23="",$G23=""),"FALTA POSICIÓN",IF(OR(N($H23)&lt;=0,N($I23)&lt;=0),"FALTA TAMAÑO",IF($E23="","FALTA TIPO",IF(OR(N($F23)&lt;0,N($G23)&lt;0,N($F23)+N($H23)&gt;$W23+0.001),"SE SALE A LO LARGO",IF(N($G23)+N($I23)&gt;MIN($S23,$T23)+0.001,"SE SALE POR ARRIBA","OK"))))))</f>
        <v/>
      </c>
      <c r="L23" s="31"/>
      <c r="N23" s="32" t="n">
        <f aca="false">IF($D23="",0,VALUE(MID($D23,6,1)))</f>
        <v>0</v>
      </c>
      <c r="O23" s="7" t="n">
        <f aca="false">IF($K23="OK",N($F23),0)</f>
        <v>0</v>
      </c>
      <c r="P23" s="7" t="n">
        <f aca="false">IF($K23="OK",N($F23)+N($H23),0)</f>
        <v>0</v>
      </c>
      <c r="Q23" s="7" t="n">
        <f aca="false">IF($K23="OK",N($G23),0)</f>
        <v>0</v>
      </c>
      <c r="R23" s="7" t="n">
        <f aca="false">IF($K23="OK",N($G23)+N($I23),0)</f>
        <v>0</v>
      </c>
      <c r="S23" s="7" t="n">
        <f aca="false">IF($N23=0,0,IF(INDEX($E$51:$E$54,$N23)="SÍ",IF(DATOS!$C$14="PLANO",DATOS!$C$17,IF(DATOS!$C$14="DOS AGUAS",DATOS!$C$17+(DATOS!$C$18-DATOS!$C$17)*(1-ABS(2*(N($F23))/DATOS!$C$23-1)),IF(DATOS!$C$14="UN AGUA",IF(N(DATOS!$C$25)=0,DATOS!$C$18-(DATOS!$C$18-DATOS!$C$17)*(N($F23))/DATOS!$C$23,DATOS!$C$17+(DATOS!$C$18-DATOS!$C$17)*(N($F23))/DATOS!$C$23),DATOS!$C$17+4*(DATOS!$C$18-DATOS!$C$17)*(N($F23))/DATOS!$C$23*(1-(N($F23))/DATOS!$C$23)))),INDEX($F$51:$F$54,$N23)))</f>
        <v>0</v>
      </c>
      <c r="T23" s="7" t="n">
        <f aca="false">IF($N23=0,0,IF(INDEX($E$51:$E$54,$N23)="SÍ",IF(DATOS!$C$14="PLANO",DATOS!$C$17,IF(DATOS!$C$14="DOS AGUAS",DATOS!$C$17+(DATOS!$C$18-DATOS!$C$17)*(1-ABS(2*(N($F23)+N($H23))/DATOS!$C$23-1)),IF(DATOS!$C$14="UN AGUA",IF(N(DATOS!$C$25)=0,DATOS!$C$18-(DATOS!$C$18-DATOS!$C$17)*(N($F23)+N($H23))/DATOS!$C$23,DATOS!$C$17+(DATOS!$C$18-DATOS!$C$17)*(N($F23)+N($H23))/DATOS!$C$23),DATOS!$C$17+4*(DATOS!$C$18-DATOS!$C$17)*(N($F23)+N($H23))/DATOS!$C$23*(1-(N($F23)+N($H23))/DATOS!$C$23)))),INDEX($F$51:$F$54,$N23)))</f>
        <v>0</v>
      </c>
      <c r="U23" s="32" t="n">
        <f aca="false">IF(AND($K23="OK",$E23="FIJA"),1,0)</f>
        <v>0</v>
      </c>
      <c r="V23" s="32" t="n">
        <f aca="false">IF($K23="OK",1,0)</f>
        <v>0</v>
      </c>
      <c r="W23" s="7" t="n">
        <f aca="false">IF($N23=0,0,INDEX($D$51:$D$54,$N23))</f>
        <v>0</v>
      </c>
    </row>
    <row r="24" customFormat="false" ht="15" hidden="false" customHeight="true" outlineLevel="0" collapsed="false">
      <c r="B24" s="23" t="n">
        <v>18</v>
      </c>
      <c r="C24" s="27"/>
      <c r="D24" s="17"/>
      <c r="E24" s="17"/>
      <c r="F24" s="29"/>
      <c r="G24" s="29"/>
      <c r="H24" s="29"/>
      <c r="I24" s="29"/>
      <c r="J24" s="30" t="n">
        <f aca="false">IF($K24="OK",$H24*$I24,0)</f>
        <v>0</v>
      </c>
      <c r="K24" s="20" t="str">
        <f aca="false">IF($D24="","",IF(OR($F24="",$G24=""),"FALTA POSICIÓN",IF(OR(N($H24)&lt;=0,N($I24)&lt;=0),"FALTA TAMAÑO",IF($E24="","FALTA TIPO",IF(OR(N($F24)&lt;0,N($G24)&lt;0,N($F24)+N($H24)&gt;$W24+0.001),"SE SALE A LO LARGO",IF(N($G24)+N($I24)&gt;MIN($S24,$T24)+0.001,"SE SALE POR ARRIBA","OK"))))))</f>
        <v/>
      </c>
      <c r="L24" s="31"/>
      <c r="N24" s="32" t="n">
        <f aca="false">IF($D24="",0,VALUE(MID($D24,6,1)))</f>
        <v>0</v>
      </c>
      <c r="O24" s="7" t="n">
        <f aca="false">IF($K24="OK",N($F24),0)</f>
        <v>0</v>
      </c>
      <c r="P24" s="7" t="n">
        <f aca="false">IF($K24="OK",N($F24)+N($H24),0)</f>
        <v>0</v>
      </c>
      <c r="Q24" s="7" t="n">
        <f aca="false">IF($K24="OK",N($G24),0)</f>
        <v>0</v>
      </c>
      <c r="R24" s="7" t="n">
        <f aca="false">IF($K24="OK",N($G24)+N($I24),0)</f>
        <v>0</v>
      </c>
      <c r="S24" s="7" t="n">
        <f aca="false">IF($N24=0,0,IF(INDEX($E$51:$E$54,$N24)="SÍ",IF(DATOS!$C$14="PLANO",DATOS!$C$17,IF(DATOS!$C$14="DOS AGUAS",DATOS!$C$17+(DATOS!$C$18-DATOS!$C$17)*(1-ABS(2*(N($F24))/DATOS!$C$23-1)),IF(DATOS!$C$14="UN AGUA",IF(N(DATOS!$C$25)=0,DATOS!$C$18-(DATOS!$C$18-DATOS!$C$17)*(N($F24))/DATOS!$C$23,DATOS!$C$17+(DATOS!$C$18-DATOS!$C$17)*(N($F24))/DATOS!$C$23),DATOS!$C$17+4*(DATOS!$C$18-DATOS!$C$17)*(N($F24))/DATOS!$C$23*(1-(N($F24))/DATOS!$C$23)))),INDEX($F$51:$F$54,$N24)))</f>
        <v>0</v>
      </c>
      <c r="T24" s="7" t="n">
        <f aca="false">IF($N24=0,0,IF(INDEX($E$51:$E$54,$N24)="SÍ",IF(DATOS!$C$14="PLANO",DATOS!$C$17,IF(DATOS!$C$14="DOS AGUAS",DATOS!$C$17+(DATOS!$C$18-DATOS!$C$17)*(1-ABS(2*(N($F24)+N($H24))/DATOS!$C$23-1)),IF(DATOS!$C$14="UN AGUA",IF(N(DATOS!$C$25)=0,DATOS!$C$18-(DATOS!$C$18-DATOS!$C$17)*(N($F24)+N($H24))/DATOS!$C$23,DATOS!$C$17+(DATOS!$C$18-DATOS!$C$17)*(N($F24)+N($H24))/DATOS!$C$23),DATOS!$C$17+4*(DATOS!$C$18-DATOS!$C$17)*(N($F24)+N($H24))/DATOS!$C$23*(1-(N($F24)+N($H24))/DATOS!$C$23)))),INDEX($F$51:$F$54,$N24)))</f>
        <v>0</v>
      </c>
      <c r="U24" s="32" t="n">
        <f aca="false">IF(AND($K24="OK",$E24="FIJA"),1,0)</f>
        <v>0</v>
      </c>
      <c r="V24" s="32" t="n">
        <f aca="false">IF($K24="OK",1,0)</f>
        <v>0</v>
      </c>
      <c r="W24" s="7" t="n">
        <f aca="false">IF($N24=0,0,INDEX($D$51:$D$54,$N24))</f>
        <v>0</v>
      </c>
    </row>
    <row r="25" customFormat="false" ht="15" hidden="false" customHeight="true" outlineLevel="0" collapsed="false">
      <c r="B25" s="23" t="n">
        <v>19</v>
      </c>
      <c r="C25" s="27"/>
      <c r="D25" s="17"/>
      <c r="E25" s="17"/>
      <c r="F25" s="29"/>
      <c r="G25" s="29"/>
      <c r="H25" s="29"/>
      <c r="I25" s="29"/>
      <c r="J25" s="30" t="n">
        <f aca="false">IF($K25="OK",$H25*$I25,0)</f>
        <v>0</v>
      </c>
      <c r="K25" s="20" t="str">
        <f aca="false">IF($D25="","",IF(OR($F25="",$G25=""),"FALTA POSICIÓN",IF(OR(N($H25)&lt;=0,N($I25)&lt;=0),"FALTA TAMAÑO",IF($E25="","FALTA TIPO",IF(OR(N($F25)&lt;0,N($G25)&lt;0,N($F25)+N($H25)&gt;$W25+0.001),"SE SALE A LO LARGO",IF(N($G25)+N($I25)&gt;MIN($S25,$T25)+0.001,"SE SALE POR ARRIBA","OK"))))))</f>
        <v/>
      </c>
      <c r="L25" s="31"/>
      <c r="N25" s="32" t="n">
        <f aca="false">IF($D25="",0,VALUE(MID($D25,6,1)))</f>
        <v>0</v>
      </c>
      <c r="O25" s="7" t="n">
        <f aca="false">IF($K25="OK",N($F25),0)</f>
        <v>0</v>
      </c>
      <c r="P25" s="7" t="n">
        <f aca="false">IF($K25="OK",N($F25)+N($H25),0)</f>
        <v>0</v>
      </c>
      <c r="Q25" s="7" t="n">
        <f aca="false">IF($K25="OK",N($G25),0)</f>
        <v>0</v>
      </c>
      <c r="R25" s="7" t="n">
        <f aca="false">IF($K25="OK",N($G25)+N($I25),0)</f>
        <v>0</v>
      </c>
      <c r="S25" s="7" t="n">
        <f aca="false">IF($N25=0,0,IF(INDEX($E$51:$E$54,$N25)="SÍ",IF(DATOS!$C$14="PLANO",DATOS!$C$17,IF(DATOS!$C$14="DOS AGUAS",DATOS!$C$17+(DATOS!$C$18-DATOS!$C$17)*(1-ABS(2*(N($F25))/DATOS!$C$23-1)),IF(DATOS!$C$14="UN AGUA",IF(N(DATOS!$C$25)=0,DATOS!$C$18-(DATOS!$C$18-DATOS!$C$17)*(N($F25))/DATOS!$C$23,DATOS!$C$17+(DATOS!$C$18-DATOS!$C$17)*(N($F25))/DATOS!$C$23),DATOS!$C$17+4*(DATOS!$C$18-DATOS!$C$17)*(N($F25))/DATOS!$C$23*(1-(N($F25))/DATOS!$C$23)))),INDEX($F$51:$F$54,$N25)))</f>
        <v>0</v>
      </c>
      <c r="T25" s="7" t="n">
        <f aca="false">IF($N25=0,0,IF(INDEX($E$51:$E$54,$N25)="SÍ",IF(DATOS!$C$14="PLANO",DATOS!$C$17,IF(DATOS!$C$14="DOS AGUAS",DATOS!$C$17+(DATOS!$C$18-DATOS!$C$17)*(1-ABS(2*(N($F25)+N($H25))/DATOS!$C$23-1)),IF(DATOS!$C$14="UN AGUA",IF(N(DATOS!$C$25)=0,DATOS!$C$18-(DATOS!$C$18-DATOS!$C$17)*(N($F25)+N($H25))/DATOS!$C$23,DATOS!$C$17+(DATOS!$C$18-DATOS!$C$17)*(N($F25)+N($H25))/DATOS!$C$23),DATOS!$C$17+4*(DATOS!$C$18-DATOS!$C$17)*(N($F25)+N($H25))/DATOS!$C$23*(1-(N($F25)+N($H25))/DATOS!$C$23)))),INDEX($F$51:$F$54,$N25)))</f>
        <v>0</v>
      </c>
      <c r="U25" s="32" t="n">
        <f aca="false">IF(AND($K25="OK",$E25="FIJA"),1,0)</f>
        <v>0</v>
      </c>
      <c r="V25" s="32" t="n">
        <f aca="false">IF($K25="OK",1,0)</f>
        <v>0</v>
      </c>
      <c r="W25" s="7" t="n">
        <f aca="false">IF($N25=0,0,INDEX($D$51:$D$54,$N25))</f>
        <v>0</v>
      </c>
    </row>
    <row r="26" customFormat="false" ht="15" hidden="false" customHeight="true" outlineLevel="0" collapsed="false">
      <c r="B26" s="23" t="n">
        <v>20</v>
      </c>
      <c r="C26" s="27"/>
      <c r="D26" s="17"/>
      <c r="E26" s="17"/>
      <c r="F26" s="29"/>
      <c r="G26" s="29"/>
      <c r="H26" s="29"/>
      <c r="I26" s="29"/>
      <c r="J26" s="30" t="n">
        <f aca="false">IF($K26="OK",$H26*$I26,0)</f>
        <v>0</v>
      </c>
      <c r="K26" s="20" t="str">
        <f aca="false">IF($D26="","",IF(OR($F26="",$G26=""),"FALTA POSICIÓN",IF(OR(N($H26)&lt;=0,N($I26)&lt;=0),"FALTA TAMAÑO",IF($E26="","FALTA TIPO",IF(OR(N($F26)&lt;0,N($G26)&lt;0,N($F26)+N($H26)&gt;$W26+0.001),"SE SALE A LO LARGO",IF(N($G26)+N($I26)&gt;MIN($S26,$T26)+0.001,"SE SALE POR ARRIBA","OK"))))))</f>
        <v/>
      </c>
      <c r="L26" s="31"/>
      <c r="N26" s="32" t="n">
        <f aca="false">IF($D26="",0,VALUE(MID($D26,6,1)))</f>
        <v>0</v>
      </c>
      <c r="O26" s="7" t="n">
        <f aca="false">IF($K26="OK",N($F26),0)</f>
        <v>0</v>
      </c>
      <c r="P26" s="7" t="n">
        <f aca="false">IF($K26="OK",N($F26)+N($H26),0)</f>
        <v>0</v>
      </c>
      <c r="Q26" s="7" t="n">
        <f aca="false">IF($K26="OK",N($G26),0)</f>
        <v>0</v>
      </c>
      <c r="R26" s="7" t="n">
        <f aca="false">IF($K26="OK",N($G26)+N($I26),0)</f>
        <v>0</v>
      </c>
      <c r="S26" s="7" t="n">
        <f aca="false">IF($N26=0,0,IF(INDEX($E$51:$E$54,$N26)="SÍ",IF(DATOS!$C$14="PLANO",DATOS!$C$17,IF(DATOS!$C$14="DOS AGUAS",DATOS!$C$17+(DATOS!$C$18-DATOS!$C$17)*(1-ABS(2*(N($F26))/DATOS!$C$23-1)),IF(DATOS!$C$14="UN AGUA",IF(N(DATOS!$C$25)=0,DATOS!$C$18-(DATOS!$C$18-DATOS!$C$17)*(N($F26))/DATOS!$C$23,DATOS!$C$17+(DATOS!$C$18-DATOS!$C$17)*(N($F26))/DATOS!$C$23),DATOS!$C$17+4*(DATOS!$C$18-DATOS!$C$17)*(N($F26))/DATOS!$C$23*(1-(N($F26))/DATOS!$C$23)))),INDEX($F$51:$F$54,$N26)))</f>
        <v>0</v>
      </c>
      <c r="T26" s="7" t="n">
        <f aca="false">IF($N26=0,0,IF(INDEX($E$51:$E$54,$N26)="SÍ",IF(DATOS!$C$14="PLANO",DATOS!$C$17,IF(DATOS!$C$14="DOS AGUAS",DATOS!$C$17+(DATOS!$C$18-DATOS!$C$17)*(1-ABS(2*(N($F26)+N($H26))/DATOS!$C$23-1)),IF(DATOS!$C$14="UN AGUA",IF(N(DATOS!$C$25)=0,DATOS!$C$18-(DATOS!$C$18-DATOS!$C$17)*(N($F26)+N($H26))/DATOS!$C$23,DATOS!$C$17+(DATOS!$C$18-DATOS!$C$17)*(N($F26)+N($H26))/DATOS!$C$23),DATOS!$C$17+4*(DATOS!$C$18-DATOS!$C$17)*(N($F26)+N($H26))/DATOS!$C$23*(1-(N($F26)+N($H26))/DATOS!$C$23)))),INDEX($F$51:$F$54,$N26)))</f>
        <v>0</v>
      </c>
      <c r="U26" s="32" t="n">
        <f aca="false">IF(AND($K26="OK",$E26="FIJA"),1,0)</f>
        <v>0</v>
      </c>
      <c r="V26" s="32" t="n">
        <f aca="false">IF($K26="OK",1,0)</f>
        <v>0</v>
      </c>
      <c r="W26" s="7" t="n">
        <f aca="false">IF($N26=0,0,INDEX($D$51:$D$54,$N26))</f>
        <v>0</v>
      </c>
    </row>
    <row r="27" customFormat="false" ht="19.5" hidden="false" customHeight="true" outlineLevel="0" collapsed="false">
      <c r="B27" s="33" t="str">
        <f aca="false">IF(COUNTA($D$7:$D$26)=0,"Sin aberturas: nave cerrada.",IF(COUNTIF($K$7:$K$26,"OK")=COUNTA($D$7:$D$26),"OK: todas las aberturas caben en su muro. Revisa que no se encimen entre sí (la hoja no lo checa).","OJO: hay aberturas con problema (columna K). Mientras no digan OK no cuentan."))</f>
        <v>OK: todas las aberturas caben en su muro. Revisa que no se encimen entre sí (la hoja no lo checa).</v>
      </c>
      <c r="C27" s="33"/>
      <c r="D27" s="33"/>
      <c r="E27" s="33"/>
      <c r="F27" s="33"/>
      <c r="G27" s="33"/>
      <c r="H27" s="33"/>
      <c r="I27" s="33"/>
      <c r="J27" s="33"/>
      <c r="K27" s="33"/>
      <c r="L27" s="33"/>
    </row>
    <row r="28" customFormat="false" ht="15" hidden="false" customHeight="true" outlineLevel="0" collapsed="false"/>
    <row r="29" customFormat="false" ht="21" hidden="false" customHeight="true" outlineLevel="0" collapsed="false">
      <c r="B29" s="9" t="s">
        <v>239</v>
      </c>
      <c r="C29" s="9"/>
      <c r="D29" s="9"/>
      <c r="E29" s="9"/>
      <c r="F29" s="9"/>
      <c r="G29" s="9"/>
      <c r="H29" s="9"/>
      <c r="I29" s="9"/>
      <c r="J29" s="9"/>
      <c r="K29" s="9"/>
      <c r="L29" s="9"/>
    </row>
    <row r="30" customFormat="false" ht="30" hidden="false" customHeight="true" outlineLevel="0" collapsed="false">
      <c r="B30" s="21" t="s">
        <v>240</v>
      </c>
      <c r="C30" s="21"/>
      <c r="D30" s="21"/>
      <c r="E30" s="21"/>
      <c r="F30" s="21"/>
      <c r="G30" s="21"/>
      <c r="H30" s="21"/>
      <c r="I30" s="21"/>
      <c r="J30" s="21"/>
      <c r="K30" s="21"/>
      <c r="L30" s="21"/>
    </row>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21" hidden="false" customHeight="true" outlineLevel="0" collapsed="false">
      <c r="B48" s="9" t="s">
        <v>241</v>
      </c>
      <c r="C48" s="9"/>
      <c r="D48" s="9"/>
      <c r="E48" s="9"/>
      <c r="F48" s="9"/>
      <c r="G48" s="9"/>
      <c r="H48" s="9"/>
      <c r="I48" s="9"/>
      <c r="J48" s="9"/>
      <c r="K48" s="9"/>
      <c r="L48" s="9"/>
    </row>
    <row r="49" customFormat="false" ht="30" hidden="false" customHeight="true" outlineLevel="0" collapsed="false">
      <c r="B49" s="21" t="s">
        <v>242</v>
      </c>
      <c r="C49" s="21"/>
      <c r="D49" s="21"/>
      <c r="E49" s="21"/>
      <c r="F49" s="21"/>
      <c r="G49" s="21"/>
      <c r="H49" s="21"/>
      <c r="I49" s="21"/>
      <c r="J49" s="21"/>
      <c r="K49" s="21"/>
      <c r="L49" s="21"/>
    </row>
    <row r="50" customFormat="false" ht="42" hidden="false" customHeight="true" outlineLevel="0" collapsed="false">
      <c r="B50" s="10" t="s">
        <v>204</v>
      </c>
      <c r="C50" s="10" t="s">
        <v>206</v>
      </c>
      <c r="D50" s="10" t="s">
        <v>243</v>
      </c>
      <c r="E50" s="10" t="s">
        <v>244</v>
      </c>
      <c r="F50" s="10" t="s">
        <v>245</v>
      </c>
      <c r="G50" s="10" t="s">
        <v>212</v>
      </c>
      <c r="H50" s="10" t="s">
        <v>246</v>
      </c>
      <c r="I50" s="10" t="s">
        <v>247</v>
      </c>
      <c r="J50" s="10" t="s">
        <v>248</v>
      </c>
      <c r="K50" s="10" t="s">
        <v>249</v>
      </c>
      <c r="L50" s="10" t="s">
        <v>250</v>
      </c>
      <c r="M50" s="10" t="s">
        <v>251</v>
      </c>
      <c r="N50" s="10" t="s">
        <v>252</v>
      </c>
      <c r="O50" s="10" t="s">
        <v>253</v>
      </c>
      <c r="P50" s="10" t="s">
        <v>254</v>
      </c>
    </row>
    <row r="51" customFormat="false" ht="16.5" hidden="false" customHeight="true" outlineLevel="0" collapsed="false">
      <c r="B51" s="23" t="n">
        <v>1</v>
      </c>
      <c r="C51" s="11" t="s">
        <v>255</v>
      </c>
      <c r="D51" s="18" t="n">
        <f aca="false">DATOS!$C$12</f>
        <v>10.08</v>
      </c>
      <c r="E51" s="20" t="str">
        <f aca="false">IF(AND(DATOS!$C$14&lt;&gt;"PLANO",DATOS!$C$22="X"),"SÍ","NO")</f>
        <v>NO</v>
      </c>
      <c r="F51" s="18" t="n">
        <f aca="false">IF($E51="SÍ",DATOS!$C$21,IF(DATOS!$C$14="PLANO",DATOS!$C$17,IF(DATOS!$C$14="DOS AGUAS",DATOS!$C$17+(DATOS!$C$18-DATOS!$C$17)*(1-ABS(2*(0)/DATOS!$C$23-1)),IF(DATOS!$C$14="UN AGUA",IF(N(DATOS!$C$25)=0,DATOS!$C$18-(DATOS!$C$18-DATOS!$C$17)*(0)/DATOS!$C$23,DATOS!$C$17+(DATOS!$C$18-DATOS!$C$17)*(0)/DATOS!$C$23),DATOS!$C$17+4*(DATOS!$C$18-DATOS!$C$17)*(0)/DATOS!$C$23*(1-(0)/DATOS!$C$23)))))</f>
        <v>10.62</v>
      </c>
      <c r="G51" s="18" t="n">
        <f aca="false">IF($E51="SÍ",IF(DATOS!$C$14="CURVO",DATOS!$C$23*DATOS!$C$17+2/3*DATOS!$C$23*(DATOS!$C$18-DATOS!$C$17),DATOS!$C$23*(DATOS!$C$17+DATOS!$C$18)/2),$D51*$F51)</f>
        <v>107.0496</v>
      </c>
      <c r="H51" s="18" t="n">
        <f aca="false">IF($E51="SÍ",DATOS!$C$23/8*(SUMPRODUCT((DATOS!$AB$3:$AB$11-10+ABS(DATOS!$AB$3:$AB$11-10))/2)-(((DATOS!$AB$3-10)+ABS(DATOS!$AB$3-10))/2+((DATOS!$AB$11-10)+ABS(DATOS!$AB$11-10))/2)/2),$D51*MAX(0,$F51-10))</f>
        <v>6.24959999999999</v>
      </c>
      <c r="I51" s="18" t="n">
        <f aca="false">SUMPRODUCT(($N$7:$N$26=$B51)*$U$7:$U$26*$J$7:$J$26)</f>
        <v>0</v>
      </c>
      <c r="J51" s="19" t="n">
        <f aca="false">IF($G51&gt;0,$I51/$G51,0)</f>
        <v>0</v>
      </c>
      <c r="K51" s="18" t="n">
        <f aca="false">SUMPRODUCT(($N$7:$N$26=$B51)*$V$7:$V$26*$J$7:$J$26)</f>
        <v>35.416488</v>
      </c>
      <c r="L51" s="19" t="n">
        <f aca="false">IF($G51&gt;0,$K51/$G51,0)</f>
        <v>0.330841852748632</v>
      </c>
      <c r="M51" s="20" t="str">
        <f aca="false">IF($J51&gt;=0.3,"SÍ","NO")</f>
        <v>NO</v>
      </c>
      <c r="N51" s="20" t="str">
        <f aca="false">IF($L51&gt;=0.3,"SÍ","NO")</f>
        <v>SÍ</v>
      </c>
      <c r="O51" s="34" t="n">
        <f aca="false">MAX(0,$G51-$I51)</f>
        <v>107.0496</v>
      </c>
      <c r="P51" s="34" t="n">
        <f aca="false">MAX(0,$G51-$K51)</f>
        <v>71.633112</v>
      </c>
    </row>
    <row r="52" customFormat="false" ht="16.5" hidden="false" customHeight="true" outlineLevel="0" collapsed="false">
      <c r="B52" s="23" t="n">
        <v>2</v>
      </c>
      <c r="C52" s="11" t="s">
        <v>256</v>
      </c>
      <c r="D52" s="18" t="n">
        <f aca="false">DATOS!$C$12</f>
        <v>10.08</v>
      </c>
      <c r="E52" s="20" t="str">
        <f aca="false">IF(AND(DATOS!$C$14&lt;&gt;"PLANO",DATOS!$C$22="X"),"SÍ","NO")</f>
        <v>NO</v>
      </c>
      <c r="F52" s="18" t="n">
        <f aca="false">IF($E52="SÍ",DATOS!$C$21,IF(DATOS!$C$14="PLANO",DATOS!$C$17,IF(DATOS!$C$14="DOS AGUAS",DATOS!$C$17+(DATOS!$C$18-DATOS!$C$17)*(1-ABS(2*(DATOS!$C$23)/DATOS!$C$23-1)),IF(DATOS!$C$14="UN AGUA",IF(N(DATOS!$C$25)=0,DATOS!$C$18-(DATOS!$C$18-DATOS!$C$17)*(DATOS!$C$23)/DATOS!$C$23,DATOS!$C$17+(DATOS!$C$18-DATOS!$C$17)*(DATOS!$C$23)/DATOS!$C$23),DATOS!$C$17+4*(DATOS!$C$18-DATOS!$C$17)*(DATOS!$C$23)/DATOS!$C$23*(1-(DATOS!$C$23)/DATOS!$C$23)))))</f>
        <v>9.82</v>
      </c>
      <c r="G52" s="18" t="n">
        <f aca="false">IF($E52="SÍ",IF(DATOS!$C$14="CURVO",DATOS!$C$23*DATOS!$C$17+2/3*DATOS!$C$23*(DATOS!$C$18-DATOS!$C$17),DATOS!$C$23*(DATOS!$C$17+DATOS!$C$18)/2),$D52*$F52)</f>
        <v>98.9856</v>
      </c>
      <c r="H52" s="18" t="n">
        <f aca="false">IF($E52="SÍ",DATOS!$C$23/8*(SUMPRODUCT((DATOS!$AB$3:$AB$11-10+ABS(DATOS!$AB$3:$AB$11-10))/2)-(((DATOS!$AB$3-10)+ABS(DATOS!$AB$3-10))/2+((DATOS!$AB$11-10)+ABS(DATOS!$AB$11-10))/2)/2),$D52*MAX(0,$F52-10))</f>
        <v>0</v>
      </c>
      <c r="I52" s="18" t="n">
        <f aca="false">SUMPRODUCT(($N$7:$N$26=$B52)*$U$7:$U$26*$J$7:$J$26)</f>
        <v>98.9856</v>
      </c>
      <c r="J52" s="19" t="n">
        <f aca="false">IF($G52&gt;0,$I52/$G52,0)</f>
        <v>1</v>
      </c>
      <c r="K52" s="18" t="n">
        <f aca="false">SUMPRODUCT(($N$7:$N$26=$B52)*$V$7:$V$26*$J$7:$J$26)</f>
        <v>98.9856</v>
      </c>
      <c r="L52" s="19" t="n">
        <f aca="false">IF($G52&gt;0,$K52/$G52,0)</f>
        <v>1</v>
      </c>
      <c r="M52" s="20" t="str">
        <f aca="false">IF($J52&gt;=0.3,"SÍ","NO")</f>
        <v>SÍ</v>
      </c>
      <c r="N52" s="20" t="str">
        <f aca="false">IF($L52&gt;=0.3,"SÍ","NO")</f>
        <v>SÍ</v>
      </c>
      <c r="O52" s="34" t="n">
        <f aca="false">MAX(0,$G52-$I52)</f>
        <v>0</v>
      </c>
      <c r="P52" s="34" t="n">
        <f aca="false">MAX(0,$G52-$K52)</f>
        <v>0</v>
      </c>
    </row>
    <row r="53" customFormat="false" ht="16.5" hidden="false" customHeight="true" outlineLevel="0" collapsed="false">
      <c r="B53" s="23" t="n">
        <v>3</v>
      </c>
      <c r="C53" s="11" t="s">
        <v>257</v>
      </c>
      <c r="D53" s="18" t="n">
        <f aca="false">DATOS!$C$13</f>
        <v>16</v>
      </c>
      <c r="E53" s="20" t="str">
        <f aca="false">IF(AND(DATOS!$C$14&lt;&gt;"PLANO",DATOS!$C$22="Z"),"SÍ","NO")</f>
        <v>SÍ</v>
      </c>
      <c r="F53" s="18" t="n">
        <f aca="false">IF($E53="SÍ",DATOS!$C$21,IF(DATOS!$C$14="PLANO",DATOS!$C$17,IF(DATOS!$C$14="DOS AGUAS",DATOS!$C$17+(DATOS!$C$18-DATOS!$C$17)*(1-ABS(2*(0)/DATOS!$C$23-1)),IF(DATOS!$C$14="UN AGUA",IF(N(DATOS!$C$25)=0,DATOS!$C$18-(DATOS!$C$18-DATOS!$C$17)*(0)/DATOS!$C$23,DATOS!$C$17+(DATOS!$C$18-DATOS!$C$17)*(0)/DATOS!$C$23),DATOS!$C$17+4*(DATOS!$C$18-DATOS!$C$17)*(0)/DATOS!$C$23*(1-(0)/DATOS!$C$23)))))</f>
        <v>10.62</v>
      </c>
      <c r="G53" s="18" t="n">
        <f aca="false">IF($E53="SÍ",IF(DATOS!$C$14="CURVO",DATOS!$C$23*DATOS!$C$17+2/3*DATOS!$C$23*(DATOS!$C$18-DATOS!$C$17),DATOS!$C$23*(DATOS!$C$17+DATOS!$C$18)/2),$D53*$F53)</f>
        <v>163.52</v>
      </c>
      <c r="H53" s="18" t="n">
        <f aca="false">IF($E53="SÍ",DATOS!$C$23/8*(SUMPRODUCT((DATOS!$AB$3:$AB$11-10+ABS(DATOS!$AB$3:$AB$11-10))/2)-(((DATOS!$AB$3-10)+ABS(DATOS!$AB$3-10))/2+((DATOS!$AB$11-10)+ABS(DATOS!$AB$11-10))/2)/2),$D53*MAX(0,$F53-10))</f>
        <v>3.85999999999999</v>
      </c>
      <c r="I53" s="18" t="n">
        <f aca="false">SUMPRODUCT(($N$7:$N$26=$B53)*$U$7:$U$26*$J$7:$J$26)</f>
        <v>0</v>
      </c>
      <c r="J53" s="19" t="n">
        <f aca="false">IF($G53&gt;0,$I53/$G53,0)</f>
        <v>0</v>
      </c>
      <c r="K53" s="18" t="n">
        <f aca="false">SUMPRODUCT(($N$7:$N$26=$B53)*$V$7:$V$26*$J$7:$J$26)</f>
        <v>0</v>
      </c>
      <c r="L53" s="19" t="n">
        <f aca="false">IF($G53&gt;0,$K53/$G53,0)</f>
        <v>0</v>
      </c>
      <c r="M53" s="20" t="str">
        <f aca="false">IF($J53&gt;=0.3,"SÍ","NO")</f>
        <v>NO</v>
      </c>
      <c r="N53" s="20" t="str">
        <f aca="false">IF($L53&gt;=0.3,"SÍ","NO")</f>
        <v>NO</v>
      </c>
      <c r="O53" s="34" t="n">
        <f aca="false">MAX(0,$G53-$I53)</f>
        <v>163.52</v>
      </c>
      <c r="P53" s="34" t="n">
        <f aca="false">MAX(0,$G53-$K53)</f>
        <v>163.52</v>
      </c>
    </row>
    <row r="54" customFormat="false" ht="16.5" hidden="false" customHeight="true" outlineLevel="0" collapsed="false">
      <c r="B54" s="23" t="n">
        <v>4</v>
      </c>
      <c r="C54" s="11" t="s">
        <v>258</v>
      </c>
      <c r="D54" s="18" t="n">
        <f aca="false">DATOS!$C$13</f>
        <v>16</v>
      </c>
      <c r="E54" s="20" t="str">
        <f aca="false">IF(AND(DATOS!$C$14&lt;&gt;"PLANO",DATOS!$C$22="Z"),"SÍ","NO")</f>
        <v>SÍ</v>
      </c>
      <c r="F54" s="18" t="n">
        <f aca="false">IF($E54="SÍ",DATOS!$C$21,IF(DATOS!$C$14="PLANO",DATOS!$C$17,IF(DATOS!$C$14="DOS AGUAS",DATOS!$C$17+(DATOS!$C$18-DATOS!$C$17)*(1-ABS(2*(DATOS!$C$23)/DATOS!$C$23-1)),IF(DATOS!$C$14="UN AGUA",IF(N(DATOS!$C$25)=0,DATOS!$C$18-(DATOS!$C$18-DATOS!$C$17)*(DATOS!$C$23)/DATOS!$C$23,DATOS!$C$17+(DATOS!$C$18-DATOS!$C$17)*(DATOS!$C$23)/DATOS!$C$23),DATOS!$C$17+4*(DATOS!$C$18-DATOS!$C$17)*(DATOS!$C$23)/DATOS!$C$23*(1-(DATOS!$C$23)/DATOS!$C$23)))))</f>
        <v>10.62</v>
      </c>
      <c r="G54" s="18" t="n">
        <f aca="false">IF($E54="SÍ",IF(DATOS!$C$14="CURVO",DATOS!$C$23*DATOS!$C$17+2/3*DATOS!$C$23*(DATOS!$C$18-DATOS!$C$17),DATOS!$C$23*(DATOS!$C$17+DATOS!$C$18)/2),$D54*$F54)</f>
        <v>163.52</v>
      </c>
      <c r="H54" s="18" t="n">
        <f aca="false">IF($E54="SÍ",DATOS!$C$23/8*(SUMPRODUCT((DATOS!$AB$3:$AB$11-10+ABS(DATOS!$AB$3:$AB$11-10))/2)-(((DATOS!$AB$3-10)+ABS(DATOS!$AB$3-10))/2+((DATOS!$AB$11-10)+ABS(DATOS!$AB$11-10))/2)/2),$D54*MAX(0,$F54-10))</f>
        <v>3.85999999999999</v>
      </c>
      <c r="I54" s="18" t="n">
        <f aca="false">SUMPRODUCT(($N$7:$N$26=$B54)*$U$7:$U$26*$J$7:$J$26)</f>
        <v>0</v>
      </c>
      <c r="J54" s="19" t="n">
        <f aca="false">IF($G54&gt;0,$I54/$G54,0)</f>
        <v>0</v>
      </c>
      <c r="K54" s="18" t="n">
        <f aca="false">SUMPRODUCT(($N$7:$N$26=$B54)*$V$7:$V$26*$J$7:$J$26)</f>
        <v>0</v>
      </c>
      <c r="L54" s="19" t="n">
        <f aca="false">IF($G54&gt;0,$K54/$G54,0)</f>
        <v>0</v>
      </c>
      <c r="M54" s="20" t="str">
        <f aca="false">IF($J54&gt;=0.3,"SÍ","NO")</f>
        <v>NO</v>
      </c>
      <c r="N54" s="20" t="str">
        <f aca="false">IF($L54&gt;=0.3,"SÍ","NO")</f>
        <v>NO</v>
      </c>
      <c r="O54" s="34" t="n">
        <f aca="false">MAX(0,$G54-$I54)</f>
        <v>163.52</v>
      </c>
      <c r="P54" s="34" t="n">
        <f aca="false">MAX(0,$G54-$K54)</f>
        <v>163.52</v>
      </c>
    </row>
    <row r="55" customFormat="false" ht="19.5" hidden="false" customHeight="true" outlineLevel="0" collapsed="false">
      <c r="B55" s="33" t="str">
        <f aca="false">IF(OR($I$51&gt;$G$51+0.001,$I$52&gt;$G$52+0.001,$I$53&gt;$G$53+0.001,$I$54&gt;$G$54+0.001,$K$51&gt;$G$51+0.001,$K$52&gt;$G$52+0.001,$K$53&gt;$G$53+0.001,$K$54&gt;$G$54+0.001),"OJO: hay un muro con más área abierta que área de muro; revisa que no se encimen aberturas.","OK: el área abierta de cada muro cabe en el muro.")</f>
        <v>OK: el área abierta de cada muro cabe en el muro.</v>
      </c>
      <c r="C55" s="33"/>
      <c r="D55" s="33"/>
      <c r="E55" s="33"/>
      <c r="F55" s="33"/>
      <c r="G55" s="33"/>
      <c r="H55" s="33"/>
      <c r="I55" s="33"/>
      <c r="J55" s="33"/>
      <c r="K55" s="33"/>
      <c r="L55" s="33"/>
    </row>
    <row r="56" customFormat="false" ht="15" hidden="false" customHeight="true" outlineLevel="0" collapsed="false"/>
    <row r="57" customFormat="false" ht="21" hidden="false" customHeight="true" outlineLevel="0" collapsed="false">
      <c r="B57" s="9" t="s">
        <v>259</v>
      </c>
      <c r="C57" s="9"/>
      <c r="D57" s="9"/>
      <c r="E57" s="9"/>
      <c r="F57" s="9"/>
      <c r="G57" s="9"/>
      <c r="H57" s="9"/>
      <c r="I57" s="9"/>
      <c r="J57" s="9"/>
      <c r="K57" s="9"/>
      <c r="L57" s="9"/>
    </row>
    <row r="58" customFormat="false" ht="45" hidden="false" customHeight="true" outlineLevel="0" collapsed="false">
      <c r="B58" s="21" t="s">
        <v>260</v>
      </c>
      <c r="C58" s="21"/>
      <c r="D58" s="21"/>
      <c r="E58" s="21"/>
      <c r="F58" s="21"/>
      <c r="G58" s="21"/>
      <c r="H58" s="21"/>
      <c r="I58" s="21"/>
      <c r="J58" s="21"/>
      <c r="K58" s="21"/>
      <c r="L58" s="21"/>
    </row>
    <row r="59" customFormat="false" ht="42" hidden="false" customHeight="true" outlineLevel="0" collapsed="false">
      <c r="B59" s="10" t="s">
        <v>261</v>
      </c>
      <c r="C59" s="10" t="s">
        <v>262</v>
      </c>
      <c r="D59" s="10" t="s">
        <v>263</v>
      </c>
      <c r="E59" s="10" t="s">
        <v>264</v>
      </c>
      <c r="F59" s="10" t="s">
        <v>265</v>
      </c>
      <c r="G59" s="10" t="s">
        <v>266</v>
      </c>
      <c r="H59" s="10" t="s">
        <v>267</v>
      </c>
      <c r="I59" s="10" t="s">
        <v>268</v>
      </c>
      <c r="J59" s="35" t="s">
        <v>269</v>
      </c>
      <c r="K59" s="35"/>
      <c r="L59" s="10" t="s">
        <v>270</v>
      </c>
    </row>
    <row r="60" customFormat="false" ht="18" hidden="false" customHeight="true" outlineLevel="0" collapsed="false">
      <c r="B60" s="20" t="str">
        <f aca="false">DATOS!$B$72</f>
        <v>LOAD 8</v>
      </c>
      <c r="C60" s="11" t="str">
        <f aca="false">DATOS!$C$72&amp;" · "&amp;DATOS!$D$72</f>
        <v>+X · CERRADAS</v>
      </c>
      <c r="D60" s="23" t="n">
        <v>3</v>
      </c>
      <c r="E60" s="23" t="n">
        <v>4</v>
      </c>
      <c r="F60" s="18" t="n">
        <f aca="false">INDEX($I$51:$I$54,$D60)</f>
        <v>0</v>
      </c>
      <c r="G60" s="18" t="n">
        <f aca="false">INDEX($I$51:$I$54,$E60)</f>
        <v>0</v>
      </c>
      <c r="H60" s="18" t="n">
        <f aca="false">SUM($I$51:$I$54)-$F60-$G60</f>
        <v>98.9856</v>
      </c>
      <c r="I60" s="20" t="str">
        <f aca="false">IF(COUNTIF($M$51:$M$54,"SÍ")&gt;0,"SÍ","NO")</f>
        <v>SÍ</v>
      </c>
      <c r="J60" s="36" t="str">
        <f aca="false">IF($I60="NO","Cerrada: sin presión interior",IF($F60&gt;=2*($G60+$H60),"Principalmente en barlovento",IF($G60&gt;=2*($F60+$H60),"Principalmente en sotavento",IF($H60&gt;=2*($F60+$G60),"Principalmente en caras paralelas","Uniformemente distribuidas"))))</f>
        <v>Principalmente en caras paralelas</v>
      </c>
      <c r="K60" s="36"/>
      <c r="L60" s="37" t="n">
        <f aca="false">IF($I60="NO",0,IF($F60&gt;=2*($G60+$H60),TABLAS!$D$35,IF($G60&gt;=2*($F60+$H60),TABLAS!$D$36,IF($H60&gt;=2*($F60+$G60),TABLAS!$D$37,TABLAS!$D$38))))</f>
        <v>-0.5</v>
      </c>
    </row>
    <row r="61" customFormat="false" ht="18" hidden="false" customHeight="true" outlineLevel="0" collapsed="false">
      <c r="B61" s="20" t="str">
        <f aca="false">DATOS!$B$73</f>
        <v>LOAD 9</v>
      </c>
      <c r="C61" s="11" t="str">
        <f aca="false">DATOS!$C$73&amp;" · "&amp;DATOS!$D$73</f>
        <v>−X · CERRADAS</v>
      </c>
      <c r="D61" s="23" t="n">
        <v>4</v>
      </c>
      <c r="E61" s="23" t="n">
        <v>3</v>
      </c>
      <c r="F61" s="18" t="n">
        <f aca="false">INDEX($I$51:$I$54,$D61)</f>
        <v>0</v>
      </c>
      <c r="G61" s="18" t="n">
        <f aca="false">INDEX($I$51:$I$54,$E61)</f>
        <v>0</v>
      </c>
      <c r="H61" s="18" t="n">
        <f aca="false">SUM($I$51:$I$54)-$F61-$G61</f>
        <v>98.9856</v>
      </c>
      <c r="I61" s="20" t="str">
        <f aca="false">IF(COUNTIF($M$51:$M$54,"SÍ")&gt;0,"SÍ","NO")</f>
        <v>SÍ</v>
      </c>
      <c r="J61" s="36" t="str">
        <f aca="false">IF($I61="NO","Cerrada: sin presión interior",IF($F61&gt;=2*($G61+$H61),"Principalmente en barlovento",IF($G61&gt;=2*($F61+$H61),"Principalmente en sotavento",IF($H61&gt;=2*($F61+$G61),"Principalmente en caras paralelas","Uniformemente distribuidas"))))</f>
        <v>Principalmente en caras paralelas</v>
      </c>
      <c r="K61" s="36"/>
      <c r="L61" s="37" t="n">
        <f aca="false">IF($I61="NO",0,IF($F61&gt;=2*($G61+$H61),TABLAS!$D$35,IF($G61&gt;=2*($F61+$H61),TABLAS!$D$36,IF($H61&gt;=2*($F61+$G61),TABLAS!$D$37,TABLAS!$D$38))))</f>
        <v>-0.5</v>
      </c>
    </row>
    <row r="62" customFormat="false" ht="18" hidden="false" customHeight="true" outlineLevel="0" collapsed="false">
      <c r="B62" s="20" t="str">
        <f aca="false">DATOS!$B$74</f>
        <v>LOAD 10</v>
      </c>
      <c r="C62" s="11" t="str">
        <f aca="false">DATOS!$C$74&amp;" · "&amp;DATOS!$D$74</f>
        <v>+Z · CERRADAS</v>
      </c>
      <c r="D62" s="23" t="n">
        <v>1</v>
      </c>
      <c r="E62" s="23" t="n">
        <v>2</v>
      </c>
      <c r="F62" s="18" t="n">
        <f aca="false">INDEX($I$51:$I$54,$D62)</f>
        <v>0</v>
      </c>
      <c r="G62" s="18" t="n">
        <f aca="false">INDEX($I$51:$I$54,$E62)</f>
        <v>98.9856</v>
      </c>
      <c r="H62" s="18" t="n">
        <f aca="false">SUM($I$51:$I$54)-$F62-$G62</f>
        <v>0</v>
      </c>
      <c r="I62" s="20" t="str">
        <f aca="false">IF(COUNTIF($M$51:$M$54,"SÍ")&gt;0,"SÍ","NO")</f>
        <v>SÍ</v>
      </c>
      <c r="J62" s="36" t="str">
        <f aca="false">IF($I62="NO","Cerrada: sin presión interior",IF($F62&gt;=2*($G62+$H62),"Principalmente en barlovento",IF($G62&gt;=2*($F62+$H62),"Principalmente en sotavento",IF($H62&gt;=2*($F62+$G62),"Principalmente en caras paralelas","Uniformemente distribuidas"))))</f>
        <v>Principalmente en sotavento</v>
      </c>
      <c r="K62" s="36"/>
      <c r="L62" s="37" t="n">
        <f aca="false">IF($I62="NO",0,IF($F62&gt;=2*($G62+$H62),TABLAS!$D$35,IF($G62&gt;=2*($F62+$H62),TABLAS!$D$36,IF($H62&gt;=2*($F62+$G62),TABLAS!$D$37,TABLAS!$D$38))))</f>
        <v>-0.6</v>
      </c>
    </row>
    <row r="63" customFormat="false" ht="18" hidden="false" customHeight="true" outlineLevel="0" collapsed="false">
      <c r="B63" s="20" t="str">
        <f aca="false">DATOS!$B$75</f>
        <v>LOAD 11</v>
      </c>
      <c r="C63" s="11" t="str">
        <f aca="false">DATOS!$C$75&amp;" · "&amp;DATOS!$D$75</f>
        <v>−Z · CERRADAS</v>
      </c>
      <c r="D63" s="23" t="n">
        <v>2</v>
      </c>
      <c r="E63" s="23" t="n">
        <v>1</v>
      </c>
      <c r="F63" s="18" t="n">
        <f aca="false">INDEX($I$51:$I$54,$D63)</f>
        <v>98.9856</v>
      </c>
      <c r="G63" s="18" t="n">
        <f aca="false">INDEX($I$51:$I$54,$E63)</f>
        <v>0</v>
      </c>
      <c r="H63" s="18" t="n">
        <f aca="false">SUM($I$51:$I$54)-$F63-$G63</f>
        <v>0</v>
      </c>
      <c r="I63" s="20" t="str">
        <f aca="false">IF(COUNTIF($M$51:$M$54,"SÍ")&gt;0,"SÍ","NO")</f>
        <v>SÍ</v>
      </c>
      <c r="J63" s="36" t="str">
        <f aca="false">IF($I63="NO","Cerrada: sin presión interior",IF($F63&gt;=2*($G63+$H63),"Principalmente en barlovento",IF($G63&gt;=2*($F63+$H63),"Principalmente en sotavento",IF($H63&gt;=2*($F63+$G63),"Principalmente en caras paralelas","Uniformemente distribuidas"))))</f>
        <v>Principalmente en barlovento</v>
      </c>
      <c r="K63" s="36"/>
      <c r="L63" s="37" t="n">
        <f aca="false">IF($I63="NO",0,IF($F63&gt;=2*($G63+$H63),TABLAS!$D$35,IF($G63&gt;=2*($F63+$H63),TABLAS!$D$36,IF($H63&gt;=2*($F63+$G63),TABLAS!$D$37,TABLAS!$D$38))))</f>
        <v>0.75</v>
      </c>
    </row>
    <row r="64" customFormat="false" ht="18" hidden="false" customHeight="true" outlineLevel="0" collapsed="false">
      <c r="B64" s="20" t="str">
        <f aca="false">DATOS!$B$76</f>
        <v>LOAD 12</v>
      </c>
      <c r="C64" s="11" t="str">
        <f aca="false">DATOS!$C$76&amp;" · "&amp;DATOS!$D$76</f>
        <v>+X · ABIERTAS (PA)</v>
      </c>
      <c r="D64" s="23" t="n">
        <v>3</v>
      </c>
      <c r="E64" s="23" t="n">
        <v>4</v>
      </c>
      <c r="F64" s="18" t="n">
        <f aca="false">INDEX($K$51:$K$54,$D64)</f>
        <v>0</v>
      </c>
      <c r="G64" s="18" t="n">
        <f aca="false">INDEX($K$51:$K$54,$E64)</f>
        <v>0</v>
      </c>
      <c r="H64" s="18" t="n">
        <f aca="false">SUM($K$51:$K$54)-$F64-$G64</f>
        <v>134.402088</v>
      </c>
      <c r="I64" s="20" t="str">
        <f aca="false">IF(COUNTIF($N$51:$N$54,"SÍ")&gt;0,"SÍ","NO")</f>
        <v>SÍ</v>
      </c>
      <c r="J64" s="36" t="str">
        <f aca="false">IF($I64="NO","Cerrada: sin presión interior",IF($F64&gt;=2*($G64+$H64),"Principalmente en barlovento",IF($G64&gt;=2*($F64+$H64),"Principalmente en sotavento",IF($H64&gt;=2*($F64+$G64),"Principalmente en caras paralelas","Uniformemente distribuidas"))))</f>
        <v>Principalmente en caras paralelas</v>
      </c>
      <c r="K64" s="36"/>
      <c r="L64" s="37" t="n">
        <f aca="false">IF($I64="NO",0,IF($F64&gt;=2*($G64+$H64),TABLAS!$D$35,IF($G64&gt;=2*($F64+$H64),TABLAS!$D$36,IF($H64&gt;=2*($F64+$G64),TABLAS!$D$37,TABLAS!$D$38))))</f>
        <v>-0.5</v>
      </c>
    </row>
    <row r="65" customFormat="false" ht="18" hidden="false" customHeight="true" outlineLevel="0" collapsed="false">
      <c r="B65" s="20" t="str">
        <f aca="false">DATOS!$B$77</f>
        <v>LOAD 13</v>
      </c>
      <c r="C65" s="11" t="str">
        <f aca="false">DATOS!$C$77&amp;" · "&amp;DATOS!$D$77</f>
        <v>−X · ABIERTAS (PA)</v>
      </c>
      <c r="D65" s="23" t="n">
        <v>4</v>
      </c>
      <c r="E65" s="23" t="n">
        <v>3</v>
      </c>
      <c r="F65" s="18" t="n">
        <f aca="false">INDEX($K$51:$K$54,$D65)</f>
        <v>0</v>
      </c>
      <c r="G65" s="18" t="n">
        <f aca="false">INDEX($K$51:$K$54,$E65)</f>
        <v>0</v>
      </c>
      <c r="H65" s="18" t="n">
        <f aca="false">SUM($K$51:$K$54)-$F65-$G65</f>
        <v>134.402088</v>
      </c>
      <c r="I65" s="20" t="str">
        <f aca="false">IF(COUNTIF($N$51:$N$54,"SÍ")&gt;0,"SÍ","NO")</f>
        <v>SÍ</v>
      </c>
      <c r="J65" s="36" t="str">
        <f aca="false">IF($I65="NO","Cerrada: sin presión interior",IF($F65&gt;=2*($G65+$H65),"Principalmente en barlovento",IF($G65&gt;=2*($F65+$H65),"Principalmente en sotavento",IF($H65&gt;=2*($F65+$G65),"Principalmente en caras paralelas","Uniformemente distribuidas"))))</f>
        <v>Principalmente en caras paralelas</v>
      </c>
      <c r="K65" s="36"/>
      <c r="L65" s="37" t="n">
        <f aca="false">IF($I65="NO",0,IF($F65&gt;=2*($G65+$H65),TABLAS!$D$35,IF($G65&gt;=2*($F65+$H65),TABLAS!$D$36,IF($H65&gt;=2*($F65+$G65),TABLAS!$D$37,TABLAS!$D$38))))</f>
        <v>-0.5</v>
      </c>
    </row>
    <row r="66" customFormat="false" ht="18" hidden="false" customHeight="true" outlineLevel="0" collapsed="false">
      <c r="B66" s="20" t="str">
        <f aca="false">DATOS!$B$78</f>
        <v>LOAD 14</v>
      </c>
      <c r="C66" s="11" t="str">
        <f aca="false">DATOS!$C$78&amp;" · "&amp;DATOS!$D$78</f>
        <v>+Z · ABIERTAS (PA)</v>
      </c>
      <c r="D66" s="23" t="n">
        <v>1</v>
      </c>
      <c r="E66" s="23" t="n">
        <v>2</v>
      </c>
      <c r="F66" s="18" t="n">
        <f aca="false">INDEX($K$51:$K$54,$D66)</f>
        <v>35.416488</v>
      </c>
      <c r="G66" s="18" t="n">
        <f aca="false">INDEX($K$51:$K$54,$E66)</f>
        <v>98.9856</v>
      </c>
      <c r="H66" s="18" t="n">
        <f aca="false">SUM($K$51:$K$54)-$F66-$G66</f>
        <v>0</v>
      </c>
      <c r="I66" s="20" t="str">
        <f aca="false">IF(COUNTIF($N$51:$N$54,"SÍ")&gt;0,"SÍ","NO")</f>
        <v>SÍ</v>
      </c>
      <c r="J66" s="36" t="str">
        <f aca="false">IF($I66="NO","Cerrada: sin presión interior",IF($F66&gt;=2*($G66+$H66),"Principalmente en barlovento",IF($G66&gt;=2*($F66+$H66),"Principalmente en sotavento",IF($H66&gt;=2*($F66+$G66),"Principalmente en caras paralelas","Uniformemente distribuidas"))))</f>
        <v>Principalmente en sotavento</v>
      </c>
      <c r="K66" s="36"/>
      <c r="L66" s="37" t="n">
        <f aca="false">IF($I66="NO",0,IF($F66&gt;=2*($G66+$H66),TABLAS!$D$35,IF($G66&gt;=2*($F66+$H66),TABLAS!$D$36,IF($H66&gt;=2*($F66+$G66),TABLAS!$D$37,TABLAS!$D$38))))</f>
        <v>-0.6</v>
      </c>
    </row>
    <row r="67" customFormat="false" ht="18" hidden="false" customHeight="true" outlineLevel="0" collapsed="false">
      <c r="B67" s="20" t="str">
        <f aca="false">DATOS!$B$79</f>
        <v>LOAD 15</v>
      </c>
      <c r="C67" s="11" t="str">
        <f aca="false">DATOS!$C$79&amp;" · "&amp;DATOS!$D$79</f>
        <v>−Z · ABIERTAS (PA)</v>
      </c>
      <c r="D67" s="23" t="n">
        <v>2</v>
      </c>
      <c r="E67" s="23" t="n">
        <v>1</v>
      </c>
      <c r="F67" s="18" t="n">
        <f aca="false">INDEX($K$51:$K$54,$D67)</f>
        <v>98.9856</v>
      </c>
      <c r="G67" s="18" t="n">
        <f aca="false">INDEX($K$51:$K$54,$E67)</f>
        <v>35.416488</v>
      </c>
      <c r="H67" s="18" t="n">
        <f aca="false">SUM($K$51:$K$54)-$F67-$G67</f>
        <v>0</v>
      </c>
      <c r="I67" s="20" t="str">
        <f aca="false">IF(COUNTIF($N$51:$N$54,"SÍ")&gt;0,"SÍ","NO")</f>
        <v>SÍ</v>
      </c>
      <c r="J67" s="36" t="str">
        <f aca="false">IF($I67="NO","Cerrada: sin presión interior",IF($F67&gt;=2*($G67+$H67),"Principalmente en barlovento",IF($G67&gt;=2*($F67+$H67),"Principalmente en sotavento",IF($H67&gt;=2*($F67+$G67),"Principalmente en caras paralelas","Uniformemente distribuidas"))))</f>
        <v>Principalmente en barlovento</v>
      </c>
      <c r="K67" s="36"/>
      <c r="L67" s="37" t="n">
        <f aca="false">IF($I67="NO",0,IF($F67&gt;=2*($G67+$H67),TABLAS!$D$35,IF($G67&gt;=2*($F67+$H67),TABLAS!$D$36,IF($H67&gt;=2*($F67+$G67),TABLAS!$D$37,TABLAS!$D$38))))</f>
        <v>0.75</v>
      </c>
    </row>
    <row r="68" customFormat="false" ht="35.25" hidden="false" customHeight="true" outlineLevel="0" collapsed="false">
      <c r="L68" s="14" t="s">
        <v>271</v>
      </c>
    </row>
  </sheetData>
  <mergeCells count="21">
    <mergeCell ref="B1:L1"/>
    <mergeCell ref="B2:L2"/>
    <mergeCell ref="B3:L3"/>
    <mergeCell ref="B5:L5"/>
    <mergeCell ref="B27:L27"/>
    <mergeCell ref="B29:L29"/>
    <mergeCell ref="B30:L30"/>
    <mergeCell ref="B48:L48"/>
    <mergeCell ref="B49:L49"/>
    <mergeCell ref="B55:L55"/>
    <mergeCell ref="B57:L57"/>
    <mergeCell ref="B58:L58"/>
    <mergeCell ref="J59:K59"/>
    <mergeCell ref="J60:K60"/>
    <mergeCell ref="J61:K61"/>
    <mergeCell ref="J62:K62"/>
    <mergeCell ref="J63:K63"/>
    <mergeCell ref="J64:K64"/>
    <mergeCell ref="J65:K65"/>
    <mergeCell ref="J66:K66"/>
    <mergeCell ref="J67:K67"/>
  </mergeCells>
  <conditionalFormatting sqref="K7:K26">
    <cfRule type="expression" priority="2" aboveAverage="0" equalAverage="0" bottom="0" percent="0" rank="0" text="" dxfId="1">
      <formula>$K7="OK"</formula>
    </cfRule>
    <cfRule type="expression" priority="3" aboveAverage="0" equalAverage="0" bottom="0" percent="0" rank="0" text="" dxfId="2">
      <formula>AND($K7&lt;&gt;"",$K7&lt;&gt;"OK")</formula>
    </cfRule>
  </conditionalFormatting>
  <conditionalFormatting sqref="B27">
    <cfRule type="expression" priority="4" aboveAverage="0" equalAverage="0" bottom="0" percent="0" rank="0" text="" dxfId="1">
      <formula>LEFT($B$27,2)="OK"</formula>
    </cfRule>
    <cfRule type="expression" priority="5" aboveAverage="0" equalAverage="0" bottom="0" percent="0" rank="0" text="" dxfId="2">
      <formula>LEFT($B$27,3)="OJO"</formula>
    </cfRule>
  </conditionalFormatting>
  <conditionalFormatting sqref="M51:N54">
    <cfRule type="expression" priority="6" aboveAverage="0" equalAverage="0" bottom="0" percent="0" rank="0" text="" dxfId="3">
      <formula>M51="SÍ"</formula>
    </cfRule>
  </conditionalFormatting>
  <conditionalFormatting sqref="B55">
    <cfRule type="expression" priority="7" aboveAverage="0" equalAverage="0" bottom="0" percent="0" rank="0" text="" dxfId="1">
      <formula>LEFT($B$55,2)="OK"</formula>
    </cfRule>
    <cfRule type="expression" priority="8" aboveAverage="0" equalAverage="0" bottom="0" percent="0" rank="0" text="" dxfId="2">
      <formula>LEFT($B$55,3)="OJO"</formula>
    </cfRule>
  </conditionalFormatting>
  <dataValidations count="2">
    <dataValidation allowBlank="true" error="Elige una opción de la lista." errorStyle="stop" errorTitle="Valor no válido" operator="between" showDropDown="false" showErrorMessage="false" showInputMessage="false" sqref="D7:D26" type="list">
      <formula1>"MURO 1,MURO 2,MURO 3,MURO 4"</formula1>
      <formula2>0</formula2>
    </dataValidation>
    <dataValidation allowBlank="true" error="Elige una opción de la lista." errorStyle="stop" errorTitle="Valor no válido" operator="between" showDropDown="false" showErrorMessage="false" showInputMessage="false" sqref="E7:E26" type="list">
      <formula1>"FIJA,OPERABLE"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O9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8"/>
    <col collapsed="false" customWidth="true" hidden="false" outlineLevel="0" max="2" min="2" style="1" width="38"/>
    <col collapsed="false" customWidth="true" hidden="false" outlineLevel="0" max="14" min="3" style="1" width="10.51"/>
    <col collapsed="false" customWidth="true" hidden="false" outlineLevel="0" max="15" min="15" style="1" width="30"/>
  </cols>
  <sheetData>
    <row r="1" customFormat="false" ht="25.5" hidden="false" customHeight="true" outlineLevel="0" collapsed="false">
      <c r="B1" s="2" t="s">
        <v>272</v>
      </c>
      <c r="C1" s="2"/>
      <c r="D1" s="2"/>
      <c r="E1" s="2"/>
      <c r="F1" s="2"/>
      <c r="G1" s="2"/>
      <c r="H1" s="2"/>
      <c r="I1" s="2"/>
      <c r="J1" s="2"/>
      <c r="K1" s="2"/>
      <c r="L1" s="2"/>
      <c r="M1" s="2"/>
      <c r="N1" s="2"/>
      <c r="O1" s="2"/>
    </row>
    <row r="2" customFormat="false" ht="19.5" hidden="false" customHeight="true" outlineLevel="0" collapsed="false">
      <c r="B2" s="4" t="str">
        <f aca="false">DATOS!$C$7&amp;"  ·  techo "&amp;DATOS!$C$14&amp;IF(DATOS!$C$14="UN AGUA"," (alto en "&amp;DATOS!$C$24&amp;", pendiente en "&amp;DATOS!$C$22&amp;")",IF(OR(DATOS!$C$14="DOS AGUAS",DATOS!$C$14="CURVO")," (pendiente en "&amp;DATOS!$C$22&amp;")",""))&amp;"  ·  θ = "&amp;TEXT(DATOS!$C$26,"0.00")&amp;"°  ·  zona "&amp;DATOS!$C$54&amp;"  ·  "&amp;DATOS!$C$60&amp;"  ·  q_H = "&amp;TEXT($C$12,"0.00")&amp;" kg/m²"</f>
        <v>HANGAR NOSE-DOCK H5-H6  ·  techo UN AGUA (alto en MURO 1, pendiente en Z)  ·  θ = 2.86°  ·  zona C  ·  TIPO 1  ·  q_H = 48.83 kg/m²</v>
      </c>
      <c r="C2" s="4"/>
      <c r="D2" s="4"/>
      <c r="E2" s="4"/>
      <c r="F2" s="4"/>
      <c r="G2" s="4"/>
      <c r="H2" s="4"/>
      <c r="I2" s="4"/>
      <c r="J2" s="4"/>
      <c r="K2" s="4"/>
      <c r="L2" s="4"/>
      <c r="M2" s="4"/>
      <c r="N2" s="4"/>
      <c r="O2" s="4"/>
    </row>
    <row r="3" customFormat="false" ht="30" hidden="false" customHeight="true" outlineLevel="0" collapsed="false">
      <c r="B3" s="38" t="str">
        <f aca="false">IF(DATOS!$C$28&lt;&gt;"OK","¡ATENCIÓN! Geometría: "&amp;DATOS!$C$28,IF(LEFT(ABERTURAS!$B$27,3)="OJO","¡ATENCIÓN! "&amp;ABERTURAS!$B$27,IF(COUNTIF($I$76:$I$79,"SIN MIEMBROS*")&gt;0,"OJO: hay un muro con presión que no tiene miembros en LINEAS (sección E): esa carga no entraría a STAAD.",IF(DATOS!$C$60="TIPO 2","OJO: estructura Tipo 2, las presiones ya van × 1.3 por ráfaga (4.6.1, pág. 7).",IF($C$22="SÍ","OJO: el techo tiene casos B (±0.4 o +0.3): mete también los casos B de la hoja STAAD.","Sin alertas: revisa los resultados de las secciones C a E.")))))</f>
        <v>Sin alertas: revisa los resultados de las secciones C a E.</v>
      </c>
      <c r="C3" s="38"/>
      <c r="D3" s="38"/>
      <c r="E3" s="38"/>
      <c r="F3" s="38"/>
      <c r="G3" s="38"/>
      <c r="H3" s="38"/>
      <c r="I3" s="38"/>
      <c r="J3" s="38"/>
      <c r="K3" s="38"/>
      <c r="L3" s="38"/>
      <c r="M3" s="38"/>
      <c r="N3" s="38"/>
      <c r="O3" s="38"/>
    </row>
    <row r="4" customFormat="false" ht="6" hidden="false" customHeight="true" outlineLevel="0" collapsed="false"/>
    <row r="5" customFormat="false" ht="45" hidden="false" customHeight="true" outlineLevel="0" collapsed="false">
      <c r="B5" s="6" t="s">
        <v>273</v>
      </c>
      <c r="C5" s="6"/>
      <c r="D5" s="6"/>
      <c r="E5" s="6"/>
      <c r="F5" s="6"/>
      <c r="G5" s="6"/>
      <c r="H5" s="6"/>
      <c r="I5" s="6"/>
      <c r="J5" s="6"/>
      <c r="K5" s="6"/>
      <c r="L5" s="6"/>
      <c r="M5" s="6"/>
      <c r="N5" s="6"/>
      <c r="O5" s="6"/>
    </row>
    <row r="6" customFormat="false" ht="6" hidden="false" customHeight="true" outlineLevel="0" collapsed="false"/>
    <row r="7" customFormat="false" ht="21" hidden="false" customHeight="true" outlineLevel="0" collapsed="false">
      <c r="B7" s="9" t="s">
        <v>274</v>
      </c>
      <c r="C7" s="9"/>
      <c r="D7" s="9"/>
      <c r="E7" s="9"/>
      <c r="F7" s="9"/>
      <c r="G7" s="9"/>
      <c r="H7" s="9"/>
      <c r="I7" s="9"/>
      <c r="J7" s="9"/>
      <c r="K7" s="9"/>
      <c r="L7" s="9"/>
      <c r="M7" s="9"/>
      <c r="N7" s="9"/>
      <c r="O7" s="9"/>
    </row>
    <row r="8" customFormat="false" ht="30" hidden="false" customHeight="true" outlineLevel="0" collapsed="false">
      <c r="B8" s="10" t="s">
        <v>71</v>
      </c>
      <c r="C8" s="10" t="s">
        <v>72</v>
      </c>
      <c r="D8" s="10" t="s">
        <v>73</v>
      </c>
      <c r="E8" s="35" t="s">
        <v>275</v>
      </c>
      <c r="F8" s="35"/>
      <c r="G8" s="35"/>
      <c r="H8" s="35"/>
      <c r="I8" s="35"/>
      <c r="J8" s="35"/>
      <c r="K8" s="35"/>
      <c r="L8" s="35"/>
      <c r="M8" s="35"/>
      <c r="N8" s="35"/>
      <c r="O8" s="10" t="s">
        <v>75</v>
      </c>
    </row>
    <row r="9" customFormat="false" ht="16.5" hidden="false" customHeight="true" outlineLevel="0" collapsed="false">
      <c r="B9" s="11" t="s">
        <v>276</v>
      </c>
      <c r="C9" s="18" t="n">
        <f aca="false">DATOS!$C$55*DATOS!$C$57*DATOS!$C$61</f>
        <v>48</v>
      </c>
      <c r="D9" s="16" t="s">
        <v>145</v>
      </c>
      <c r="E9" s="4" t="s">
        <v>277</v>
      </c>
      <c r="F9" s="4"/>
      <c r="G9" s="4"/>
      <c r="H9" s="4"/>
      <c r="I9" s="4"/>
      <c r="J9" s="4"/>
      <c r="K9" s="4"/>
      <c r="L9" s="4"/>
      <c r="M9" s="4"/>
      <c r="N9" s="4"/>
      <c r="O9" s="14" t="s">
        <v>278</v>
      </c>
    </row>
    <row r="10" customFormat="false" ht="16.5" hidden="false" customHeight="true" outlineLevel="0" collapsed="false">
      <c r="B10" s="11" t="s">
        <v>279</v>
      </c>
      <c r="C10" s="18" t="n">
        <f aca="false">DATOS!$C$21</f>
        <v>10.62</v>
      </c>
      <c r="D10" s="16" t="s">
        <v>89</v>
      </c>
      <c r="E10" s="4" t="s">
        <v>280</v>
      </c>
      <c r="F10" s="4"/>
      <c r="G10" s="4"/>
      <c r="H10" s="4"/>
      <c r="I10" s="4"/>
      <c r="J10" s="4"/>
      <c r="K10" s="4"/>
      <c r="L10" s="4"/>
      <c r="M10" s="4"/>
      <c r="N10" s="4"/>
      <c r="O10" s="14" t="s">
        <v>80</v>
      </c>
    </row>
    <row r="11" customFormat="false" ht="16.5" hidden="false" customHeight="true" outlineLevel="0" collapsed="false">
      <c r="B11" s="11" t="s">
        <v>281</v>
      </c>
      <c r="C11" s="39" t="n">
        <f aca="false">IF($C$10&lt;=10,1,($C$10/10)^(2/DATOS!$C$56))</f>
        <v>1.01733537851849</v>
      </c>
      <c r="D11" s="16" t="s">
        <v>80</v>
      </c>
      <c r="E11" s="4" t="s">
        <v>282</v>
      </c>
      <c r="F11" s="4"/>
      <c r="G11" s="4"/>
      <c r="H11" s="4"/>
      <c r="I11" s="4"/>
      <c r="J11" s="4"/>
      <c r="K11" s="4"/>
      <c r="L11" s="4"/>
      <c r="M11" s="4"/>
      <c r="N11" s="4"/>
      <c r="O11" s="14" t="s">
        <v>283</v>
      </c>
    </row>
    <row r="12" customFormat="false" ht="29.25" hidden="false" customHeight="true" outlineLevel="0" collapsed="false">
      <c r="B12" s="11" t="s">
        <v>284</v>
      </c>
      <c r="C12" s="34" t="n">
        <f aca="false">$C$11*$C$9</f>
        <v>48.8320981688875</v>
      </c>
      <c r="D12" s="16" t="s">
        <v>145</v>
      </c>
      <c r="E12" s="4" t="s">
        <v>285</v>
      </c>
      <c r="F12" s="4"/>
      <c r="G12" s="4"/>
      <c r="H12" s="4"/>
      <c r="I12" s="4"/>
      <c r="J12" s="4"/>
      <c r="K12" s="4"/>
      <c r="L12" s="4"/>
      <c r="M12" s="4"/>
      <c r="N12" s="4"/>
      <c r="O12" s="14" t="s">
        <v>286</v>
      </c>
    </row>
    <row r="13" customFormat="false" ht="24.75" hidden="false" customHeight="true" outlineLevel="0" collapsed="false">
      <c r="B13" s="11" t="s">
        <v>287</v>
      </c>
      <c r="C13" s="18" t="n">
        <f aca="false">$C$10/2</f>
        <v>5.31</v>
      </c>
      <c r="D13" s="16" t="s">
        <v>89</v>
      </c>
      <c r="E13" s="4" t="s">
        <v>288</v>
      </c>
      <c r="F13" s="4"/>
      <c r="G13" s="4"/>
      <c r="H13" s="4"/>
      <c r="I13" s="4"/>
      <c r="J13" s="4"/>
      <c r="K13" s="4"/>
      <c r="L13" s="4"/>
      <c r="M13" s="4"/>
      <c r="N13" s="4"/>
      <c r="O13" s="14" t="s">
        <v>289</v>
      </c>
    </row>
    <row r="14" customFormat="false" ht="16.5" hidden="false" customHeight="true" outlineLevel="0" collapsed="false">
      <c r="B14" s="11" t="s">
        <v>290</v>
      </c>
      <c r="C14" s="39" t="n">
        <f aca="false">IF($C$13&lt;=10,1,($C$13/10)^(2/DATOS!$C$56))</f>
        <v>1</v>
      </c>
      <c r="D14" s="16" t="s">
        <v>80</v>
      </c>
      <c r="E14" s="4" t="s">
        <v>291</v>
      </c>
      <c r="F14" s="4"/>
      <c r="G14" s="4"/>
      <c r="H14" s="4"/>
      <c r="I14" s="4"/>
      <c r="J14" s="4"/>
      <c r="K14" s="4"/>
      <c r="L14" s="4"/>
      <c r="M14" s="4"/>
      <c r="N14" s="4"/>
      <c r="O14" s="14" t="s">
        <v>283</v>
      </c>
    </row>
    <row r="15" customFormat="false" ht="16.5" hidden="false" customHeight="true" outlineLevel="0" collapsed="false">
      <c r="B15" s="11" t="s">
        <v>292</v>
      </c>
      <c r="C15" s="34" t="n">
        <f aca="false">$C$14*$C$9</f>
        <v>48</v>
      </c>
      <c r="D15" s="16" t="s">
        <v>145</v>
      </c>
      <c r="E15" s="4" t="s">
        <v>116</v>
      </c>
      <c r="F15" s="4"/>
      <c r="G15" s="4"/>
      <c r="H15" s="4"/>
      <c r="I15" s="4"/>
      <c r="J15" s="4"/>
      <c r="K15" s="4"/>
      <c r="L15" s="4"/>
      <c r="M15" s="4"/>
      <c r="N15" s="4"/>
      <c r="O15" s="14" t="s">
        <v>293</v>
      </c>
    </row>
    <row r="16" customFormat="false" ht="16.5" hidden="false" customHeight="true" outlineLevel="0" collapsed="false">
      <c r="B16" s="11" t="s">
        <v>125</v>
      </c>
      <c r="C16" s="18" t="n">
        <f aca="false">DATOS!$C$26</f>
        <v>2.86240522611174</v>
      </c>
      <c r="D16" s="16" t="s">
        <v>126</v>
      </c>
      <c r="E16" s="4" t="s">
        <v>280</v>
      </c>
      <c r="F16" s="4"/>
      <c r="G16" s="4"/>
      <c r="H16" s="4"/>
      <c r="I16" s="4"/>
      <c r="J16" s="4"/>
      <c r="K16" s="4"/>
      <c r="L16" s="4"/>
      <c r="M16" s="4"/>
      <c r="N16" s="4"/>
      <c r="O16" s="14" t="s">
        <v>128</v>
      </c>
    </row>
    <row r="17" customFormat="false" ht="16.5" hidden="false" customHeight="true" outlineLevel="0" collapsed="false">
      <c r="B17" s="11" t="s">
        <v>294</v>
      </c>
      <c r="C17" s="40" t="n">
        <f aca="false">IF(DATOS!$C$14="CURVO",IF(DATOS!$C$19="SÍ",$C$10/DATOS!$C$23,(DATOS!$C$18-DATOS!$C$17)/DATOS!$C$23),0)</f>
        <v>0</v>
      </c>
      <c r="D17" s="16" t="s">
        <v>80</v>
      </c>
      <c r="E17" s="4" t="s">
        <v>295</v>
      </c>
      <c r="F17" s="4"/>
      <c r="G17" s="4"/>
      <c r="H17" s="4"/>
      <c r="I17" s="4"/>
      <c r="J17" s="4"/>
      <c r="K17" s="4"/>
      <c r="L17" s="4"/>
      <c r="M17" s="4"/>
      <c r="N17" s="4"/>
      <c r="O17" s="14" t="s">
        <v>112</v>
      </c>
    </row>
    <row r="18" customFormat="false" ht="29.25" hidden="false" customHeight="true" outlineLevel="0" collapsed="false">
      <c r="B18" s="11" t="s">
        <v>296</v>
      </c>
      <c r="C18" s="39" t="n">
        <f aca="false">IF(DATOS!$C$14="PLANO",0,IF(DATOS!$C$14="UN AGUA",IF(N(DATOS!$C$25)=0,-1,1)*(DATOS!$C$18-DATOS!$C$17)/DATOS!$C$23,IF(DATOS!$C$14="DOS AGUAS",1*2*(DATOS!$C$18-DATOS!$C$17)/DATOS!$C$23,3*(DATOS!$C$18-DATOS!$C$17)/DATOS!$C$23)))</f>
        <v>-0.0499999999999999</v>
      </c>
      <c r="D18" s="16" t="s">
        <v>80</v>
      </c>
      <c r="E18" s="4" t="s">
        <v>297</v>
      </c>
      <c r="F18" s="4"/>
      <c r="G18" s="4"/>
      <c r="H18" s="4"/>
      <c r="I18" s="4"/>
      <c r="J18" s="4"/>
      <c r="K18" s="4"/>
      <c r="L18" s="4"/>
      <c r="M18" s="4"/>
      <c r="N18" s="4"/>
      <c r="O18" s="14" t="s">
        <v>298</v>
      </c>
    </row>
    <row r="19" customFormat="false" ht="29.25" hidden="false" customHeight="true" outlineLevel="0" collapsed="false">
      <c r="B19" s="11" t="s">
        <v>299</v>
      </c>
      <c r="C19" s="39" t="n">
        <f aca="false">IF(DATOS!$C$14="PLANO",0,IF(DATOS!$C$14="UN AGUA",IF(N(DATOS!$C$25)=0,-1,1)*(DATOS!$C$18-DATOS!$C$17)/DATOS!$C$23,IF(DATOS!$C$14="DOS AGUAS",1*2*(DATOS!$C$18-DATOS!$C$17)/DATOS!$C$23,1*(DATOS!$C$18-DATOS!$C$17)/DATOS!$C$23)))</f>
        <v>-0.0499999999999999</v>
      </c>
      <c r="D19" s="16" t="s">
        <v>80</v>
      </c>
      <c r="E19" s="4" t="s">
        <v>297</v>
      </c>
      <c r="F19" s="4"/>
      <c r="G19" s="4"/>
      <c r="H19" s="4"/>
      <c r="I19" s="4"/>
      <c r="J19" s="4"/>
      <c r="K19" s="4"/>
      <c r="L19" s="4"/>
      <c r="M19" s="4"/>
      <c r="N19" s="4"/>
      <c r="O19" s="14" t="s">
        <v>298</v>
      </c>
    </row>
    <row r="20" customFormat="false" ht="29.25" hidden="false" customHeight="true" outlineLevel="0" collapsed="false">
      <c r="B20" s="11" t="s">
        <v>300</v>
      </c>
      <c r="C20" s="39" t="n">
        <f aca="false">IF(DATOS!$C$14="PLANO",0,IF(DATOS!$C$14="UN AGUA",IF(N(DATOS!$C$25)=0,-1,1)*(DATOS!$C$18-DATOS!$C$17)/DATOS!$C$23,IF(DATOS!$C$14="DOS AGUAS",-1*2*(DATOS!$C$18-DATOS!$C$17)/DATOS!$C$23,-1*(DATOS!$C$18-DATOS!$C$17)/DATOS!$C$23)))</f>
        <v>-0.0499999999999999</v>
      </c>
      <c r="D20" s="16" t="s">
        <v>80</v>
      </c>
      <c r="E20" s="4" t="s">
        <v>297</v>
      </c>
      <c r="F20" s="4"/>
      <c r="G20" s="4"/>
      <c r="H20" s="4"/>
      <c r="I20" s="4"/>
      <c r="J20" s="4"/>
      <c r="K20" s="4"/>
      <c r="L20" s="4"/>
      <c r="M20" s="4"/>
      <c r="N20" s="4"/>
      <c r="O20" s="14" t="s">
        <v>298</v>
      </c>
    </row>
    <row r="21" customFormat="false" ht="29.25" hidden="false" customHeight="true" outlineLevel="0" collapsed="false">
      <c r="B21" s="11" t="s">
        <v>301</v>
      </c>
      <c r="C21" s="39" t="n">
        <f aca="false">IF(DATOS!$C$14="PLANO",0,IF(DATOS!$C$14="UN AGUA",IF(N(DATOS!$C$25)=0,-1,1)*(DATOS!$C$18-DATOS!$C$17)/DATOS!$C$23,IF(DATOS!$C$14="DOS AGUAS",-1*2*(DATOS!$C$18-DATOS!$C$17)/DATOS!$C$23,-3*(DATOS!$C$18-DATOS!$C$17)/DATOS!$C$23)))</f>
        <v>-0.0499999999999999</v>
      </c>
      <c r="D21" s="16" t="s">
        <v>80</v>
      </c>
      <c r="E21" s="4" t="s">
        <v>297</v>
      </c>
      <c r="F21" s="4"/>
      <c r="G21" s="4"/>
      <c r="H21" s="4"/>
      <c r="I21" s="4"/>
      <c r="J21" s="4"/>
      <c r="K21" s="4"/>
      <c r="L21" s="4"/>
      <c r="M21" s="4"/>
      <c r="N21" s="4"/>
      <c r="O21" s="14" t="s">
        <v>298</v>
      </c>
    </row>
    <row r="22" customFormat="false" ht="24.75" hidden="false" customHeight="true" outlineLevel="0" collapsed="false">
      <c r="B22" s="11" t="s">
        <v>302</v>
      </c>
      <c r="C22" s="24" t="str">
        <f aca="false">IF(SUMPRODUCT(ABS($D$32:$D$35-$E$32:$E$35)+ABS($G$32:$G$35-$H$32:$H$35)+ABS($J$32:$J$35-$K$32:$K$35)+ABS($M$32:$M$35-$N$32:$N$35))&gt;0.0001,"SÍ","NO")</f>
        <v>NO</v>
      </c>
      <c r="D22" s="16" t="s">
        <v>80</v>
      </c>
      <c r="E22" s="4" t="s">
        <v>303</v>
      </c>
      <c r="F22" s="4"/>
      <c r="G22" s="4"/>
      <c r="H22" s="4"/>
      <c r="I22" s="4"/>
      <c r="J22" s="4"/>
      <c r="K22" s="4"/>
      <c r="L22" s="4"/>
      <c r="M22" s="4"/>
      <c r="N22" s="4"/>
      <c r="O22" s="14" t="s">
        <v>97</v>
      </c>
    </row>
    <row r="23" customFormat="false" ht="15" hidden="false" customHeight="true" outlineLevel="0" collapsed="false"/>
    <row r="24" customFormat="false" ht="21" hidden="false" customHeight="true" outlineLevel="0" collapsed="false">
      <c r="B24" s="9" t="s">
        <v>304</v>
      </c>
      <c r="C24" s="9"/>
      <c r="D24" s="9"/>
      <c r="E24" s="9"/>
      <c r="F24" s="9"/>
      <c r="G24" s="9"/>
      <c r="H24" s="9"/>
      <c r="I24" s="9"/>
      <c r="J24" s="9"/>
      <c r="K24" s="9"/>
      <c r="L24" s="9"/>
      <c r="M24" s="9"/>
      <c r="N24" s="9"/>
      <c r="O24" s="9"/>
    </row>
    <row r="25" customFormat="false" ht="45" hidden="false" customHeight="true" outlineLevel="0" collapsed="false">
      <c r="B25" s="21" t="s">
        <v>305</v>
      </c>
      <c r="C25" s="21"/>
      <c r="D25" s="21"/>
      <c r="E25" s="21"/>
      <c r="F25" s="21"/>
      <c r="G25" s="21"/>
      <c r="H25" s="21"/>
      <c r="I25" s="21"/>
      <c r="J25" s="21"/>
      <c r="K25" s="21"/>
      <c r="L25" s="21"/>
      <c r="M25" s="21"/>
      <c r="N25" s="21"/>
      <c r="O25" s="21"/>
    </row>
    <row r="26" customFormat="false" ht="19.5" hidden="false" customHeight="true" outlineLevel="0" collapsed="false">
      <c r="B26" s="10" t="s">
        <v>306</v>
      </c>
      <c r="C26" s="35" t="s">
        <v>307</v>
      </c>
      <c r="D26" s="35"/>
      <c r="E26" s="35"/>
      <c r="F26" s="35" t="s">
        <v>308</v>
      </c>
      <c r="G26" s="35"/>
      <c r="H26" s="35"/>
      <c r="I26" s="35" t="s">
        <v>309</v>
      </c>
      <c r="J26" s="35"/>
      <c r="K26" s="35"/>
      <c r="L26" s="35" t="s">
        <v>310</v>
      </c>
      <c r="M26" s="35"/>
      <c r="N26" s="35"/>
    </row>
    <row r="27" customFormat="false" ht="30" hidden="false" customHeight="true" outlineLevel="0" collapsed="false">
      <c r="B27" s="10" t="s">
        <v>311</v>
      </c>
      <c r="C27" s="10" t="s">
        <v>312</v>
      </c>
      <c r="D27" s="10" t="s">
        <v>313</v>
      </c>
      <c r="E27" s="10" t="s">
        <v>314</v>
      </c>
      <c r="F27" s="10" t="s">
        <v>312</v>
      </c>
      <c r="G27" s="10" t="s">
        <v>313</v>
      </c>
      <c r="H27" s="10" t="s">
        <v>314</v>
      </c>
      <c r="I27" s="10" t="s">
        <v>312</v>
      </c>
      <c r="J27" s="10" t="s">
        <v>313</v>
      </c>
      <c r="K27" s="10" t="s">
        <v>314</v>
      </c>
      <c r="L27" s="10" t="s">
        <v>312</v>
      </c>
      <c r="M27" s="10" t="s">
        <v>313</v>
      </c>
      <c r="N27" s="10" t="s">
        <v>314</v>
      </c>
      <c r="O27" s="10" t="s">
        <v>75</v>
      </c>
    </row>
    <row r="28" customFormat="false" ht="16.5" hidden="false" customHeight="true" outlineLevel="0" collapsed="false">
      <c r="B28" s="11" t="s">
        <v>255</v>
      </c>
      <c r="C28" s="41" t="s">
        <v>315</v>
      </c>
      <c r="D28" s="42" t="n">
        <f aca="false">TABLAS!$D$16</f>
        <v>-0.7</v>
      </c>
      <c r="E28" s="42" t="n">
        <f aca="false">$D$28</f>
        <v>-0.7</v>
      </c>
      <c r="F28" s="41" t="s">
        <v>315</v>
      </c>
      <c r="G28" s="42" t="n">
        <f aca="false">TABLAS!$D$16</f>
        <v>-0.7</v>
      </c>
      <c r="H28" s="42" t="n">
        <f aca="false">$G$28</f>
        <v>-0.7</v>
      </c>
      <c r="I28" s="41" t="s">
        <v>316</v>
      </c>
      <c r="J28" s="42" t="n">
        <f aca="false">TABLAS!$D$14</f>
        <v>0.8</v>
      </c>
      <c r="K28" s="42" t="n">
        <f aca="false">$J$28</f>
        <v>0.8</v>
      </c>
      <c r="L28" s="41" t="s">
        <v>317</v>
      </c>
      <c r="M28" s="42" t="n">
        <f aca="false">TABLAS!$D$15</f>
        <v>-0.5</v>
      </c>
      <c r="N28" s="42" t="n">
        <f aca="false">$M$28</f>
        <v>-0.5</v>
      </c>
      <c r="O28" s="14" t="s">
        <v>128</v>
      </c>
    </row>
    <row r="29" customFormat="false" ht="16.5" hidden="false" customHeight="true" outlineLevel="0" collapsed="false">
      <c r="B29" s="11" t="s">
        <v>256</v>
      </c>
      <c r="C29" s="41" t="s">
        <v>315</v>
      </c>
      <c r="D29" s="42" t="n">
        <f aca="false">TABLAS!$D$16</f>
        <v>-0.7</v>
      </c>
      <c r="E29" s="42" t="n">
        <f aca="false">$D$29</f>
        <v>-0.7</v>
      </c>
      <c r="F29" s="41" t="s">
        <v>315</v>
      </c>
      <c r="G29" s="42" t="n">
        <f aca="false">TABLAS!$D$16</f>
        <v>-0.7</v>
      </c>
      <c r="H29" s="42" t="n">
        <f aca="false">$G$29</f>
        <v>-0.7</v>
      </c>
      <c r="I29" s="41" t="s">
        <v>317</v>
      </c>
      <c r="J29" s="42" t="n">
        <f aca="false">TABLAS!$D$15</f>
        <v>-0.5</v>
      </c>
      <c r="K29" s="42" t="n">
        <f aca="false">$J$29</f>
        <v>-0.5</v>
      </c>
      <c r="L29" s="41" t="s">
        <v>316</v>
      </c>
      <c r="M29" s="42" t="n">
        <f aca="false">TABLAS!$D$14</f>
        <v>0.8</v>
      </c>
      <c r="N29" s="42" t="n">
        <f aca="false">$M$29</f>
        <v>0.8</v>
      </c>
      <c r="O29" s="14" t="s">
        <v>128</v>
      </c>
    </row>
    <row r="30" customFormat="false" ht="16.5" hidden="false" customHeight="true" outlineLevel="0" collapsed="false">
      <c r="B30" s="11" t="s">
        <v>257</v>
      </c>
      <c r="C30" s="41" t="s">
        <v>316</v>
      </c>
      <c r="D30" s="42" t="n">
        <f aca="false">TABLAS!$D$14</f>
        <v>0.8</v>
      </c>
      <c r="E30" s="42" t="n">
        <f aca="false">$D$30</f>
        <v>0.8</v>
      </c>
      <c r="F30" s="41" t="s">
        <v>317</v>
      </c>
      <c r="G30" s="42" t="n">
        <f aca="false">TABLAS!$D$15</f>
        <v>-0.5</v>
      </c>
      <c r="H30" s="42" t="n">
        <f aca="false">$G$30</f>
        <v>-0.5</v>
      </c>
      <c r="I30" s="41" t="s">
        <v>315</v>
      </c>
      <c r="J30" s="42" t="n">
        <f aca="false">TABLAS!$D$16</f>
        <v>-0.7</v>
      </c>
      <c r="K30" s="42" t="n">
        <f aca="false">$J$30</f>
        <v>-0.7</v>
      </c>
      <c r="L30" s="41" t="s">
        <v>315</v>
      </c>
      <c r="M30" s="42" t="n">
        <f aca="false">TABLAS!$D$16</f>
        <v>-0.7</v>
      </c>
      <c r="N30" s="42" t="n">
        <f aca="false">$M$30</f>
        <v>-0.7</v>
      </c>
      <c r="O30" s="14" t="s">
        <v>128</v>
      </c>
    </row>
    <row r="31" customFormat="false" ht="16.5" hidden="false" customHeight="true" outlineLevel="0" collapsed="false">
      <c r="B31" s="11" t="s">
        <v>258</v>
      </c>
      <c r="C31" s="41" t="s">
        <v>317</v>
      </c>
      <c r="D31" s="42" t="n">
        <f aca="false">TABLAS!$D$15</f>
        <v>-0.5</v>
      </c>
      <c r="E31" s="42" t="n">
        <f aca="false">$D$31</f>
        <v>-0.5</v>
      </c>
      <c r="F31" s="41" t="s">
        <v>316</v>
      </c>
      <c r="G31" s="42" t="n">
        <f aca="false">TABLAS!$D$14</f>
        <v>0.8</v>
      </c>
      <c r="H31" s="42" t="n">
        <f aca="false">$G$31</f>
        <v>0.8</v>
      </c>
      <c r="I31" s="41" t="s">
        <v>315</v>
      </c>
      <c r="J31" s="42" t="n">
        <f aca="false">TABLAS!$D$16</f>
        <v>-0.7</v>
      </c>
      <c r="K31" s="42" t="n">
        <f aca="false">$J$31</f>
        <v>-0.7</v>
      </c>
      <c r="L31" s="41" t="s">
        <v>315</v>
      </c>
      <c r="M31" s="42" t="n">
        <f aca="false">TABLAS!$D$16</f>
        <v>-0.7</v>
      </c>
      <c r="N31" s="42" t="n">
        <f aca="false">$M$31</f>
        <v>-0.7</v>
      </c>
      <c r="O31" s="14" t="s">
        <v>128</v>
      </c>
    </row>
    <row r="32" customFormat="false" ht="25.5" hidden="false" customHeight="true" outlineLevel="0" collapsed="false">
      <c r="B32" s="11" t="str">
        <f aca="false">"Techo — cuarto 1 (s = "&amp;TEXT(DATOS!$C$23*0/4,"0.00")&amp;" a "&amp;TEXT(DATOS!$C$23*1/4,"0.00")&amp;" m)"</f>
        <v>Techo — cuarto 1 (s = 0.00 a 4.00 m)</v>
      </c>
      <c r="C32" s="41" t="str">
        <f aca="false">IF(DATOS!$C$14="PLANO","HORIZONTAL",IF(NOT(DATOS!$C$22="X"),"PARALELO",IF(DATOS!$C$14="UN AGUA",IF(N(DATOS!$C$25)&gt;0,"BARLOVENTO","SOTAVENTO"),IF(DATOS!$C$14="DOS AGUAS","BARLOVENTO","A1 BARLOVENTO"))))</f>
        <v>PARALELO</v>
      </c>
      <c r="D32" s="42" t="n">
        <f aca="false">IF(DATOS!$C$14="PLANO",-0.7,IF(NOT(DATOS!$C$22="X"),-0.7,IF(DATOS!$C$14="UN AGUA",IF(N(DATOS!$C$25)&gt;0,IF($C$16&lt;30,-0.7,IF($C$16&lt;=50,-0.4,0.8)),-0.7),IF(DATOS!$C$14="DOS AGUAS",IF($C$16&lt;30,-0.7,IF($C$16&lt;=50,-0.4,0.8)),IF(DATOS!$C$19="SÍ",MIN(1.4*$C$17,0.9),IF($C$17&lt;0.2,-0.8,IF($C$17&lt;=0.3,-0.8,2*$C$17-0.3)))))))</f>
        <v>-0.7</v>
      </c>
      <c r="E32" s="42" t="n">
        <f aca="false">IF(DATOS!$C$14="PLANO",-0.7,IF(NOT(DATOS!$C$22="X"),-0.7,IF(DATOS!$C$14="UN AGUA",IF(N(DATOS!$C$25)&gt;0,IF($C$16&lt;30,-0.7,IF($C$16&lt;=50,0.4,0.8)),-0.7),IF(DATOS!$C$14="DOS AGUAS",IF($C$16&lt;30,-0.7,IF($C$16&lt;=50,0.4,0.8)),IF(DATOS!$C$19="SÍ",MIN(1.4*$C$17,0.9),IF($C$17&lt;0.2,-0.8,IF($C$17&lt;=0.3,0.3,2*$C$17-0.3)))))))</f>
        <v>-0.7</v>
      </c>
      <c r="F32" s="41" t="str">
        <f aca="false">IF(DATOS!$C$14="PLANO","HORIZONTAL",IF(NOT(DATOS!$C$22="X"),"PARALELO",IF(DATOS!$C$14="UN AGUA",IF(N(DATOS!$C$25)=0,"BARLOVENTO","SOTAVENTO"),IF(DATOS!$C$14="DOS AGUAS","SOTAVENTO","A3 SOTAVENTO"))))</f>
        <v>PARALELO</v>
      </c>
      <c r="G32" s="42" t="n">
        <f aca="false">IF(DATOS!$C$14="PLANO",-0.7,IF(NOT(DATOS!$C$22="X"),-0.7,IF(DATOS!$C$14="UN AGUA",IF(N(DATOS!$C$25)=0,IF($C$16&lt;30,-0.7,IF($C$16&lt;=50,-0.4,0.8)),-0.7),IF(DATOS!$C$14="DOS AGUAS",-0.7,-0.5))))</f>
        <v>-0.7</v>
      </c>
      <c r="H32" s="42" t="n">
        <f aca="false">IF(DATOS!$C$14="PLANO",-0.7,IF(NOT(DATOS!$C$22="X"),-0.7,IF(DATOS!$C$14="UN AGUA",IF(N(DATOS!$C$25)=0,IF($C$16&lt;30,-0.7,IF($C$16&lt;=50,0.4,0.8)),-0.7),IF(DATOS!$C$14="DOS AGUAS",-0.7,-0.5))))</f>
        <v>-0.7</v>
      </c>
      <c r="I32" s="41" t="str">
        <f aca="false">IF(DATOS!$C$14="PLANO","HORIZONTAL",IF(NOT(DATOS!$C$22="Z"),"PARALELO",IF(DATOS!$C$14="UN AGUA",IF(N(DATOS!$C$25)&gt;0,"BARLOVENTO","SOTAVENTO"),IF(DATOS!$C$14="DOS AGUAS","BARLOVENTO","A1 BARLOVENTO"))))</f>
        <v>SOTAVENTO</v>
      </c>
      <c r="J32" s="42" t="n">
        <f aca="false">IF(DATOS!$C$14="PLANO",-0.7,IF(NOT(DATOS!$C$22="Z"),-0.7,IF(DATOS!$C$14="UN AGUA",IF(N(DATOS!$C$25)&gt;0,IF($C$16&lt;30,-0.7,IF($C$16&lt;=50,-0.4,0.8)),-0.7),IF(DATOS!$C$14="DOS AGUAS",IF($C$16&lt;30,-0.7,IF($C$16&lt;=50,-0.4,0.8)),IF(DATOS!$C$19="SÍ",MIN(1.4*$C$17,0.9),IF($C$17&lt;0.2,-0.8,IF($C$17&lt;=0.3,-0.8,2*$C$17-0.3)))))))</f>
        <v>-0.7</v>
      </c>
      <c r="K32" s="42" t="n">
        <f aca="false">IF(DATOS!$C$14="PLANO",-0.7,IF(NOT(DATOS!$C$22="Z"),-0.7,IF(DATOS!$C$14="UN AGUA",IF(N(DATOS!$C$25)&gt;0,IF($C$16&lt;30,-0.7,IF($C$16&lt;=50,0.4,0.8)),-0.7),IF(DATOS!$C$14="DOS AGUAS",IF($C$16&lt;30,-0.7,IF($C$16&lt;=50,0.4,0.8)),IF(DATOS!$C$19="SÍ",MIN(1.4*$C$17,0.9),IF($C$17&lt;0.2,-0.8,IF($C$17&lt;=0.3,0.3,2*$C$17-0.3)))))))</f>
        <v>-0.7</v>
      </c>
      <c r="L32" s="41" t="str">
        <f aca="false">IF(DATOS!$C$14="PLANO","HORIZONTAL",IF(NOT(DATOS!$C$22="Z"),"PARALELO",IF(DATOS!$C$14="UN AGUA",IF(N(DATOS!$C$25)=0,"BARLOVENTO","SOTAVENTO"),IF(DATOS!$C$14="DOS AGUAS","SOTAVENTO","A3 SOTAVENTO"))))</f>
        <v>BARLOVENTO</v>
      </c>
      <c r="M32" s="42" t="n">
        <f aca="false">IF(DATOS!$C$14="PLANO",-0.7,IF(NOT(DATOS!$C$22="Z"),-0.7,IF(DATOS!$C$14="UN AGUA",IF(N(DATOS!$C$25)=0,IF($C$16&lt;30,-0.7,IF($C$16&lt;=50,-0.4,0.8)),-0.7),IF(DATOS!$C$14="DOS AGUAS",-0.7,-0.5))))</f>
        <v>-0.7</v>
      </c>
      <c r="N32" s="42" t="n">
        <f aca="false">IF(DATOS!$C$14="PLANO",-0.7,IF(NOT(DATOS!$C$22="Z"),-0.7,IF(DATOS!$C$14="UN AGUA",IF(N(DATOS!$C$25)=0,IF($C$16&lt;30,-0.7,IF($C$16&lt;=50,0.4,0.8)),-0.7),IF(DATOS!$C$14="DOS AGUAS",-0.7,-0.5))))</f>
        <v>-0.7</v>
      </c>
      <c r="O32" s="14" t="s">
        <v>97</v>
      </c>
    </row>
    <row r="33" customFormat="false" ht="25.5" hidden="false" customHeight="true" outlineLevel="0" collapsed="false">
      <c r="B33" s="11" t="str">
        <f aca="false">"Techo — cuarto 2 (s = "&amp;TEXT(DATOS!$C$23*1/4,"0.00")&amp;" a "&amp;TEXT(DATOS!$C$23*2/4,"0.00")&amp;" m)"</f>
        <v>Techo — cuarto 2 (s = 4.00 a 8.00 m)</v>
      </c>
      <c r="C33" s="41" t="str">
        <f aca="false">IF(DATOS!$C$14="PLANO","HORIZONTAL",IF(NOT(DATOS!$C$22="X"),"PARALELO",IF(DATOS!$C$14="UN AGUA",IF(N(DATOS!$C$25)&gt;0,"BARLOVENTO","SOTAVENTO"),IF(DATOS!$C$14="DOS AGUAS","BARLOVENTO","A2 CENTRAL"))))</f>
        <v>PARALELO</v>
      </c>
      <c r="D33" s="42" t="n">
        <f aca="false">IF(DATOS!$C$14="PLANO",-0.7,IF(NOT(DATOS!$C$22="X"),-0.7,IF(DATOS!$C$14="UN AGUA",IF(N(DATOS!$C$25)&gt;0,IF($C$16&lt;30,-0.7,IF($C$16&lt;=50,-0.4,0.8)),-0.7),IF(DATOS!$C$14="DOS AGUAS",IF($C$16&lt;30,-0.7,IF($C$16&lt;=50,-0.4,0.8)),-0.7-$C$17))))</f>
        <v>-0.7</v>
      </c>
      <c r="E33" s="42" t="n">
        <f aca="false">IF(DATOS!$C$14="PLANO",-0.7,IF(NOT(DATOS!$C$22="X"),-0.7,IF(DATOS!$C$14="UN AGUA",IF(N(DATOS!$C$25)&gt;0,IF($C$16&lt;30,-0.7,IF($C$16&lt;=50,0.4,0.8)),-0.7),IF(DATOS!$C$14="DOS AGUAS",IF($C$16&lt;30,-0.7,IF($C$16&lt;=50,0.4,0.8)),-0.7-$C$17))))</f>
        <v>-0.7</v>
      </c>
      <c r="F33" s="41" t="str">
        <f aca="false">IF(DATOS!$C$14="PLANO","HORIZONTAL",IF(NOT(DATOS!$C$22="X"),"PARALELO",IF(DATOS!$C$14="UN AGUA",IF(N(DATOS!$C$25)=0,"BARLOVENTO","SOTAVENTO"),IF(DATOS!$C$14="DOS AGUAS","SOTAVENTO","A2 CENTRAL"))))</f>
        <v>PARALELO</v>
      </c>
      <c r="G33" s="42" t="n">
        <f aca="false">IF(DATOS!$C$14="PLANO",-0.7,IF(NOT(DATOS!$C$22="X"),-0.7,IF(DATOS!$C$14="UN AGUA",IF(N(DATOS!$C$25)=0,IF($C$16&lt;30,-0.7,IF($C$16&lt;=50,-0.4,0.8)),-0.7),IF(DATOS!$C$14="DOS AGUAS",-0.7,-0.7-$C$17))))</f>
        <v>-0.7</v>
      </c>
      <c r="H33" s="42" t="n">
        <f aca="false">IF(DATOS!$C$14="PLANO",-0.7,IF(NOT(DATOS!$C$22="X"),-0.7,IF(DATOS!$C$14="UN AGUA",IF(N(DATOS!$C$25)=0,IF($C$16&lt;30,-0.7,IF($C$16&lt;=50,0.4,0.8)),-0.7),IF(DATOS!$C$14="DOS AGUAS",-0.7,-0.7-$C$17))))</f>
        <v>-0.7</v>
      </c>
      <c r="I33" s="41" t="str">
        <f aca="false">IF(DATOS!$C$14="PLANO","HORIZONTAL",IF(NOT(DATOS!$C$22="Z"),"PARALELO",IF(DATOS!$C$14="UN AGUA",IF(N(DATOS!$C$25)&gt;0,"BARLOVENTO","SOTAVENTO"),IF(DATOS!$C$14="DOS AGUAS","BARLOVENTO","A2 CENTRAL"))))</f>
        <v>SOTAVENTO</v>
      </c>
      <c r="J33" s="42" t="n">
        <f aca="false">IF(DATOS!$C$14="PLANO",-0.7,IF(NOT(DATOS!$C$22="Z"),-0.7,IF(DATOS!$C$14="UN AGUA",IF(N(DATOS!$C$25)&gt;0,IF($C$16&lt;30,-0.7,IF($C$16&lt;=50,-0.4,0.8)),-0.7),IF(DATOS!$C$14="DOS AGUAS",IF($C$16&lt;30,-0.7,IF($C$16&lt;=50,-0.4,0.8)),-0.7-$C$17))))</f>
        <v>-0.7</v>
      </c>
      <c r="K33" s="42" t="n">
        <f aca="false">IF(DATOS!$C$14="PLANO",-0.7,IF(NOT(DATOS!$C$22="Z"),-0.7,IF(DATOS!$C$14="UN AGUA",IF(N(DATOS!$C$25)&gt;0,IF($C$16&lt;30,-0.7,IF($C$16&lt;=50,0.4,0.8)),-0.7),IF(DATOS!$C$14="DOS AGUAS",IF($C$16&lt;30,-0.7,IF($C$16&lt;=50,0.4,0.8)),-0.7-$C$17))))</f>
        <v>-0.7</v>
      </c>
      <c r="L33" s="41" t="str">
        <f aca="false">IF(DATOS!$C$14="PLANO","HORIZONTAL",IF(NOT(DATOS!$C$22="Z"),"PARALELO",IF(DATOS!$C$14="UN AGUA",IF(N(DATOS!$C$25)=0,"BARLOVENTO","SOTAVENTO"),IF(DATOS!$C$14="DOS AGUAS","SOTAVENTO","A2 CENTRAL"))))</f>
        <v>BARLOVENTO</v>
      </c>
      <c r="M33" s="42" t="n">
        <f aca="false">IF(DATOS!$C$14="PLANO",-0.7,IF(NOT(DATOS!$C$22="Z"),-0.7,IF(DATOS!$C$14="UN AGUA",IF(N(DATOS!$C$25)=0,IF($C$16&lt;30,-0.7,IF($C$16&lt;=50,-0.4,0.8)),-0.7),IF(DATOS!$C$14="DOS AGUAS",-0.7,-0.7-$C$17))))</f>
        <v>-0.7</v>
      </c>
      <c r="N33" s="42" t="n">
        <f aca="false">IF(DATOS!$C$14="PLANO",-0.7,IF(NOT(DATOS!$C$22="Z"),-0.7,IF(DATOS!$C$14="UN AGUA",IF(N(DATOS!$C$25)=0,IF($C$16&lt;30,-0.7,IF($C$16&lt;=50,0.4,0.8)),-0.7),IF(DATOS!$C$14="DOS AGUAS",-0.7,-0.7-$C$17))))</f>
        <v>-0.7</v>
      </c>
      <c r="O33" s="14" t="s">
        <v>97</v>
      </c>
    </row>
    <row r="34" customFormat="false" ht="25.5" hidden="false" customHeight="true" outlineLevel="0" collapsed="false">
      <c r="B34" s="11" t="str">
        <f aca="false">"Techo — cuarto 3 (s = "&amp;TEXT(DATOS!$C$23*2/4,"0.00")&amp;" a "&amp;TEXT(DATOS!$C$23*3/4,"0.00")&amp;" m)"</f>
        <v>Techo — cuarto 3 (s = 8.00 a 12.00 m)</v>
      </c>
      <c r="C34" s="41" t="str">
        <f aca="false">IF(DATOS!$C$14="PLANO","HORIZONTAL",IF(NOT(DATOS!$C$22="X"),"PARALELO",IF(DATOS!$C$14="UN AGUA",IF(N(DATOS!$C$25)&gt;0,"BARLOVENTO","SOTAVENTO"),IF(DATOS!$C$14="DOS AGUAS","SOTAVENTO","A2 CENTRAL"))))</f>
        <v>PARALELO</v>
      </c>
      <c r="D34" s="42" t="n">
        <f aca="false">IF(DATOS!$C$14="PLANO",-0.7,IF(NOT(DATOS!$C$22="X"),-0.7,IF(DATOS!$C$14="UN AGUA",IF(N(DATOS!$C$25)&gt;0,IF($C$16&lt;30,-0.7,IF($C$16&lt;=50,-0.4,0.8)),-0.7),IF(DATOS!$C$14="DOS AGUAS",-0.7,-0.7-$C$17))))</f>
        <v>-0.7</v>
      </c>
      <c r="E34" s="42" t="n">
        <f aca="false">IF(DATOS!$C$14="PLANO",-0.7,IF(NOT(DATOS!$C$22="X"),-0.7,IF(DATOS!$C$14="UN AGUA",IF(N(DATOS!$C$25)&gt;0,IF($C$16&lt;30,-0.7,IF($C$16&lt;=50,0.4,0.8)),-0.7),IF(DATOS!$C$14="DOS AGUAS",-0.7,-0.7-$C$17))))</f>
        <v>-0.7</v>
      </c>
      <c r="F34" s="41" t="str">
        <f aca="false">IF(DATOS!$C$14="PLANO","HORIZONTAL",IF(NOT(DATOS!$C$22="X"),"PARALELO",IF(DATOS!$C$14="UN AGUA",IF(N(DATOS!$C$25)=0,"BARLOVENTO","SOTAVENTO"),IF(DATOS!$C$14="DOS AGUAS","BARLOVENTO","A2 CENTRAL"))))</f>
        <v>PARALELO</v>
      </c>
      <c r="G34" s="42" t="n">
        <f aca="false">IF(DATOS!$C$14="PLANO",-0.7,IF(NOT(DATOS!$C$22="X"),-0.7,IF(DATOS!$C$14="UN AGUA",IF(N(DATOS!$C$25)=0,IF($C$16&lt;30,-0.7,IF($C$16&lt;=50,-0.4,0.8)),-0.7),IF(DATOS!$C$14="DOS AGUAS",IF($C$16&lt;30,-0.7,IF($C$16&lt;=50,-0.4,0.8)),-0.7-$C$17))))</f>
        <v>-0.7</v>
      </c>
      <c r="H34" s="42" t="n">
        <f aca="false">IF(DATOS!$C$14="PLANO",-0.7,IF(NOT(DATOS!$C$22="X"),-0.7,IF(DATOS!$C$14="UN AGUA",IF(N(DATOS!$C$25)=0,IF($C$16&lt;30,-0.7,IF($C$16&lt;=50,0.4,0.8)),-0.7),IF(DATOS!$C$14="DOS AGUAS",IF($C$16&lt;30,-0.7,IF($C$16&lt;=50,0.4,0.8)),-0.7-$C$17))))</f>
        <v>-0.7</v>
      </c>
      <c r="I34" s="41" t="str">
        <f aca="false">IF(DATOS!$C$14="PLANO","HORIZONTAL",IF(NOT(DATOS!$C$22="Z"),"PARALELO",IF(DATOS!$C$14="UN AGUA",IF(N(DATOS!$C$25)&gt;0,"BARLOVENTO","SOTAVENTO"),IF(DATOS!$C$14="DOS AGUAS","SOTAVENTO","A2 CENTRAL"))))</f>
        <v>SOTAVENTO</v>
      </c>
      <c r="J34" s="42" t="n">
        <f aca="false">IF(DATOS!$C$14="PLANO",-0.7,IF(NOT(DATOS!$C$22="Z"),-0.7,IF(DATOS!$C$14="UN AGUA",IF(N(DATOS!$C$25)&gt;0,IF($C$16&lt;30,-0.7,IF($C$16&lt;=50,-0.4,0.8)),-0.7),IF(DATOS!$C$14="DOS AGUAS",-0.7,-0.7-$C$17))))</f>
        <v>-0.7</v>
      </c>
      <c r="K34" s="42" t="n">
        <f aca="false">IF(DATOS!$C$14="PLANO",-0.7,IF(NOT(DATOS!$C$22="Z"),-0.7,IF(DATOS!$C$14="UN AGUA",IF(N(DATOS!$C$25)&gt;0,IF($C$16&lt;30,-0.7,IF($C$16&lt;=50,0.4,0.8)),-0.7),IF(DATOS!$C$14="DOS AGUAS",-0.7,-0.7-$C$17))))</f>
        <v>-0.7</v>
      </c>
      <c r="L34" s="41" t="str">
        <f aca="false">IF(DATOS!$C$14="PLANO","HORIZONTAL",IF(NOT(DATOS!$C$22="Z"),"PARALELO",IF(DATOS!$C$14="UN AGUA",IF(N(DATOS!$C$25)=0,"BARLOVENTO","SOTAVENTO"),IF(DATOS!$C$14="DOS AGUAS","BARLOVENTO","A2 CENTRAL"))))</f>
        <v>BARLOVENTO</v>
      </c>
      <c r="M34" s="42" t="n">
        <f aca="false">IF(DATOS!$C$14="PLANO",-0.7,IF(NOT(DATOS!$C$22="Z"),-0.7,IF(DATOS!$C$14="UN AGUA",IF(N(DATOS!$C$25)=0,IF($C$16&lt;30,-0.7,IF($C$16&lt;=50,-0.4,0.8)),-0.7),IF(DATOS!$C$14="DOS AGUAS",IF($C$16&lt;30,-0.7,IF($C$16&lt;=50,-0.4,0.8)),-0.7-$C$17))))</f>
        <v>-0.7</v>
      </c>
      <c r="N34" s="42" t="n">
        <f aca="false">IF(DATOS!$C$14="PLANO",-0.7,IF(NOT(DATOS!$C$22="Z"),-0.7,IF(DATOS!$C$14="UN AGUA",IF(N(DATOS!$C$25)=0,IF($C$16&lt;30,-0.7,IF($C$16&lt;=50,0.4,0.8)),-0.7),IF(DATOS!$C$14="DOS AGUAS",IF($C$16&lt;30,-0.7,IF($C$16&lt;=50,0.4,0.8)),-0.7-$C$17))))</f>
        <v>-0.7</v>
      </c>
      <c r="O34" s="14" t="s">
        <v>97</v>
      </c>
    </row>
    <row r="35" customFormat="false" ht="25.5" hidden="false" customHeight="true" outlineLevel="0" collapsed="false">
      <c r="B35" s="11" t="str">
        <f aca="false">"Techo — cuarto 4 (s = "&amp;TEXT(DATOS!$C$23*3/4,"0.00")&amp;" a "&amp;TEXT(DATOS!$C$23*4/4,"0.00")&amp;" m)"</f>
        <v>Techo — cuarto 4 (s = 12.00 a 16.00 m)</v>
      </c>
      <c r="C35" s="41" t="str">
        <f aca="false">IF(DATOS!$C$14="PLANO","HORIZONTAL",IF(NOT(DATOS!$C$22="X"),"PARALELO",IF(DATOS!$C$14="UN AGUA",IF(N(DATOS!$C$25)&gt;0,"BARLOVENTO","SOTAVENTO"),IF(DATOS!$C$14="DOS AGUAS","SOTAVENTO","A3 SOTAVENTO"))))</f>
        <v>PARALELO</v>
      </c>
      <c r="D35" s="42" t="n">
        <f aca="false">IF(DATOS!$C$14="PLANO",-0.7,IF(NOT(DATOS!$C$22="X"),-0.7,IF(DATOS!$C$14="UN AGUA",IF(N(DATOS!$C$25)&gt;0,IF($C$16&lt;30,-0.7,IF($C$16&lt;=50,-0.4,0.8)),-0.7),IF(DATOS!$C$14="DOS AGUAS",-0.7,-0.5))))</f>
        <v>-0.7</v>
      </c>
      <c r="E35" s="42" t="n">
        <f aca="false">IF(DATOS!$C$14="PLANO",-0.7,IF(NOT(DATOS!$C$22="X"),-0.7,IF(DATOS!$C$14="UN AGUA",IF(N(DATOS!$C$25)&gt;0,IF($C$16&lt;30,-0.7,IF($C$16&lt;=50,0.4,0.8)),-0.7),IF(DATOS!$C$14="DOS AGUAS",-0.7,-0.5))))</f>
        <v>-0.7</v>
      </c>
      <c r="F35" s="41" t="str">
        <f aca="false">IF(DATOS!$C$14="PLANO","HORIZONTAL",IF(NOT(DATOS!$C$22="X"),"PARALELO",IF(DATOS!$C$14="UN AGUA",IF(N(DATOS!$C$25)=0,"BARLOVENTO","SOTAVENTO"),IF(DATOS!$C$14="DOS AGUAS","BARLOVENTO","A1 BARLOVENTO"))))</f>
        <v>PARALELO</v>
      </c>
      <c r="G35" s="42" t="n">
        <f aca="false">IF(DATOS!$C$14="PLANO",-0.7,IF(NOT(DATOS!$C$22="X"),-0.7,IF(DATOS!$C$14="UN AGUA",IF(N(DATOS!$C$25)=0,IF($C$16&lt;30,-0.7,IF($C$16&lt;=50,-0.4,0.8)),-0.7),IF(DATOS!$C$14="DOS AGUAS",IF($C$16&lt;30,-0.7,IF($C$16&lt;=50,-0.4,0.8)),IF(DATOS!$C$19="SÍ",MIN(1.4*$C$17,0.9),IF($C$17&lt;0.2,-0.8,IF($C$17&lt;=0.3,-0.8,2*$C$17-0.3)))))))</f>
        <v>-0.7</v>
      </c>
      <c r="H35" s="42" t="n">
        <f aca="false">IF(DATOS!$C$14="PLANO",-0.7,IF(NOT(DATOS!$C$22="X"),-0.7,IF(DATOS!$C$14="UN AGUA",IF(N(DATOS!$C$25)=0,IF($C$16&lt;30,-0.7,IF($C$16&lt;=50,0.4,0.8)),-0.7),IF(DATOS!$C$14="DOS AGUAS",IF($C$16&lt;30,-0.7,IF($C$16&lt;=50,0.4,0.8)),IF(DATOS!$C$19="SÍ",MIN(1.4*$C$17,0.9),IF($C$17&lt;0.2,-0.8,IF($C$17&lt;=0.3,0.3,2*$C$17-0.3)))))))</f>
        <v>-0.7</v>
      </c>
      <c r="I35" s="41" t="str">
        <f aca="false">IF(DATOS!$C$14="PLANO","HORIZONTAL",IF(NOT(DATOS!$C$22="Z"),"PARALELO",IF(DATOS!$C$14="UN AGUA",IF(N(DATOS!$C$25)&gt;0,"BARLOVENTO","SOTAVENTO"),IF(DATOS!$C$14="DOS AGUAS","SOTAVENTO","A3 SOTAVENTO"))))</f>
        <v>SOTAVENTO</v>
      </c>
      <c r="J35" s="42" t="n">
        <f aca="false">IF(DATOS!$C$14="PLANO",-0.7,IF(NOT(DATOS!$C$22="Z"),-0.7,IF(DATOS!$C$14="UN AGUA",IF(N(DATOS!$C$25)&gt;0,IF($C$16&lt;30,-0.7,IF($C$16&lt;=50,-0.4,0.8)),-0.7),IF(DATOS!$C$14="DOS AGUAS",-0.7,-0.5))))</f>
        <v>-0.7</v>
      </c>
      <c r="K35" s="42" t="n">
        <f aca="false">IF(DATOS!$C$14="PLANO",-0.7,IF(NOT(DATOS!$C$22="Z"),-0.7,IF(DATOS!$C$14="UN AGUA",IF(N(DATOS!$C$25)&gt;0,IF($C$16&lt;30,-0.7,IF($C$16&lt;=50,0.4,0.8)),-0.7),IF(DATOS!$C$14="DOS AGUAS",-0.7,-0.5))))</f>
        <v>-0.7</v>
      </c>
      <c r="L35" s="41" t="str">
        <f aca="false">IF(DATOS!$C$14="PLANO","HORIZONTAL",IF(NOT(DATOS!$C$22="Z"),"PARALELO",IF(DATOS!$C$14="UN AGUA",IF(N(DATOS!$C$25)=0,"BARLOVENTO","SOTAVENTO"),IF(DATOS!$C$14="DOS AGUAS","BARLOVENTO","A1 BARLOVENTO"))))</f>
        <v>BARLOVENTO</v>
      </c>
      <c r="M35" s="42" t="n">
        <f aca="false">IF(DATOS!$C$14="PLANO",-0.7,IF(NOT(DATOS!$C$22="Z"),-0.7,IF(DATOS!$C$14="UN AGUA",IF(N(DATOS!$C$25)=0,IF($C$16&lt;30,-0.7,IF($C$16&lt;=50,-0.4,0.8)),-0.7),IF(DATOS!$C$14="DOS AGUAS",IF($C$16&lt;30,-0.7,IF($C$16&lt;=50,-0.4,0.8)),IF(DATOS!$C$19="SÍ",MIN(1.4*$C$17,0.9),IF($C$17&lt;0.2,-0.8,IF($C$17&lt;=0.3,-0.8,2*$C$17-0.3)))))))</f>
        <v>-0.7</v>
      </c>
      <c r="N35" s="42" t="n">
        <f aca="false">IF(DATOS!$C$14="PLANO",-0.7,IF(NOT(DATOS!$C$22="Z"),-0.7,IF(DATOS!$C$14="UN AGUA",IF(N(DATOS!$C$25)=0,IF($C$16&lt;30,-0.7,IF($C$16&lt;=50,0.4,0.8)),-0.7),IF(DATOS!$C$14="DOS AGUAS",IF($C$16&lt;30,-0.7,IF($C$16&lt;=50,0.4,0.8)),IF(DATOS!$C$19="SÍ",MIN(1.4*$C$17,0.9),IF($C$17&lt;0.2,-0.8,IF($C$17&lt;=0.3,0.3,2*$C$17-0.3)))))))</f>
        <v>-0.7</v>
      </c>
      <c r="O35" s="14" t="s">
        <v>97</v>
      </c>
    </row>
    <row r="36" customFormat="false" ht="15" hidden="false" customHeight="true" outlineLevel="0" collapsed="false"/>
    <row r="37" customFormat="false" ht="21" hidden="false" customHeight="true" outlineLevel="0" collapsed="false">
      <c r="B37" s="9" t="s">
        <v>318</v>
      </c>
      <c r="C37" s="9"/>
      <c r="D37" s="9"/>
      <c r="E37" s="9"/>
      <c r="F37" s="9"/>
      <c r="G37" s="9"/>
      <c r="H37" s="9"/>
      <c r="I37" s="9"/>
      <c r="J37" s="9"/>
      <c r="K37" s="9"/>
      <c r="L37" s="9"/>
      <c r="M37" s="9"/>
      <c r="N37" s="9"/>
      <c r="O37" s="9"/>
    </row>
    <row r="38" customFormat="false" ht="30" hidden="false" customHeight="true" outlineLevel="0" collapsed="false">
      <c r="B38" s="21" t="s">
        <v>319</v>
      </c>
      <c r="C38" s="21"/>
      <c r="D38" s="21"/>
      <c r="E38" s="21"/>
      <c r="F38" s="21"/>
      <c r="G38" s="21"/>
      <c r="H38" s="21"/>
      <c r="I38" s="21"/>
      <c r="J38" s="21"/>
      <c r="K38" s="21"/>
      <c r="L38" s="21"/>
      <c r="M38" s="21"/>
      <c r="N38" s="21"/>
      <c r="O38" s="21"/>
    </row>
    <row r="39" customFormat="false" ht="30" hidden="false" customHeight="true" outlineLevel="0" collapsed="false">
      <c r="B39" s="10" t="s">
        <v>311</v>
      </c>
      <c r="C39" s="10" t="str">
        <f aca="false">DATOS!$B$72</f>
        <v>LOAD 8</v>
      </c>
      <c r="D39" s="10" t="str">
        <f aca="false">DATOS!$B$73</f>
        <v>LOAD 9</v>
      </c>
      <c r="E39" s="10" t="str">
        <f aca="false">DATOS!$B$74</f>
        <v>LOAD 10</v>
      </c>
      <c r="F39" s="10" t="str">
        <f aca="false">DATOS!$B$75</f>
        <v>LOAD 11</v>
      </c>
      <c r="G39" s="10" t="str">
        <f aca="false">DATOS!$B$76</f>
        <v>LOAD 12</v>
      </c>
      <c r="H39" s="10" t="str">
        <f aca="false">DATOS!$B$77</f>
        <v>LOAD 13</v>
      </c>
      <c r="I39" s="10" t="str">
        <f aca="false">DATOS!$B$78</f>
        <v>LOAD 14</v>
      </c>
      <c r="J39" s="10" t="str">
        <f aca="false">DATOS!$B$79</f>
        <v>LOAD 15</v>
      </c>
      <c r="O39" s="10" t="s">
        <v>75</v>
      </c>
    </row>
    <row r="40" customFormat="false" ht="16.5" hidden="false" customHeight="true" outlineLevel="0" collapsed="false">
      <c r="B40" s="43" t="s">
        <v>172</v>
      </c>
      <c r="C40" s="20" t="str">
        <f aca="false">DATOS!$C$72</f>
        <v>+X</v>
      </c>
      <c r="D40" s="20" t="str">
        <f aca="false">DATOS!$C$73</f>
        <v>−X</v>
      </c>
      <c r="E40" s="20" t="str">
        <f aca="false">DATOS!$C$74</f>
        <v>+Z</v>
      </c>
      <c r="F40" s="20" t="str">
        <f aca="false">DATOS!$C$75</f>
        <v>−Z</v>
      </c>
      <c r="G40" s="20" t="str">
        <f aca="false">DATOS!$C$76</f>
        <v>+X</v>
      </c>
      <c r="H40" s="20" t="str">
        <f aca="false">DATOS!$C$77</f>
        <v>−X</v>
      </c>
      <c r="I40" s="20" t="str">
        <f aca="false">DATOS!$C$78</f>
        <v>+Z</v>
      </c>
      <c r="J40" s="20" t="str">
        <f aca="false">DATOS!$C$79</f>
        <v>−Z</v>
      </c>
    </row>
    <row r="41" customFormat="false" ht="16.5" hidden="false" customHeight="true" outlineLevel="0" collapsed="false">
      <c r="B41" s="43" t="s">
        <v>173</v>
      </c>
      <c r="C41" s="41" t="str">
        <f aca="false">DATOS!$D$72</f>
        <v>CERRADAS</v>
      </c>
      <c r="D41" s="41" t="str">
        <f aca="false">DATOS!$D$73</f>
        <v>CERRADAS</v>
      </c>
      <c r="E41" s="41" t="str">
        <f aca="false">DATOS!$D$74</f>
        <v>CERRADAS</v>
      </c>
      <c r="F41" s="41" t="str">
        <f aca="false">DATOS!$D$75</f>
        <v>CERRADAS</v>
      </c>
      <c r="G41" s="41" t="str">
        <f aca="false">DATOS!$D$76</f>
        <v>ABIERTAS (PA)</v>
      </c>
      <c r="H41" s="41" t="str">
        <f aca="false">DATOS!$D$77</f>
        <v>ABIERTAS (PA)</v>
      </c>
      <c r="I41" s="41" t="str">
        <f aca="false">DATOS!$D$78</f>
        <v>ABIERTAS (PA)</v>
      </c>
      <c r="J41" s="41" t="str">
        <f aca="false">DATOS!$D$79</f>
        <v>ABIERTAS (PA)</v>
      </c>
    </row>
    <row r="42" customFormat="false" ht="24.75" hidden="false" customHeight="true" outlineLevel="0" collapsed="false">
      <c r="B42" s="43" t="s">
        <v>320</v>
      </c>
      <c r="C42" s="37" t="n">
        <f aca="false">ABERTURAS!$L$60</f>
        <v>-0.5</v>
      </c>
      <c r="D42" s="37" t="n">
        <f aca="false">ABERTURAS!$L$61</f>
        <v>-0.5</v>
      </c>
      <c r="E42" s="37" t="n">
        <f aca="false">ABERTURAS!$L$62</f>
        <v>-0.6</v>
      </c>
      <c r="F42" s="37" t="n">
        <f aca="false">ABERTURAS!$L$63</f>
        <v>0.75</v>
      </c>
      <c r="G42" s="37" t="n">
        <f aca="false">ABERTURAS!$L$64</f>
        <v>-0.5</v>
      </c>
      <c r="H42" s="37" t="n">
        <f aca="false">ABERTURAS!$L$65</f>
        <v>-0.5</v>
      </c>
      <c r="I42" s="37" t="n">
        <f aca="false">ABERTURAS!$L$66</f>
        <v>-0.6</v>
      </c>
      <c r="J42" s="37" t="n">
        <f aca="false">ABERTURAS!$L$67</f>
        <v>0.75</v>
      </c>
      <c r="O42" s="14" t="s">
        <v>321</v>
      </c>
    </row>
    <row r="43" customFormat="false" ht="24.75" hidden="false" customHeight="true" outlineLevel="0" collapsed="false">
      <c r="B43" s="11" t="s">
        <v>322</v>
      </c>
      <c r="C43" s="44" t="n">
        <f aca="false">$D$28*IF($D$28&gt;0,$C$9,$C$15)-C$42*$C$12</f>
        <v>-9.18395091555623</v>
      </c>
      <c r="D43" s="44" t="n">
        <f aca="false">$G$28*IF($G$28&gt;0,$C$9,$C$15)-D$42*$C$12</f>
        <v>-9.18395091555623</v>
      </c>
      <c r="E43" s="44" t="n">
        <f aca="false">$J$28*IF($J$28&gt;0,$C$9,$C$15)-E$42*$C$12</f>
        <v>67.6992589013325</v>
      </c>
      <c r="F43" s="44" t="n">
        <f aca="false">$M$28*IF($M$28&gt;0,$C$9,$C$15)-F$42*$C$12</f>
        <v>-60.6240736266657</v>
      </c>
      <c r="G43" s="44" t="n">
        <f aca="false">$D$28*IF($D$28&gt;0,$C$9,$C$15)-G$42*$C$12</f>
        <v>-9.18395091555623</v>
      </c>
      <c r="H43" s="44" t="n">
        <f aca="false">$G$28*IF($G$28&gt;0,$C$9,$C$15)-H$42*$C$12</f>
        <v>-9.18395091555623</v>
      </c>
      <c r="I43" s="44" t="n">
        <f aca="false">$J$28*IF($J$28&gt;0,$C$9,$C$15)-I$42*$C$12</f>
        <v>67.6992589013325</v>
      </c>
      <c r="J43" s="44" t="n">
        <f aca="false">$M$28*IF($M$28&gt;0,$C$9,$C$15)-J$42*$C$12</f>
        <v>-60.6240736266657</v>
      </c>
      <c r="O43" s="14" t="s">
        <v>323</v>
      </c>
    </row>
    <row r="44" customFormat="false" ht="24.75" hidden="false" customHeight="true" outlineLevel="0" collapsed="false">
      <c r="B44" s="11" t="s">
        <v>324</v>
      </c>
      <c r="C44" s="44" t="n">
        <f aca="false">$D$29*IF($D$29&gt;0,$C$9,$C$15)-C$42*$C$12</f>
        <v>-9.18395091555623</v>
      </c>
      <c r="D44" s="44" t="n">
        <f aca="false">$G$29*IF($G$29&gt;0,$C$9,$C$15)-D$42*$C$12</f>
        <v>-9.18395091555623</v>
      </c>
      <c r="E44" s="44" t="n">
        <f aca="false">$J$29*IF($J$29&gt;0,$C$9,$C$15)-E$42*$C$12</f>
        <v>5.29925890133251</v>
      </c>
      <c r="F44" s="44" t="n">
        <f aca="false">$M$29*IF($M$29&gt;0,$C$9,$C$15)-F$42*$C$12</f>
        <v>1.77592637333436</v>
      </c>
      <c r="G44" s="44" t="n">
        <f aca="false">$D$29*IF($D$29&gt;0,$C$9,$C$15)-G$42*$C$12</f>
        <v>-9.18395091555623</v>
      </c>
      <c r="H44" s="44" t="n">
        <f aca="false">$G$29*IF($G$29&gt;0,$C$9,$C$15)-H$42*$C$12</f>
        <v>-9.18395091555623</v>
      </c>
      <c r="I44" s="44" t="n">
        <f aca="false">$J$29*IF($J$29&gt;0,$C$9,$C$15)-I$42*$C$12</f>
        <v>5.29925890133251</v>
      </c>
      <c r="J44" s="44" t="n">
        <f aca="false">$M$29*IF($M$29&gt;0,$C$9,$C$15)-J$42*$C$12</f>
        <v>1.77592637333436</v>
      </c>
      <c r="O44" s="14" t="s">
        <v>323</v>
      </c>
    </row>
    <row r="45" customFormat="false" ht="29.25" hidden="false" customHeight="true" outlineLevel="0" collapsed="false">
      <c r="B45" s="11" t="s">
        <v>325</v>
      </c>
      <c r="C45" s="44" t="n">
        <f aca="false">$D$30*IF($D$30&gt;0,$C$9,$C$15)-C$42*$C$12</f>
        <v>62.8160490844438</v>
      </c>
      <c r="D45" s="44" t="n">
        <f aca="false">$G$30*IF($G$30&gt;0,$C$9,$C$15)-D$42*$C$12</f>
        <v>0.416049084443763</v>
      </c>
      <c r="E45" s="44" t="n">
        <f aca="false">$J$30*IF($J$30&gt;0,$C$9,$C$15)-E$42*$C$12</f>
        <v>-4.30074109866748</v>
      </c>
      <c r="F45" s="44" t="n">
        <f aca="false">$M$30*IF($M$30&gt;0,$C$9,$C$15)-F$42*$C$12</f>
        <v>-70.2240736266656</v>
      </c>
      <c r="G45" s="44" t="n">
        <f aca="false">$D$30*IF($D$30&gt;0,$C$9,$C$15)-G$42*$C$12</f>
        <v>62.8160490844438</v>
      </c>
      <c r="H45" s="44" t="n">
        <f aca="false">$G$30*IF($G$30&gt;0,$C$9,$C$15)-H$42*$C$12</f>
        <v>0.416049084443763</v>
      </c>
      <c r="I45" s="44" t="n">
        <f aca="false">$J$30*IF($J$30&gt;0,$C$9,$C$15)-I$42*$C$12</f>
        <v>-4.30074109866748</v>
      </c>
      <c r="J45" s="44" t="n">
        <f aca="false">$M$30*IF($M$30&gt;0,$C$9,$C$15)-J$42*$C$12</f>
        <v>-70.2240736266656</v>
      </c>
      <c r="O45" s="14" t="s">
        <v>323</v>
      </c>
    </row>
    <row r="46" customFormat="false" ht="24.75" hidden="false" customHeight="true" outlineLevel="0" collapsed="false">
      <c r="B46" s="11" t="s">
        <v>326</v>
      </c>
      <c r="C46" s="44" t="n">
        <f aca="false">$D$31*IF($D$31&gt;0,$C$9,$C$15)-C$42*$C$12</f>
        <v>0.416049084443763</v>
      </c>
      <c r="D46" s="44" t="n">
        <f aca="false">$G$31*IF($G$31&gt;0,$C$9,$C$15)-D$42*$C$12</f>
        <v>62.8160490844438</v>
      </c>
      <c r="E46" s="44" t="n">
        <f aca="false">$J$31*IF($J$31&gt;0,$C$9,$C$15)-E$42*$C$12</f>
        <v>-4.30074109866748</v>
      </c>
      <c r="F46" s="44" t="n">
        <f aca="false">$M$31*IF($M$31&gt;0,$C$9,$C$15)-F$42*$C$12</f>
        <v>-70.2240736266656</v>
      </c>
      <c r="G46" s="44" t="n">
        <f aca="false">$D$31*IF($D$31&gt;0,$C$9,$C$15)-G$42*$C$12</f>
        <v>0.416049084443763</v>
      </c>
      <c r="H46" s="44" t="n">
        <f aca="false">$G$31*IF($G$31&gt;0,$C$9,$C$15)-H$42*$C$12</f>
        <v>62.8160490844438</v>
      </c>
      <c r="I46" s="44" t="n">
        <f aca="false">$J$31*IF($J$31&gt;0,$C$9,$C$15)-I$42*$C$12</f>
        <v>-4.30074109866748</v>
      </c>
      <c r="J46" s="44" t="n">
        <f aca="false">$M$31*IF($M$31&gt;0,$C$9,$C$15)-J$42*$C$12</f>
        <v>-70.2240736266656</v>
      </c>
      <c r="O46" s="14" t="s">
        <v>323</v>
      </c>
    </row>
    <row r="47" customFormat="false" ht="24.75" hidden="false" customHeight="true" outlineLevel="0" collapsed="false">
      <c r="B47" s="11" t="s">
        <v>327</v>
      </c>
      <c r="C47" s="45" t="n">
        <f aca="false">$D$28*IF($D$28&gt;0,$C$9*IF(ABERTURAS!$F$51&lt;=10,1,(ABERTURAS!$F$51/10)^(2/DATOS!$C$56)),$C$15)-C$42*$C$12</f>
        <v>-9.18395091555623</v>
      </c>
      <c r="D47" s="45" t="n">
        <f aca="false">$G$28*IF($G$28&gt;0,$C$9*IF(ABERTURAS!$F$51&lt;=10,1,(ABERTURAS!$F$51/10)^(2/DATOS!$C$56)),$C$15)-D$42*$C$12</f>
        <v>-9.18395091555623</v>
      </c>
      <c r="E47" s="45" t="n">
        <f aca="false">$J$28*IF($J$28&gt;0,$C$9*IF(ABERTURAS!$F$51&lt;=10,1,(ABERTURAS!$F$51/10)^(2/DATOS!$C$56)),$C$15)-E$42*$C$12</f>
        <v>68.3649374364426</v>
      </c>
      <c r="F47" s="45" t="n">
        <f aca="false">$M$28*IF($M$28&gt;0,$C$9*IF(ABERTURAS!$F$51&lt;=10,1,(ABERTURAS!$F$51/10)^(2/DATOS!$C$56)),$C$15)-F$42*$C$12</f>
        <v>-60.6240736266657</v>
      </c>
      <c r="G47" s="45" t="n">
        <f aca="false">$D$28*IF($D$28&gt;0,$C$9*IF(ABERTURAS!$F$51&lt;=10,1,(ABERTURAS!$F$51/10)^(2/DATOS!$C$56)),$C$15)-G$42*$C$12</f>
        <v>-9.18395091555623</v>
      </c>
      <c r="H47" s="45" t="n">
        <f aca="false">$G$28*IF($G$28&gt;0,$C$9*IF(ABERTURAS!$F$51&lt;=10,1,(ABERTURAS!$F$51/10)^(2/DATOS!$C$56)),$C$15)-H$42*$C$12</f>
        <v>-9.18395091555623</v>
      </c>
      <c r="I47" s="45" t="n">
        <f aca="false">$J$28*IF($J$28&gt;0,$C$9*IF(ABERTURAS!$F$51&lt;=10,1,(ABERTURAS!$F$51/10)^(2/DATOS!$C$56)),$C$15)-I$42*$C$12</f>
        <v>68.3649374364426</v>
      </c>
      <c r="J47" s="45" t="n">
        <f aca="false">$M$28*IF($M$28&gt;0,$C$9*IF(ABERTURAS!$F$51&lt;=10,1,(ABERTURAS!$F$51/10)^(2/DATOS!$C$56)),$C$15)-J$42*$C$12</f>
        <v>-60.6240736266657</v>
      </c>
      <c r="O47" s="14" t="s">
        <v>328</v>
      </c>
    </row>
    <row r="48" customFormat="false" ht="24.75" hidden="false" customHeight="true" outlineLevel="0" collapsed="false">
      <c r="B48" s="11" t="s">
        <v>329</v>
      </c>
      <c r="C48" s="45" t="n">
        <f aca="false">$D$29*IF($D$29&gt;0,$C$9*IF(ABERTURAS!$F$52&lt;=10,1,(ABERTURAS!$F$52/10)^(2/DATOS!$C$56)),$C$15)-C$42*$C$12</f>
        <v>-9.18395091555623</v>
      </c>
      <c r="D48" s="45" t="n">
        <f aca="false">$G$29*IF($G$29&gt;0,$C$9*IF(ABERTURAS!$F$52&lt;=10,1,(ABERTURAS!$F$52/10)^(2/DATOS!$C$56)),$C$15)-D$42*$C$12</f>
        <v>-9.18395091555623</v>
      </c>
      <c r="E48" s="45" t="n">
        <f aca="false">$J$29*IF($J$29&gt;0,$C$9*IF(ABERTURAS!$F$52&lt;=10,1,(ABERTURAS!$F$52/10)^(2/DATOS!$C$56)),$C$15)-E$42*$C$12</f>
        <v>5.29925890133251</v>
      </c>
      <c r="F48" s="45" t="n">
        <f aca="false">$M$29*IF($M$29&gt;0,$C$9*IF(ABERTURAS!$F$52&lt;=10,1,(ABERTURAS!$F$52/10)^(2/DATOS!$C$56)),$C$15)-F$42*$C$12</f>
        <v>1.77592637333436</v>
      </c>
      <c r="G48" s="45" t="n">
        <f aca="false">$D$29*IF($D$29&gt;0,$C$9*IF(ABERTURAS!$F$52&lt;=10,1,(ABERTURAS!$F$52/10)^(2/DATOS!$C$56)),$C$15)-G$42*$C$12</f>
        <v>-9.18395091555623</v>
      </c>
      <c r="H48" s="45" t="n">
        <f aca="false">$G$29*IF($G$29&gt;0,$C$9*IF(ABERTURAS!$F$52&lt;=10,1,(ABERTURAS!$F$52/10)^(2/DATOS!$C$56)),$C$15)-H$42*$C$12</f>
        <v>-9.18395091555623</v>
      </c>
      <c r="I48" s="45" t="n">
        <f aca="false">$J$29*IF($J$29&gt;0,$C$9*IF(ABERTURAS!$F$52&lt;=10,1,(ABERTURAS!$F$52/10)^(2/DATOS!$C$56)),$C$15)-I$42*$C$12</f>
        <v>5.29925890133251</v>
      </c>
      <c r="J48" s="45" t="n">
        <f aca="false">$M$29*IF($M$29&gt;0,$C$9*IF(ABERTURAS!$F$52&lt;=10,1,(ABERTURAS!$F$52/10)^(2/DATOS!$C$56)),$C$15)-J$42*$C$12</f>
        <v>1.77592637333436</v>
      </c>
      <c r="O48" s="14" t="s">
        <v>328</v>
      </c>
    </row>
    <row r="49" customFormat="false" ht="29.25" hidden="false" customHeight="true" outlineLevel="0" collapsed="false">
      <c r="B49" s="11" t="s">
        <v>330</v>
      </c>
      <c r="C49" s="45" t="n">
        <f aca="false">$D$30*IF($D$30&gt;0,$C$9*IF(ABERTURAS!$F$53&lt;=10,1,(ABERTURAS!$F$53/10)^(2/DATOS!$C$56)),$C$15)-C$42*$C$12</f>
        <v>63.4817276195538</v>
      </c>
      <c r="D49" s="45" t="n">
        <f aca="false">$G$30*IF($G$30&gt;0,$C$9*IF(ABERTURAS!$F$53&lt;=10,1,(ABERTURAS!$F$53/10)^(2/DATOS!$C$56)),$C$15)-D$42*$C$12</f>
        <v>0.416049084443763</v>
      </c>
      <c r="E49" s="45" t="n">
        <f aca="false">$J$30*IF($J$30&gt;0,$C$9*IF(ABERTURAS!$F$53&lt;=10,1,(ABERTURAS!$F$53/10)^(2/DATOS!$C$56)),$C$15)-E$42*$C$12</f>
        <v>-4.30074109866748</v>
      </c>
      <c r="F49" s="45" t="n">
        <f aca="false">$M$30*IF($M$30&gt;0,$C$9*IF(ABERTURAS!$F$53&lt;=10,1,(ABERTURAS!$F$53/10)^(2/DATOS!$C$56)),$C$15)-F$42*$C$12</f>
        <v>-70.2240736266656</v>
      </c>
      <c r="G49" s="45" t="n">
        <f aca="false">$D$30*IF($D$30&gt;0,$C$9*IF(ABERTURAS!$F$53&lt;=10,1,(ABERTURAS!$F$53/10)^(2/DATOS!$C$56)),$C$15)-G$42*$C$12</f>
        <v>63.4817276195538</v>
      </c>
      <c r="H49" s="45" t="n">
        <f aca="false">$G$30*IF($G$30&gt;0,$C$9*IF(ABERTURAS!$F$53&lt;=10,1,(ABERTURAS!$F$53/10)^(2/DATOS!$C$56)),$C$15)-H$42*$C$12</f>
        <v>0.416049084443763</v>
      </c>
      <c r="I49" s="45" t="n">
        <f aca="false">$J$30*IF($J$30&gt;0,$C$9*IF(ABERTURAS!$F$53&lt;=10,1,(ABERTURAS!$F$53/10)^(2/DATOS!$C$56)),$C$15)-I$42*$C$12</f>
        <v>-4.30074109866748</v>
      </c>
      <c r="J49" s="45" t="n">
        <f aca="false">$M$30*IF($M$30&gt;0,$C$9*IF(ABERTURAS!$F$53&lt;=10,1,(ABERTURAS!$F$53/10)^(2/DATOS!$C$56)),$C$15)-J$42*$C$12</f>
        <v>-70.2240736266656</v>
      </c>
      <c r="O49" s="14" t="s">
        <v>328</v>
      </c>
    </row>
    <row r="50" customFormat="false" ht="24.75" hidden="false" customHeight="true" outlineLevel="0" collapsed="false">
      <c r="B50" s="11" t="s">
        <v>331</v>
      </c>
      <c r="C50" s="45" t="n">
        <f aca="false">$D$31*IF($D$31&gt;0,$C$9*IF(ABERTURAS!$F$54&lt;=10,1,(ABERTURAS!$F$54/10)^(2/DATOS!$C$56)),$C$15)-C$42*$C$12</f>
        <v>0.416049084443763</v>
      </c>
      <c r="D50" s="45" t="n">
        <f aca="false">$G$31*IF($G$31&gt;0,$C$9*IF(ABERTURAS!$F$54&lt;=10,1,(ABERTURAS!$F$54/10)^(2/DATOS!$C$56)),$C$15)-D$42*$C$12</f>
        <v>63.4817276195538</v>
      </c>
      <c r="E50" s="45" t="n">
        <f aca="false">$J$31*IF($J$31&gt;0,$C$9*IF(ABERTURAS!$F$54&lt;=10,1,(ABERTURAS!$F$54/10)^(2/DATOS!$C$56)),$C$15)-E$42*$C$12</f>
        <v>-4.30074109866748</v>
      </c>
      <c r="F50" s="45" t="n">
        <f aca="false">$M$31*IF($M$31&gt;0,$C$9*IF(ABERTURAS!$F$54&lt;=10,1,(ABERTURAS!$F$54/10)^(2/DATOS!$C$56)),$C$15)-F$42*$C$12</f>
        <v>-70.2240736266656</v>
      </c>
      <c r="G50" s="45" t="n">
        <f aca="false">$D$31*IF($D$31&gt;0,$C$9*IF(ABERTURAS!$F$54&lt;=10,1,(ABERTURAS!$F$54/10)^(2/DATOS!$C$56)),$C$15)-G$42*$C$12</f>
        <v>0.416049084443763</v>
      </c>
      <c r="H50" s="45" t="n">
        <f aca="false">$G$31*IF($G$31&gt;0,$C$9*IF(ABERTURAS!$F$54&lt;=10,1,(ABERTURAS!$F$54/10)^(2/DATOS!$C$56)),$C$15)-H$42*$C$12</f>
        <v>63.4817276195538</v>
      </c>
      <c r="I50" s="45" t="n">
        <f aca="false">$J$31*IF($J$31&gt;0,$C$9*IF(ABERTURAS!$F$54&lt;=10,1,(ABERTURAS!$F$54/10)^(2/DATOS!$C$56)),$C$15)-I$42*$C$12</f>
        <v>-4.30074109866748</v>
      </c>
      <c r="J50" s="45" t="n">
        <f aca="false">$M$31*IF($M$31&gt;0,$C$9*IF(ABERTURAS!$F$54&lt;=10,1,(ABERTURAS!$F$54/10)^(2/DATOS!$C$56)),$C$15)-J$42*$C$12</f>
        <v>-70.2240736266656</v>
      </c>
      <c r="O50" s="14" t="s">
        <v>328</v>
      </c>
    </row>
    <row r="51" customFormat="false" ht="24.75" hidden="false" customHeight="true" outlineLevel="0" collapsed="false">
      <c r="B51" s="11" t="s">
        <v>332</v>
      </c>
      <c r="C51" s="44" t="n">
        <f aca="false">($D$32-C$42)*$C$12</f>
        <v>-9.7664196337775</v>
      </c>
      <c r="D51" s="44" t="n">
        <f aca="false">($G$32-D$42)*$C$12</f>
        <v>-9.7664196337775</v>
      </c>
      <c r="E51" s="44" t="n">
        <f aca="false">($J$32-E$42)*$C$12</f>
        <v>-4.88320981688875</v>
      </c>
      <c r="F51" s="44" t="n">
        <f aca="false">($M$32-F$42)*$C$12</f>
        <v>-70.8065423448869</v>
      </c>
      <c r="G51" s="44" t="n">
        <f aca="false">($D$32-G$42)*$C$12</f>
        <v>-9.7664196337775</v>
      </c>
      <c r="H51" s="44" t="n">
        <f aca="false">($G$32-H$42)*$C$12</f>
        <v>-9.7664196337775</v>
      </c>
      <c r="I51" s="44" t="n">
        <f aca="false">($J$32-I$42)*$C$12</f>
        <v>-4.88320981688875</v>
      </c>
      <c r="J51" s="44" t="n">
        <f aca="false">($M$32-J$42)*$C$12</f>
        <v>-70.8065423448869</v>
      </c>
      <c r="O51" s="14" t="s">
        <v>333</v>
      </c>
    </row>
    <row r="52" customFormat="false" ht="24.75" hidden="false" customHeight="true" outlineLevel="0" collapsed="false">
      <c r="B52" s="11" t="s">
        <v>334</v>
      </c>
      <c r="C52" s="44" t="n">
        <f aca="false">($D$33-C$42)*$C$12</f>
        <v>-9.7664196337775</v>
      </c>
      <c r="D52" s="44" t="n">
        <f aca="false">($G$33-D$42)*$C$12</f>
        <v>-9.7664196337775</v>
      </c>
      <c r="E52" s="44" t="n">
        <f aca="false">($J$33-E$42)*$C$12</f>
        <v>-4.88320981688875</v>
      </c>
      <c r="F52" s="44" t="n">
        <f aca="false">($M$33-F$42)*$C$12</f>
        <v>-70.8065423448869</v>
      </c>
      <c r="G52" s="44" t="n">
        <f aca="false">($D$33-G$42)*$C$12</f>
        <v>-9.7664196337775</v>
      </c>
      <c r="H52" s="44" t="n">
        <f aca="false">($G$33-H$42)*$C$12</f>
        <v>-9.7664196337775</v>
      </c>
      <c r="I52" s="44" t="n">
        <f aca="false">($J$33-I$42)*$C$12</f>
        <v>-4.88320981688875</v>
      </c>
      <c r="J52" s="44" t="n">
        <f aca="false">($M$33-J$42)*$C$12</f>
        <v>-70.8065423448869</v>
      </c>
      <c r="O52" s="14" t="s">
        <v>333</v>
      </c>
    </row>
    <row r="53" customFormat="false" ht="24.75" hidden="false" customHeight="true" outlineLevel="0" collapsed="false">
      <c r="B53" s="11" t="s">
        <v>335</v>
      </c>
      <c r="C53" s="44" t="n">
        <f aca="false">($D$34-C$42)*$C$12</f>
        <v>-9.7664196337775</v>
      </c>
      <c r="D53" s="44" t="n">
        <f aca="false">($G$34-D$42)*$C$12</f>
        <v>-9.7664196337775</v>
      </c>
      <c r="E53" s="44" t="n">
        <f aca="false">($J$34-E$42)*$C$12</f>
        <v>-4.88320981688875</v>
      </c>
      <c r="F53" s="44" t="n">
        <f aca="false">($M$34-F$42)*$C$12</f>
        <v>-70.8065423448869</v>
      </c>
      <c r="G53" s="44" t="n">
        <f aca="false">($D$34-G$42)*$C$12</f>
        <v>-9.7664196337775</v>
      </c>
      <c r="H53" s="44" t="n">
        <f aca="false">($G$34-H$42)*$C$12</f>
        <v>-9.7664196337775</v>
      </c>
      <c r="I53" s="44" t="n">
        <f aca="false">($J$34-I$42)*$C$12</f>
        <v>-4.88320981688875</v>
      </c>
      <c r="J53" s="44" t="n">
        <f aca="false">($M$34-J$42)*$C$12</f>
        <v>-70.8065423448869</v>
      </c>
      <c r="O53" s="14" t="s">
        <v>333</v>
      </c>
    </row>
    <row r="54" customFormat="false" ht="24.75" hidden="false" customHeight="true" outlineLevel="0" collapsed="false">
      <c r="B54" s="11" t="s">
        <v>336</v>
      </c>
      <c r="C54" s="44" t="n">
        <f aca="false">($D$35-C$42)*$C$12</f>
        <v>-9.7664196337775</v>
      </c>
      <c r="D54" s="44" t="n">
        <f aca="false">($G$35-D$42)*$C$12</f>
        <v>-9.7664196337775</v>
      </c>
      <c r="E54" s="44" t="n">
        <f aca="false">($J$35-E$42)*$C$12</f>
        <v>-4.88320981688875</v>
      </c>
      <c r="F54" s="44" t="n">
        <f aca="false">($M$35-F$42)*$C$12</f>
        <v>-70.8065423448869</v>
      </c>
      <c r="G54" s="44" t="n">
        <f aca="false">($D$35-G$42)*$C$12</f>
        <v>-9.7664196337775</v>
      </c>
      <c r="H54" s="44" t="n">
        <f aca="false">($G$35-H$42)*$C$12</f>
        <v>-9.7664196337775</v>
      </c>
      <c r="I54" s="44" t="n">
        <f aca="false">($J$35-I$42)*$C$12</f>
        <v>-4.88320981688875</v>
      </c>
      <c r="J54" s="44" t="n">
        <f aca="false">($M$35-J$42)*$C$12</f>
        <v>-70.8065423448869</v>
      </c>
      <c r="O54" s="14" t="s">
        <v>333</v>
      </c>
    </row>
    <row r="55" customFormat="false" ht="24.75" hidden="false" customHeight="true" outlineLevel="0" collapsed="false">
      <c r="B55" s="11" t="s">
        <v>337</v>
      </c>
      <c r="C55" s="45" t="n">
        <f aca="false">($E$32-C$42)*$C$12</f>
        <v>-9.7664196337775</v>
      </c>
      <c r="D55" s="45" t="n">
        <f aca="false">($H$32-D$42)*$C$12</f>
        <v>-9.7664196337775</v>
      </c>
      <c r="E55" s="45" t="n">
        <f aca="false">($K$32-E$42)*$C$12</f>
        <v>-4.88320981688875</v>
      </c>
      <c r="F55" s="45" t="n">
        <f aca="false">($N$32-F$42)*$C$12</f>
        <v>-70.8065423448869</v>
      </c>
      <c r="G55" s="45" t="n">
        <f aca="false">($E$32-G$42)*$C$12</f>
        <v>-9.7664196337775</v>
      </c>
      <c r="H55" s="45" t="n">
        <f aca="false">($H$32-H$42)*$C$12</f>
        <v>-9.7664196337775</v>
      </c>
      <c r="I55" s="45" t="n">
        <f aca="false">($K$32-I$42)*$C$12</f>
        <v>-4.88320981688875</v>
      </c>
      <c r="J55" s="45" t="n">
        <f aca="false">($N$32-J$42)*$C$12</f>
        <v>-70.8065423448869</v>
      </c>
      <c r="O55" s="14" t="s">
        <v>333</v>
      </c>
    </row>
    <row r="56" customFormat="false" ht="24.75" hidden="false" customHeight="true" outlineLevel="0" collapsed="false">
      <c r="B56" s="11" t="s">
        <v>338</v>
      </c>
      <c r="C56" s="45" t="n">
        <f aca="false">($E$33-C$42)*$C$12</f>
        <v>-9.7664196337775</v>
      </c>
      <c r="D56" s="45" t="n">
        <f aca="false">($H$33-D$42)*$C$12</f>
        <v>-9.7664196337775</v>
      </c>
      <c r="E56" s="45" t="n">
        <f aca="false">($K$33-E$42)*$C$12</f>
        <v>-4.88320981688875</v>
      </c>
      <c r="F56" s="45" t="n">
        <f aca="false">($N$33-F$42)*$C$12</f>
        <v>-70.8065423448869</v>
      </c>
      <c r="G56" s="45" t="n">
        <f aca="false">($E$33-G$42)*$C$12</f>
        <v>-9.7664196337775</v>
      </c>
      <c r="H56" s="45" t="n">
        <f aca="false">($H$33-H$42)*$C$12</f>
        <v>-9.7664196337775</v>
      </c>
      <c r="I56" s="45" t="n">
        <f aca="false">($K$33-I$42)*$C$12</f>
        <v>-4.88320981688875</v>
      </c>
      <c r="J56" s="45" t="n">
        <f aca="false">($N$33-J$42)*$C$12</f>
        <v>-70.8065423448869</v>
      </c>
      <c r="O56" s="14" t="s">
        <v>333</v>
      </c>
    </row>
    <row r="57" customFormat="false" ht="24.75" hidden="false" customHeight="true" outlineLevel="0" collapsed="false">
      <c r="B57" s="11" t="s">
        <v>339</v>
      </c>
      <c r="C57" s="45" t="n">
        <f aca="false">($E$34-C$42)*$C$12</f>
        <v>-9.7664196337775</v>
      </c>
      <c r="D57" s="45" t="n">
        <f aca="false">($H$34-D$42)*$C$12</f>
        <v>-9.7664196337775</v>
      </c>
      <c r="E57" s="45" t="n">
        <f aca="false">($K$34-E$42)*$C$12</f>
        <v>-4.88320981688875</v>
      </c>
      <c r="F57" s="45" t="n">
        <f aca="false">($N$34-F$42)*$C$12</f>
        <v>-70.8065423448869</v>
      </c>
      <c r="G57" s="45" t="n">
        <f aca="false">($E$34-G$42)*$C$12</f>
        <v>-9.7664196337775</v>
      </c>
      <c r="H57" s="45" t="n">
        <f aca="false">($H$34-H$42)*$C$12</f>
        <v>-9.7664196337775</v>
      </c>
      <c r="I57" s="45" t="n">
        <f aca="false">($K$34-I$42)*$C$12</f>
        <v>-4.88320981688875</v>
      </c>
      <c r="J57" s="45" t="n">
        <f aca="false">($N$34-J$42)*$C$12</f>
        <v>-70.8065423448869</v>
      </c>
      <c r="O57" s="14" t="s">
        <v>333</v>
      </c>
    </row>
    <row r="58" customFormat="false" ht="24.75" hidden="false" customHeight="true" outlineLevel="0" collapsed="false">
      <c r="B58" s="11" t="s">
        <v>340</v>
      </c>
      <c r="C58" s="45" t="n">
        <f aca="false">($E$35-C$42)*$C$12</f>
        <v>-9.7664196337775</v>
      </c>
      <c r="D58" s="45" t="n">
        <f aca="false">($H$35-D$42)*$C$12</f>
        <v>-9.7664196337775</v>
      </c>
      <c r="E58" s="45" t="n">
        <f aca="false">($K$35-E$42)*$C$12</f>
        <v>-4.88320981688875</v>
      </c>
      <c r="F58" s="45" t="n">
        <f aca="false">($N$35-F$42)*$C$12</f>
        <v>-70.8065423448869</v>
      </c>
      <c r="G58" s="45" t="n">
        <f aca="false">($E$35-G$42)*$C$12</f>
        <v>-9.7664196337775</v>
      </c>
      <c r="H58" s="45" t="n">
        <f aca="false">($H$35-H$42)*$C$12</f>
        <v>-9.7664196337775</v>
      </c>
      <c r="I58" s="45" t="n">
        <f aca="false">($K$35-I$42)*$C$12</f>
        <v>-4.88320981688875</v>
      </c>
      <c r="J58" s="45" t="n">
        <f aca="false">($N$35-J$42)*$C$12</f>
        <v>-70.8065423448869</v>
      </c>
      <c r="O58" s="14" t="s">
        <v>333</v>
      </c>
    </row>
    <row r="59" customFormat="false" ht="15" hidden="false" customHeight="true" outlineLevel="0" collapsed="false"/>
    <row r="60" customFormat="false" ht="21" hidden="false" customHeight="true" outlineLevel="0" collapsed="false">
      <c r="B60" s="9" t="s">
        <v>341</v>
      </c>
      <c r="C60" s="9"/>
      <c r="D60" s="9"/>
      <c r="E60" s="9"/>
      <c r="F60" s="9"/>
      <c r="G60" s="9"/>
      <c r="H60" s="9"/>
      <c r="I60" s="9"/>
      <c r="J60" s="9"/>
      <c r="K60" s="9"/>
      <c r="L60" s="9"/>
      <c r="M60" s="9"/>
      <c r="N60" s="9"/>
      <c r="O60" s="9"/>
    </row>
    <row r="61" customFormat="false" ht="30" hidden="false" customHeight="true" outlineLevel="0" collapsed="false">
      <c r="B61" s="21" t="s">
        <v>342</v>
      </c>
      <c r="C61" s="21"/>
      <c r="D61" s="21"/>
      <c r="E61" s="21"/>
      <c r="F61" s="21"/>
      <c r="G61" s="21"/>
      <c r="H61" s="21"/>
      <c r="I61" s="21"/>
      <c r="J61" s="21"/>
      <c r="K61" s="21"/>
      <c r="L61" s="21"/>
      <c r="M61" s="21"/>
      <c r="N61" s="21"/>
      <c r="O61" s="21"/>
    </row>
    <row r="62" customFormat="false" ht="30" hidden="false" customHeight="true" outlineLevel="0" collapsed="false">
      <c r="B62" s="10" t="s">
        <v>71</v>
      </c>
      <c r="C62" s="10" t="str">
        <f aca="false">DATOS!$B$72</f>
        <v>LOAD 8</v>
      </c>
      <c r="D62" s="10" t="str">
        <f aca="false">DATOS!$B$73</f>
        <v>LOAD 9</v>
      </c>
      <c r="E62" s="10" t="str">
        <f aca="false">DATOS!$B$74</f>
        <v>LOAD 10</v>
      </c>
      <c r="F62" s="10" t="str">
        <f aca="false">DATOS!$B$75</f>
        <v>LOAD 11</v>
      </c>
      <c r="G62" s="10" t="str">
        <f aca="false">DATOS!$B$76</f>
        <v>LOAD 12</v>
      </c>
      <c r="H62" s="10" t="str">
        <f aca="false">DATOS!$B$77</f>
        <v>LOAD 13</v>
      </c>
      <c r="I62" s="10" t="str">
        <f aca="false">DATOS!$B$78</f>
        <v>LOAD 14</v>
      </c>
      <c r="J62" s="10" t="str">
        <f aca="false">DATOS!$B$79</f>
        <v>LOAD 15</v>
      </c>
      <c r="O62" s="10" t="s">
        <v>75</v>
      </c>
    </row>
    <row r="63" customFormat="false" ht="16.5" hidden="false" customHeight="true" outlineLevel="0" collapsed="false">
      <c r="B63" s="43" t="s">
        <v>343</v>
      </c>
      <c r="C63" s="46" t="n">
        <f aca="false">(SUMPRODUCT((LINEAS!$U$45:$U$194=3)*LINEAS!$AB$45:$AB$194*LINEAS!$M$45:$M$194)-SUMPRODUCT((LINEAS!$U$45:$U$194=4)*LINEAS!$AB$45:$AB$194*LINEAS!$M$45:$M$194)+IF(DATOS!$C$22="X",SUMPRODUCT(LINEAS!$AJ$9:$AJ$38*LINEAS!$M$9:$M$38),0))/1000</f>
        <v>9.60601323045142</v>
      </c>
      <c r="D63" s="46" t="n">
        <f aca="false">(SUMPRODUCT((LINEAS!$U$45:$U$194=3)*LINEAS!$AC$45:$AC$194*LINEAS!$M$45:$M$194)-SUMPRODUCT((LINEAS!$U$45:$U$194=4)*LINEAS!$AC$45:$AC$194*LINEAS!$M$45:$M$194)+IF(DATOS!$C$22="X",SUMPRODUCT(LINEAS!$AK$9:$AK$38*LINEAS!$M$9:$M$38),0))/1000</f>
        <v>-9.60601323045142</v>
      </c>
      <c r="E63" s="46" t="n">
        <f aca="false">(SUMPRODUCT((LINEAS!$U$45:$U$194=3)*LINEAS!$AD$45:$AD$194*LINEAS!$M$45:$M$194)-SUMPRODUCT((LINEAS!$U$45:$U$194=4)*LINEAS!$AD$45:$AD$194*LINEAS!$M$45:$M$194)+IF(DATOS!$C$22="X",SUMPRODUCT(LINEAS!$AL$9:$AL$38*LINEAS!$M$9:$M$38),0))/1000</f>
        <v>0</v>
      </c>
      <c r="F63" s="46" t="n">
        <f aca="false">(SUMPRODUCT((LINEAS!$U$45:$U$194=3)*LINEAS!$AE$45:$AE$194*LINEAS!$M$45:$M$194)-SUMPRODUCT((LINEAS!$U$45:$U$194=4)*LINEAS!$AE$45:$AE$194*LINEAS!$M$45:$M$194)+IF(DATOS!$C$22="X",SUMPRODUCT(LINEAS!$AM$9:$AM$38*LINEAS!$M$9:$M$38),0))/1000</f>
        <v>0</v>
      </c>
      <c r="G63" s="46" t="n">
        <f aca="false">(SUMPRODUCT((LINEAS!$U$45:$U$194=3)*LINEAS!$AF$45:$AF$194*LINEAS!$M$45:$M$194)-SUMPRODUCT((LINEAS!$U$45:$U$194=4)*LINEAS!$AF$45:$AF$194*LINEAS!$M$45:$M$194)+IF(DATOS!$C$22="X",SUMPRODUCT(LINEAS!$AN$9:$AN$38*LINEAS!$M$9:$M$38),0))/1000</f>
        <v>9.60601323045142</v>
      </c>
      <c r="H63" s="46" t="n">
        <f aca="false">(SUMPRODUCT((LINEAS!$U$45:$U$194=3)*LINEAS!$AG$45:$AG$194*LINEAS!$M$45:$M$194)-SUMPRODUCT((LINEAS!$U$45:$U$194=4)*LINEAS!$AG$45:$AG$194*LINEAS!$M$45:$M$194)+IF(DATOS!$C$22="X",SUMPRODUCT(LINEAS!$AO$9:$AO$38*LINEAS!$M$9:$M$38),0))/1000</f>
        <v>-9.60601323045142</v>
      </c>
      <c r="I63" s="46" t="n">
        <f aca="false">(SUMPRODUCT((LINEAS!$U$45:$U$194=3)*LINEAS!$AH$45:$AH$194*LINEAS!$M$45:$M$194)-SUMPRODUCT((LINEAS!$U$45:$U$194=4)*LINEAS!$AH$45:$AH$194*LINEAS!$M$45:$M$194)+IF(DATOS!$C$22="X",SUMPRODUCT(LINEAS!$AP$9:$AP$38*LINEAS!$M$9:$M$38),0))/1000</f>
        <v>0</v>
      </c>
      <c r="J63" s="46" t="n">
        <f aca="false">(SUMPRODUCT((LINEAS!$U$45:$U$194=3)*LINEAS!$AI$45:$AI$194*LINEAS!$M$45:$M$194)-SUMPRODUCT((LINEAS!$U$45:$U$194=4)*LINEAS!$AI$45:$AI$194*LINEAS!$M$45:$M$194)+IF(DATOS!$C$22="X",SUMPRODUCT(LINEAS!$AQ$9:$AQ$38*LINEAS!$M$9:$M$38),0))/1000</f>
        <v>0</v>
      </c>
      <c r="O63" s="14" t="s">
        <v>298</v>
      </c>
    </row>
    <row r="64" customFormat="false" ht="16.5" hidden="false" customHeight="true" outlineLevel="0" collapsed="false">
      <c r="B64" s="11" t="s">
        <v>344</v>
      </c>
      <c r="C64" s="40" t="n">
        <f aca="false">((C45*(ABERTURAS!$O$53-ABERTURAS!$H$53)+C49*ABERTURAS!$H$53)-(C46*(ABERTURAS!$O$54-ABERTURAS!$H$54)+C50*ABERTURAS!$H$54)+IF(DATOS!$C$22="X",(C51*$C$18+C52*$C$19+C53*$C$20+C54*$C$21)*DATOS!$C$23/4*IF(DATOS!$C$22="X",DATOS!$C$13,DATOS!$C$12),0))/1000</f>
        <v>10.2062175191455</v>
      </c>
      <c r="D64" s="40" t="n">
        <f aca="false">((D45*(ABERTURAS!$O$53-ABERTURAS!$H$53)+D49*ABERTURAS!$H$53)-(D46*(ABERTURAS!$O$54-ABERTURAS!$H$54)+D50*ABERTURAS!$H$54)+IF(DATOS!$C$22="X",(D51*$C$18+D52*$C$19+D53*$C$20+D54*$C$21)*DATOS!$C$23/4*IF(DATOS!$C$22="X",DATOS!$C$13,DATOS!$C$12),0))/1000</f>
        <v>-10.2062175191455</v>
      </c>
      <c r="E64" s="40" t="n">
        <f aca="false">((E45*(ABERTURAS!$O$53-ABERTURAS!$H$53)+E49*ABERTURAS!$H$53)-(E46*(ABERTURAS!$O$54-ABERTURAS!$H$54)+E50*ABERTURAS!$H$54)+IF(DATOS!$C$22="X",(E51*$C$18+E52*$C$19+E53*$C$20+E54*$C$21)*DATOS!$C$23/4*IF(DATOS!$C$22="X",DATOS!$C$13,DATOS!$C$12),0))/1000</f>
        <v>0</v>
      </c>
      <c r="F64" s="40" t="n">
        <f aca="false">((F45*(ABERTURAS!$O$53-ABERTURAS!$H$53)+F49*ABERTURAS!$H$53)-(F46*(ABERTURAS!$O$54-ABERTURAS!$H$54)+F50*ABERTURAS!$H$54)+IF(DATOS!$C$22="X",(F51*$C$18+F52*$C$19+F53*$C$20+F54*$C$21)*DATOS!$C$23/4*IF(DATOS!$C$22="X",DATOS!$C$13,DATOS!$C$12),0))/1000</f>
        <v>0</v>
      </c>
      <c r="G64" s="40" t="n">
        <f aca="false">((G45*(ABERTURAS!$P$53-ABERTURAS!$H$53)+G49*ABERTURAS!$H$53)-(G46*(ABERTURAS!$P$54-ABERTURAS!$H$54)+G50*ABERTURAS!$H$54)+IF(DATOS!$C$22="X",(G51*$C$18+G52*$C$19+G53*$C$20+G54*$C$21)*DATOS!$C$23/4*IF(DATOS!$C$22="X",DATOS!$C$13,DATOS!$C$12),0))/1000</f>
        <v>10.2062175191455</v>
      </c>
      <c r="H64" s="40" t="n">
        <f aca="false">((H45*(ABERTURAS!$P$53-ABERTURAS!$H$53)+H49*ABERTURAS!$H$53)-(H46*(ABERTURAS!$P$54-ABERTURAS!$H$54)+H50*ABERTURAS!$H$54)+IF(DATOS!$C$22="X",(H51*$C$18+H52*$C$19+H53*$C$20+H54*$C$21)*DATOS!$C$23/4*IF(DATOS!$C$22="X",DATOS!$C$13,DATOS!$C$12),0))/1000</f>
        <v>-10.2062175191455</v>
      </c>
      <c r="I64" s="40" t="n">
        <f aca="false">((I45*(ABERTURAS!$P$53-ABERTURAS!$H$53)+I49*ABERTURAS!$H$53)-(I46*(ABERTURAS!$P$54-ABERTURAS!$H$54)+I50*ABERTURAS!$H$54)+IF(DATOS!$C$22="X",(I51*$C$18+I52*$C$19+I53*$C$20+I54*$C$21)*DATOS!$C$23/4*IF(DATOS!$C$22="X",DATOS!$C$13,DATOS!$C$12),0))/1000</f>
        <v>0</v>
      </c>
      <c r="J64" s="40" t="n">
        <f aca="false">((J45*(ABERTURAS!$P$53-ABERTURAS!$H$53)+J49*ABERTURAS!$H$53)-(J46*(ABERTURAS!$P$54-ABERTURAS!$H$54)+J50*ABERTURAS!$H$54)+IF(DATOS!$C$22="X",(J51*$C$18+J52*$C$19+J53*$C$20+J54*$C$21)*DATOS!$C$23/4*IF(DATOS!$C$22="X",DATOS!$C$13,DATOS!$C$12),0))/1000</f>
        <v>0</v>
      </c>
    </row>
    <row r="65" customFormat="false" ht="16.5" hidden="false" customHeight="true" outlineLevel="0" collapsed="false">
      <c r="B65" s="11" t="s">
        <v>345</v>
      </c>
      <c r="C65" s="47" t="n">
        <f aca="false">C63-C64</f>
        <v>-0.600204288694107</v>
      </c>
      <c r="D65" s="47" t="n">
        <f aca="false">D63-D64</f>
        <v>0.600204288694107</v>
      </c>
      <c r="E65" s="47" t="n">
        <f aca="false">E63-E64</f>
        <v>0</v>
      </c>
      <c r="F65" s="47" t="n">
        <f aca="false">F63-F64</f>
        <v>0</v>
      </c>
      <c r="G65" s="47" t="n">
        <f aca="false">G63-G64</f>
        <v>-0.600204288694107</v>
      </c>
      <c r="H65" s="47" t="n">
        <f aca="false">H63-H64</f>
        <v>0.600204288694107</v>
      </c>
      <c r="I65" s="47" t="n">
        <f aca="false">I63-I64</f>
        <v>0</v>
      </c>
      <c r="J65" s="47" t="n">
        <f aca="false">J63-J64</f>
        <v>0</v>
      </c>
    </row>
    <row r="66" customFormat="false" ht="16.5" hidden="false" customHeight="true" outlineLevel="0" collapsed="false">
      <c r="B66" s="43" t="s">
        <v>346</v>
      </c>
      <c r="C66" s="46" t="n">
        <f aca="false">(SUMPRODUCT((LINEAS!$U$45:$U$194=1)*LINEAS!$AB$45:$AB$194*LINEAS!$M$45:$M$194)-SUMPRODUCT((LINEAS!$U$45:$U$194=2)*LINEAS!$AB$45:$AB$194*LINEAS!$M$45:$M$194)+IF(DATOS!$C$22="Z",SUMPRODUCT(LINEAS!$AJ$9:$AJ$38*LINEAS!$M$9:$M$38),0))/1000</f>
        <v>-0.869777839027441</v>
      </c>
      <c r="D66" s="46" t="n">
        <f aca="false">(SUMPRODUCT((LINEAS!$U$45:$U$194=1)*LINEAS!$AC$45:$AC$194*LINEAS!$M$45:$M$194)-SUMPRODUCT((LINEAS!$U$45:$U$194=2)*LINEAS!$AC$45:$AC$194*LINEAS!$M$45:$M$194)+IF(DATOS!$C$22="Z",SUMPRODUCT(LINEAS!$AK$9:$AK$38*LINEAS!$M$9:$M$38),0))/1000</f>
        <v>-0.869777839027441</v>
      </c>
      <c r="E66" s="46" t="n">
        <f aca="false">(SUMPRODUCT((LINEAS!$U$45:$U$194=1)*LINEAS!$AD$45:$AD$194*LINEAS!$M$45:$M$194)-SUMPRODUCT((LINEAS!$U$45:$U$194=2)*LINEAS!$AD$45:$AD$194*LINEAS!$M$45:$M$194)+IF(DATOS!$C$22="Z",SUMPRODUCT(LINEAS!$AL$9:$AL$38*LINEAS!$M$9:$M$38),0))/1000</f>
        <v>7.03624128278832</v>
      </c>
      <c r="F66" s="46" t="n">
        <f aca="false">(SUMPRODUCT((LINEAS!$U$45:$U$194=1)*LINEAS!$AE$45:$AE$194*LINEAS!$M$45:$M$194)-SUMPRODUCT((LINEAS!$U$45:$U$194=2)*LINEAS!$AE$45:$AE$194*LINEAS!$M$45:$M$194)+IF(DATOS!$C$22="Z",SUMPRODUCT(LINEAS!$AM$9:$AM$38*LINEAS!$M$9:$M$38),0))/1000</f>
        <v>-5.6903746400995</v>
      </c>
      <c r="G66" s="46" t="n">
        <f aca="false">(SUMPRODUCT((LINEAS!$U$45:$U$194=1)*LINEAS!$AF$45:$AF$194*LINEAS!$M$45:$M$194)-SUMPRODUCT((LINEAS!$U$45:$U$194=2)*LINEAS!$AF$45:$AF$194*LINEAS!$M$45:$M$194)+IF(DATOS!$C$22="Z",SUMPRODUCT(LINEAS!$AN$9:$AN$38*LINEAS!$M$9:$M$38),0))/1000</f>
        <v>-0.55885694409986</v>
      </c>
      <c r="H66" s="46" t="n">
        <f aca="false">(SUMPRODUCT((LINEAS!$U$45:$U$194=1)*LINEAS!$AG$45:$AG$194*LINEAS!$M$45:$M$194)-SUMPRODUCT((LINEAS!$U$45:$U$194=2)*LINEAS!$AG$45:$AG$194*LINEAS!$M$45:$M$194)+IF(DATOS!$C$22="Z",SUMPRODUCT(LINEAS!$AO$9:$AO$38*LINEAS!$M$9:$M$38),0))/1000</f>
        <v>-0.55885694409986</v>
      </c>
      <c r="I66" s="46" t="n">
        <f aca="false">(SUMPRODUCT((LINEAS!$U$45:$U$194=1)*LINEAS!$AH$45:$AH$194*LINEAS!$M$45:$M$194)-SUMPRODUCT((LINEAS!$U$45:$U$194=2)*LINEAS!$AH$45:$AH$194*LINEAS!$M$45:$M$194)+IF(DATOS!$C$22="Z",SUMPRODUCT(LINEAS!$AP$9:$AP$38*LINEAS!$M$9:$M$38),0))/1000</f>
        <v>4.74429587094142</v>
      </c>
      <c r="J66" s="46" t="n">
        <f aca="false">(SUMPRODUCT((LINEAS!$U$45:$U$194=1)*LINEAS!$AI$45:$AI$194*LINEAS!$M$45:$M$194)-SUMPRODUCT((LINEAS!$U$45:$U$194=2)*LINEAS!$AI$45:$AI$194*LINEAS!$M$45:$M$194)+IF(DATOS!$C$22="Z",SUMPRODUCT(LINEAS!$AQ$9:$AQ$38*LINEAS!$M$9:$M$38),0))/1000</f>
        <v>-3.63795826729087</v>
      </c>
    </row>
    <row r="67" customFormat="false" ht="16.5" hidden="false" customHeight="true" outlineLevel="0" collapsed="false">
      <c r="B67" s="11" t="s">
        <v>347</v>
      </c>
      <c r="C67" s="40" t="n">
        <f aca="false">((C43*(ABERTURAS!$O$51-ABERTURAS!$H$51)+C47*ABERTURAS!$H$51)-(C44*(ABERTURAS!$O$52-ABERTURAS!$H$52)+C48*ABERTURAS!$H$52)+IF(DATOS!$C$22="Z",(C51*$C$18+C52*$C$19+C53*$C$20+C54*$C$21)*DATOS!$C$23/4*IF(DATOS!$C$22="X",DATOS!$C$13,DATOS!$C$12),0))/1000</f>
        <v>-0.904381864003147</v>
      </c>
      <c r="D67" s="40" t="n">
        <f aca="false">((D43*(ABERTURAS!$O$51-ABERTURAS!$H$51)+D47*ABERTURAS!$H$51)-(D44*(ABERTURAS!$O$52-ABERTURAS!$H$52)+D48*ABERTURAS!$H$52)+IF(DATOS!$C$22="Z",(D51*$C$18+D52*$C$19+D53*$C$20+D54*$C$21)*DATOS!$C$23/4*IF(DATOS!$C$22="X",DATOS!$C$13,DATOS!$C$12),0))/1000</f>
        <v>-0.904381864003147</v>
      </c>
      <c r="E67" s="40" t="n">
        <f aca="false">((E43*(ABERTURAS!$O$51-ABERTURAS!$H$51)+E47*ABERTURAS!$H$51)-(E44*(ABERTURAS!$O$52-ABERTURAS!$H$52)+E48*ABERTURAS!$H$52)+IF(DATOS!$C$22="Z",(E51*$C$18+E52*$C$19+E53*$C$20+E54*$C$21)*DATOS!$C$23/4*IF(DATOS!$C$22="X",DATOS!$C$13,DATOS!$C$12),0))/1000</f>
        <v>7.2907170142205</v>
      </c>
      <c r="F67" s="40" t="n">
        <f aca="false">((F43*(ABERTURAS!$O$51-ABERTURAS!$H$51)+F47*ABERTURAS!$H$51)-(F44*(ABERTURAS!$O$52-ABERTURAS!$H$52)+F48*ABERTURAS!$H$52)+IF(DATOS!$C$22="Z",(F51*$C$18+F52*$C$19+F53*$C$20+F54*$C$21)*DATOS!$C$23/4*IF(DATOS!$C$22="X",DATOS!$C$13,DATOS!$C$12),0))/1000</f>
        <v>-5.91879887463594</v>
      </c>
      <c r="G67" s="40" t="n">
        <f aca="false">((G43*(ABERTURAS!$P$51-ABERTURAS!$H$51)+G47*ABERTURAS!$H$51)-(G44*(ABERTURAS!$P$52-ABERTURAS!$H$52)+G48*ABERTURAS!$H$52)+IF(DATOS!$C$22="Z",(G51*$C$18+G52*$C$19+G53*$C$20+G54*$C$21)*DATOS!$C$23/4*IF(DATOS!$C$22="X",DATOS!$C$13,DATOS!$C$12),0))/1000</f>
        <v>-0.57911857660976</v>
      </c>
      <c r="H67" s="40" t="n">
        <f aca="false">((H43*(ABERTURAS!$P$51-ABERTURAS!$H$51)+H47*ABERTURAS!$H$51)-(H44*(ABERTURAS!$P$52-ABERTURAS!$H$52)+H48*ABERTURAS!$H$52)+IF(DATOS!$C$22="Z",(H51*$C$18+H52*$C$19+H53*$C$20+H54*$C$21)*DATOS!$C$23/4*IF(DATOS!$C$22="X",DATOS!$C$13,DATOS!$C$12),0))/1000</f>
        <v>-0.57911857660976</v>
      </c>
      <c r="I67" s="40" t="n">
        <f aca="false">((I43*(ABERTURAS!$P$51-ABERTURAS!$H$51)+I47*ABERTURAS!$H$51)-(I44*(ABERTURAS!$P$52-ABERTURAS!$H$52)+I48*ABERTURAS!$H$52)+IF(DATOS!$C$22="Z",(I51*$C$18+I52*$C$19+I53*$C$20+I54*$C$21)*DATOS!$C$23/4*IF(DATOS!$C$22="X",DATOS!$C$13,DATOS!$C$12),0))/1000</f>
        <v>4.89304702373256</v>
      </c>
      <c r="J67" s="40" t="n">
        <f aca="false">((J43*(ABERTURAS!$P$51-ABERTURAS!$H$51)+J47*ABERTURAS!$H$51)-(J44*(ABERTURAS!$P$52-ABERTURAS!$H$52)+J48*ABERTURAS!$H$52)+IF(DATOS!$C$22="Z",(J51*$C$18+J52*$C$19+J53*$C$20+J54*$C$21)*DATOS!$C$23/4*IF(DATOS!$C$22="X",DATOS!$C$13,DATOS!$C$12),0))/1000</f>
        <v>-3.77170709852602</v>
      </c>
    </row>
    <row r="68" customFormat="false" ht="16.5" hidden="false" customHeight="true" outlineLevel="0" collapsed="false">
      <c r="B68" s="11" t="s">
        <v>348</v>
      </c>
      <c r="C68" s="47" t="n">
        <f aca="false">C66-C67</f>
        <v>0.0346040249757061</v>
      </c>
      <c r="D68" s="47" t="n">
        <f aca="false">D66-D67</f>
        <v>0.0346040249757061</v>
      </c>
      <c r="E68" s="47" t="n">
        <f aca="false">E66-E67</f>
        <v>-0.254475731432177</v>
      </c>
      <c r="F68" s="47" t="n">
        <f aca="false">F66-F67</f>
        <v>0.22842423453644</v>
      </c>
      <c r="G68" s="47" t="n">
        <f aca="false">G66-G67</f>
        <v>0.0202616325099002</v>
      </c>
      <c r="H68" s="47" t="n">
        <f aca="false">H66-H67</f>
        <v>0.0202616325099002</v>
      </c>
      <c r="I68" s="47" t="n">
        <f aca="false">I66-I67</f>
        <v>-0.148751152791145</v>
      </c>
      <c r="J68" s="47" t="n">
        <f aca="false">J66-J67</f>
        <v>0.133748831235151</v>
      </c>
    </row>
    <row r="69" customFormat="false" ht="29.25" hidden="false" customHeight="true" outlineLevel="0" collapsed="false">
      <c r="B69" s="43" t="s">
        <v>349</v>
      </c>
      <c r="C69" s="46" t="n">
        <f aca="false">-SUMPRODUCT(LINEAS!$AB$9:$AB$38*LINEAS!$M$9:$M$38)/1000</f>
        <v>1.57512815853564</v>
      </c>
      <c r="D69" s="46" t="n">
        <f aca="false">-SUMPRODUCT(LINEAS!$AC$9:$AC$38*LINEAS!$M$9:$M$38)/1000</f>
        <v>1.57512815853564</v>
      </c>
      <c r="E69" s="46" t="n">
        <f aca="false">-SUMPRODUCT(LINEAS!$AD$9:$AD$38*LINEAS!$M$9:$M$38)/1000</f>
        <v>0.787564079267818</v>
      </c>
      <c r="F69" s="46" t="n">
        <f aca="false">-SUMPRODUCT(LINEAS!$AE$9:$AE$38*LINEAS!$M$9:$M$38)/1000</f>
        <v>11.4196791493834</v>
      </c>
      <c r="G69" s="46" t="n">
        <f aca="false">-SUMPRODUCT(LINEAS!$AF$9:$AF$38*LINEAS!$M$9:$M$38)/1000</f>
        <v>1.57512815853564</v>
      </c>
      <c r="H69" s="46" t="n">
        <f aca="false">-SUMPRODUCT(LINEAS!$AG$9:$AG$38*LINEAS!$M$9:$M$38)/1000</f>
        <v>1.57512815853564</v>
      </c>
      <c r="I69" s="46" t="n">
        <f aca="false">-SUMPRODUCT(LINEAS!$AH$9:$AH$38*LINEAS!$M$9:$M$38)/1000</f>
        <v>0.787564079267818</v>
      </c>
      <c r="J69" s="46" t="n">
        <f aca="false">-SUMPRODUCT(LINEAS!$AI$9:$AI$38*LINEAS!$M$9:$M$38)/1000</f>
        <v>11.4196791493834</v>
      </c>
      <c r="O69" s="14" t="s">
        <v>350</v>
      </c>
    </row>
    <row r="70" customFormat="false" ht="16.5" hidden="false" customHeight="true" outlineLevel="0" collapsed="false">
      <c r="B70" s="11" t="s">
        <v>351</v>
      </c>
      <c r="C70" s="40" t="n">
        <f aca="false">-(C51+C52+C53+C54)*DATOS!$C$23/4*IF(DATOS!$C$22="X",DATOS!$C$13,DATOS!$C$12)/1000</f>
        <v>1.57512815853564</v>
      </c>
      <c r="D70" s="40" t="n">
        <f aca="false">-(D51+D52+D53+D54)*DATOS!$C$23/4*IF(DATOS!$C$22="X",DATOS!$C$13,DATOS!$C$12)/1000</f>
        <v>1.57512815853564</v>
      </c>
      <c r="E70" s="40" t="n">
        <f aca="false">-(E51+E52+E53+E54)*DATOS!$C$23/4*IF(DATOS!$C$22="X",DATOS!$C$13,DATOS!$C$12)/1000</f>
        <v>0.787564079267818</v>
      </c>
      <c r="F70" s="40" t="n">
        <f aca="false">-(F51+F52+F53+F54)*DATOS!$C$23/4*IF(DATOS!$C$22="X",DATOS!$C$13,DATOS!$C$12)/1000</f>
        <v>11.4196791493834</v>
      </c>
      <c r="G70" s="40" t="n">
        <f aca="false">-(G51+G52+G53+G54)*DATOS!$C$23/4*IF(DATOS!$C$22="X",DATOS!$C$13,DATOS!$C$12)/1000</f>
        <v>1.57512815853564</v>
      </c>
      <c r="H70" s="40" t="n">
        <f aca="false">-(H51+H52+H53+H54)*DATOS!$C$23/4*IF(DATOS!$C$22="X",DATOS!$C$13,DATOS!$C$12)/1000</f>
        <v>1.57512815853564</v>
      </c>
      <c r="I70" s="40" t="n">
        <f aca="false">-(I51+I52+I53+I54)*DATOS!$C$23/4*IF(DATOS!$C$22="X",DATOS!$C$13,DATOS!$C$12)/1000</f>
        <v>0.787564079267818</v>
      </c>
      <c r="J70" s="40" t="n">
        <f aca="false">-(J51+J52+J53+J54)*DATOS!$C$23/4*IF(DATOS!$C$22="X",DATOS!$C$13,DATOS!$C$12)/1000</f>
        <v>11.4196791493834</v>
      </c>
    </row>
    <row r="71" customFormat="false" ht="16.5" hidden="false" customHeight="true" outlineLevel="0" collapsed="false">
      <c r="B71" s="11" t="s">
        <v>352</v>
      </c>
      <c r="C71" s="47" t="n">
        <f aca="false">C69-C70</f>
        <v>0</v>
      </c>
      <c r="D71" s="47" t="n">
        <f aca="false">D69-D70</f>
        <v>0</v>
      </c>
      <c r="E71" s="47" t="n">
        <f aca="false">E69-E70</f>
        <v>0</v>
      </c>
      <c r="F71" s="47" t="n">
        <f aca="false">F69-F70</f>
        <v>0</v>
      </c>
      <c r="G71" s="47" t="n">
        <f aca="false">G69-G70</f>
        <v>0</v>
      </c>
      <c r="H71" s="47" t="n">
        <f aca="false">H69-H70</f>
        <v>0</v>
      </c>
      <c r="I71" s="47" t="n">
        <f aca="false">I69-I70</f>
        <v>0</v>
      </c>
      <c r="J71" s="47" t="n">
        <f aca="false">J69-J70</f>
        <v>0</v>
      </c>
    </row>
    <row r="72" customFormat="false" ht="15" hidden="false" customHeight="true" outlineLevel="0" collapsed="false"/>
    <row r="73" customFormat="false" ht="21" hidden="false" customHeight="true" outlineLevel="0" collapsed="false">
      <c r="B73" s="9" t="s">
        <v>353</v>
      </c>
      <c r="C73" s="9"/>
      <c r="D73" s="9"/>
      <c r="E73" s="9"/>
      <c r="F73" s="9"/>
      <c r="G73" s="9"/>
      <c r="H73" s="9"/>
      <c r="I73" s="9"/>
      <c r="J73" s="9"/>
      <c r="K73" s="9"/>
      <c r="L73" s="9"/>
      <c r="M73" s="9"/>
      <c r="N73" s="9"/>
      <c r="O73" s="9"/>
    </row>
    <row r="74" customFormat="false" ht="30" hidden="false" customHeight="true" outlineLevel="0" collapsed="false">
      <c r="B74" s="21" t="s">
        <v>354</v>
      </c>
      <c r="C74" s="21"/>
      <c r="D74" s="21"/>
      <c r="E74" s="21"/>
      <c r="F74" s="21"/>
      <c r="G74" s="21"/>
      <c r="H74" s="21"/>
      <c r="I74" s="21"/>
      <c r="J74" s="21"/>
      <c r="K74" s="21"/>
      <c r="L74" s="21"/>
      <c r="M74" s="21"/>
      <c r="N74" s="21"/>
      <c r="O74" s="21"/>
    </row>
    <row r="75" customFormat="false" ht="42" hidden="false" customHeight="true" outlineLevel="0" collapsed="false">
      <c r="B75" s="10" t="s">
        <v>311</v>
      </c>
      <c r="C75" s="10" t="s">
        <v>253</v>
      </c>
      <c r="D75" s="10" t="s">
        <v>355</v>
      </c>
      <c r="E75" s="10" t="s">
        <v>356</v>
      </c>
      <c r="F75" s="10" t="s">
        <v>254</v>
      </c>
      <c r="G75" s="10" t="s">
        <v>357</v>
      </c>
      <c r="H75" s="10" t="s">
        <v>358</v>
      </c>
      <c r="I75" s="10" t="s">
        <v>359</v>
      </c>
      <c r="O75" s="10" t="s">
        <v>75</v>
      </c>
    </row>
    <row r="76" customFormat="false" ht="16.5" hidden="false" customHeight="true" outlineLevel="0" collapsed="false">
      <c r="B76" s="11" t="s">
        <v>255</v>
      </c>
      <c r="C76" s="18" t="n">
        <f aca="false">ABERTURAS!$O$51</f>
        <v>107.0496</v>
      </c>
      <c r="D76" s="18" t="n">
        <f aca="false">SUMIF(LINEAS!$U$45:$U$194,1,LINEAS!$R$45:$R$194)</f>
        <v>103.28172</v>
      </c>
      <c r="E76" s="48" t="n">
        <f aca="false">IF($C76&lt;=0,"—",$D76/$C76)</f>
        <v>0.964802484082145</v>
      </c>
      <c r="F76" s="18" t="n">
        <f aca="false">ABERTURAS!$P$51</f>
        <v>71.633112</v>
      </c>
      <c r="G76" s="18" t="n">
        <f aca="false">SUMIF(LINEAS!$U$45:$U$194,1,LINEAS!$S$45:$S$194)</f>
        <v>69.426912</v>
      </c>
      <c r="H76" s="48" t="n">
        <f aca="false">IF($F76&lt;=0,"—",$G76/$F76)</f>
        <v>0.969201393902864</v>
      </c>
      <c r="I76" s="33" t="str">
        <f aca="false">IF(AND($C76&lt;=0,$F76&lt;=0),"TODO ABIERTO: no lleva carga",IF(AND($D76=0,$G76=0),"SIN MIEMBROS: su presión no entra a STAAD",IF(MIN($E76,$H76)&gt;=0.85,"OK",IF(MIN($E76,$H76)&gt;=0.6,"REVISA: falta cargar parte del muro","OJO: falta mucho muro"))))</f>
        <v>OK</v>
      </c>
      <c r="J76" s="33"/>
      <c r="K76" s="33"/>
      <c r="L76" s="33"/>
      <c r="M76" s="33"/>
      <c r="N76" s="33"/>
      <c r="O76" s="14" t="s">
        <v>360</v>
      </c>
    </row>
    <row r="77" customFormat="false" ht="16.5" hidden="false" customHeight="true" outlineLevel="0" collapsed="false">
      <c r="B77" s="11" t="s">
        <v>256</v>
      </c>
      <c r="C77" s="18" t="n">
        <f aca="false">ABERTURAS!$O$52</f>
        <v>0</v>
      </c>
      <c r="D77" s="18" t="n">
        <f aca="false">SUMIF(LINEAS!$U$45:$U$194,2,LINEAS!$R$45:$R$194)</f>
        <v>0</v>
      </c>
      <c r="E77" s="48" t="str">
        <f aca="false">IF($C77&lt;=0,"—",$D77/$C77)</f>
        <v>—</v>
      </c>
      <c r="F77" s="18" t="n">
        <f aca="false">ABERTURAS!$P$52</f>
        <v>0</v>
      </c>
      <c r="G77" s="18" t="n">
        <f aca="false">SUMIF(LINEAS!$U$45:$U$194,2,LINEAS!$S$45:$S$194)</f>
        <v>0</v>
      </c>
      <c r="H77" s="48" t="str">
        <f aca="false">IF($F77&lt;=0,"—",$G77/$F77)</f>
        <v>—</v>
      </c>
      <c r="I77" s="33" t="str">
        <f aca="false">IF(AND($C77&lt;=0,$F77&lt;=0),"TODO ABIERTO: no lleva carga",IF(AND($D77=0,$G77=0),"SIN MIEMBROS: su presión no entra a STAAD",IF(MIN($E77,$H77)&gt;=0.85,"OK",IF(MIN($E77,$H77)&gt;=0.6,"REVISA: falta cargar parte del muro","OJO: falta mucho muro"))))</f>
        <v>TODO ABIERTO: no lleva carga</v>
      </c>
      <c r="J77" s="33"/>
      <c r="K77" s="33"/>
      <c r="L77" s="33"/>
      <c r="M77" s="33"/>
      <c r="N77" s="33"/>
      <c r="O77" s="14" t="s">
        <v>360</v>
      </c>
    </row>
    <row r="78" customFormat="false" ht="16.5" hidden="false" customHeight="true" outlineLevel="0" collapsed="false">
      <c r="B78" s="11" t="s">
        <v>257</v>
      </c>
      <c r="C78" s="18" t="n">
        <f aca="false">ABERTURAS!$O$53</f>
        <v>163.52</v>
      </c>
      <c r="D78" s="18" t="n">
        <f aca="false">SUMIF(LINEAS!$U$45:$U$194,3,LINEAS!$R$45:$R$194)</f>
        <v>153.8996</v>
      </c>
      <c r="E78" s="48" t="n">
        <f aca="false">IF($C78&lt;=0,"—",$D78/$C78)</f>
        <v>0.941166829745597</v>
      </c>
      <c r="F78" s="18" t="n">
        <f aca="false">ABERTURAS!$P$53</f>
        <v>163.52</v>
      </c>
      <c r="G78" s="18" t="n">
        <f aca="false">SUMIF(LINEAS!$U$45:$U$194,3,LINEAS!$S$45:$S$194)</f>
        <v>153.8996</v>
      </c>
      <c r="H78" s="48" t="n">
        <f aca="false">IF($F78&lt;=0,"—",$G78/$F78)</f>
        <v>0.941166829745597</v>
      </c>
      <c r="I78" s="33" t="str">
        <f aca="false">IF(AND($C78&lt;=0,$F78&lt;=0),"TODO ABIERTO: no lleva carga",IF(AND($D78=0,$G78=0),"SIN MIEMBROS: su presión no entra a STAAD",IF(MIN($E78,$H78)&gt;=0.85,"OK",IF(MIN($E78,$H78)&gt;=0.6,"REVISA: falta cargar parte del muro","OJO: falta mucho muro"))))</f>
        <v>OK</v>
      </c>
      <c r="J78" s="33"/>
      <c r="K78" s="33"/>
      <c r="L78" s="33"/>
      <c r="M78" s="33"/>
      <c r="N78" s="33"/>
      <c r="O78" s="14" t="s">
        <v>360</v>
      </c>
    </row>
    <row r="79" customFormat="false" ht="16.5" hidden="false" customHeight="true" outlineLevel="0" collapsed="false">
      <c r="B79" s="11" t="s">
        <v>258</v>
      </c>
      <c r="C79" s="18" t="n">
        <f aca="false">ABERTURAS!$O$54</f>
        <v>163.52</v>
      </c>
      <c r="D79" s="18" t="n">
        <f aca="false">SUMIF(LINEAS!$U$45:$U$194,4,LINEAS!$R$45:$R$194)</f>
        <v>153.8996</v>
      </c>
      <c r="E79" s="48" t="n">
        <f aca="false">IF($C79&lt;=0,"—",$D79/$C79)</f>
        <v>0.941166829745597</v>
      </c>
      <c r="F79" s="18" t="n">
        <f aca="false">ABERTURAS!$P$54</f>
        <v>163.52</v>
      </c>
      <c r="G79" s="18" t="n">
        <f aca="false">SUMIF(LINEAS!$U$45:$U$194,4,LINEAS!$S$45:$S$194)</f>
        <v>153.8996</v>
      </c>
      <c r="H79" s="48" t="n">
        <f aca="false">IF($F79&lt;=0,"—",$G79/$F79)</f>
        <v>0.941166829745597</v>
      </c>
      <c r="I79" s="33" t="str">
        <f aca="false">IF(AND($C79&lt;=0,$F79&lt;=0),"TODO ABIERTO: no lleva carga",IF(AND($D79=0,$G79=0),"SIN MIEMBROS: su presión no entra a STAAD",IF(MIN($E79,$H79)&gt;=0.85,"OK",IF(MIN($E79,$H79)&gt;=0.6,"REVISA: falta cargar parte del muro","OJO: falta mucho muro"))))</f>
        <v>OK</v>
      </c>
      <c r="J79" s="33"/>
      <c r="K79" s="33"/>
      <c r="L79" s="33"/>
      <c r="M79" s="33"/>
      <c r="N79" s="33"/>
      <c r="O79" s="14" t="s">
        <v>360</v>
      </c>
    </row>
    <row r="80" customFormat="false" ht="16.5" hidden="false" customHeight="true" outlineLevel="0" collapsed="false">
      <c r="B80" s="11" t="s">
        <v>361</v>
      </c>
      <c r="C80" s="18" t="n">
        <f aca="false">DATOS!$C$12*DATOS!$C$13</f>
        <v>161.28</v>
      </c>
      <c r="D80" s="18" t="n">
        <f aca="false">SUM(LINEAS!$O$9:$O$38)</f>
        <v>161.28</v>
      </c>
      <c r="E80" s="48" t="n">
        <f aca="false">IF($C80&lt;=0,"—",$D80/$C80)</f>
        <v>1</v>
      </c>
      <c r="I80" s="33" t="str">
        <f aca="false">IF(ABS($D80-$C80)&lt;=0.01*$C80,"OK",IF($D80&lt;$C80,"REVISA: falta techo en LINEAS §A","REVISA: hay techo repetido"))</f>
        <v>OK</v>
      </c>
      <c r="J80" s="33"/>
      <c r="K80" s="33"/>
      <c r="L80" s="33"/>
      <c r="M80" s="33"/>
      <c r="N80" s="33"/>
      <c r="O80" s="14" t="s">
        <v>362</v>
      </c>
    </row>
    <row r="81" customFormat="false" ht="15" hidden="false" customHeight="true" outlineLevel="0" collapsed="false"/>
    <row r="82" customFormat="false" ht="21" hidden="false" customHeight="true" outlineLevel="0" collapsed="false">
      <c r="B82" s="9" t="s">
        <v>363</v>
      </c>
      <c r="C82" s="9"/>
      <c r="D82" s="9"/>
      <c r="E82" s="9"/>
      <c r="F82" s="9"/>
      <c r="G82" s="9"/>
      <c r="H82" s="9"/>
      <c r="I82" s="9"/>
      <c r="J82" s="9"/>
      <c r="K82" s="9"/>
      <c r="L82" s="9"/>
      <c r="M82" s="9"/>
      <c r="N82" s="9"/>
      <c r="O82" s="9"/>
    </row>
    <row r="83" customFormat="false" ht="30" hidden="false" customHeight="true" outlineLevel="0" collapsed="false">
      <c r="B83" s="21" t="s">
        <v>364</v>
      </c>
      <c r="C83" s="21"/>
      <c r="D83" s="21"/>
      <c r="E83" s="21"/>
      <c r="F83" s="21"/>
      <c r="G83" s="21"/>
      <c r="H83" s="21"/>
      <c r="I83" s="21"/>
      <c r="J83" s="21"/>
      <c r="K83" s="21"/>
      <c r="L83" s="21"/>
      <c r="M83" s="21"/>
      <c r="N83" s="21"/>
      <c r="O83" s="21"/>
    </row>
    <row r="84" customFormat="false" ht="30" hidden="false" customHeight="true" outlineLevel="0" collapsed="false">
      <c r="B84" s="10" t="s">
        <v>365</v>
      </c>
      <c r="C84" s="10" t="str">
        <f aca="false">DATOS!$B$72</f>
        <v>LOAD 8</v>
      </c>
      <c r="D84" s="10" t="str">
        <f aca="false">DATOS!$B$73</f>
        <v>LOAD 9</v>
      </c>
      <c r="E84" s="10" t="str">
        <f aca="false">DATOS!$B$74</f>
        <v>LOAD 10</v>
      </c>
      <c r="F84" s="10" t="str">
        <f aca="false">DATOS!$B$75</f>
        <v>LOAD 11</v>
      </c>
      <c r="G84" s="10" t="str">
        <f aca="false">DATOS!$B$76</f>
        <v>LOAD 12</v>
      </c>
      <c r="H84" s="10" t="str">
        <f aca="false">DATOS!$B$77</f>
        <v>LOAD 13</v>
      </c>
      <c r="I84" s="10" t="str">
        <f aca="false">DATOS!$B$78</f>
        <v>LOAD 14</v>
      </c>
      <c r="J84" s="10" t="str">
        <f aca="false">DATOS!$B$79</f>
        <v>LOAD 15</v>
      </c>
      <c r="O84" s="10" t="s">
        <v>75</v>
      </c>
    </row>
    <row r="85" customFormat="false" ht="16.5" hidden="false" customHeight="true" outlineLevel="0" collapsed="false">
      <c r="B85" s="11" t="s">
        <v>366</v>
      </c>
      <c r="C85" s="45" t="n">
        <f aca="false">C45*DATOS!$C$20</f>
        <v>424.008331319995</v>
      </c>
      <c r="D85" s="45" t="n">
        <f aca="false">D45*DATOS!$C$20</f>
        <v>2.8083313199954</v>
      </c>
      <c r="E85" s="45" t="n">
        <f aca="false">E45*DATOS!$C$20</f>
        <v>-29.0300024160055</v>
      </c>
      <c r="F85" s="45" t="n">
        <f aca="false">F45*DATOS!$C$20</f>
        <v>-474.012496979993</v>
      </c>
      <c r="G85" s="45" t="n">
        <f aca="false">G45*DATOS!$C$20</f>
        <v>424.008331319995</v>
      </c>
      <c r="H85" s="45" t="n">
        <f aca="false">H45*DATOS!$C$20</f>
        <v>2.8083313199954</v>
      </c>
      <c r="I85" s="45" t="n">
        <f aca="false">I45*DATOS!$C$20</f>
        <v>-29.0300024160055</v>
      </c>
      <c r="J85" s="45" t="n">
        <f aca="false">J45*DATOS!$C$20</f>
        <v>-474.012496979993</v>
      </c>
      <c r="O85" s="14" t="s">
        <v>367</v>
      </c>
    </row>
    <row r="86" customFormat="false" ht="16.5" hidden="false" customHeight="true" outlineLevel="0" collapsed="false">
      <c r="B86" s="11" t="s">
        <v>368</v>
      </c>
      <c r="C86" s="45" t="n">
        <f aca="false">C46*DATOS!$C$20</f>
        <v>2.8083313199954</v>
      </c>
      <c r="D86" s="45" t="n">
        <f aca="false">D46*DATOS!$C$20</f>
        <v>424.008331319995</v>
      </c>
      <c r="E86" s="45" t="n">
        <f aca="false">E46*DATOS!$C$20</f>
        <v>-29.0300024160055</v>
      </c>
      <c r="F86" s="45" t="n">
        <f aca="false">F46*DATOS!$C$20</f>
        <v>-474.012496979993</v>
      </c>
      <c r="G86" s="45" t="n">
        <f aca="false">G46*DATOS!$C$20</f>
        <v>2.8083313199954</v>
      </c>
      <c r="H86" s="45" t="n">
        <f aca="false">H46*DATOS!$C$20</f>
        <v>424.008331319995</v>
      </c>
      <c r="I86" s="45" t="n">
        <f aca="false">I46*DATOS!$C$20</f>
        <v>-29.0300024160055</v>
      </c>
      <c r="J86" s="45" t="n">
        <f aca="false">J46*DATOS!$C$20</f>
        <v>-474.012496979993</v>
      </c>
      <c r="O86" s="14" t="s">
        <v>367</v>
      </c>
    </row>
    <row r="87" customFormat="false" ht="16.5" hidden="false" customHeight="true" outlineLevel="0" collapsed="false">
      <c r="B87" s="11" t="s">
        <v>369</v>
      </c>
      <c r="C87" s="45" t="n">
        <f aca="false">C51*DATOS!$C$20</f>
        <v>-65.9233325279981</v>
      </c>
      <c r="D87" s="45" t="n">
        <f aca="false">D51*DATOS!$C$20</f>
        <v>-65.9233325279981</v>
      </c>
      <c r="E87" s="45" t="n">
        <f aca="false">E51*DATOS!$C$20</f>
        <v>-32.9616662639991</v>
      </c>
      <c r="F87" s="45" t="n">
        <f aca="false">F51*DATOS!$C$20</f>
        <v>-477.944160827987</v>
      </c>
      <c r="G87" s="45" t="n">
        <f aca="false">G51*DATOS!$C$20</f>
        <v>-65.9233325279981</v>
      </c>
      <c r="H87" s="45" t="n">
        <f aca="false">H51*DATOS!$C$20</f>
        <v>-65.9233325279981</v>
      </c>
      <c r="I87" s="45" t="n">
        <f aca="false">I51*DATOS!$C$20</f>
        <v>-32.9616662639991</v>
      </c>
      <c r="J87" s="45" t="n">
        <f aca="false">J51*DATOS!$C$20</f>
        <v>-477.944160827987</v>
      </c>
      <c r="O87" s="14" t="s">
        <v>367</v>
      </c>
    </row>
    <row r="88" customFormat="false" ht="16.5" hidden="false" customHeight="true" outlineLevel="0" collapsed="false">
      <c r="B88" s="11" t="s">
        <v>370</v>
      </c>
      <c r="C88" s="45" t="n">
        <f aca="false">C52*DATOS!$C$20</f>
        <v>-65.9233325279981</v>
      </c>
      <c r="D88" s="45" t="n">
        <f aca="false">D52*DATOS!$C$20</f>
        <v>-65.9233325279981</v>
      </c>
      <c r="E88" s="45" t="n">
        <f aca="false">E52*DATOS!$C$20</f>
        <v>-32.9616662639991</v>
      </c>
      <c r="F88" s="45" t="n">
        <f aca="false">F52*DATOS!$C$20</f>
        <v>-477.944160827987</v>
      </c>
      <c r="G88" s="45" t="n">
        <f aca="false">G52*DATOS!$C$20</f>
        <v>-65.9233325279981</v>
      </c>
      <c r="H88" s="45" t="n">
        <f aca="false">H52*DATOS!$C$20</f>
        <v>-65.9233325279981</v>
      </c>
      <c r="I88" s="45" t="n">
        <f aca="false">I52*DATOS!$C$20</f>
        <v>-32.9616662639991</v>
      </c>
      <c r="J88" s="45" t="n">
        <f aca="false">J52*DATOS!$C$20</f>
        <v>-477.944160827987</v>
      </c>
      <c r="O88" s="14" t="s">
        <v>367</v>
      </c>
    </row>
    <row r="89" customFormat="false" ht="16.5" hidden="false" customHeight="true" outlineLevel="0" collapsed="false">
      <c r="B89" s="11" t="s">
        <v>371</v>
      </c>
      <c r="C89" s="45" t="n">
        <f aca="false">C53*DATOS!$C$20</f>
        <v>-65.9233325279981</v>
      </c>
      <c r="D89" s="45" t="n">
        <f aca="false">D53*DATOS!$C$20</f>
        <v>-65.9233325279981</v>
      </c>
      <c r="E89" s="45" t="n">
        <f aca="false">E53*DATOS!$C$20</f>
        <v>-32.9616662639991</v>
      </c>
      <c r="F89" s="45" t="n">
        <f aca="false">F53*DATOS!$C$20</f>
        <v>-477.944160827987</v>
      </c>
      <c r="G89" s="45" t="n">
        <f aca="false">G53*DATOS!$C$20</f>
        <v>-65.9233325279981</v>
      </c>
      <c r="H89" s="45" t="n">
        <f aca="false">H53*DATOS!$C$20</f>
        <v>-65.9233325279981</v>
      </c>
      <c r="I89" s="45" t="n">
        <f aca="false">I53*DATOS!$C$20</f>
        <v>-32.9616662639991</v>
      </c>
      <c r="J89" s="45" t="n">
        <f aca="false">J53*DATOS!$C$20</f>
        <v>-477.944160827987</v>
      </c>
      <c r="O89" s="14" t="s">
        <v>367</v>
      </c>
    </row>
    <row r="90" customFormat="false" ht="16.5" hidden="false" customHeight="true" outlineLevel="0" collapsed="false">
      <c r="B90" s="11" t="s">
        <v>372</v>
      </c>
      <c r="C90" s="45" t="n">
        <f aca="false">C54*DATOS!$C$20</f>
        <v>-65.9233325279981</v>
      </c>
      <c r="D90" s="45" t="n">
        <f aca="false">D54*DATOS!$C$20</f>
        <v>-65.9233325279981</v>
      </c>
      <c r="E90" s="45" t="n">
        <f aca="false">E54*DATOS!$C$20</f>
        <v>-32.9616662639991</v>
      </c>
      <c r="F90" s="45" t="n">
        <f aca="false">F54*DATOS!$C$20</f>
        <v>-477.944160827987</v>
      </c>
      <c r="G90" s="45" t="n">
        <f aca="false">G54*DATOS!$C$20</f>
        <v>-65.9233325279981</v>
      </c>
      <c r="H90" s="45" t="n">
        <f aca="false">H54*DATOS!$C$20</f>
        <v>-65.9233325279981</v>
      </c>
      <c r="I90" s="45" t="n">
        <f aca="false">I54*DATOS!$C$20</f>
        <v>-32.9616662639991</v>
      </c>
      <c r="J90" s="45" t="n">
        <f aca="false">J54*DATOS!$C$20</f>
        <v>-477.944160827987</v>
      </c>
      <c r="O90" s="14" t="s">
        <v>367</v>
      </c>
    </row>
    <row r="91" customFormat="false" ht="15" hidden="false" customHeight="true" outlineLevel="0" collapsed="false"/>
    <row r="92" customFormat="false" ht="30" hidden="false" customHeight="true" outlineLevel="0" collapsed="false">
      <c r="B92" s="4" t="s">
        <v>373</v>
      </c>
      <c r="C92" s="4"/>
      <c r="D92" s="4"/>
      <c r="E92" s="4"/>
      <c r="F92" s="4"/>
      <c r="G92" s="4"/>
      <c r="H92" s="4"/>
      <c r="I92" s="4"/>
      <c r="J92" s="4"/>
      <c r="K92" s="4"/>
      <c r="L92" s="4"/>
      <c r="M92" s="4"/>
      <c r="N92" s="4"/>
      <c r="O92" s="4"/>
    </row>
  </sheetData>
  <mergeCells count="40">
    <mergeCell ref="B1:O1"/>
    <mergeCell ref="B2:O2"/>
    <mergeCell ref="B3:O3"/>
    <mergeCell ref="B5:O5"/>
    <mergeCell ref="B7:O7"/>
    <mergeCell ref="E8:N8"/>
    <mergeCell ref="E9:N9"/>
    <mergeCell ref="E10:N10"/>
    <mergeCell ref="E11:N11"/>
    <mergeCell ref="E12:N12"/>
    <mergeCell ref="E13:N13"/>
    <mergeCell ref="E14:N14"/>
    <mergeCell ref="E15:N15"/>
    <mergeCell ref="E16:N16"/>
    <mergeCell ref="E17:N17"/>
    <mergeCell ref="E18:N18"/>
    <mergeCell ref="E19:N19"/>
    <mergeCell ref="E20:N20"/>
    <mergeCell ref="E21:N21"/>
    <mergeCell ref="E22:N22"/>
    <mergeCell ref="B24:O24"/>
    <mergeCell ref="B25:O25"/>
    <mergeCell ref="C26:E26"/>
    <mergeCell ref="F26:H26"/>
    <mergeCell ref="I26:K26"/>
    <mergeCell ref="L26:N26"/>
    <mergeCell ref="B37:O37"/>
    <mergeCell ref="B38:O38"/>
    <mergeCell ref="B60:O60"/>
    <mergeCell ref="B61:O61"/>
    <mergeCell ref="B73:O73"/>
    <mergeCell ref="B74:O74"/>
    <mergeCell ref="I76:N76"/>
    <mergeCell ref="I77:N77"/>
    <mergeCell ref="I78:N78"/>
    <mergeCell ref="I79:N79"/>
    <mergeCell ref="I80:N80"/>
    <mergeCell ref="B82:O82"/>
    <mergeCell ref="B83:O83"/>
    <mergeCell ref="B92:O92"/>
  </mergeCells>
  <conditionalFormatting sqref="B3">
    <cfRule type="expression" priority="2" aboveAverage="0" equalAverage="0" bottom="0" percent="0" rank="0" text="" dxfId="4">
      <formula>LEFT($B$3,3)="Sin"</formula>
    </cfRule>
    <cfRule type="expression" priority="3" aboveAverage="0" equalAverage="0" bottom="0" percent="0" rank="0" text="" dxfId="5">
      <formula>LEFT($B$3,3)="OJO"</formula>
    </cfRule>
  </conditionalFormatting>
  <conditionalFormatting sqref="C55:J58">
    <cfRule type="expression" priority="4" aboveAverage="0" equalAverage="0" bottom="0" percent="0" rank="0" text="" dxfId="0">
      <formula>$C$22="NO"</formula>
    </cfRule>
  </conditionalFormatting>
  <conditionalFormatting sqref="C65:J65">
    <cfRule type="expression" priority="5" aboveAverage="0" equalAverage="0" bottom="0" percent="0" rank="0" text="" dxfId="1">
      <formula>ABS(C65)&lt;=MAX(0.1*ABS(C64),0.2)</formula>
    </cfRule>
    <cfRule type="expression" priority="6" aboveAverage="0" equalAverage="0" bottom="0" percent="0" rank="0" text="" dxfId="3">
      <formula>ABS(C65)&gt;MAX(0.1*ABS(C64),0.2)</formula>
    </cfRule>
  </conditionalFormatting>
  <conditionalFormatting sqref="C68:J68">
    <cfRule type="expression" priority="7" aboveAverage="0" equalAverage="0" bottom="0" percent="0" rank="0" text="" dxfId="1">
      <formula>ABS(C68)&lt;=MAX(0.1*ABS(C67),0.2)</formula>
    </cfRule>
    <cfRule type="expression" priority="8" aboveAverage="0" equalAverage="0" bottom="0" percent="0" rank="0" text="" dxfId="3">
      <formula>ABS(C68)&gt;MAX(0.1*ABS(C67),0.2)</formula>
    </cfRule>
  </conditionalFormatting>
  <conditionalFormatting sqref="C71:J71">
    <cfRule type="expression" priority="9" aboveAverage="0" equalAverage="0" bottom="0" percent="0" rank="0" text="" dxfId="1">
      <formula>ABS(C71)&lt;=MAX(0.1*ABS(C70),0.2)</formula>
    </cfRule>
    <cfRule type="expression" priority="10" aboveAverage="0" equalAverage="0" bottom="0" percent="0" rank="0" text="" dxfId="3">
      <formula>ABS(C71)&gt;MAX(0.1*ABS(C70),0.2)</formula>
    </cfRule>
  </conditionalFormatting>
  <conditionalFormatting sqref="I76:I80">
    <cfRule type="expression" priority="11" aboveAverage="0" equalAverage="0" bottom="0" percent="0" rank="0" text="" dxfId="1">
      <formula>LEFT(I76,2)="OK"</formula>
    </cfRule>
    <cfRule type="expression" priority="12" aboveAverage="0" equalAverage="0" bottom="0" percent="0" rank="0" text="" dxfId="2">
      <formula>OR(LEFT(I76,3)="SIN",LEFT(I76,3)="OJO")</formula>
    </cfRule>
    <cfRule type="expression" priority="13" aboveAverage="0" equalAverage="0" bottom="0" percent="0" rank="0" text="" dxfId="3">
      <formula>LEFT(I76,3)="REV"</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BG19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8"/>
    <col collapsed="false" customWidth="true" hidden="false" outlineLevel="0" max="2" min="2" style="1" width="17"/>
    <col collapsed="false" customWidth="true" hidden="false" outlineLevel="0" max="3" min="3" style="1" width="10"/>
    <col collapsed="false" customWidth="true" hidden="false" outlineLevel="0" max="4" min="4" style="1" width="24"/>
    <col collapsed="false" customWidth="true" hidden="false" outlineLevel="0" max="5" min="5" style="1" width="12"/>
    <col collapsed="false" customWidth="true" hidden="false" outlineLevel="0" max="11" min="6" style="1" width="8"/>
    <col collapsed="false" customWidth="true" hidden="false" outlineLevel="0" max="12" min="12" style="1" width="15"/>
    <col collapsed="false" customWidth="true" hidden="false" outlineLevel="0" max="14" min="13" style="1" width="8"/>
    <col collapsed="false" customWidth="true" hidden="false" outlineLevel="0" max="19" min="15" style="1" width="9"/>
    <col collapsed="false" customWidth="true" hidden="false" outlineLevel="0" max="20" min="20" style="1" width="7"/>
    <col collapsed="false" customWidth="true" hidden="false" outlineLevel="0" max="21" min="21" style="1" width="6"/>
    <col collapsed="false" customWidth="true" hidden="false" outlineLevel="0" max="27" min="22" style="1" width="7"/>
    <col collapsed="false" customWidth="true" hidden="false" outlineLevel="0" max="59" min="28" style="1" width="9"/>
  </cols>
  <sheetData>
    <row r="1" customFormat="false" ht="25.5" hidden="false" customHeight="true" outlineLevel="0" collapsed="false">
      <c r="B1" s="2" t="s">
        <v>374</v>
      </c>
      <c r="C1" s="2"/>
      <c r="D1" s="2"/>
      <c r="E1" s="2"/>
      <c r="F1" s="2"/>
      <c r="G1" s="2"/>
      <c r="H1" s="2"/>
      <c r="I1" s="2"/>
      <c r="J1" s="2"/>
      <c r="K1" s="2"/>
      <c r="L1" s="2"/>
    </row>
    <row r="2" customFormat="false" ht="30" hidden="false" customHeight="true" outlineLevel="0" collapsed="false">
      <c r="B2" s="4" t="s">
        <v>375</v>
      </c>
      <c r="C2" s="4"/>
      <c r="D2" s="4"/>
      <c r="E2" s="4"/>
      <c r="F2" s="4"/>
      <c r="G2" s="4"/>
      <c r="H2" s="4"/>
      <c r="I2" s="4"/>
      <c r="J2" s="4"/>
      <c r="K2" s="4"/>
      <c r="L2" s="4"/>
    </row>
    <row r="3" customFormat="false" ht="57.75" hidden="false" customHeight="true" outlineLevel="0" collapsed="false">
      <c r="B3" s="6" t="s">
        <v>376</v>
      </c>
      <c r="C3" s="6"/>
      <c r="D3" s="6"/>
      <c r="E3" s="6"/>
      <c r="F3" s="6"/>
      <c r="G3" s="6"/>
      <c r="H3" s="6"/>
      <c r="I3" s="6"/>
      <c r="J3" s="6"/>
      <c r="K3" s="6"/>
      <c r="L3" s="6"/>
    </row>
    <row r="4" customFormat="false" ht="6" hidden="false" customHeight="true" outlineLevel="0" collapsed="false"/>
    <row r="5" customFormat="false" ht="21" hidden="false" customHeight="true" outlineLevel="0" collapsed="false">
      <c r="B5" s="9" t="s">
        <v>377</v>
      </c>
      <c r="C5" s="9"/>
      <c r="D5" s="9"/>
      <c r="E5" s="9"/>
      <c r="F5" s="9"/>
      <c r="G5" s="9"/>
      <c r="H5" s="9"/>
      <c r="I5" s="9"/>
      <c r="J5" s="9"/>
      <c r="K5" s="9"/>
      <c r="L5" s="9"/>
    </row>
    <row r="6" customFormat="false" ht="30" hidden="false" customHeight="true" outlineLevel="0" collapsed="false">
      <c r="B6" s="21" t="s">
        <v>378</v>
      </c>
      <c r="C6" s="21"/>
      <c r="D6" s="21"/>
      <c r="E6" s="21"/>
      <c r="F6" s="21"/>
      <c r="G6" s="21"/>
      <c r="H6" s="21"/>
      <c r="I6" s="21"/>
      <c r="J6" s="21"/>
      <c r="K6" s="21"/>
      <c r="L6" s="21"/>
    </row>
    <row r="7" customFormat="false" ht="42" hidden="false" customHeight="true" outlineLevel="0" collapsed="false">
      <c r="B7" s="10" t="s">
        <v>379</v>
      </c>
      <c r="C7" s="10" t="s">
        <v>311</v>
      </c>
      <c r="D7" s="10" t="s">
        <v>380</v>
      </c>
      <c r="E7" s="10" t="s">
        <v>381</v>
      </c>
      <c r="F7" s="10" t="s">
        <v>382</v>
      </c>
      <c r="G7" s="10" t="s">
        <v>383</v>
      </c>
      <c r="H7" s="10" t="s">
        <v>384</v>
      </c>
      <c r="I7" s="10" t="s">
        <v>385</v>
      </c>
      <c r="J7" s="10" t="s">
        <v>386</v>
      </c>
      <c r="K7" s="10" t="s">
        <v>387</v>
      </c>
      <c r="L7" s="10" t="s">
        <v>359</v>
      </c>
      <c r="M7" s="10" t="s">
        <v>388</v>
      </c>
      <c r="N7" s="10" t="s">
        <v>389</v>
      </c>
      <c r="O7" s="10" t="s">
        <v>390</v>
      </c>
      <c r="P7" s="10" t="s">
        <v>247</v>
      </c>
      <c r="Q7" s="10" t="s">
        <v>249</v>
      </c>
      <c r="R7" s="10" t="s">
        <v>355</v>
      </c>
      <c r="S7" s="10" t="s">
        <v>357</v>
      </c>
      <c r="T7" s="10" t="s">
        <v>391</v>
      </c>
      <c r="U7" s="10" t="s">
        <v>215</v>
      </c>
      <c r="V7" s="10" t="s">
        <v>392</v>
      </c>
      <c r="W7" s="10" t="s">
        <v>393</v>
      </c>
      <c r="X7" s="10" t="s">
        <v>216</v>
      </c>
      <c r="Y7" s="10" t="s">
        <v>217</v>
      </c>
      <c r="Z7" s="10" t="s">
        <v>218</v>
      </c>
      <c r="AA7" s="10" t="s">
        <v>219</v>
      </c>
      <c r="AB7" s="35" t="s">
        <v>394</v>
      </c>
      <c r="AC7" s="35"/>
      <c r="AD7" s="35"/>
      <c r="AE7" s="35"/>
      <c r="AF7" s="35"/>
      <c r="AG7" s="35"/>
      <c r="AH7" s="35"/>
      <c r="AI7" s="35"/>
      <c r="AJ7" s="35" t="s">
        <v>395</v>
      </c>
      <c r="AK7" s="35"/>
      <c r="AL7" s="35"/>
      <c r="AM7" s="35"/>
      <c r="AN7" s="35"/>
      <c r="AO7" s="35"/>
      <c r="AP7" s="35"/>
      <c r="AQ7" s="35"/>
      <c r="AR7" s="35" t="s">
        <v>396</v>
      </c>
      <c r="AS7" s="35"/>
      <c r="AT7" s="35"/>
      <c r="AU7" s="35"/>
      <c r="AV7" s="35"/>
      <c r="AW7" s="35"/>
      <c r="AX7" s="35"/>
      <c r="AY7" s="35"/>
      <c r="AZ7" s="35" t="s">
        <v>397</v>
      </c>
      <c r="BA7" s="35"/>
      <c r="BB7" s="35"/>
      <c r="BC7" s="35"/>
      <c r="BD7" s="35"/>
      <c r="BE7" s="35"/>
      <c r="BF7" s="35"/>
      <c r="BG7" s="35"/>
    </row>
    <row r="8" customFormat="false" ht="30" hidden="false" customHeight="true" outlineLevel="0" collapsed="false">
      <c r="B8" s="10"/>
      <c r="C8" s="10"/>
      <c r="D8" s="10"/>
      <c r="E8" s="10"/>
      <c r="F8" s="10"/>
      <c r="G8" s="10"/>
      <c r="H8" s="10"/>
      <c r="I8" s="10"/>
      <c r="J8" s="10"/>
      <c r="K8" s="10"/>
      <c r="L8" s="10"/>
      <c r="M8" s="10"/>
      <c r="N8" s="10"/>
      <c r="O8" s="10"/>
      <c r="P8" s="10"/>
      <c r="Q8" s="10"/>
      <c r="R8" s="10"/>
      <c r="S8" s="10"/>
      <c r="T8" s="10"/>
      <c r="U8" s="10"/>
      <c r="V8" s="10"/>
      <c r="W8" s="10"/>
      <c r="X8" s="10"/>
      <c r="Y8" s="10"/>
      <c r="Z8" s="10"/>
      <c r="AA8" s="10"/>
      <c r="AB8" s="10" t="str">
        <f aca="false">DATOS!$B$72&amp;" · "&amp;DATOS!$C$72&amp;IF(1&gt;4," PA","")</f>
        <v>LOAD 8 · +X</v>
      </c>
      <c r="AC8" s="10" t="str">
        <f aca="false">DATOS!$B$73&amp;" · "&amp;DATOS!$C$73&amp;IF(2&gt;4," PA","")</f>
        <v>LOAD 9 · −X</v>
      </c>
      <c r="AD8" s="10" t="str">
        <f aca="false">DATOS!$B$74&amp;" · "&amp;DATOS!$C$74&amp;IF(3&gt;4," PA","")</f>
        <v>LOAD 10 · +Z</v>
      </c>
      <c r="AE8" s="10" t="str">
        <f aca="false">DATOS!$B$75&amp;" · "&amp;DATOS!$C$75&amp;IF(4&gt;4," PA","")</f>
        <v>LOAD 11 · −Z</v>
      </c>
      <c r="AF8" s="10" t="str">
        <f aca="false">DATOS!$B$76&amp;" · "&amp;DATOS!$C$76&amp;IF(5&gt;4," PA","")</f>
        <v>LOAD 12 · +X PA</v>
      </c>
      <c r="AG8" s="10" t="str">
        <f aca="false">DATOS!$B$77&amp;" · "&amp;DATOS!$C$77&amp;IF(6&gt;4," PA","")</f>
        <v>LOAD 13 · −X PA</v>
      </c>
      <c r="AH8" s="10" t="str">
        <f aca="false">DATOS!$B$78&amp;" · "&amp;DATOS!$C$78&amp;IF(7&gt;4," PA","")</f>
        <v>LOAD 14 · +Z PA</v>
      </c>
      <c r="AI8" s="10" t="str">
        <f aca="false">DATOS!$B$79&amp;" · "&amp;DATOS!$C$79&amp;IF(8&gt;4," PA","")</f>
        <v>LOAD 15 · −Z PA</v>
      </c>
      <c r="AJ8" s="10" t="str">
        <f aca="false">DATOS!$B$72&amp;" · "&amp;DATOS!$C$72&amp;IF(1&gt;4," PA","")</f>
        <v>LOAD 8 · +X</v>
      </c>
      <c r="AK8" s="10" t="str">
        <f aca="false">DATOS!$B$73&amp;" · "&amp;DATOS!$C$73&amp;IF(2&gt;4," PA","")</f>
        <v>LOAD 9 · −X</v>
      </c>
      <c r="AL8" s="10" t="str">
        <f aca="false">DATOS!$B$74&amp;" · "&amp;DATOS!$C$74&amp;IF(3&gt;4," PA","")</f>
        <v>LOAD 10 · +Z</v>
      </c>
      <c r="AM8" s="10" t="str">
        <f aca="false">DATOS!$B$75&amp;" · "&amp;DATOS!$C$75&amp;IF(4&gt;4," PA","")</f>
        <v>LOAD 11 · −Z</v>
      </c>
      <c r="AN8" s="10" t="str">
        <f aca="false">DATOS!$B$76&amp;" · "&amp;DATOS!$C$76&amp;IF(5&gt;4," PA","")</f>
        <v>LOAD 12 · +X PA</v>
      </c>
      <c r="AO8" s="10" t="str">
        <f aca="false">DATOS!$B$77&amp;" · "&amp;DATOS!$C$77&amp;IF(6&gt;4," PA","")</f>
        <v>LOAD 13 · −X PA</v>
      </c>
      <c r="AP8" s="10" t="str">
        <f aca="false">DATOS!$B$78&amp;" · "&amp;DATOS!$C$78&amp;IF(7&gt;4," PA","")</f>
        <v>LOAD 14 · +Z PA</v>
      </c>
      <c r="AQ8" s="10" t="str">
        <f aca="false">DATOS!$B$79&amp;" · "&amp;DATOS!$C$79&amp;IF(8&gt;4," PA","")</f>
        <v>LOAD 15 · −Z PA</v>
      </c>
      <c r="AR8" s="10" t="str">
        <f aca="false">DATOS!$B$72&amp;" · "&amp;DATOS!$C$72&amp;IF(1&gt;4," PA","")</f>
        <v>LOAD 8 · +X</v>
      </c>
      <c r="AS8" s="10" t="str">
        <f aca="false">DATOS!$B$73&amp;" · "&amp;DATOS!$C$73&amp;IF(2&gt;4," PA","")</f>
        <v>LOAD 9 · −X</v>
      </c>
      <c r="AT8" s="10" t="str">
        <f aca="false">DATOS!$B$74&amp;" · "&amp;DATOS!$C$74&amp;IF(3&gt;4," PA","")</f>
        <v>LOAD 10 · +Z</v>
      </c>
      <c r="AU8" s="10" t="str">
        <f aca="false">DATOS!$B$75&amp;" · "&amp;DATOS!$C$75&amp;IF(4&gt;4," PA","")</f>
        <v>LOAD 11 · −Z</v>
      </c>
      <c r="AV8" s="10" t="str">
        <f aca="false">DATOS!$B$76&amp;" · "&amp;DATOS!$C$76&amp;IF(5&gt;4," PA","")</f>
        <v>LOAD 12 · +X PA</v>
      </c>
      <c r="AW8" s="10" t="str">
        <f aca="false">DATOS!$B$77&amp;" · "&amp;DATOS!$C$77&amp;IF(6&gt;4," PA","")</f>
        <v>LOAD 13 · −X PA</v>
      </c>
      <c r="AX8" s="10" t="str">
        <f aca="false">DATOS!$B$78&amp;" · "&amp;DATOS!$C$78&amp;IF(7&gt;4," PA","")</f>
        <v>LOAD 14 · +Z PA</v>
      </c>
      <c r="AY8" s="10" t="str">
        <f aca="false">DATOS!$B$79&amp;" · "&amp;DATOS!$C$79&amp;IF(8&gt;4," PA","")</f>
        <v>LOAD 15 · −Z PA</v>
      </c>
      <c r="AZ8" s="10" t="str">
        <f aca="false">DATOS!$B$72&amp;" · "&amp;DATOS!$C$72&amp;IF(1&gt;4," PA","")</f>
        <v>LOAD 8 · +X</v>
      </c>
      <c r="BA8" s="10" t="str">
        <f aca="false">DATOS!$B$73&amp;" · "&amp;DATOS!$C$73&amp;IF(2&gt;4," PA","")</f>
        <v>LOAD 9 · −X</v>
      </c>
      <c r="BB8" s="10" t="str">
        <f aca="false">DATOS!$B$74&amp;" · "&amp;DATOS!$C$74&amp;IF(3&gt;4," PA","")</f>
        <v>LOAD 10 · +Z</v>
      </c>
      <c r="BC8" s="10" t="str">
        <f aca="false">DATOS!$B$75&amp;" · "&amp;DATOS!$C$75&amp;IF(4&gt;4," PA","")</f>
        <v>LOAD 11 · −Z</v>
      </c>
      <c r="BD8" s="10" t="str">
        <f aca="false">DATOS!$B$76&amp;" · "&amp;DATOS!$C$76&amp;IF(5&gt;4," PA","")</f>
        <v>LOAD 12 · +X PA</v>
      </c>
      <c r="BE8" s="10" t="str">
        <f aca="false">DATOS!$B$77&amp;" · "&amp;DATOS!$C$77&amp;IF(6&gt;4," PA","")</f>
        <v>LOAD 13 · −X PA</v>
      </c>
      <c r="BF8" s="10" t="str">
        <f aca="false">DATOS!$B$78&amp;" · "&amp;DATOS!$C$78&amp;IF(7&gt;4," PA","")</f>
        <v>LOAD 14 · +Z PA</v>
      </c>
      <c r="BG8" s="10" t="str">
        <f aca="false">DATOS!$B$79&amp;" · "&amp;DATOS!$C$79&amp;IF(8&gt;4," PA","")</f>
        <v>LOAD 15 · −Z PA</v>
      </c>
    </row>
    <row r="9" customFormat="false" ht="16.5" hidden="false" customHeight="true" outlineLevel="0" collapsed="false">
      <c r="B9" s="27" t="s">
        <v>398</v>
      </c>
      <c r="C9" s="17" t="s">
        <v>399</v>
      </c>
      <c r="D9" s="27" t="s">
        <v>400</v>
      </c>
      <c r="E9" s="17" t="s">
        <v>80</v>
      </c>
      <c r="F9" s="49" t="n">
        <v>0</v>
      </c>
      <c r="G9" s="49" t="n">
        <v>10.08</v>
      </c>
      <c r="H9" s="49" t="n">
        <v>0</v>
      </c>
      <c r="I9" s="49" t="n">
        <v>0.675</v>
      </c>
      <c r="J9" s="49"/>
      <c r="K9" s="49"/>
      <c r="L9" s="20" t="str">
        <f aca="false">IF($D9="","",IF($C9&lt;&gt;"TECHO","PON TECHO",IF(OR($F9="",$G9="",$H9="",$I9=""),"FALTAN a o b",IF($M9&lt;=0,"a₂ DEBE SER &gt; a₁",IF($N9&lt;=0,"b₂ DEBE SER &gt; b₁",IF(OR($V9&lt;-0.001,$W9&gt;DATOS!$C$23+0.001),"SE SALE DEL TECHO","OK"))))))</f>
        <v>OK</v>
      </c>
      <c r="M9" s="30" t="n">
        <f aca="false">IF($D9="",0,MAX(0,$G9-$F9))</f>
        <v>10.08</v>
      </c>
      <c r="N9" s="30" t="n">
        <f aca="false">MAX(0,$W9-$V9)</f>
        <v>0.675</v>
      </c>
      <c r="O9" s="30" t="n">
        <f aca="false">$M9*$N9</f>
        <v>6.804</v>
      </c>
      <c r="P9" s="30" t="n">
        <v>0</v>
      </c>
      <c r="Q9" s="30" t="n">
        <v>0</v>
      </c>
      <c r="R9" s="30" t="n">
        <f aca="false">$O9</f>
        <v>6.804</v>
      </c>
      <c r="S9" s="30" t="n">
        <f aca="false">$O9</f>
        <v>6.804</v>
      </c>
      <c r="T9" s="50" t="n">
        <f aca="false">IF($D9="",0,DATOS!$C$21)</f>
        <v>10.62</v>
      </c>
      <c r="U9" s="50" t="n">
        <v>0</v>
      </c>
      <c r="V9" s="50" t="n">
        <f aca="false">IF($D9="",0,(N($H9)+IF($J9="",N($H9),$J9))/2)</f>
        <v>0</v>
      </c>
      <c r="W9" s="50" t="n">
        <f aca="false">IF($D9="",0,(N($I9)+IF($K9="",N($I9),$K9))/2)</f>
        <v>0.675</v>
      </c>
      <c r="AB9" s="30" t="n">
        <f aca="false">IF($L9&lt;&gt;"OK",0,PRESIONES!$C$12*((PRESIONES!$D$32-ABERTURAS!$L$60)*MAX(0,MIN($W9,DATOS!$C$23*1/4)-MAX($V9,DATOS!$C$23*0/4))+(PRESIONES!$D$33-ABERTURAS!$L$60)*MAX(0,MIN($W9,DATOS!$C$23*2/4)-MAX($V9,DATOS!$C$23*1/4))+(PRESIONES!$D$34-ABERTURAS!$L$60)*MAX(0,MIN($W9,DATOS!$C$23*3/4)-MAX($V9,DATOS!$C$23*2/4))+(PRESIONES!$D$35-ABERTURAS!$L$60)*MAX(0,MIN($W9,DATOS!$C$23*4/4)-MAX($V9,DATOS!$C$23*3/4))))</f>
        <v>-6.59233325279982</v>
      </c>
      <c r="AC9" s="30" t="n">
        <f aca="false">IF($L9&lt;&gt;"OK",0,PRESIONES!$C$12*((PRESIONES!$G$32-ABERTURAS!$L$61)*MAX(0,MIN($W9,DATOS!$C$23*1/4)-MAX($V9,DATOS!$C$23*0/4))+(PRESIONES!$G$33-ABERTURAS!$L$61)*MAX(0,MIN($W9,DATOS!$C$23*2/4)-MAX($V9,DATOS!$C$23*1/4))+(PRESIONES!$G$34-ABERTURAS!$L$61)*MAX(0,MIN($W9,DATOS!$C$23*3/4)-MAX($V9,DATOS!$C$23*2/4))+(PRESIONES!$G$35-ABERTURAS!$L$61)*MAX(0,MIN($W9,DATOS!$C$23*4/4)-MAX($V9,DATOS!$C$23*3/4))))</f>
        <v>-6.59233325279982</v>
      </c>
      <c r="AD9" s="30" t="n">
        <f aca="false">IF($L9&lt;&gt;"OK",0,PRESIONES!$C$12*((PRESIONES!$J$32-ABERTURAS!$L$62)*MAX(0,MIN($W9,DATOS!$C$23*1/4)-MAX($V9,DATOS!$C$23*0/4))+(PRESIONES!$J$33-ABERTURAS!$L$62)*MAX(0,MIN($W9,DATOS!$C$23*2/4)-MAX($V9,DATOS!$C$23*1/4))+(PRESIONES!$J$34-ABERTURAS!$L$62)*MAX(0,MIN($W9,DATOS!$C$23*3/4)-MAX($V9,DATOS!$C$23*2/4))+(PRESIONES!$J$35-ABERTURAS!$L$62)*MAX(0,MIN($W9,DATOS!$C$23*4/4)-MAX($V9,DATOS!$C$23*3/4))))</f>
        <v>-3.29616662639991</v>
      </c>
      <c r="AE9" s="30" t="n">
        <f aca="false">IF($L9&lt;&gt;"OK",0,PRESIONES!$C$12*((PRESIONES!$M$32-ABERTURAS!$L$63)*MAX(0,MIN($W9,DATOS!$C$23*1/4)-MAX($V9,DATOS!$C$23*0/4))+(PRESIONES!$M$33-ABERTURAS!$L$63)*MAX(0,MIN($W9,DATOS!$C$23*2/4)-MAX($V9,DATOS!$C$23*1/4))+(PRESIONES!$M$34-ABERTURAS!$L$63)*MAX(0,MIN($W9,DATOS!$C$23*3/4)-MAX($V9,DATOS!$C$23*2/4))+(PRESIONES!$M$35-ABERTURAS!$L$63)*MAX(0,MIN($W9,DATOS!$C$23*4/4)-MAX($V9,DATOS!$C$23*3/4))))</f>
        <v>-47.7944160827987</v>
      </c>
      <c r="AF9" s="30" t="n">
        <f aca="false">IF($L9&lt;&gt;"OK",0,PRESIONES!$C$12*((PRESIONES!$D$32-ABERTURAS!$L$64)*MAX(0,MIN($W9,DATOS!$C$23*1/4)-MAX($V9,DATOS!$C$23*0/4))+(PRESIONES!$D$33-ABERTURAS!$L$64)*MAX(0,MIN($W9,DATOS!$C$23*2/4)-MAX($V9,DATOS!$C$23*1/4))+(PRESIONES!$D$34-ABERTURAS!$L$64)*MAX(0,MIN($W9,DATOS!$C$23*3/4)-MAX($V9,DATOS!$C$23*2/4))+(PRESIONES!$D$35-ABERTURAS!$L$64)*MAX(0,MIN($W9,DATOS!$C$23*4/4)-MAX($V9,DATOS!$C$23*3/4))))</f>
        <v>-6.59233325279982</v>
      </c>
      <c r="AG9" s="30" t="n">
        <f aca="false">IF($L9&lt;&gt;"OK",0,PRESIONES!$C$12*((PRESIONES!$G$32-ABERTURAS!$L$65)*MAX(0,MIN($W9,DATOS!$C$23*1/4)-MAX($V9,DATOS!$C$23*0/4))+(PRESIONES!$G$33-ABERTURAS!$L$65)*MAX(0,MIN($W9,DATOS!$C$23*2/4)-MAX($V9,DATOS!$C$23*1/4))+(PRESIONES!$G$34-ABERTURAS!$L$65)*MAX(0,MIN($W9,DATOS!$C$23*3/4)-MAX($V9,DATOS!$C$23*2/4))+(PRESIONES!$G$35-ABERTURAS!$L$65)*MAX(0,MIN($W9,DATOS!$C$23*4/4)-MAX($V9,DATOS!$C$23*3/4))))</f>
        <v>-6.59233325279982</v>
      </c>
      <c r="AH9" s="30" t="n">
        <f aca="false">IF($L9&lt;&gt;"OK",0,PRESIONES!$C$12*((PRESIONES!$J$32-ABERTURAS!$L$66)*MAX(0,MIN($W9,DATOS!$C$23*1/4)-MAX($V9,DATOS!$C$23*0/4))+(PRESIONES!$J$33-ABERTURAS!$L$66)*MAX(0,MIN($W9,DATOS!$C$23*2/4)-MAX($V9,DATOS!$C$23*1/4))+(PRESIONES!$J$34-ABERTURAS!$L$66)*MAX(0,MIN($W9,DATOS!$C$23*3/4)-MAX($V9,DATOS!$C$23*2/4))+(PRESIONES!$J$35-ABERTURAS!$L$66)*MAX(0,MIN($W9,DATOS!$C$23*4/4)-MAX($V9,DATOS!$C$23*3/4))))</f>
        <v>-3.29616662639991</v>
      </c>
      <c r="AI9" s="30" t="n">
        <f aca="false">IF($L9&lt;&gt;"OK",0,PRESIONES!$C$12*((PRESIONES!$M$32-ABERTURAS!$L$67)*MAX(0,MIN($W9,DATOS!$C$23*1/4)-MAX($V9,DATOS!$C$23*0/4))+(PRESIONES!$M$33-ABERTURAS!$L$67)*MAX(0,MIN($W9,DATOS!$C$23*2/4)-MAX($V9,DATOS!$C$23*1/4))+(PRESIONES!$M$34-ABERTURAS!$L$67)*MAX(0,MIN($W9,DATOS!$C$23*3/4)-MAX($V9,DATOS!$C$23*2/4))+(PRESIONES!$M$35-ABERTURAS!$L$67)*MAX(0,MIN($W9,DATOS!$C$23*4/4)-MAX($V9,DATOS!$C$23*3/4))))</f>
        <v>-47.7944160827987</v>
      </c>
      <c r="AJ9" s="30" t="n">
        <f aca="false">IF($L9&lt;&gt;"OK",0,PRESIONES!$C$12*((PRESIONES!$D$32-ABERTURAS!$L$60)*MAX(0,MIN($W9,DATOS!$C$23*1/4)-MAX($V9,DATOS!$C$23*0/4))*PRESIONES!$C$18+(PRESIONES!$D$33-ABERTURAS!$L$60)*MAX(0,MIN($W9,DATOS!$C$23*2/4)-MAX($V9,DATOS!$C$23*1/4))*PRESIONES!$C$19+(PRESIONES!$D$34-ABERTURAS!$L$60)*MAX(0,MIN($W9,DATOS!$C$23*3/4)-MAX($V9,DATOS!$C$23*2/4))*PRESIONES!$C$20+(PRESIONES!$D$35-ABERTURAS!$L$60)*MAX(0,MIN($W9,DATOS!$C$23*4/4)-MAX($V9,DATOS!$C$23*3/4))*PRESIONES!$C$21))</f>
        <v>0.32961666263999</v>
      </c>
      <c r="AK9" s="30" t="n">
        <f aca="false">IF($L9&lt;&gt;"OK",0,PRESIONES!$C$12*((PRESIONES!$G$32-ABERTURAS!$L$61)*MAX(0,MIN($W9,DATOS!$C$23*1/4)-MAX($V9,DATOS!$C$23*0/4))*PRESIONES!$C$18+(PRESIONES!$G$33-ABERTURAS!$L$61)*MAX(0,MIN($W9,DATOS!$C$23*2/4)-MAX($V9,DATOS!$C$23*1/4))*PRESIONES!$C$19+(PRESIONES!$G$34-ABERTURAS!$L$61)*MAX(0,MIN($W9,DATOS!$C$23*3/4)-MAX($V9,DATOS!$C$23*2/4))*PRESIONES!$C$20+(PRESIONES!$G$35-ABERTURAS!$L$61)*MAX(0,MIN($W9,DATOS!$C$23*4/4)-MAX($V9,DATOS!$C$23*3/4))*PRESIONES!$C$21))</f>
        <v>0.32961666263999</v>
      </c>
      <c r="AL9" s="30" t="n">
        <f aca="false">IF($L9&lt;&gt;"OK",0,PRESIONES!$C$12*((PRESIONES!$J$32-ABERTURAS!$L$62)*MAX(0,MIN($W9,DATOS!$C$23*1/4)-MAX($V9,DATOS!$C$23*0/4))*PRESIONES!$C$18+(PRESIONES!$J$33-ABERTURAS!$L$62)*MAX(0,MIN($W9,DATOS!$C$23*2/4)-MAX($V9,DATOS!$C$23*1/4))*PRESIONES!$C$19+(PRESIONES!$J$34-ABERTURAS!$L$62)*MAX(0,MIN($W9,DATOS!$C$23*3/4)-MAX($V9,DATOS!$C$23*2/4))*PRESIONES!$C$20+(PRESIONES!$J$35-ABERTURAS!$L$62)*MAX(0,MIN($W9,DATOS!$C$23*4/4)-MAX($V9,DATOS!$C$23*3/4))*PRESIONES!$C$21))</f>
        <v>0.164808331319995</v>
      </c>
      <c r="AM9" s="30" t="n">
        <f aca="false">IF($L9&lt;&gt;"OK",0,PRESIONES!$C$12*((PRESIONES!$M$32-ABERTURAS!$L$63)*MAX(0,MIN($W9,DATOS!$C$23*1/4)-MAX($V9,DATOS!$C$23*0/4))*PRESIONES!$C$18+(PRESIONES!$M$33-ABERTURAS!$L$63)*MAX(0,MIN($W9,DATOS!$C$23*2/4)-MAX($V9,DATOS!$C$23*1/4))*PRESIONES!$C$19+(PRESIONES!$M$34-ABERTURAS!$L$63)*MAX(0,MIN($W9,DATOS!$C$23*3/4)-MAX($V9,DATOS!$C$23*2/4))*PRESIONES!$C$20+(PRESIONES!$M$35-ABERTURAS!$L$63)*MAX(0,MIN($W9,DATOS!$C$23*4/4)-MAX($V9,DATOS!$C$23*3/4))*PRESIONES!$C$21))</f>
        <v>2.38972080413993</v>
      </c>
      <c r="AN9" s="30" t="n">
        <f aca="false">IF($L9&lt;&gt;"OK",0,PRESIONES!$C$12*((PRESIONES!$D$32-ABERTURAS!$L$64)*MAX(0,MIN($W9,DATOS!$C$23*1/4)-MAX($V9,DATOS!$C$23*0/4))*PRESIONES!$C$18+(PRESIONES!$D$33-ABERTURAS!$L$64)*MAX(0,MIN($W9,DATOS!$C$23*2/4)-MAX($V9,DATOS!$C$23*1/4))*PRESIONES!$C$19+(PRESIONES!$D$34-ABERTURAS!$L$64)*MAX(0,MIN($W9,DATOS!$C$23*3/4)-MAX($V9,DATOS!$C$23*2/4))*PRESIONES!$C$20+(PRESIONES!$D$35-ABERTURAS!$L$64)*MAX(0,MIN($W9,DATOS!$C$23*4/4)-MAX($V9,DATOS!$C$23*3/4))*PRESIONES!$C$21))</f>
        <v>0.32961666263999</v>
      </c>
      <c r="AO9" s="30" t="n">
        <f aca="false">IF($L9&lt;&gt;"OK",0,PRESIONES!$C$12*((PRESIONES!$G$32-ABERTURAS!$L$65)*MAX(0,MIN($W9,DATOS!$C$23*1/4)-MAX($V9,DATOS!$C$23*0/4))*PRESIONES!$C$18+(PRESIONES!$G$33-ABERTURAS!$L$65)*MAX(0,MIN($W9,DATOS!$C$23*2/4)-MAX($V9,DATOS!$C$23*1/4))*PRESIONES!$C$19+(PRESIONES!$G$34-ABERTURAS!$L$65)*MAX(0,MIN($W9,DATOS!$C$23*3/4)-MAX($V9,DATOS!$C$23*2/4))*PRESIONES!$C$20+(PRESIONES!$G$35-ABERTURAS!$L$65)*MAX(0,MIN($W9,DATOS!$C$23*4/4)-MAX($V9,DATOS!$C$23*3/4))*PRESIONES!$C$21))</f>
        <v>0.32961666263999</v>
      </c>
      <c r="AP9" s="30" t="n">
        <f aca="false">IF($L9&lt;&gt;"OK",0,PRESIONES!$C$12*((PRESIONES!$J$32-ABERTURAS!$L$66)*MAX(0,MIN($W9,DATOS!$C$23*1/4)-MAX($V9,DATOS!$C$23*0/4))*PRESIONES!$C$18+(PRESIONES!$J$33-ABERTURAS!$L$66)*MAX(0,MIN($W9,DATOS!$C$23*2/4)-MAX($V9,DATOS!$C$23*1/4))*PRESIONES!$C$19+(PRESIONES!$J$34-ABERTURAS!$L$66)*MAX(0,MIN($W9,DATOS!$C$23*3/4)-MAX($V9,DATOS!$C$23*2/4))*PRESIONES!$C$20+(PRESIONES!$J$35-ABERTURAS!$L$66)*MAX(0,MIN($W9,DATOS!$C$23*4/4)-MAX($V9,DATOS!$C$23*3/4))*PRESIONES!$C$21))</f>
        <v>0.164808331319995</v>
      </c>
      <c r="AQ9" s="30" t="n">
        <f aca="false">IF($L9&lt;&gt;"OK",0,PRESIONES!$C$12*((PRESIONES!$M$32-ABERTURAS!$L$67)*MAX(0,MIN($W9,DATOS!$C$23*1/4)-MAX($V9,DATOS!$C$23*0/4))*PRESIONES!$C$18+(PRESIONES!$M$33-ABERTURAS!$L$67)*MAX(0,MIN($W9,DATOS!$C$23*2/4)-MAX($V9,DATOS!$C$23*1/4))*PRESIONES!$C$19+(PRESIONES!$M$34-ABERTURAS!$L$67)*MAX(0,MIN($W9,DATOS!$C$23*3/4)-MAX($V9,DATOS!$C$23*2/4))*PRESIONES!$C$20+(PRESIONES!$M$35-ABERTURAS!$L$67)*MAX(0,MIN($W9,DATOS!$C$23*4/4)-MAX($V9,DATOS!$C$23*3/4))*PRESIONES!$C$21))</f>
        <v>2.38972080413993</v>
      </c>
      <c r="AR9" s="30" t="n">
        <f aca="false">IF($L9&lt;&gt;"OK",0,PRESIONES!$C$12*((PRESIONES!$E$32-ABERTURAS!$L$60)*MAX(0,MIN($W9,DATOS!$C$23*1/4)-MAX($V9,DATOS!$C$23*0/4))+(PRESIONES!$E$33-ABERTURAS!$L$60)*MAX(0,MIN($W9,DATOS!$C$23*2/4)-MAX($V9,DATOS!$C$23*1/4))+(PRESIONES!$E$34-ABERTURAS!$L$60)*MAX(0,MIN($W9,DATOS!$C$23*3/4)-MAX($V9,DATOS!$C$23*2/4))+(PRESIONES!$E$35-ABERTURAS!$L$60)*MAX(0,MIN($W9,DATOS!$C$23*4/4)-MAX($V9,DATOS!$C$23*3/4))))</f>
        <v>-6.59233325279982</v>
      </c>
      <c r="AS9" s="30" t="n">
        <f aca="false">IF($L9&lt;&gt;"OK",0,PRESIONES!$C$12*((PRESIONES!$H$32-ABERTURAS!$L$61)*MAX(0,MIN($W9,DATOS!$C$23*1/4)-MAX($V9,DATOS!$C$23*0/4))+(PRESIONES!$H$33-ABERTURAS!$L$61)*MAX(0,MIN($W9,DATOS!$C$23*2/4)-MAX($V9,DATOS!$C$23*1/4))+(PRESIONES!$H$34-ABERTURAS!$L$61)*MAX(0,MIN($W9,DATOS!$C$23*3/4)-MAX($V9,DATOS!$C$23*2/4))+(PRESIONES!$H$35-ABERTURAS!$L$61)*MAX(0,MIN($W9,DATOS!$C$23*4/4)-MAX($V9,DATOS!$C$23*3/4))))</f>
        <v>-6.59233325279982</v>
      </c>
      <c r="AT9" s="30" t="n">
        <f aca="false">IF($L9&lt;&gt;"OK",0,PRESIONES!$C$12*((PRESIONES!$K$32-ABERTURAS!$L$62)*MAX(0,MIN($W9,DATOS!$C$23*1/4)-MAX($V9,DATOS!$C$23*0/4))+(PRESIONES!$K$33-ABERTURAS!$L$62)*MAX(0,MIN($W9,DATOS!$C$23*2/4)-MAX($V9,DATOS!$C$23*1/4))+(PRESIONES!$K$34-ABERTURAS!$L$62)*MAX(0,MIN($W9,DATOS!$C$23*3/4)-MAX($V9,DATOS!$C$23*2/4))+(PRESIONES!$K$35-ABERTURAS!$L$62)*MAX(0,MIN($W9,DATOS!$C$23*4/4)-MAX($V9,DATOS!$C$23*3/4))))</f>
        <v>-3.29616662639991</v>
      </c>
      <c r="AU9" s="30" t="n">
        <f aca="false">IF($L9&lt;&gt;"OK",0,PRESIONES!$C$12*((PRESIONES!$N$32-ABERTURAS!$L$63)*MAX(0,MIN($W9,DATOS!$C$23*1/4)-MAX($V9,DATOS!$C$23*0/4))+(PRESIONES!$N$33-ABERTURAS!$L$63)*MAX(0,MIN($W9,DATOS!$C$23*2/4)-MAX($V9,DATOS!$C$23*1/4))+(PRESIONES!$N$34-ABERTURAS!$L$63)*MAX(0,MIN($W9,DATOS!$C$23*3/4)-MAX($V9,DATOS!$C$23*2/4))+(PRESIONES!$N$35-ABERTURAS!$L$63)*MAX(0,MIN($W9,DATOS!$C$23*4/4)-MAX($V9,DATOS!$C$23*3/4))))</f>
        <v>-47.7944160827987</v>
      </c>
      <c r="AV9" s="30" t="n">
        <f aca="false">IF($L9&lt;&gt;"OK",0,PRESIONES!$C$12*((PRESIONES!$E$32-ABERTURAS!$L$64)*MAX(0,MIN($W9,DATOS!$C$23*1/4)-MAX($V9,DATOS!$C$23*0/4))+(PRESIONES!$E$33-ABERTURAS!$L$64)*MAX(0,MIN($W9,DATOS!$C$23*2/4)-MAX($V9,DATOS!$C$23*1/4))+(PRESIONES!$E$34-ABERTURAS!$L$64)*MAX(0,MIN($W9,DATOS!$C$23*3/4)-MAX($V9,DATOS!$C$23*2/4))+(PRESIONES!$E$35-ABERTURAS!$L$64)*MAX(0,MIN($W9,DATOS!$C$23*4/4)-MAX($V9,DATOS!$C$23*3/4))))</f>
        <v>-6.59233325279982</v>
      </c>
      <c r="AW9" s="30" t="n">
        <f aca="false">IF($L9&lt;&gt;"OK",0,PRESIONES!$C$12*((PRESIONES!$H$32-ABERTURAS!$L$65)*MAX(0,MIN($W9,DATOS!$C$23*1/4)-MAX($V9,DATOS!$C$23*0/4))+(PRESIONES!$H$33-ABERTURAS!$L$65)*MAX(0,MIN($W9,DATOS!$C$23*2/4)-MAX($V9,DATOS!$C$23*1/4))+(PRESIONES!$H$34-ABERTURAS!$L$65)*MAX(0,MIN($W9,DATOS!$C$23*3/4)-MAX($V9,DATOS!$C$23*2/4))+(PRESIONES!$H$35-ABERTURAS!$L$65)*MAX(0,MIN($W9,DATOS!$C$23*4/4)-MAX($V9,DATOS!$C$23*3/4))))</f>
        <v>-6.59233325279982</v>
      </c>
      <c r="AX9" s="30" t="n">
        <f aca="false">IF($L9&lt;&gt;"OK",0,PRESIONES!$C$12*((PRESIONES!$K$32-ABERTURAS!$L$66)*MAX(0,MIN($W9,DATOS!$C$23*1/4)-MAX($V9,DATOS!$C$23*0/4))+(PRESIONES!$K$33-ABERTURAS!$L$66)*MAX(0,MIN($W9,DATOS!$C$23*2/4)-MAX($V9,DATOS!$C$23*1/4))+(PRESIONES!$K$34-ABERTURAS!$L$66)*MAX(0,MIN($W9,DATOS!$C$23*3/4)-MAX($V9,DATOS!$C$23*2/4))+(PRESIONES!$K$35-ABERTURAS!$L$66)*MAX(0,MIN($W9,DATOS!$C$23*4/4)-MAX($V9,DATOS!$C$23*3/4))))</f>
        <v>-3.29616662639991</v>
      </c>
      <c r="AY9" s="30" t="n">
        <f aca="false">IF($L9&lt;&gt;"OK",0,PRESIONES!$C$12*((PRESIONES!$N$32-ABERTURAS!$L$67)*MAX(0,MIN($W9,DATOS!$C$23*1/4)-MAX($V9,DATOS!$C$23*0/4))+(PRESIONES!$N$33-ABERTURAS!$L$67)*MAX(0,MIN($W9,DATOS!$C$23*2/4)-MAX($V9,DATOS!$C$23*1/4))+(PRESIONES!$N$34-ABERTURAS!$L$67)*MAX(0,MIN($W9,DATOS!$C$23*3/4)-MAX($V9,DATOS!$C$23*2/4))+(PRESIONES!$N$35-ABERTURAS!$L$67)*MAX(0,MIN($W9,DATOS!$C$23*4/4)-MAX($V9,DATOS!$C$23*3/4))))</f>
        <v>-47.7944160827987</v>
      </c>
      <c r="AZ9" s="30" t="n">
        <f aca="false">IF($L9&lt;&gt;"OK",0,PRESIONES!$C$12*((PRESIONES!$E$32-ABERTURAS!$L$60)*MAX(0,MIN($W9,DATOS!$C$23*1/4)-MAX($V9,DATOS!$C$23*0/4))*PRESIONES!$C$18+(PRESIONES!$E$33-ABERTURAS!$L$60)*MAX(0,MIN($W9,DATOS!$C$23*2/4)-MAX($V9,DATOS!$C$23*1/4))*PRESIONES!$C$19+(PRESIONES!$E$34-ABERTURAS!$L$60)*MAX(0,MIN($W9,DATOS!$C$23*3/4)-MAX($V9,DATOS!$C$23*2/4))*PRESIONES!$C$20+(PRESIONES!$E$35-ABERTURAS!$L$60)*MAX(0,MIN($W9,DATOS!$C$23*4/4)-MAX($V9,DATOS!$C$23*3/4))*PRESIONES!$C$21))</f>
        <v>0.32961666263999</v>
      </c>
      <c r="BA9" s="30" t="n">
        <f aca="false">IF($L9&lt;&gt;"OK",0,PRESIONES!$C$12*((PRESIONES!$H$32-ABERTURAS!$L$61)*MAX(0,MIN($W9,DATOS!$C$23*1/4)-MAX($V9,DATOS!$C$23*0/4))*PRESIONES!$C$18+(PRESIONES!$H$33-ABERTURAS!$L$61)*MAX(0,MIN($W9,DATOS!$C$23*2/4)-MAX($V9,DATOS!$C$23*1/4))*PRESIONES!$C$19+(PRESIONES!$H$34-ABERTURAS!$L$61)*MAX(0,MIN($W9,DATOS!$C$23*3/4)-MAX($V9,DATOS!$C$23*2/4))*PRESIONES!$C$20+(PRESIONES!$H$35-ABERTURAS!$L$61)*MAX(0,MIN($W9,DATOS!$C$23*4/4)-MAX($V9,DATOS!$C$23*3/4))*PRESIONES!$C$21))</f>
        <v>0.32961666263999</v>
      </c>
      <c r="BB9" s="30" t="n">
        <f aca="false">IF($L9&lt;&gt;"OK",0,PRESIONES!$C$12*((PRESIONES!$K$32-ABERTURAS!$L$62)*MAX(0,MIN($W9,DATOS!$C$23*1/4)-MAX($V9,DATOS!$C$23*0/4))*PRESIONES!$C$18+(PRESIONES!$K$33-ABERTURAS!$L$62)*MAX(0,MIN($W9,DATOS!$C$23*2/4)-MAX($V9,DATOS!$C$23*1/4))*PRESIONES!$C$19+(PRESIONES!$K$34-ABERTURAS!$L$62)*MAX(0,MIN($W9,DATOS!$C$23*3/4)-MAX($V9,DATOS!$C$23*2/4))*PRESIONES!$C$20+(PRESIONES!$K$35-ABERTURAS!$L$62)*MAX(0,MIN($W9,DATOS!$C$23*4/4)-MAX($V9,DATOS!$C$23*3/4))*PRESIONES!$C$21))</f>
        <v>0.164808331319995</v>
      </c>
      <c r="BC9" s="30" t="n">
        <f aca="false">IF($L9&lt;&gt;"OK",0,PRESIONES!$C$12*((PRESIONES!$N$32-ABERTURAS!$L$63)*MAX(0,MIN($W9,DATOS!$C$23*1/4)-MAX($V9,DATOS!$C$23*0/4))*PRESIONES!$C$18+(PRESIONES!$N$33-ABERTURAS!$L$63)*MAX(0,MIN($W9,DATOS!$C$23*2/4)-MAX($V9,DATOS!$C$23*1/4))*PRESIONES!$C$19+(PRESIONES!$N$34-ABERTURAS!$L$63)*MAX(0,MIN($W9,DATOS!$C$23*3/4)-MAX($V9,DATOS!$C$23*2/4))*PRESIONES!$C$20+(PRESIONES!$N$35-ABERTURAS!$L$63)*MAX(0,MIN($W9,DATOS!$C$23*4/4)-MAX($V9,DATOS!$C$23*3/4))*PRESIONES!$C$21))</f>
        <v>2.38972080413993</v>
      </c>
      <c r="BD9" s="30" t="n">
        <f aca="false">IF($L9&lt;&gt;"OK",0,PRESIONES!$C$12*((PRESIONES!$E$32-ABERTURAS!$L$64)*MAX(0,MIN($W9,DATOS!$C$23*1/4)-MAX($V9,DATOS!$C$23*0/4))*PRESIONES!$C$18+(PRESIONES!$E$33-ABERTURAS!$L$64)*MAX(0,MIN($W9,DATOS!$C$23*2/4)-MAX($V9,DATOS!$C$23*1/4))*PRESIONES!$C$19+(PRESIONES!$E$34-ABERTURAS!$L$64)*MAX(0,MIN($W9,DATOS!$C$23*3/4)-MAX($V9,DATOS!$C$23*2/4))*PRESIONES!$C$20+(PRESIONES!$E$35-ABERTURAS!$L$64)*MAX(0,MIN($W9,DATOS!$C$23*4/4)-MAX($V9,DATOS!$C$23*3/4))*PRESIONES!$C$21))</f>
        <v>0.32961666263999</v>
      </c>
      <c r="BE9" s="30" t="n">
        <f aca="false">IF($L9&lt;&gt;"OK",0,PRESIONES!$C$12*((PRESIONES!$H$32-ABERTURAS!$L$65)*MAX(0,MIN($W9,DATOS!$C$23*1/4)-MAX($V9,DATOS!$C$23*0/4))*PRESIONES!$C$18+(PRESIONES!$H$33-ABERTURAS!$L$65)*MAX(0,MIN($W9,DATOS!$C$23*2/4)-MAX($V9,DATOS!$C$23*1/4))*PRESIONES!$C$19+(PRESIONES!$H$34-ABERTURAS!$L$65)*MAX(0,MIN($W9,DATOS!$C$23*3/4)-MAX($V9,DATOS!$C$23*2/4))*PRESIONES!$C$20+(PRESIONES!$H$35-ABERTURAS!$L$65)*MAX(0,MIN($W9,DATOS!$C$23*4/4)-MAX($V9,DATOS!$C$23*3/4))*PRESIONES!$C$21))</f>
        <v>0.32961666263999</v>
      </c>
      <c r="BF9" s="30" t="n">
        <f aca="false">IF($L9&lt;&gt;"OK",0,PRESIONES!$C$12*((PRESIONES!$K$32-ABERTURAS!$L$66)*MAX(0,MIN($W9,DATOS!$C$23*1/4)-MAX($V9,DATOS!$C$23*0/4))*PRESIONES!$C$18+(PRESIONES!$K$33-ABERTURAS!$L$66)*MAX(0,MIN($W9,DATOS!$C$23*2/4)-MAX($V9,DATOS!$C$23*1/4))*PRESIONES!$C$19+(PRESIONES!$K$34-ABERTURAS!$L$66)*MAX(0,MIN($W9,DATOS!$C$23*3/4)-MAX($V9,DATOS!$C$23*2/4))*PRESIONES!$C$20+(PRESIONES!$K$35-ABERTURAS!$L$66)*MAX(0,MIN($W9,DATOS!$C$23*4/4)-MAX($V9,DATOS!$C$23*3/4))*PRESIONES!$C$21))</f>
        <v>0.164808331319995</v>
      </c>
      <c r="BG9" s="30" t="n">
        <f aca="false">IF($L9&lt;&gt;"OK",0,PRESIONES!$C$12*((PRESIONES!$N$32-ABERTURAS!$L$67)*MAX(0,MIN($W9,DATOS!$C$23*1/4)-MAX($V9,DATOS!$C$23*0/4))*PRESIONES!$C$18+(PRESIONES!$N$33-ABERTURAS!$L$67)*MAX(0,MIN($W9,DATOS!$C$23*2/4)-MAX($V9,DATOS!$C$23*1/4))*PRESIONES!$C$19+(PRESIONES!$N$34-ABERTURAS!$L$67)*MAX(0,MIN($W9,DATOS!$C$23*3/4)-MAX($V9,DATOS!$C$23*2/4))*PRESIONES!$C$20+(PRESIONES!$N$35-ABERTURAS!$L$67)*MAX(0,MIN($W9,DATOS!$C$23*4/4)-MAX($V9,DATOS!$C$23*3/4))*PRESIONES!$C$21))</f>
        <v>2.38972080413993</v>
      </c>
    </row>
    <row r="10" customFormat="false" ht="16.5" hidden="false" customHeight="true" outlineLevel="0" collapsed="false">
      <c r="B10" s="27" t="s">
        <v>401</v>
      </c>
      <c r="C10" s="17" t="s">
        <v>399</v>
      </c>
      <c r="D10" s="27" t="s">
        <v>402</v>
      </c>
      <c r="E10" s="17" t="s">
        <v>80</v>
      </c>
      <c r="F10" s="49" t="n">
        <v>0</v>
      </c>
      <c r="G10" s="49" t="n">
        <v>10.08</v>
      </c>
      <c r="H10" s="49" t="n">
        <v>0.675</v>
      </c>
      <c r="I10" s="49" t="n">
        <v>2.025</v>
      </c>
      <c r="J10" s="49"/>
      <c r="K10" s="49"/>
      <c r="L10" s="20" t="str">
        <f aca="false">IF($D10="","",IF($C10&lt;&gt;"TECHO","PON TECHO",IF(OR($F10="",$G10="",$H10="",$I10=""),"FALTAN a o b",IF($M10&lt;=0,"a₂ DEBE SER &gt; a₁",IF($N10&lt;=0,"b₂ DEBE SER &gt; b₁",IF(OR($V10&lt;-0.001,$W10&gt;DATOS!$C$23+0.001),"SE SALE DEL TECHO","OK"))))))</f>
        <v>OK</v>
      </c>
      <c r="M10" s="30" t="n">
        <f aca="false">IF($D10="",0,MAX(0,$G10-$F10))</f>
        <v>10.08</v>
      </c>
      <c r="N10" s="30" t="n">
        <f aca="false">MAX(0,$W10-$V10)</f>
        <v>1.35</v>
      </c>
      <c r="O10" s="30" t="n">
        <f aca="false">$M10*$N10</f>
        <v>13.608</v>
      </c>
      <c r="P10" s="30" t="n">
        <v>0</v>
      </c>
      <c r="Q10" s="30" t="n">
        <v>0</v>
      </c>
      <c r="R10" s="30" t="n">
        <f aca="false">$O10</f>
        <v>13.608</v>
      </c>
      <c r="S10" s="30" t="n">
        <f aca="false">$O10</f>
        <v>13.608</v>
      </c>
      <c r="T10" s="50" t="n">
        <f aca="false">IF($D10="",0,DATOS!$C$21)</f>
        <v>10.62</v>
      </c>
      <c r="U10" s="50" t="n">
        <v>0</v>
      </c>
      <c r="V10" s="50" t="n">
        <f aca="false">IF($D10="",0,(N($H10)+IF($J10="",N($H10),$J10))/2)</f>
        <v>0.675</v>
      </c>
      <c r="W10" s="50" t="n">
        <f aca="false">IF($D10="",0,(N($I10)+IF($K10="",N($I10),$K10))/2)</f>
        <v>2.025</v>
      </c>
      <c r="AB10" s="30" t="n">
        <f aca="false">IF($L10&lt;&gt;"OK",0,PRESIONES!$C$12*((PRESIONES!$D$32-ABERTURAS!$L$60)*MAX(0,MIN($W10,DATOS!$C$23*1/4)-MAX($V10,DATOS!$C$23*0/4))+(PRESIONES!$D$33-ABERTURAS!$L$60)*MAX(0,MIN($W10,DATOS!$C$23*2/4)-MAX($V10,DATOS!$C$23*1/4))+(PRESIONES!$D$34-ABERTURAS!$L$60)*MAX(0,MIN($W10,DATOS!$C$23*3/4)-MAX($V10,DATOS!$C$23*2/4))+(PRESIONES!$D$35-ABERTURAS!$L$60)*MAX(0,MIN($W10,DATOS!$C$23*4/4)-MAX($V10,DATOS!$C$23*3/4))))</f>
        <v>-13.1846665055996</v>
      </c>
      <c r="AC10" s="30" t="n">
        <f aca="false">IF($L10&lt;&gt;"OK",0,PRESIONES!$C$12*((PRESIONES!$G$32-ABERTURAS!$L$61)*MAX(0,MIN($W10,DATOS!$C$23*1/4)-MAX($V10,DATOS!$C$23*0/4))+(PRESIONES!$G$33-ABERTURAS!$L$61)*MAX(0,MIN($W10,DATOS!$C$23*2/4)-MAX($V10,DATOS!$C$23*1/4))+(PRESIONES!$G$34-ABERTURAS!$L$61)*MAX(0,MIN($W10,DATOS!$C$23*3/4)-MAX($V10,DATOS!$C$23*2/4))+(PRESIONES!$G$35-ABERTURAS!$L$61)*MAX(0,MIN($W10,DATOS!$C$23*4/4)-MAX($V10,DATOS!$C$23*3/4))))</f>
        <v>-13.1846665055996</v>
      </c>
      <c r="AD10" s="30" t="n">
        <f aca="false">IF($L10&lt;&gt;"OK",0,PRESIONES!$C$12*((PRESIONES!$J$32-ABERTURAS!$L$62)*MAX(0,MIN($W10,DATOS!$C$23*1/4)-MAX($V10,DATOS!$C$23*0/4))+(PRESIONES!$J$33-ABERTURAS!$L$62)*MAX(0,MIN($W10,DATOS!$C$23*2/4)-MAX($V10,DATOS!$C$23*1/4))+(PRESIONES!$J$34-ABERTURAS!$L$62)*MAX(0,MIN($W10,DATOS!$C$23*3/4)-MAX($V10,DATOS!$C$23*2/4))+(PRESIONES!$J$35-ABERTURAS!$L$62)*MAX(0,MIN($W10,DATOS!$C$23*4/4)-MAX($V10,DATOS!$C$23*3/4))))</f>
        <v>-6.59233325279981</v>
      </c>
      <c r="AE10" s="30" t="n">
        <f aca="false">IF($L10&lt;&gt;"OK",0,PRESIONES!$C$12*((PRESIONES!$M$32-ABERTURAS!$L$63)*MAX(0,MIN($W10,DATOS!$C$23*1/4)-MAX($V10,DATOS!$C$23*0/4))+(PRESIONES!$M$33-ABERTURAS!$L$63)*MAX(0,MIN($W10,DATOS!$C$23*2/4)-MAX($V10,DATOS!$C$23*1/4))+(PRESIONES!$M$34-ABERTURAS!$L$63)*MAX(0,MIN($W10,DATOS!$C$23*3/4)-MAX($V10,DATOS!$C$23*2/4))+(PRESIONES!$M$35-ABERTURAS!$L$63)*MAX(0,MIN($W10,DATOS!$C$23*4/4)-MAX($V10,DATOS!$C$23*3/4))))</f>
        <v>-95.5888321655973</v>
      </c>
      <c r="AF10" s="30" t="n">
        <f aca="false">IF($L10&lt;&gt;"OK",0,PRESIONES!$C$12*((PRESIONES!$D$32-ABERTURAS!$L$64)*MAX(0,MIN($W10,DATOS!$C$23*1/4)-MAX($V10,DATOS!$C$23*0/4))+(PRESIONES!$D$33-ABERTURAS!$L$64)*MAX(0,MIN($W10,DATOS!$C$23*2/4)-MAX($V10,DATOS!$C$23*1/4))+(PRESIONES!$D$34-ABERTURAS!$L$64)*MAX(0,MIN($W10,DATOS!$C$23*3/4)-MAX($V10,DATOS!$C$23*2/4))+(PRESIONES!$D$35-ABERTURAS!$L$64)*MAX(0,MIN($W10,DATOS!$C$23*4/4)-MAX($V10,DATOS!$C$23*3/4))))</f>
        <v>-13.1846665055996</v>
      </c>
      <c r="AG10" s="30" t="n">
        <f aca="false">IF($L10&lt;&gt;"OK",0,PRESIONES!$C$12*((PRESIONES!$G$32-ABERTURAS!$L$65)*MAX(0,MIN($W10,DATOS!$C$23*1/4)-MAX($V10,DATOS!$C$23*0/4))+(PRESIONES!$G$33-ABERTURAS!$L$65)*MAX(0,MIN($W10,DATOS!$C$23*2/4)-MAX($V10,DATOS!$C$23*1/4))+(PRESIONES!$G$34-ABERTURAS!$L$65)*MAX(0,MIN($W10,DATOS!$C$23*3/4)-MAX($V10,DATOS!$C$23*2/4))+(PRESIONES!$G$35-ABERTURAS!$L$65)*MAX(0,MIN($W10,DATOS!$C$23*4/4)-MAX($V10,DATOS!$C$23*3/4))))</f>
        <v>-13.1846665055996</v>
      </c>
      <c r="AH10" s="30" t="n">
        <f aca="false">IF($L10&lt;&gt;"OK",0,PRESIONES!$C$12*((PRESIONES!$J$32-ABERTURAS!$L$66)*MAX(0,MIN($W10,DATOS!$C$23*1/4)-MAX($V10,DATOS!$C$23*0/4))+(PRESIONES!$J$33-ABERTURAS!$L$66)*MAX(0,MIN($W10,DATOS!$C$23*2/4)-MAX($V10,DATOS!$C$23*1/4))+(PRESIONES!$J$34-ABERTURAS!$L$66)*MAX(0,MIN($W10,DATOS!$C$23*3/4)-MAX($V10,DATOS!$C$23*2/4))+(PRESIONES!$J$35-ABERTURAS!$L$66)*MAX(0,MIN($W10,DATOS!$C$23*4/4)-MAX($V10,DATOS!$C$23*3/4))))</f>
        <v>-6.59233325279981</v>
      </c>
      <c r="AI10" s="30" t="n">
        <f aca="false">IF($L10&lt;&gt;"OK",0,PRESIONES!$C$12*((PRESIONES!$M$32-ABERTURAS!$L$67)*MAX(0,MIN($W10,DATOS!$C$23*1/4)-MAX($V10,DATOS!$C$23*0/4))+(PRESIONES!$M$33-ABERTURAS!$L$67)*MAX(0,MIN($W10,DATOS!$C$23*2/4)-MAX($V10,DATOS!$C$23*1/4))+(PRESIONES!$M$34-ABERTURAS!$L$67)*MAX(0,MIN($W10,DATOS!$C$23*3/4)-MAX($V10,DATOS!$C$23*2/4))+(PRESIONES!$M$35-ABERTURAS!$L$67)*MAX(0,MIN($W10,DATOS!$C$23*4/4)-MAX($V10,DATOS!$C$23*3/4))))</f>
        <v>-95.5888321655973</v>
      </c>
      <c r="AJ10" s="30" t="n">
        <f aca="false">IF($L10&lt;&gt;"OK",0,PRESIONES!$C$12*((PRESIONES!$D$32-ABERTURAS!$L$60)*MAX(0,MIN($W10,DATOS!$C$23*1/4)-MAX($V10,DATOS!$C$23*0/4))*PRESIONES!$C$18+(PRESIONES!$D$33-ABERTURAS!$L$60)*MAX(0,MIN($W10,DATOS!$C$23*2/4)-MAX($V10,DATOS!$C$23*1/4))*PRESIONES!$C$19+(PRESIONES!$D$34-ABERTURAS!$L$60)*MAX(0,MIN($W10,DATOS!$C$23*3/4)-MAX($V10,DATOS!$C$23*2/4))*PRESIONES!$C$20+(PRESIONES!$D$35-ABERTURAS!$L$60)*MAX(0,MIN($W10,DATOS!$C$23*4/4)-MAX($V10,DATOS!$C$23*3/4))*PRESIONES!$C$21))</f>
        <v>0.659233325279981</v>
      </c>
      <c r="AK10" s="30" t="n">
        <f aca="false">IF($L10&lt;&gt;"OK",0,PRESIONES!$C$12*((PRESIONES!$G$32-ABERTURAS!$L$61)*MAX(0,MIN($W10,DATOS!$C$23*1/4)-MAX($V10,DATOS!$C$23*0/4))*PRESIONES!$C$18+(PRESIONES!$G$33-ABERTURAS!$L$61)*MAX(0,MIN($W10,DATOS!$C$23*2/4)-MAX($V10,DATOS!$C$23*1/4))*PRESIONES!$C$19+(PRESIONES!$G$34-ABERTURAS!$L$61)*MAX(0,MIN($W10,DATOS!$C$23*3/4)-MAX($V10,DATOS!$C$23*2/4))*PRESIONES!$C$20+(PRESIONES!$G$35-ABERTURAS!$L$61)*MAX(0,MIN($W10,DATOS!$C$23*4/4)-MAX($V10,DATOS!$C$23*3/4))*PRESIONES!$C$21))</f>
        <v>0.659233325279981</v>
      </c>
      <c r="AL10" s="30" t="n">
        <f aca="false">IF($L10&lt;&gt;"OK",0,PRESIONES!$C$12*((PRESIONES!$J$32-ABERTURAS!$L$62)*MAX(0,MIN($W10,DATOS!$C$23*1/4)-MAX($V10,DATOS!$C$23*0/4))*PRESIONES!$C$18+(PRESIONES!$J$33-ABERTURAS!$L$62)*MAX(0,MIN($W10,DATOS!$C$23*2/4)-MAX($V10,DATOS!$C$23*1/4))*PRESIONES!$C$19+(PRESIONES!$J$34-ABERTURAS!$L$62)*MAX(0,MIN($W10,DATOS!$C$23*3/4)-MAX($V10,DATOS!$C$23*2/4))*PRESIONES!$C$20+(PRESIONES!$J$35-ABERTURAS!$L$62)*MAX(0,MIN($W10,DATOS!$C$23*4/4)-MAX($V10,DATOS!$C$23*3/4))*PRESIONES!$C$21))</f>
        <v>0.32961666263999</v>
      </c>
      <c r="AM10" s="30" t="n">
        <f aca="false">IF($L10&lt;&gt;"OK",0,PRESIONES!$C$12*((PRESIONES!$M$32-ABERTURAS!$L$63)*MAX(0,MIN($W10,DATOS!$C$23*1/4)-MAX($V10,DATOS!$C$23*0/4))*PRESIONES!$C$18+(PRESIONES!$M$33-ABERTURAS!$L$63)*MAX(0,MIN($W10,DATOS!$C$23*2/4)-MAX($V10,DATOS!$C$23*1/4))*PRESIONES!$C$19+(PRESIONES!$M$34-ABERTURAS!$L$63)*MAX(0,MIN($W10,DATOS!$C$23*3/4)-MAX($V10,DATOS!$C$23*2/4))*PRESIONES!$C$20+(PRESIONES!$M$35-ABERTURAS!$L$63)*MAX(0,MIN($W10,DATOS!$C$23*4/4)-MAX($V10,DATOS!$C$23*3/4))*PRESIONES!$C$21))</f>
        <v>4.77944160827986</v>
      </c>
      <c r="AN10" s="30" t="n">
        <f aca="false">IF($L10&lt;&gt;"OK",0,PRESIONES!$C$12*((PRESIONES!$D$32-ABERTURAS!$L$64)*MAX(0,MIN($W10,DATOS!$C$23*1/4)-MAX($V10,DATOS!$C$23*0/4))*PRESIONES!$C$18+(PRESIONES!$D$33-ABERTURAS!$L$64)*MAX(0,MIN($W10,DATOS!$C$23*2/4)-MAX($V10,DATOS!$C$23*1/4))*PRESIONES!$C$19+(PRESIONES!$D$34-ABERTURAS!$L$64)*MAX(0,MIN($W10,DATOS!$C$23*3/4)-MAX($V10,DATOS!$C$23*2/4))*PRESIONES!$C$20+(PRESIONES!$D$35-ABERTURAS!$L$64)*MAX(0,MIN($W10,DATOS!$C$23*4/4)-MAX($V10,DATOS!$C$23*3/4))*PRESIONES!$C$21))</f>
        <v>0.659233325279981</v>
      </c>
      <c r="AO10" s="30" t="n">
        <f aca="false">IF($L10&lt;&gt;"OK",0,PRESIONES!$C$12*((PRESIONES!$G$32-ABERTURAS!$L$65)*MAX(0,MIN($W10,DATOS!$C$23*1/4)-MAX($V10,DATOS!$C$23*0/4))*PRESIONES!$C$18+(PRESIONES!$G$33-ABERTURAS!$L$65)*MAX(0,MIN($W10,DATOS!$C$23*2/4)-MAX($V10,DATOS!$C$23*1/4))*PRESIONES!$C$19+(PRESIONES!$G$34-ABERTURAS!$L$65)*MAX(0,MIN($W10,DATOS!$C$23*3/4)-MAX($V10,DATOS!$C$23*2/4))*PRESIONES!$C$20+(PRESIONES!$G$35-ABERTURAS!$L$65)*MAX(0,MIN($W10,DATOS!$C$23*4/4)-MAX($V10,DATOS!$C$23*3/4))*PRESIONES!$C$21))</f>
        <v>0.659233325279981</v>
      </c>
      <c r="AP10" s="30" t="n">
        <f aca="false">IF($L10&lt;&gt;"OK",0,PRESIONES!$C$12*((PRESIONES!$J$32-ABERTURAS!$L$66)*MAX(0,MIN($W10,DATOS!$C$23*1/4)-MAX($V10,DATOS!$C$23*0/4))*PRESIONES!$C$18+(PRESIONES!$J$33-ABERTURAS!$L$66)*MAX(0,MIN($W10,DATOS!$C$23*2/4)-MAX($V10,DATOS!$C$23*1/4))*PRESIONES!$C$19+(PRESIONES!$J$34-ABERTURAS!$L$66)*MAX(0,MIN($W10,DATOS!$C$23*3/4)-MAX($V10,DATOS!$C$23*2/4))*PRESIONES!$C$20+(PRESIONES!$J$35-ABERTURAS!$L$66)*MAX(0,MIN($W10,DATOS!$C$23*4/4)-MAX($V10,DATOS!$C$23*3/4))*PRESIONES!$C$21))</f>
        <v>0.32961666263999</v>
      </c>
      <c r="AQ10" s="30" t="n">
        <f aca="false">IF($L10&lt;&gt;"OK",0,PRESIONES!$C$12*((PRESIONES!$M$32-ABERTURAS!$L$67)*MAX(0,MIN($W10,DATOS!$C$23*1/4)-MAX($V10,DATOS!$C$23*0/4))*PRESIONES!$C$18+(PRESIONES!$M$33-ABERTURAS!$L$67)*MAX(0,MIN($W10,DATOS!$C$23*2/4)-MAX($V10,DATOS!$C$23*1/4))*PRESIONES!$C$19+(PRESIONES!$M$34-ABERTURAS!$L$67)*MAX(0,MIN($W10,DATOS!$C$23*3/4)-MAX($V10,DATOS!$C$23*2/4))*PRESIONES!$C$20+(PRESIONES!$M$35-ABERTURAS!$L$67)*MAX(0,MIN($W10,DATOS!$C$23*4/4)-MAX($V10,DATOS!$C$23*3/4))*PRESIONES!$C$21))</f>
        <v>4.77944160827986</v>
      </c>
      <c r="AR10" s="30" t="n">
        <f aca="false">IF($L10&lt;&gt;"OK",0,PRESIONES!$C$12*((PRESIONES!$E$32-ABERTURAS!$L$60)*MAX(0,MIN($W10,DATOS!$C$23*1/4)-MAX($V10,DATOS!$C$23*0/4))+(PRESIONES!$E$33-ABERTURAS!$L$60)*MAX(0,MIN($W10,DATOS!$C$23*2/4)-MAX($V10,DATOS!$C$23*1/4))+(PRESIONES!$E$34-ABERTURAS!$L$60)*MAX(0,MIN($W10,DATOS!$C$23*3/4)-MAX($V10,DATOS!$C$23*2/4))+(PRESIONES!$E$35-ABERTURAS!$L$60)*MAX(0,MIN($W10,DATOS!$C$23*4/4)-MAX($V10,DATOS!$C$23*3/4))))</f>
        <v>-13.1846665055996</v>
      </c>
      <c r="AS10" s="30" t="n">
        <f aca="false">IF($L10&lt;&gt;"OK",0,PRESIONES!$C$12*((PRESIONES!$H$32-ABERTURAS!$L$61)*MAX(0,MIN($W10,DATOS!$C$23*1/4)-MAX($V10,DATOS!$C$23*0/4))+(PRESIONES!$H$33-ABERTURAS!$L$61)*MAX(0,MIN($W10,DATOS!$C$23*2/4)-MAX($V10,DATOS!$C$23*1/4))+(PRESIONES!$H$34-ABERTURAS!$L$61)*MAX(0,MIN($W10,DATOS!$C$23*3/4)-MAX($V10,DATOS!$C$23*2/4))+(PRESIONES!$H$35-ABERTURAS!$L$61)*MAX(0,MIN($W10,DATOS!$C$23*4/4)-MAX($V10,DATOS!$C$23*3/4))))</f>
        <v>-13.1846665055996</v>
      </c>
      <c r="AT10" s="30" t="n">
        <f aca="false">IF($L10&lt;&gt;"OK",0,PRESIONES!$C$12*((PRESIONES!$K$32-ABERTURAS!$L$62)*MAX(0,MIN($W10,DATOS!$C$23*1/4)-MAX($V10,DATOS!$C$23*0/4))+(PRESIONES!$K$33-ABERTURAS!$L$62)*MAX(0,MIN($W10,DATOS!$C$23*2/4)-MAX($V10,DATOS!$C$23*1/4))+(PRESIONES!$K$34-ABERTURAS!$L$62)*MAX(0,MIN($W10,DATOS!$C$23*3/4)-MAX($V10,DATOS!$C$23*2/4))+(PRESIONES!$K$35-ABERTURAS!$L$62)*MAX(0,MIN($W10,DATOS!$C$23*4/4)-MAX($V10,DATOS!$C$23*3/4))))</f>
        <v>-6.59233325279981</v>
      </c>
      <c r="AU10" s="30" t="n">
        <f aca="false">IF($L10&lt;&gt;"OK",0,PRESIONES!$C$12*((PRESIONES!$N$32-ABERTURAS!$L$63)*MAX(0,MIN($W10,DATOS!$C$23*1/4)-MAX($V10,DATOS!$C$23*0/4))+(PRESIONES!$N$33-ABERTURAS!$L$63)*MAX(0,MIN($W10,DATOS!$C$23*2/4)-MAX($V10,DATOS!$C$23*1/4))+(PRESIONES!$N$34-ABERTURAS!$L$63)*MAX(0,MIN($W10,DATOS!$C$23*3/4)-MAX($V10,DATOS!$C$23*2/4))+(PRESIONES!$N$35-ABERTURAS!$L$63)*MAX(0,MIN($W10,DATOS!$C$23*4/4)-MAX($V10,DATOS!$C$23*3/4))))</f>
        <v>-95.5888321655973</v>
      </c>
      <c r="AV10" s="30" t="n">
        <f aca="false">IF($L10&lt;&gt;"OK",0,PRESIONES!$C$12*((PRESIONES!$E$32-ABERTURAS!$L$64)*MAX(0,MIN($W10,DATOS!$C$23*1/4)-MAX($V10,DATOS!$C$23*0/4))+(PRESIONES!$E$33-ABERTURAS!$L$64)*MAX(0,MIN($W10,DATOS!$C$23*2/4)-MAX($V10,DATOS!$C$23*1/4))+(PRESIONES!$E$34-ABERTURAS!$L$64)*MAX(0,MIN($W10,DATOS!$C$23*3/4)-MAX($V10,DATOS!$C$23*2/4))+(PRESIONES!$E$35-ABERTURAS!$L$64)*MAX(0,MIN($W10,DATOS!$C$23*4/4)-MAX($V10,DATOS!$C$23*3/4))))</f>
        <v>-13.1846665055996</v>
      </c>
      <c r="AW10" s="30" t="n">
        <f aca="false">IF($L10&lt;&gt;"OK",0,PRESIONES!$C$12*((PRESIONES!$H$32-ABERTURAS!$L$65)*MAX(0,MIN($W10,DATOS!$C$23*1/4)-MAX($V10,DATOS!$C$23*0/4))+(PRESIONES!$H$33-ABERTURAS!$L$65)*MAX(0,MIN($W10,DATOS!$C$23*2/4)-MAX($V10,DATOS!$C$23*1/4))+(PRESIONES!$H$34-ABERTURAS!$L$65)*MAX(0,MIN($W10,DATOS!$C$23*3/4)-MAX($V10,DATOS!$C$23*2/4))+(PRESIONES!$H$35-ABERTURAS!$L$65)*MAX(0,MIN($W10,DATOS!$C$23*4/4)-MAX($V10,DATOS!$C$23*3/4))))</f>
        <v>-13.1846665055996</v>
      </c>
      <c r="AX10" s="30" t="n">
        <f aca="false">IF($L10&lt;&gt;"OK",0,PRESIONES!$C$12*((PRESIONES!$K$32-ABERTURAS!$L$66)*MAX(0,MIN($W10,DATOS!$C$23*1/4)-MAX($V10,DATOS!$C$23*0/4))+(PRESIONES!$K$33-ABERTURAS!$L$66)*MAX(0,MIN($W10,DATOS!$C$23*2/4)-MAX($V10,DATOS!$C$23*1/4))+(PRESIONES!$K$34-ABERTURAS!$L$66)*MAX(0,MIN($W10,DATOS!$C$23*3/4)-MAX($V10,DATOS!$C$23*2/4))+(PRESIONES!$K$35-ABERTURAS!$L$66)*MAX(0,MIN($W10,DATOS!$C$23*4/4)-MAX($V10,DATOS!$C$23*3/4))))</f>
        <v>-6.59233325279981</v>
      </c>
      <c r="AY10" s="30" t="n">
        <f aca="false">IF($L10&lt;&gt;"OK",0,PRESIONES!$C$12*((PRESIONES!$N$32-ABERTURAS!$L$67)*MAX(0,MIN($W10,DATOS!$C$23*1/4)-MAX($V10,DATOS!$C$23*0/4))+(PRESIONES!$N$33-ABERTURAS!$L$67)*MAX(0,MIN($W10,DATOS!$C$23*2/4)-MAX($V10,DATOS!$C$23*1/4))+(PRESIONES!$N$34-ABERTURAS!$L$67)*MAX(0,MIN($W10,DATOS!$C$23*3/4)-MAX($V10,DATOS!$C$23*2/4))+(PRESIONES!$N$35-ABERTURAS!$L$67)*MAX(0,MIN($W10,DATOS!$C$23*4/4)-MAX($V10,DATOS!$C$23*3/4))))</f>
        <v>-95.5888321655973</v>
      </c>
      <c r="AZ10" s="30" t="n">
        <f aca="false">IF($L10&lt;&gt;"OK",0,PRESIONES!$C$12*((PRESIONES!$E$32-ABERTURAS!$L$60)*MAX(0,MIN($W10,DATOS!$C$23*1/4)-MAX($V10,DATOS!$C$23*0/4))*PRESIONES!$C$18+(PRESIONES!$E$33-ABERTURAS!$L$60)*MAX(0,MIN($W10,DATOS!$C$23*2/4)-MAX($V10,DATOS!$C$23*1/4))*PRESIONES!$C$19+(PRESIONES!$E$34-ABERTURAS!$L$60)*MAX(0,MIN($W10,DATOS!$C$23*3/4)-MAX($V10,DATOS!$C$23*2/4))*PRESIONES!$C$20+(PRESIONES!$E$35-ABERTURAS!$L$60)*MAX(0,MIN($W10,DATOS!$C$23*4/4)-MAX($V10,DATOS!$C$23*3/4))*PRESIONES!$C$21))</f>
        <v>0.659233325279981</v>
      </c>
      <c r="BA10" s="30" t="n">
        <f aca="false">IF($L10&lt;&gt;"OK",0,PRESIONES!$C$12*((PRESIONES!$H$32-ABERTURAS!$L$61)*MAX(0,MIN($W10,DATOS!$C$23*1/4)-MAX($V10,DATOS!$C$23*0/4))*PRESIONES!$C$18+(PRESIONES!$H$33-ABERTURAS!$L$61)*MAX(0,MIN($W10,DATOS!$C$23*2/4)-MAX($V10,DATOS!$C$23*1/4))*PRESIONES!$C$19+(PRESIONES!$H$34-ABERTURAS!$L$61)*MAX(0,MIN($W10,DATOS!$C$23*3/4)-MAX($V10,DATOS!$C$23*2/4))*PRESIONES!$C$20+(PRESIONES!$H$35-ABERTURAS!$L$61)*MAX(0,MIN($W10,DATOS!$C$23*4/4)-MAX($V10,DATOS!$C$23*3/4))*PRESIONES!$C$21))</f>
        <v>0.659233325279981</v>
      </c>
      <c r="BB10" s="30" t="n">
        <f aca="false">IF($L10&lt;&gt;"OK",0,PRESIONES!$C$12*((PRESIONES!$K$32-ABERTURAS!$L$62)*MAX(0,MIN($W10,DATOS!$C$23*1/4)-MAX($V10,DATOS!$C$23*0/4))*PRESIONES!$C$18+(PRESIONES!$K$33-ABERTURAS!$L$62)*MAX(0,MIN($W10,DATOS!$C$23*2/4)-MAX($V10,DATOS!$C$23*1/4))*PRESIONES!$C$19+(PRESIONES!$K$34-ABERTURAS!$L$62)*MAX(0,MIN($W10,DATOS!$C$23*3/4)-MAX($V10,DATOS!$C$23*2/4))*PRESIONES!$C$20+(PRESIONES!$K$35-ABERTURAS!$L$62)*MAX(0,MIN($W10,DATOS!$C$23*4/4)-MAX($V10,DATOS!$C$23*3/4))*PRESIONES!$C$21))</f>
        <v>0.32961666263999</v>
      </c>
      <c r="BC10" s="30" t="n">
        <f aca="false">IF($L10&lt;&gt;"OK",0,PRESIONES!$C$12*((PRESIONES!$N$32-ABERTURAS!$L$63)*MAX(0,MIN($W10,DATOS!$C$23*1/4)-MAX($V10,DATOS!$C$23*0/4))*PRESIONES!$C$18+(PRESIONES!$N$33-ABERTURAS!$L$63)*MAX(0,MIN($W10,DATOS!$C$23*2/4)-MAX($V10,DATOS!$C$23*1/4))*PRESIONES!$C$19+(PRESIONES!$N$34-ABERTURAS!$L$63)*MAX(0,MIN($W10,DATOS!$C$23*3/4)-MAX($V10,DATOS!$C$23*2/4))*PRESIONES!$C$20+(PRESIONES!$N$35-ABERTURAS!$L$63)*MAX(0,MIN($W10,DATOS!$C$23*4/4)-MAX($V10,DATOS!$C$23*3/4))*PRESIONES!$C$21))</f>
        <v>4.77944160827986</v>
      </c>
      <c r="BD10" s="30" t="n">
        <f aca="false">IF($L10&lt;&gt;"OK",0,PRESIONES!$C$12*((PRESIONES!$E$32-ABERTURAS!$L$64)*MAX(0,MIN($W10,DATOS!$C$23*1/4)-MAX($V10,DATOS!$C$23*0/4))*PRESIONES!$C$18+(PRESIONES!$E$33-ABERTURAS!$L$64)*MAX(0,MIN($W10,DATOS!$C$23*2/4)-MAX($V10,DATOS!$C$23*1/4))*PRESIONES!$C$19+(PRESIONES!$E$34-ABERTURAS!$L$64)*MAX(0,MIN($W10,DATOS!$C$23*3/4)-MAX($V10,DATOS!$C$23*2/4))*PRESIONES!$C$20+(PRESIONES!$E$35-ABERTURAS!$L$64)*MAX(0,MIN($W10,DATOS!$C$23*4/4)-MAX($V10,DATOS!$C$23*3/4))*PRESIONES!$C$21))</f>
        <v>0.659233325279981</v>
      </c>
      <c r="BE10" s="30" t="n">
        <f aca="false">IF($L10&lt;&gt;"OK",0,PRESIONES!$C$12*((PRESIONES!$H$32-ABERTURAS!$L$65)*MAX(0,MIN($W10,DATOS!$C$23*1/4)-MAX($V10,DATOS!$C$23*0/4))*PRESIONES!$C$18+(PRESIONES!$H$33-ABERTURAS!$L$65)*MAX(0,MIN($W10,DATOS!$C$23*2/4)-MAX($V10,DATOS!$C$23*1/4))*PRESIONES!$C$19+(PRESIONES!$H$34-ABERTURAS!$L$65)*MAX(0,MIN($W10,DATOS!$C$23*3/4)-MAX($V10,DATOS!$C$23*2/4))*PRESIONES!$C$20+(PRESIONES!$H$35-ABERTURAS!$L$65)*MAX(0,MIN($W10,DATOS!$C$23*4/4)-MAX($V10,DATOS!$C$23*3/4))*PRESIONES!$C$21))</f>
        <v>0.659233325279981</v>
      </c>
      <c r="BF10" s="30" t="n">
        <f aca="false">IF($L10&lt;&gt;"OK",0,PRESIONES!$C$12*((PRESIONES!$K$32-ABERTURAS!$L$66)*MAX(0,MIN($W10,DATOS!$C$23*1/4)-MAX($V10,DATOS!$C$23*0/4))*PRESIONES!$C$18+(PRESIONES!$K$33-ABERTURAS!$L$66)*MAX(0,MIN($W10,DATOS!$C$23*2/4)-MAX($V10,DATOS!$C$23*1/4))*PRESIONES!$C$19+(PRESIONES!$K$34-ABERTURAS!$L$66)*MAX(0,MIN($W10,DATOS!$C$23*3/4)-MAX($V10,DATOS!$C$23*2/4))*PRESIONES!$C$20+(PRESIONES!$K$35-ABERTURAS!$L$66)*MAX(0,MIN($W10,DATOS!$C$23*4/4)-MAX($V10,DATOS!$C$23*3/4))*PRESIONES!$C$21))</f>
        <v>0.32961666263999</v>
      </c>
      <c r="BG10" s="30" t="n">
        <f aca="false">IF($L10&lt;&gt;"OK",0,PRESIONES!$C$12*((PRESIONES!$N$32-ABERTURAS!$L$67)*MAX(0,MIN($W10,DATOS!$C$23*1/4)-MAX($V10,DATOS!$C$23*0/4))*PRESIONES!$C$18+(PRESIONES!$N$33-ABERTURAS!$L$67)*MAX(0,MIN($W10,DATOS!$C$23*2/4)-MAX($V10,DATOS!$C$23*1/4))*PRESIONES!$C$19+(PRESIONES!$N$34-ABERTURAS!$L$67)*MAX(0,MIN($W10,DATOS!$C$23*3/4)-MAX($V10,DATOS!$C$23*2/4))*PRESIONES!$C$20+(PRESIONES!$N$35-ABERTURAS!$L$67)*MAX(0,MIN($W10,DATOS!$C$23*4/4)-MAX($V10,DATOS!$C$23*3/4))*PRESIONES!$C$21))</f>
        <v>4.77944160827986</v>
      </c>
    </row>
    <row r="11" customFormat="false" ht="16.5" hidden="false" customHeight="true" outlineLevel="0" collapsed="false">
      <c r="B11" s="27" t="s">
        <v>403</v>
      </c>
      <c r="C11" s="17" t="s">
        <v>399</v>
      </c>
      <c r="D11" s="27" t="s">
        <v>404</v>
      </c>
      <c r="E11" s="17" t="s">
        <v>80</v>
      </c>
      <c r="F11" s="49" t="n">
        <v>0</v>
      </c>
      <c r="G11" s="49" t="n">
        <v>10.08</v>
      </c>
      <c r="H11" s="49" t="n">
        <v>2.025</v>
      </c>
      <c r="I11" s="49" t="n">
        <v>3.375</v>
      </c>
      <c r="J11" s="49"/>
      <c r="K11" s="49"/>
      <c r="L11" s="20" t="str">
        <f aca="false">IF($D11="","",IF($C11&lt;&gt;"TECHO","PON TECHO",IF(OR($F11="",$G11="",$H11="",$I11=""),"FALTAN a o b",IF($M11&lt;=0,"a₂ DEBE SER &gt; a₁",IF($N11&lt;=0,"b₂ DEBE SER &gt; b₁",IF(OR($V11&lt;-0.001,$W11&gt;DATOS!$C$23+0.001),"SE SALE DEL TECHO","OK"))))))</f>
        <v>OK</v>
      </c>
      <c r="M11" s="30" t="n">
        <f aca="false">IF($D11="",0,MAX(0,$G11-$F11))</f>
        <v>10.08</v>
      </c>
      <c r="N11" s="30" t="n">
        <f aca="false">MAX(0,$W11-$V11)</f>
        <v>1.35</v>
      </c>
      <c r="O11" s="30" t="n">
        <f aca="false">$M11*$N11</f>
        <v>13.608</v>
      </c>
      <c r="P11" s="30" t="n">
        <v>0</v>
      </c>
      <c r="Q11" s="30" t="n">
        <v>0</v>
      </c>
      <c r="R11" s="30" t="n">
        <f aca="false">$O11</f>
        <v>13.608</v>
      </c>
      <c r="S11" s="30" t="n">
        <f aca="false">$O11</f>
        <v>13.608</v>
      </c>
      <c r="T11" s="50" t="n">
        <f aca="false">IF($D11="",0,DATOS!$C$21)</f>
        <v>10.62</v>
      </c>
      <c r="U11" s="50" t="n">
        <v>0</v>
      </c>
      <c r="V11" s="50" t="n">
        <f aca="false">IF($D11="",0,(N($H11)+IF($J11="",N($H11),$J11))/2)</f>
        <v>2.025</v>
      </c>
      <c r="W11" s="50" t="n">
        <f aca="false">IF($D11="",0,(N($I11)+IF($K11="",N($I11),$K11))/2)</f>
        <v>3.375</v>
      </c>
      <c r="AB11" s="30" t="n">
        <f aca="false">IF($L11&lt;&gt;"OK",0,PRESIONES!$C$12*((PRESIONES!$D$32-ABERTURAS!$L$60)*MAX(0,MIN($W11,DATOS!$C$23*1/4)-MAX($V11,DATOS!$C$23*0/4))+(PRESIONES!$D$33-ABERTURAS!$L$60)*MAX(0,MIN($W11,DATOS!$C$23*2/4)-MAX($V11,DATOS!$C$23*1/4))+(PRESIONES!$D$34-ABERTURAS!$L$60)*MAX(0,MIN($W11,DATOS!$C$23*3/4)-MAX($V11,DATOS!$C$23*2/4))+(PRESIONES!$D$35-ABERTURAS!$L$60)*MAX(0,MIN($W11,DATOS!$C$23*4/4)-MAX($V11,DATOS!$C$23*3/4))))</f>
        <v>-13.1846665055996</v>
      </c>
      <c r="AC11" s="30" t="n">
        <f aca="false">IF($L11&lt;&gt;"OK",0,PRESIONES!$C$12*((PRESIONES!$G$32-ABERTURAS!$L$61)*MAX(0,MIN($W11,DATOS!$C$23*1/4)-MAX($V11,DATOS!$C$23*0/4))+(PRESIONES!$G$33-ABERTURAS!$L$61)*MAX(0,MIN($W11,DATOS!$C$23*2/4)-MAX($V11,DATOS!$C$23*1/4))+(PRESIONES!$G$34-ABERTURAS!$L$61)*MAX(0,MIN($W11,DATOS!$C$23*3/4)-MAX($V11,DATOS!$C$23*2/4))+(PRESIONES!$G$35-ABERTURAS!$L$61)*MAX(0,MIN($W11,DATOS!$C$23*4/4)-MAX($V11,DATOS!$C$23*3/4))))</f>
        <v>-13.1846665055996</v>
      </c>
      <c r="AD11" s="30" t="n">
        <f aca="false">IF($L11&lt;&gt;"OK",0,PRESIONES!$C$12*((PRESIONES!$J$32-ABERTURAS!$L$62)*MAX(0,MIN($W11,DATOS!$C$23*1/4)-MAX($V11,DATOS!$C$23*0/4))+(PRESIONES!$J$33-ABERTURAS!$L$62)*MAX(0,MIN($W11,DATOS!$C$23*2/4)-MAX($V11,DATOS!$C$23*1/4))+(PRESIONES!$J$34-ABERTURAS!$L$62)*MAX(0,MIN($W11,DATOS!$C$23*3/4)-MAX($V11,DATOS!$C$23*2/4))+(PRESIONES!$J$35-ABERTURAS!$L$62)*MAX(0,MIN($W11,DATOS!$C$23*4/4)-MAX($V11,DATOS!$C$23*3/4))))</f>
        <v>-6.59233325279982</v>
      </c>
      <c r="AE11" s="30" t="n">
        <f aca="false">IF($L11&lt;&gt;"OK",0,PRESIONES!$C$12*((PRESIONES!$M$32-ABERTURAS!$L$63)*MAX(0,MIN($W11,DATOS!$C$23*1/4)-MAX($V11,DATOS!$C$23*0/4))+(PRESIONES!$M$33-ABERTURAS!$L$63)*MAX(0,MIN($W11,DATOS!$C$23*2/4)-MAX($V11,DATOS!$C$23*1/4))+(PRESIONES!$M$34-ABERTURAS!$L$63)*MAX(0,MIN($W11,DATOS!$C$23*3/4)-MAX($V11,DATOS!$C$23*2/4))+(PRESIONES!$M$35-ABERTURAS!$L$63)*MAX(0,MIN($W11,DATOS!$C$23*4/4)-MAX($V11,DATOS!$C$23*3/4))))</f>
        <v>-95.5888321655973</v>
      </c>
      <c r="AF11" s="30" t="n">
        <f aca="false">IF($L11&lt;&gt;"OK",0,PRESIONES!$C$12*((PRESIONES!$D$32-ABERTURAS!$L$64)*MAX(0,MIN($W11,DATOS!$C$23*1/4)-MAX($V11,DATOS!$C$23*0/4))+(PRESIONES!$D$33-ABERTURAS!$L$64)*MAX(0,MIN($W11,DATOS!$C$23*2/4)-MAX($V11,DATOS!$C$23*1/4))+(PRESIONES!$D$34-ABERTURAS!$L$64)*MAX(0,MIN($W11,DATOS!$C$23*3/4)-MAX($V11,DATOS!$C$23*2/4))+(PRESIONES!$D$35-ABERTURAS!$L$64)*MAX(0,MIN($W11,DATOS!$C$23*4/4)-MAX($V11,DATOS!$C$23*3/4))))</f>
        <v>-13.1846665055996</v>
      </c>
      <c r="AG11" s="30" t="n">
        <f aca="false">IF($L11&lt;&gt;"OK",0,PRESIONES!$C$12*((PRESIONES!$G$32-ABERTURAS!$L$65)*MAX(0,MIN($W11,DATOS!$C$23*1/4)-MAX($V11,DATOS!$C$23*0/4))+(PRESIONES!$G$33-ABERTURAS!$L$65)*MAX(0,MIN($W11,DATOS!$C$23*2/4)-MAX($V11,DATOS!$C$23*1/4))+(PRESIONES!$G$34-ABERTURAS!$L$65)*MAX(0,MIN($W11,DATOS!$C$23*3/4)-MAX($V11,DATOS!$C$23*2/4))+(PRESIONES!$G$35-ABERTURAS!$L$65)*MAX(0,MIN($W11,DATOS!$C$23*4/4)-MAX($V11,DATOS!$C$23*3/4))))</f>
        <v>-13.1846665055996</v>
      </c>
      <c r="AH11" s="30" t="n">
        <f aca="false">IF($L11&lt;&gt;"OK",0,PRESIONES!$C$12*((PRESIONES!$J$32-ABERTURAS!$L$66)*MAX(0,MIN($W11,DATOS!$C$23*1/4)-MAX($V11,DATOS!$C$23*0/4))+(PRESIONES!$J$33-ABERTURAS!$L$66)*MAX(0,MIN($W11,DATOS!$C$23*2/4)-MAX($V11,DATOS!$C$23*1/4))+(PRESIONES!$J$34-ABERTURAS!$L$66)*MAX(0,MIN($W11,DATOS!$C$23*3/4)-MAX($V11,DATOS!$C$23*2/4))+(PRESIONES!$J$35-ABERTURAS!$L$66)*MAX(0,MIN($W11,DATOS!$C$23*4/4)-MAX($V11,DATOS!$C$23*3/4))))</f>
        <v>-6.59233325279982</v>
      </c>
      <c r="AI11" s="30" t="n">
        <f aca="false">IF($L11&lt;&gt;"OK",0,PRESIONES!$C$12*((PRESIONES!$M$32-ABERTURAS!$L$67)*MAX(0,MIN($W11,DATOS!$C$23*1/4)-MAX($V11,DATOS!$C$23*0/4))+(PRESIONES!$M$33-ABERTURAS!$L$67)*MAX(0,MIN($W11,DATOS!$C$23*2/4)-MAX($V11,DATOS!$C$23*1/4))+(PRESIONES!$M$34-ABERTURAS!$L$67)*MAX(0,MIN($W11,DATOS!$C$23*3/4)-MAX($V11,DATOS!$C$23*2/4))+(PRESIONES!$M$35-ABERTURAS!$L$67)*MAX(0,MIN($W11,DATOS!$C$23*4/4)-MAX($V11,DATOS!$C$23*3/4))))</f>
        <v>-95.5888321655973</v>
      </c>
      <c r="AJ11" s="30" t="n">
        <f aca="false">IF($L11&lt;&gt;"OK",0,PRESIONES!$C$12*((PRESIONES!$D$32-ABERTURAS!$L$60)*MAX(0,MIN($W11,DATOS!$C$23*1/4)-MAX($V11,DATOS!$C$23*0/4))*PRESIONES!$C$18+(PRESIONES!$D$33-ABERTURAS!$L$60)*MAX(0,MIN($W11,DATOS!$C$23*2/4)-MAX($V11,DATOS!$C$23*1/4))*PRESIONES!$C$19+(PRESIONES!$D$34-ABERTURAS!$L$60)*MAX(0,MIN($W11,DATOS!$C$23*3/4)-MAX($V11,DATOS!$C$23*2/4))*PRESIONES!$C$20+(PRESIONES!$D$35-ABERTURAS!$L$60)*MAX(0,MIN($W11,DATOS!$C$23*4/4)-MAX($V11,DATOS!$C$23*3/4))*PRESIONES!$C$21))</f>
        <v>0.659233325279981</v>
      </c>
      <c r="AK11" s="30" t="n">
        <f aca="false">IF($L11&lt;&gt;"OK",0,PRESIONES!$C$12*((PRESIONES!$G$32-ABERTURAS!$L$61)*MAX(0,MIN($W11,DATOS!$C$23*1/4)-MAX($V11,DATOS!$C$23*0/4))*PRESIONES!$C$18+(PRESIONES!$G$33-ABERTURAS!$L$61)*MAX(0,MIN($W11,DATOS!$C$23*2/4)-MAX($V11,DATOS!$C$23*1/4))*PRESIONES!$C$19+(PRESIONES!$G$34-ABERTURAS!$L$61)*MAX(0,MIN($W11,DATOS!$C$23*3/4)-MAX($V11,DATOS!$C$23*2/4))*PRESIONES!$C$20+(PRESIONES!$G$35-ABERTURAS!$L$61)*MAX(0,MIN($W11,DATOS!$C$23*4/4)-MAX($V11,DATOS!$C$23*3/4))*PRESIONES!$C$21))</f>
        <v>0.659233325279981</v>
      </c>
      <c r="AL11" s="30" t="n">
        <f aca="false">IF($L11&lt;&gt;"OK",0,PRESIONES!$C$12*((PRESIONES!$J$32-ABERTURAS!$L$62)*MAX(0,MIN($W11,DATOS!$C$23*1/4)-MAX($V11,DATOS!$C$23*0/4))*PRESIONES!$C$18+(PRESIONES!$J$33-ABERTURAS!$L$62)*MAX(0,MIN($W11,DATOS!$C$23*2/4)-MAX($V11,DATOS!$C$23*1/4))*PRESIONES!$C$19+(PRESIONES!$J$34-ABERTURAS!$L$62)*MAX(0,MIN($W11,DATOS!$C$23*3/4)-MAX($V11,DATOS!$C$23*2/4))*PRESIONES!$C$20+(PRESIONES!$J$35-ABERTURAS!$L$62)*MAX(0,MIN($W11,DATOS!$C$23*4/4)-MAX($V11,DATOS!$C$23*3/4))*PRESIONES!$C$21))</f>
        <v>0.32961666263999</v>
      </c>
      <c r="AM11" s="30" t="n">
        <f aca="false">IF($L11&lt;&gt;"OK",0,PRESIONES!$C$12*((PRESIONES!$M$32-ABERTURAS!$L$63)*MAX(0,MIN($W11,DATOS!$C$23*1/4)-MAX($V11,DATOS!$C$23*0/4))*PRESIONES!$C$18+(PRESIONES!$M$33-ABERTURAS!$L$63)*MAX(0,MIN($W11,DATOS!$C$23*2/4)-MAX($V11,DATOS!$C$23*1/4))*PRESIONES!$C$19+(PRESIONES!$M$34-ABERTURAS!$L$63)*MAX(0,MIN($W11,DATOS!$C$23*3/4)-MAX($V11,DATOS!$C$23*2/4))*PRESIONES!$C$20+(PRESIONES!$M$35-ABERTURAS!$L$63)*MAX(0,MIN($W11,DATOS!$C$23*4/4)-MAX($V11,DATOS!$C$23*3/4))*PRESIONES!$C$21))</f>
        <v>4.77944160827986</v>
      </c>
      <c r="AN11" s="30" t="n">
        <f aca="false">IF($L11&lt;&gt;"OK",0,PRESIONES!$C$12*((PRESIONES!$D$32-ABERTURAS!$L$64)*MAX(0,MIN($W11,DATOS!$C$23*1/4)-MAX($V11,DATOS!$C$23*0/4))*PRESIONES!$C$18+(PRESIONES!$D$33-ABERTURAS!$L$64)*MAX(0,MIN($W11,DATOS!$C$23*2/4)-MAX($V11,DATOS!$C$23*1/4))*PRESIONES!$C$19+(PRESIONES!$D$34-ABERTURAS!$L$64)*MAX(0,MIN($W11,DATOS!$C$23*3/4)-MAX($V11,DATOS!$C$23*2/4))*PRESIONES!$C$20+(PRESIONES!$D$35-ABERTURAS!$L$64)*MAX(0,MIN($W11,DATOS!$C$23*4/4)-MAX($V11,DATOS!$C$23*3/4))*PRESIONES!$C$21))</f>
        <v>0.659233325279981</v>
      </c>
      <c r="AO11" s="30" t="n">
        <f aca="false">IF($L11&lt;&gt;"OK",0,PRESIONES!$C$12*((PRESIONES!$G$32-ABERTURAS!$L$65)*MAX(0,MIN($W11,DATOS!$C$23*1/4)-MAX($V11,DATOS!$C$23*0/4))*PRESIONES!$C$18+(PRESIONES!$G$33-ABERTURAS!$L$65)*MAX(0,MIN($W11,DATOS!$C$23*2/4)-MAX($V11,DATOS!$C$23*1/4))*PRESIONES!$C$19+(PRESIONES!$G$34-ABERTURAS!$L$65)*MAX(0,MIN($W11,DATOS!$C$23*3/4)-MAX($V11,DATOS!$C$23*2/4))*PRESIONES!$C$20+(PRESIONES!$G$35-ABERTURAS!$L$65)*MAX(0,MIN($W11,DATOS!$C$23*4/4)-MAX($V11,DATOS!$C$23*3/4))*PRESIONES!$C$21))</f>
        <v>0.659233325279981</v>
      </c>
      <c r="AP11" s="30" t="n">
        <f aca="false">IF($L11&lt;&gt;"OK",0,PRESIONES!$C$12*((PRESIONES!$J$32-ABERTURAS!$L$66)*MAX(0,MIN($W11,DATOS!$C$23*1/4)-MAX($V11,DATOS!$C$23*0/4))*PRESIONES!$C$18+(PRESIONES!$J$33-ABERTURAS!$L$66)*MAX(0,MIN($W11,DATOS!$C$23*2/4)-MAX($V11,DATOS!$C$23*1/4))*PRESIONES!$C$19+(PRESIONES!$J$34-ABERTURAS!$L$66)*MAX(0,MIN($W11,DATOS!$C$23*3/4)-MAX($V11,DATOS!$C$23*2/4))*PRESIONES!$C$20+(PRESIONES!$J$35-ABERTURAS!$L$66)*MAX(0,MIN($W11,DATOS!$C$23*4/4)-MAX($V11,DATOS!$C$23*3/4))*PRESIONES!$C$21))</f>
        <v>0.32961666263999</v>
      </c>
      <c r="AQ11" s="30" t="n">
        <f aca="false">IF($L11&lt;&gt;"OK",0,PRESIONES!$C$12*((PRESIONES!$M$32-ABERTURAS!$L$67)*MAX(0,MIN($W11,DATOS!$C$23*1/4)-MAX($V11,DATOS!$C$23*0/4))*PRESIONES!$C$18+(PRESIONES!$M$33-ABERTURAS!$L$67)*MAX(0,MIN($W11,DATOS!$C$23*2/4)-MAX($V11,DATOS!$C$23*1/4))*PRESIONES!$C$19+(PRESIONES!$M$34-ABERTURAS!$L$67)*MAX(0,MIN($W11,DATOS!$C$23*3/4)-MAX($V11,DATOS!$C$23*2/4))*PRESIONES!$C$20+(PRESIONES!$M$35-ABERTURAS!$L$67)*MAX(0,MIN($W11,DATOS!$C$23*4/4)-MAX($V11,DATOS!$C$23*3/4))*PRESIONES!$C$21))</f>
        <v>4.77944160827986</v>
      </c>
      <c r="AR11" s="30" t="n">
        <f aca="false">IF($L11&lt;&gt;"OK",0,PRESIONES!$C$12*((PRESIONES!$E$32-ABERTURAS!$L$60)*MAX(0,MIN($W11,DATOS!$C$23*1/4)-MAX($V11,DATOS!$C$23*0/4))+(PRESIONES!$E$33-ABERTURAS!$L$60)*MAX(0,MIN($W11,DATOS!$C$23*2/4)-MAX($V11,DATOS!$C$23*1/4))+(PRESIONES!$E$34-ABERTURAS!$L$60)*MAX(0,MIN($W11,DATOS!$C$23*3/4)-MAX($V11,DATOS!$C$23*2/4))+(PRESIONES!$E$35-ABERTURAS!$L$60)*MAX(0,MIN($W11,DATOS!$C$23*4/4)-MAX($V11,DATOS!$C$23*3/4))))</f>
        <v>-13.1846665055996</v>
      </c>
      <c r="AS11" s="30" t="n">
        <f aca="false">IF($L11&lt;&gt;"OK",0,PRESIONES!$C$12*((PRESIONES!$H$32-ABERTURAS!$L$61)*MAX(0,MIN($W11,DATOS!$C$23*1/4)-MAX($V11,DATOS!$C$23*0/4))+(PRESIONES!$H$33-ABERTURAS!$L$61)*MAX(0,MIN($W11,DATOS!$C$23*2/4)-MAX($V11,DATOS!$C$23*1/4))+(PRESIONES!$H$34-ABERTURAS!$L$61)*MAX(0,MIN($W11,DATOS!$C$23*3/4)-MAX($V11,DATOS!$C$23*2/4))+(PRESIONES!$H$35-ABERTURAS!$L$61)*MAX(0,MIN($W11,DATOS!$C$23*4/4)-MAX($V11,DATOS!$C$23*3/4))))</f>
        <v>-13.1846665055996</v>
      </c>
      <c r="AT11" s="30" t="n">
        <f aca="false">IF($L11&lt;&gt;"OK",0,PRESIONES!$C$12*((PRESIONES!$K$32-ABERTURAS!$L$62)*MAX(0,MIN($W11,DATOS!$C$23*1/4)-MAX($V11,DATOS!$C$23*0/4))+(PRESIONES!$K$33-ABERTURAS!$L$62)*MAX(0,MIN($W11,DATOS!$C$23*2/4)-MAX($V11,DATOS!$C$23*1/4))+(PRESIONES!$K$34-ABERTURAS!$L$62)*MAX(0,MIN($W11,DATOS!$C$23*3/4)-MAX($V11,DATOS!$C$23*2/4))+(PRESIONES!$K$35-ABERTURAS!$L$62)*MAX(0,MIN($W11,DATOS!$C$23*4/4)-MAX($V11,DATOS!$C$23*3/4))))</f>
        <v>-6.59233325279982</v>
      </c>
      <c r="AU11" s="30" t="n">
        <f aca="false">IF($L11&lt;&gt;"OK",0,PRESIONES!$C$12*((PRESIONES!$N$32-ABERTURAS!$L$63)*MAX(0,MIN($W11,DATOS!$C$23*1/4)-MAX($V11,DATOS!$C$23*0/4))+(PRESIONES!$N$33-ABERTURAS!$L$63)*MAX(0,MIN($W11,DATOS!$C$23*2/4)-MAX($V11,DATOS!$C$23*1/4))+(PRESIONES!$N$34-ABERTURAS!$L$63)*MAX(0,MIN($W11,DATOS!$C$23*3/4)-MAX($V11,DATOS!$C$23*2/4))+(PRESIONES!$N$35-ABERTURAS!$L$63)*MAX(0,MIN($W11,DATOS!$C$23*4/4)-MAX($V11,DATOS!$C$23*3/4))))</f>
        <v>-95.5888321655973</v>
      </c>
      <c r="AV11" s="30" t="n">
        <f aca="false">IF($L11&lt;&gt;"OK",0,PRESIONES!$C$12*((PRESIONES!$E$32-ABERTURAS!$L$64)*MAX(0,MIN($W11,DATOS!$C$23*1/4)-MAX($V11,DATOS!$C$23*0/4))+(PRESIONES!$E$33-ABERTURAS!$L$64)*MAX(0,MIN($W11,DATOS!$C$23*2/4)-MAX($V11,DATOS!$C$23*1/4))+(PRESIONES!$E$34-ABERTURAS!$L$64)*MAX(0,MIN($W11,DATOS!$C$23*3/4)-MAX($V11,DATOS!$C$23*2/4))+(PRESIONES!$E$35-ABERTURAS!$L$64)*MAX(0,MIN($W11,DATOS!$C$23*4/4)-MAX($V11,DATOS!$C$23*3/4))))</f>
        <v>-13.1846665055996</v>
      </c>
      <c r="AW11" s="30" t="n">
        <f aca="false">IF($L11&lt;&gt;"OK",0,PRESIONES!$C$12*((PRESIONES!$H$32-ABERTURAS!$L$65)*MAX(0,MIN($W11,DATOS!$C$23*1/4)-MAX($V11,DATOS!$C$23*0/4))+(PRESIONES!$H$33-ABERTURAS!$L$65)*MAX(0,MIN($W11,DATOS!$C$23*2/4)-MAX($V11,DATOS!$C$23*1/4))+(PRESIONES!$H$34-ABERTURAS!$L$65)*MAX(0,MIN($W11,DATOS!$C$23*3/4)-MAX($V11,DATOS!$C$23*2/4))+(PRESIONES!$H$35-ABERTURAS!$L$65)*MAX(0,MIN($W11,DATOS!$C$23*4/4)-MAX($V11,DATOS!$C$23*3/4))))</f>
        <v>-13.1846665055996</v>
      </c>
      <c r="AX11" s="30" t="n">
        <f aca="false">IF($L11&lt;&gt;"OK",0,PRESIONES!$C$12*((PRESIONES!$K$32-ABERTURAS!$L$66)*MAX(0,MIN($W11,DATOS!$C$23*1/4)-MAX($V11,DATOS!$C$23*0/4))+(PRESIONES!$K$33-ABERTURAS!$L$66)*MAX(0,MIN($W11,DATOS!$C$23*2/4)-MAX($V11,DATOS!$C$23*1/4))+(PRESIONES!$K$34-ABERTURAS!$L$66)*MAX(0,MIN($W11,DATOS!$C$23*3/4)-MAX($V11,DATOS!$C$23*2/4))+(PRESIONES!$K$35-ABERTURAS!$L$66)*MAX(0,MIN($W11,DATOS!$C$23*4/4)-MAX($V11,DATOS!$C$23*3/4))))</f>
        <v>-6.59233325279982</v>
      </c>
      <c r="AY11" s="30" t="n">
        <f aca="false">IF($L11&lt;&gt;"OK",0,PRESIONES!$C$12*((PRESIONES!$N$32-ABERTURAS!$L$67)*MAX(0,MIN($W11,DATOS!$C$23*1/4)-MAX($V11,DATOS!$C$23*0/4))+(PRESIONES!$N$33-ABERTURAS!$L$67)*MAX(0,MIN($W11,DATOS!$C$23*2/4)-MAX($V11,DATOS!$C$23*1/4))+(PRESIONES!$N$34-ABERTURAS!$L$67)*MAX(0,MIN($W11,DATOS!$C$23*3/4)-MAX($V11,DATOS!$C$23*2/4))+(PRESIONES!$N$35-ABERTURAS!$L$67)*MAX(0,MIN($W11,DATOS!$C$23*4/4)-MAX($V11,DATOS!$C$23*3/4))))</f>
        <v>-95.5888321655973</v>
      </c>
      <c r="AZ11" s="30" t="n">
        <f aca="false">IF($L11&lt;&gt;"OK",0,PRESIONES!$C$12*((PRESIONES!$E$32-ABERTURAS!$L$60)*MAX(0,MIN($W11,DATOS!$C$23*1/4)-MAX($V11,DATOS!$C$23*0/4))*PRESIONES!$C$18+(PRESIONES!$E$33-ABERTURAS!$L$60)*MAX(0,MIN($W11,DATOS!$C$23*2/4)-MAX($V11,DATOS!$C$23*1/4))*PRESIONES!$C$19+(PRESIONES!$E$34-ABERTURAS!$L$60)*MAX(0,MIN($W11,DATOS!$C$23*3/4)-MAX($V11,DATOS!$C$23*2/4))*PRESIONES!$C$20+(PRESIONES!$E$35-ABERTURAS!$L$60)*MAX(0,MIN($W11,DATOS!$C$23*4/4)-MAX($V11,DATOS!$C$23*3/4))*PRESIONES!$C$21))</f>
        <v>0.659233325279981</v>
      </c>
      <c r="BA11" s="30" t="n">
        <f aca="false">IF($L11&lt;&gt;"OK",0,PRESIONES!$C$12*((PRESIONES!$H$32-ABERTURAS!$L$61)*MAX(0,MIN($W11,DATOS!$C$23*1/4)-MAX($V11,DATOS!$C$23*0/4))*PRESIONES!$C$18+(PRESIONES!$H$33-ABERTURAS!$L$61)*MAX(0,MIN($W11,DATOS!$C$23*2/4)-MAX($V11,DATOS!$C$23*1/4))*PRESIONES!$C$19+(PRESIONES!$H$34-ABERTURAS!$L$61)*MAX(0,MIN($W11,DATOS!$C$23*3/4)-MAX($V11,DATOS!$C$23*2/4))*PRESIONES!$C$20+(PRESIONES!$H$35-ABERTURAS!$L$61)*MAX(0,MIN($W11,DATOS!$C$23*4/4)-MAX($V11,DATOS!$C$23*3/4))*PRESIONES!$C$21))</f>
        <v>0.659233325279981</v>
      </c>
      <c r="BB11" s="30" t="n">
        <f aca="false">IF($L11&lt;&gt;"OK",0,PRESIONES!$C$12*((PRESIONES!$K$32-ABERTURAS!$L$62)*MAX(0,MIN($W11,DATOS!$C$23*1/4)-MAX($V11,DATOS!$C$23*0/4))*PRESIONES!$C$18+(PRESIONES!$K$33-ABERTURAS!$L$62)*MAX(0,MIN($W11,DATOS!$C$23*2/4)-MAX($V11,DATOS!$C$23*1/4))*PRESIONES!$C$19+(PRESIONES!$K$34-ABERTURAS!$L$62)*MAX(0,MIN($W11,DATOS!$C$23*3/4)-MAX($V11,DATOS!$C$23*2/4))*PRESIONES!$C$20+(PRESIONES!$K$35-ABERTURAS!$L$62)*MAX(0,MIN($W11,DATOS!$C$23*4/4)-MAX($V11,DATOS!$C$23*3/4))*PRESIONES!$C$21))</f>
        <v>0.32961666263999</v>
      </c>
      <c r="BC11" s="30" t="n">
        <f aca="false">IF($L11&lt;&gt;"OK",0,PRESIONES!$C$12*((PRESIONES!$N$32-ABERTURAS!$L$63)*MAX(0,MIN($W11,DATOS!$C$23*1/4)-MAX($V11,DATOS!$C$23*0/4))*PRESIONES!$C$18+(PRESIONES!$N$33-ABERTURAS!$L$63)*MAX(0,MIN($W11,DATOS!$C$23*2/4)-MAX($V11,DATOS!$C$23*1/4))*PRESIONES!$C$19+(PRESIONES!$N$34-ABERTURAS!$L$63)*MAX(0,MIN($W11,DATOS!$C$23*3/4)-MAX($V11,DATOS!$C$23*2/4))*PRESIONES!$C$20+(PRESIONES!$N$35-ABERTURAS!$L$63)*MAX(0,MIN($W11,DATOS!$C$23*4/4)-MAX($V11,DATOS!$C$23*3/4))*PRESIONES!$C$21))</f>
        <v>4.77944160827986</v>
      </c>
      <c r="BD11" s="30" t="n">
        <f aca="false">IF($L11&lt;&gt;"OK",0,PRESIONES!$C$12*((PRESIONES!$E$32-ABERTURAS!$L$64)*MAX(0,MIN($W11,DATOS!$C$23*1/4)-MAX($V11,DATOS!$C$23*0/4))*PRESIONES!$C$18+(PRESIONES!$E$33-ABERTURAS!$L$64)*MAX(0,MIN($W11,DATOS!$C$23*2/4)-MAX($V11,DATOS!$C$23*1/4))*PRESIONES!$C$19+(PRESIONES!$E$34-ABERTURAS!$L$64)*MAX(0,MIN($W11,DATOS!$C$23*3/4)-MAX($V11,DATOS!$C$23*2/4))*PRESIONES!$C$20+(PRESIONES!$E$35-ABERTURAS!$L$64)*MAX(0,MIN($W11,DATOS!$C$23*4/4)-MAX($V11,DATOS!$C$23*3/4))*PRESIONES!$C$21))</f>
        <v>0.659233325279981</v>
      </c>
      <c r="BE11" s="30" t="n">
        <f aca="false">IF($L11&lt;&gt;"OK",0,PRESIONES!$C$12*((PRESIONES!$H$32-ABERTURAS!$L$65)*MAX(0,MIN($W11,DATOS!$C$23*1/4)-MAX($V11,DATOS!$C$23*0/4))*PRESIONES!$C$18+(PRESIONES!$H$33-ABERTURAS!$L$65)*MAX(0,MIN($W11,DATOS!$C$23*2/4)-MAX($V11,DATOS!$C$23*1/4))*PRESIONES!$C$19+(PRESIONES!$H$34-ABERTURAS!$L$65)*MAX(0,MIN($W11,DATOS!$C$23*3/4)-MAX($V11,DATOS!$C$23*2/4))*PRESIONES!$C$20+(PRESIONES!$H$35-ABERTURAS!$L$65)*MAX(0,MIN($W11,DATOS!$C$23*4/4)-MAX($V11,DATOS!$C$23*3/4))*PRESIONES!$C$21))</f>
        <v>0.659233325279981</v>
      </c>
      <c r="BF11" s="30" t="n">
        <f aca="false">IF($L11&lt;&gt;"OK",0,PRESIONES!$C$12*((PRESIONES!$K$32-ABERTURAS!$L$66)*MAX(0,MIN($W11,DATOS!$C$23*1/4)-MAX($V11,DATOS!$C$23*0/4))*PRESIONES!$C$18+(PRESIONES!$K$33-ABERTURAS!$L$66)*MAX(0,MIN($W11,DATOS!$C$23*2/4)-MAX($V11,DATOS!$C$23*1/4))*PRESIONES!$C$19+(PRESIONES!$K$34-ABERTURAS!$L$66)*MAX(0,MIN($W11,DATOS!$C$23*3/4)-MAX($V11,DATOS!$C$23*2/4))*PRESIONES!$C$20+(PRESIONES!$K$35-ABERTURAS!$L$66)*MAX(0,MIN($W11,DATOS!$C$23*4/4)-MAX($V11,DATOS!$C$23*3/4))*PRESIONES!$C$21))</f>
        <v>0.32961666263999</v>
      </c>
      <c r="BG11" s="30" t="n">
        <f aca="false">IF($L11&lt;&gt;"OK",0,PRESIONES!$C$12*((PRESIONES!$N$32-ABERTURAS!$L$67)*MAX(0,MIN($W11,DATOS!$C$23*1/4)-MAX($V11,DATOS!$C$23*0/4))*PRESIONES!$C$18+(PRESIONES!$N$33-ABERTURAS!$L$67)*MAX(0,MIN($W11,DATOS!$C$23*2/4)-MAX($V11,DATOS!$C$23*1/4))*PRESIONES!$C$19+(PRESIONES!$N$34-ABERTURAS!$L$67)*MAX(0,MIN($W11,DATOS!$C$23*3/4)-MAX($V11,DATOS!$C$23*2/4))*PRESIONES!$C$20+(PRESIONES!$N$35-ABERTURAS!$L$67)*MAX(0,MIN($W11,DATOS!$C$23*4/4)-MAX($V11,DATOS!$C$23*3/4))*PRESIONES!$C$21))</f>
        <v>4.77944160827986</v>
      </c>
    </row>
    <row r="12" customFormat="false" ht="16.5" hidden="false" customHeight="true" outlineLevel="0" collapsed="false">
      <c r="B12" s="27" t="s">
        <v>405</v>
      </c>
      <c r="C12" s="17" t="s">
        <v>399</v>
      </c>
      <c r="D12" s="27" t="s">
        <v>406</v>
      </c>
      <c r="E12" s="17" t="s">
        <v>80</v>
      </c>
      <c r="F12" s="49" t="n">
        <v>0</v>
      </c>
      <c r="G12" s="49" t="n">
        <v>10.08</v>
      </c>
      <c r="H12" s="49" t="n">
        <v>3.375</v>
      </c>
      <c r="I12" s="49" t="n">
        <v>4.725</v>
      </c>
      <c r="J12" s="49"/>
      <c r="K12" s="49"/>
      <c r="L12" s="20" t="str">
        <f aca="false">IF($D12="","",IF($C12&lt;&gt;"TECHO","PON TECHO",IF(OR($F12="",$G12="",$H12="",$I12=""),"FALTAN a o b",IF($M12&lt;=0,"a₂ DEBE SER &gt; a₁",IF($N12&lt;=0,"b₂ DEBE SER &gt; b₁",IF(OR($V12&lt;-0.001,$W12&gt;DATOS!$C$23+0.001),"SE SALE DEL TECHO","OK"))))))</f>
        <v>OK</v>
      </c>
      <c r="M12" s="30" t="n">
        <f aca="false">IF($D12="",0,MAX(0,$G12-$F12))</f>
        <v>10.08</v>
      </c>
      <c r="N12" s="30" t="n">
        <f aca="false">MAX(0,$W12-$V12)</f>
        <v>1.35</v>
      </c>
      <c r="O12" s="30" t="n">
        <f aca="false">$M12*$N12</f>
        <v>13.608</v>
      </c>
      <c r="P12" s="30" t="n">
        <v>0</v>
      </c>
      <c r="Q12" s="30" t="n">
        <v>0</v>
      </c>
      <c r="R12" s="30" t="n">
        <f aca="false">$O12</f>
        <v>13.608</v>
      </c>
      <c r="S12" s="30" t="n">
        <f aca="false">$O12</f>
        <v>13.608</v>
      </c>
      <c r="T12" s="50" t="n">
        <f aca="false">IF($D12="",0,DATOS!$C$21)</f>
        <v>10.62</v>
      </c>
      <c r="U12" s="50" t="n">
        <v>0</v>
      </c>
      <c r="V12" s="50" t="n">
        <f aca="false">IF($D12="",0,(N($H12)+IF($J12="",N($H12),$J12))/2)</f>
        <v>3.375</v>
      </c>
      <c r="W12" s="50" t="n">
        <f aca="false">IF($D12="",0,(N($I12)+IF($K12="",N($I12),$K12))/2)</f>
        <v>4.725</v>
      </c>
      <c r="AB12" s="30" t="n">
        <f aca="false">IF($L12&lt;&gt;"OK",0,PRESIONES!$C$12*((PRESIONES!$D$32-ABERTURAS!$L$60)*MAX(0,MIN($W12,DATOS!$C$23*1/4)-MAX($V12,DATOS!$C$23*0/4))+(PRESIONES!$D$33-ABERTURAS!$L$60)*MAX(0,MIN($W12,DATOS!$C$23*2/4)-MAX($V12,DATOS!$C$23*1/4))+(PRESIONES!$D$34-ABERTURAS!$L$60)*MAX(0,MIN($W12,DATOS!$C$23*3/4)-MAX($V12,DATOS!$C$23*2/4))+(PRESIONES!$D$35-ABERTURAS!$L$60)*MAX(0,MIN($W12,DATOS!$C$23*4/4)-MAX($V12,DATOS!$C$23*3/4))))</f>
        <v>-13.1846665055996</v>
      </c>
      <c r="AC12" s="30" t="n">
        <f aca="false">IF($L12&lt;&gt;"OK",0,PRESIONES!$C$12*((PRESIONES!$G$32-ABERTURAS!$L$61)*MAX(0,MIN($W12,DATOS!$C$23*1/4)-MAX($V12,DATOS!$C$23*0/4))+(PRESIONES!$G$33-ABERTURAS!$L$61)*MAX(0,MIN($W12,DATOS!$C$23*2/4)-MAX($V12,DATOS!$C$23*1/4))+(PRESIONES!$G$34-ABERTURAS!$L$61)*MAX(0,MIN($W12,DATOS!$C$23*3/4)-MAX($V12,DATOS!$C$23*2/4))+(PRESIONES!$G$35-ABERTURAS!$L$61)*MAX(0,MIN($W12,DATOS!$C$23*4/4)-MAX($V12,DATOS!$C$23*3/4))))</f>
        <v>-13.1846665055996</v>
      </c>
      <c r="AD12" s="30" t="n">
        <f aca="false">IF($L12&lt;&gt;"OK",0,PRESIONES!$C$12*((PRESIONES!$J$32-ABERTURAS!$L$62)*MAX(0,MIN($W12,DATOS!$C$23*1/4)-MAX($V12,DATOS!$C$23*0/4))+(PRESIONES!$J$33-ABERTURAS!$L$62)*MAX(0,MIN($W12,DATOS!$C$23*2/4)-MAX($V12,DATOS!$C$23*1/4))+(PRESIONES!$J$34-ABERTURAS!$L$62)*MAX(0,MIN($W12,DATOS!$C$23*3/4)-MAX($V12,DATOS!$C$23*2/4))+(PRESIONES!$J$35-ABERTURAS!$L$62)*MAX(0,MIN($W12,DATOS!$C$23*4/4)-MAX($V12,DATOS!$C$23*3/4))))</f>
        <v>-6.59233325279981</v>
      </c>
      <c r="AE12" s="30" t="n">
        <f aca="false">IF($L12&lt;&gt;"OK",0,PRESIONES!$C$12*((PRESIONES!$M$32-ABERTURAS!$L$63)*MAX(0,MIN($W12,DATOS!$C$23*1/4)-MAX($V12,DATOS!$C$23*0/4))+(PRESIONES!$M$33-ABERTURAS!$L$63)*MAX(0,MIN($W12,DATOS!$C$23*2/4)-MAX($V12,DATOS!$C$23*1/4))+(PRESIONES!$M$34-ABERTURAS!$L$63)*MAX(0,MIN($W12,DATOS!$C$23*3/4)-MAX($V12,DATOS!$C$23*2/4))+(PRESIONES!$M$35-ABERTURAS!$L$63)*MAX(0,MIN($W12,DATOS!$C$23*4/4)-MAX($V12,DATOS!$C$23*3/4))))</f>
        <v>-95.5888321655973</v>
      </c>
      <c r="AF12" s="30" t="n">
        <f aca="false">IF($L12&lt;&gt;"OK",0,PRESIONES!$C$12*((PRESIONES!$D$32-ABERTURAS!$L$64)*MAX(0,MIN($W12,DATOS!$C$23*1/4)-MAX($V12,DATOS!$C$23*0/4))+(PRESIONES!$D$33-ABERTURAS!$L$64)*MAX(0,MIN($W12,DATOS!$C$23*2/4)-MAX($V12,DATOS!$C$23*1/4))+(PRESIONES!$D$34-ABERTURAS!$L$64)*MAX(0,MIN($W12,DATOS!$C$23*3/4)-MAX($V12,DATOS!$C$23*2/4))+(PRESIONES!$D$35-ABERTURAS!$L$64)*MAX(0,MIN($W12,DATOS!$C$23*4/4)-MAX($V12,DATOS!$C$23*3/4))))</f>
        <v>-13.1846665055996</v>
      </c>
      <c r="AG12" s="30" t="n">
        <f aca="false">IF($L12&lt;&gt;"OK",0,PRESIONES!$C$12*((PRESIONES!$G$32-ABERTURAS!$L$65)*MAX(0,MIN($W12,DATOS!$C$23*1/4)-MAX($V12,DATOS!$C$23*0/4))+(PRESIONES!$G$33-ABERTURAS!$L$65)*MAX(0,MIN($W12,DATOS!$C$23*2/4)-MAX($V12,DATOS!$C$23*1/4))+(PRESIONES!$G$34-ABERTURAS!$L$65)*MAX(0,MIN($W12,DATOS!$C$23*3/4)-MAX($V12,DATOS!$C$23*2/4))+(PRESIONES!$G$35-ABERTURAS!$L$65)*MAX(0,MIN($W12,DATOS!$C$23*4/4)-MAX($V12,DATOS!$C$23*3/4))))</f>
        <v>-13.1846665055996</v>
      </c>
      <c r="AH12" s="30" t="n">
        <f aca="false">IF($L12&lt;&gt;"OK",0,PRESIONES!$C$12*((PRESIONES!$J$32-ABERTURAS!$L$66)*MAX(0,MIN($W12,DATOS!$C$23*1/4)-MAX($V12,DATOS!$C$23*0/4))+(PRESIONES!$J$33-ABERTURAS!$L$66)*MAX(0,MIN($W12,DATOS!$C$23*2/4)-MAX($V12,DATOS!$C$23*1/4))+(PRESIONES!$J$34-ABERTURAS!$L$66)*MAX(0,MIN($W12,DATOS!$C$23*3/4)-MAX($V12,DATOS!$C$23*2/4))+(PRESIONES!$J$35-ABERTURAS!$L$66)*MAX(0,MIN($W12,DATOS!$C$23*4/4)-MAX($V12,DATOS!$C$23*3/4))))</f>
        <v>-6.59233325279981</v>
      </c>
      <c r="AI12" s="30" t="n">
        <f aca="false">IF($L12&lt;&gt;"OK",0,PRESIONES!$C$12*((PRESIONES!$M$32-ABERTURAS!$L$67)*MAX(0,MIN($W12,DATOS!$C$23*1/4)-MAX($V12,DATOS!$C$23*0/4))+(PRESIONES!$M$33-ABERTURAS!$L$67)*MAX(0,MIN($W12,DATOS!$C$23*2/4)-MAX($V12,DATOS!$C$23*1/4))+(PRESIONES!$M$34-ABERTURAS!$L$67)*MAX(0,MIN($W12,DATOS!$C$23*3/4)-MAX($V12,DATOS!$C$23*2/4))+(PRESIONES!$M$35-ABERTURAS!$L$67)*MAX(0,MIN($W12,DATOS!$C$23*4/4)-MAX($V12,DATOS!$C$23*3/4))))</f>
        <v>-95.5888321655973</v>
      </c>
      <c r="AJ12" s="30" t="n">
        <f aca="false">IF($L12&lt;&gt;"OK",0,PRESIONES!$C$12*((PRESIONES!$D$32-ABERTURAS!$L$60)*MAX(0,MIN($W12,DATOS!$C$23*1/4)-MAX($V12,DATOS!$C$23*0/4))*PRESIONES!$C$18+(PRESIONES!$D$33-ABERTURAS!$L$60)*MAX(0,MIN($W12,DATOS!$C$23*2/4)-MAX($V12,DATOS!$C$23*1/4))*PRESIONES!$C$19+(PRESIONES!$D$34-ABERTURAS!$L$60)*MAX(0,MIN($W12,DATOS!$C$23*3/4)-MAX($V12,DATOS!$C$23*2/4))*PRESIONES!$C$20+(PRESIONES!$D$35-ABERTURAS!$L$60)*MAX(0,MIN($W12,DATOS!$C$23*4/4)-MAX($V12,DATOS!$C$23*3/4))*PRESIONES!$C$21))</f>
        <v>0.659233325279981</v>
      </c>
      <c r="AK12" s="30" t="n">
        <f aca="false">IF($L12&lt;&gt;"OK",0,PRESIONES!$C$12*((PRESIONES!$G$32-ABERTURAS!$L$61)*MAX(0,MIN($W12,DATOS!$C$23*1/4)-MAX($V12,DATOS!$C$23*0/4))*PRESIONES!$C$18+(PRESIONES!$G$33-ABERTURAS!$L$61)*MAX(0,MIN($W12,DATOS!$C$23*2/4)-MAX($V12,DATOS!$C$23*1/4))*PRESIONES!$C$19+(PRESIONES!$G$34-ABERTURAS!$L$61)*MAX(0,MIN($W12,DATOS!$C$23*3/4)-MAX($V12,DATOS!$C$23*2/4))*PRESIONES!$C$20+(PRESIONES!$G$35-ABERTURAS!$L$61)*MAX(0,MIN($W12,DATOS!$C$23*4/4)-MAX($V12,DATOS!$C$23*3/4))*PRESIONES!$C$21))</f>
        <v>0.659233325279981</v>
      </c>
      <c r="AL12" s="30" t="n">
        <f aca="false">IF($L12&lt;&gt;"OK",0,PRESIONES!$C$12*((PRESIONES!$J$32-ABERTURAS!$L$62)*MAX(0,MIN($W12,DATOS!$C$23*1/4)-MAX($V12,DATOS!$C$23*0/4))*PRESIONES!$C$18+(PRESIONES!$J$33-ABERTURAS!$L$62)*MAX(0,MIN($W12,DATOS!$C$23*2/4)-MAX($V12,DATOS!$C$23*1/4))*PRESIONES!$C$19+(PRESIONES!$J$34-ABERTURAS!$L$62)*MAX(0,MIN($W12,DATOS!$C$23*3/4)-MAX($V12,DATOS!$C$23*2/4))*PRESIONES!$C$20+(PRESIONES!$J$35-ABERTURAS!$L$62)*MAX(0,MIN($W12,DATOS!$C$23*4/4)-MAX($V12,DATOS!$C$23*3/4))*PRESIONES!$C$21))</f>
        <v>0.32961666263999</v>
      </c>
      <c r="AM12" s="30" t="n">
        <f aca="false">IF($L12&lt;&gt;"OK",0,PRESIONES!$C$12*((PRESIONES!$M$32-ABERTURAS!$L$63)*MAX(0,MIN($W12,DATOS!$C$23*1/4)-MAX($V12,DATOS!$C$23*0/4))*PRESIONES!$C$18+(PRESIONES!$M$33-ABERTURAS!$L$63)*MAX(0,MIN($W12,DATOS!$C$23*2/4)-MAX($V12,DATOS!$C$23*1/4))*PRESIONES!$C$19+(PRESIONES!$M$34-ABERTURAS!$L$63)*MAX(0,MIN($W12,DATOS!$C$23*3/4)-MAX($V12,DATOS!$C$23*2/4))*PRESIONES!$C$20+(PRESIONES!$M$35-ABERTURAS!$L$63)*MAX(0,MIN($W12,DATOS!$C$23*4/4)-MAX($V12,DATOS!$C$23*3/4))*PRESIONES!$C$21))</f>
        <v>4.77944160827986</v>
      </c>
      <c r="AN12" s="30" t="n">
        <f aca="false">IF($L12&lt;&gt;"OK",0,PRESIONES!$C$12*((PRESIONES!$D$32-ABERTURAS!$L$64)*MAX(0,MIN($W12,DATOS!$C$23*1/4)-MAX($V12,DATOS!$C$23*0/4))*PRESIONES!$C$18+(PRESIONES!$D$33-ABERTURAS!$L$64)*MAX(0,MIN($W12,DATOS!$C$23*2/4)-MAX($V12,DATOS!$C$23*1/4))*PRESIONES!$C$19+(PRESIONES!$D$34-ABERTURAS!$L$64)*MAX(0,MIN($W12,DATOS!$C$23*3/4)-MAX($V12,DATOS!$C$23*2/4))*PRESIONES!$C$20+(PRESIONES!$D$35-ABERTURAS!$L$64)*MAX(0,MIN($W12,DATOS!$C$23*4/4)-MAX($V12,DATOS!$C$23*3/4))*PRESIONES!$C$21))</f>
        <v>0.659233325279981</v>
      </c>
      <c r="AO12" s="30" t="n">
        <f aca="false">IF($L12&lt;&gt;"OK",0,PRESIONES!$C$12*((PRESIONES!$G$32-ABERTURAS!$L$65)*MAX(0,MIN($W12,DATOS!$C$23*1/4)-MAX($V12,DATOS!$C$23*0/4))*PRESIONES!$C$18+(PRESIONES!$G$33-ABERTURAS!$L$65)*MAX(0,MIN($W12,DATOS!$C$23*2/4)-MAX($V12,DATOS!$C$23*1/4))*PRESIONES!$C$19+(PRESIONES!$G$34-ABERTURAS!$L$65)*MAX(0,MIN($W12,DATOS!$C$23*3/4)-MAX($V12,DATOS!$C$23*2/4))*PRESIONES!$C$20+(PRESIONES!$G$35-ABERTURAS!$L$65)*MAX(0,MIN($W12,DATOS!$C$23*4/4)-MAX($V12,DATOS!$C$23*3/4))*PRESIONES!$C$21))</f>
        <v>0.659233325279981</v>
      </c>
      <c r="AP12" s="30" t="n">
        <f aca="false">IF($L12&lt;&gt;"OK",0,PRESIONES!$C$12*((PRESIONES!$J$32-ABERTURAS!$L$66)*MAX(0,MIN($W12,DATOS!$C$23*1/4)-MAX($V12,DATOS!$C$23*0/4))*PRESIONES!$C$18+(PRESIONES!$J$33-ABERTURAS!$L$66)*MAX(0,MIN($W12,DATOS!$C$23*2/4)-MAX($V12,DATOS!$C$23*1/4))*PRESIONES!$C$19+(PRESIONES!$J$34-ABERTURAS!$L$66)*MAX(0,MIN($W12,DATOS!$C$23*3/4)-MAX($V12,DATOS!$C$23*2/4))*PRESIONES!$C$20+(PRESIONES!$J$35-ABERTURAS!$L$66)*MAX(0,MIN($W12,DATOS!$C$23*4/4)-MAX($V12,DATOS!$C$23*3/4))*PRESIONES!$C$21))</f>
        <v>0.32961666263999</v>
      </c>
      <c r="AQ12" s="30" t="n">
        <f aca="false">IF($L12&lt;&gt;"OK",0,PRESIONES!$C$12*((PRESIONES!$M$32-ABERTURAS!$L$67)*MAX(0,MIN($W12,DATOS!$C$23*1/4)-MAX($V12,DATOS!$C$23*0/4))*PRESIONES!$C$18+(PRESIONES!$M$33-ABERTURAS!$L$67)*MAX(0,MIN($W12,DATOS!$C$23*2/4)-MAX($V12,DATOS!$C$23*1/4))*PRESIONES!$C$19+(PRESIONES!$M$34-ABERTURAS!$L$67)*MAX(0,MIN($W12,DATOS!$C$23*3/4)-MAX($V12,DATOS!$C$23*2/4))*PRESIONES!$C$20+(PRESIONES!$M$35-ABERTURAS!$L$67)*MAX(0,MIN($W12,DATOS!$C$23*4/4)-MAX($V12,DATOS!$C$23*3/4))*PRESIONES!$C$21))</f>
        <v>4.77944160827986</v>
      </c>
      <c r="AR12" s="30" t="n">
        <f aca="false">IF($L12&lt;&gt;"OK",0,PRESIONES!$C$12*((PRESIONES!$E$32-ABERTURAS!$L$60)*MAX(0,MIN($W12,DATOS!$C$23*1/4)-MAX($V12,DATOS!$C$23*0/4))+(PRESIONES!$E$33-ABERTURAS!$L$60)*MAX(0,MIN($W12,DATOS!$C$23*2/4)-MAX($V12,DATOS!$C$23*1/4))+(PRESIONES!$E$34-ABERTURAS!$L$60)*MAX(0,MIN($W12,DATOS!$C$23*3/4)-MAX($V12,DATOS!$C$23*2/4))+(PRESIONES!$E$35-ABERTURAS!$L$60)*MAX(0,MIN($W12,DATOS!$C$23*4/4)-MAX($V12,DATOS!$C$23*3/4))))</f>
        <v>-13.1846665055996</v>
      </c>
      <c r="AS12" s="30" t="n">
        <f aca="false">IF($L12&lt;&gt;"OK",0,PRESIONES!$C$12*((PRESIONES!$H$32-ABERTURAS!$L$61)*MAX(0,MIN($W12,DATOS!$C$23*1/4)-MAX($V12,DATOS!$C$23*0/4))+(PRESIONES!$H$33-ABERTURAS!$L$61)*MAX(0,MIN($W12,DATOS!$C$23*2/4)-MAX($V12,DATOS!$C$23*1/4))+(PRESIONES!$H$34-ABERTURAS!$L$61)*MAX(0,MIN($W12,DATOS!$C$23*3/4)-MAX($V12,DATOS!$C$23*2/4))+(PRESIONES!$H$35-ABERTURAS!$L$61)*MAX(0,MIN($W12,DATOS!$C$23*4/4)-MAX($V12,DATOS!$C$23*3/4))))</f>
        <v>-13.1846665055996</v>
      </c>
      <c r="AT12" s="30" t="n">
        <f aca="false">IF($L12&lt;&gt;"OK",0,PRESIONES!$C$12*((PRESIONES!$K$32-ABERTURAS!$L$62)*MAX(0,MIN($W12,DATOS!$C$23*1/4)-MAX($V12,DATOS!$C$23*0/4))+(PRESIONES!$K$33-ABERTURAS!$L$62)*MAX(0,MIN($W12,DATOS!$C$23*2/4)-MAX($V12,DATOS!$C$23*1/4))+(PRESIONES!$K$34-ABERTURAS!$L$62)*MAX(0,MIN($W12,DATOS!$C$23*3/4)-MAX($V12,DATOS!$C$23*2/4))+(PRESIONES!$K$35-ABERTURAS!$L$62)*MAX(0,MIN($W12,DATOS!$C$23*4/4)-MAX($V12,DATOS!$C$23*3/4))))</f>
        <v>-6.59233325279981</v>
      </c>
      <c r="AU12" s="30" t="n">
        <f aca="false">IF($L12&lt;&gt;"OK",0,PRESIONES!$C$12*((PRESIONES!$N$32-ABERTURAS!$L$63)*MAX(0,MIN($W12,DATOS!$C$23*1/4)-MAX($V12,DATOS!$C$23*0/4))+(PRESIONES!$N$33-ABERTURAS!$L$63)*MAX(0,MIN($W12,DATOS!$C$23*2/4)-MAX($V12,DATOS!$C$23*1/4))+(PRESIONES!$N$34-ABERTURAS!$L$63)*MAX(0,MIN($W12,DATOS!$C$23*3/4)-MAX($V12,DATOS!$C$23*2/4))+(PRESIONES!$N$35-ABERTURAS!$L$63)*MAX(0,MIN($W12,DATOS!$C$23*4/4)-MAX($V12,DATOS!$C$23*3/4))))</f>
        <v>-95.5888321655973</v>
      </c>
      <c r="AV12" s="30" t="n">
        <f aca="false">IF($L12&lt;&gt;"OK",0,PRESIONES!$C$12*((PRESIONES!$E$32-ABERTURAS!$L$64)*MAX(0,MIN($W12,DATOS!$C$23*1/4)-MAX($V12,DATOS!$C$23*0/4))+(PRESIONES!$E$33-ABERTURAS!$L$64)*MAX(0,MIN($W12,DATOS!$C$23*2/4)-MAX($V12,DATOS!$C$23*1/4))+(PRESIONES!$E$34-ABERTURAS!$L$64)*MAX(0,MIN($W12,DATOS!$C$23*3/4)-MAX($V12,DATOS!$C$23*2/4))+(PRESIONES!$E$35-ABERTURAS!$L$64)*MAX(0,MIN($W12,DATOS!$C$23*4/4)-MAX($V12,DATOS!$C$23*3/4))))</f>
        <v>-13.1846665055996</v>
      </c>
      <c r="AW12" s="30" t="n">
        <f aca="false">IF($L12&lt;&gt;"OK",0,PRESIONES!$C$12*((PRESIONES!$H$32-ABERTURAS!$L$65)*MAX(0,MIN($W12,DATOS!$C$23*1/4)-MAX($V12,DATOS!$C$23*0/4))+(PRESIONES!$H$33-ABERTURAS!$L$65)*MAX(0,MIN($W12,DATOS!$C$23*2/4)-MAX($V12,DATOS!$C$23*1/4))+(PRESIONES!$H$34-ABERTURAS!$L$65)*MAX(0,MIN($W12,DATOS!$C$23*3/4)-MAX($V12,DATOS!$C$23*2/4))+(PRESIONES!$H$35-ABERTURAS!$L$65)*MAX(0,MIN($W12,DATOS!$C$23*4/4)-MAX($V12,DATOS!$C$23*3/4))))</f>
        <v>-13.1846665055996</v>
      </c>
      <c r="AX12" s="30" t="n">
        <f aca="false">IF($L12&lt;&gt;"OK",0,PRESIONES!$C$12*((PRESIONES!$K$32-ABERTURAS!$L$66)*MAX(0,MIN($W12,DATOS!$C$23*1/4)-MAX($V12,DATOS!$C$23*0/4))+(PRESIONES!$K$33-ABERTURAS!$L$66)*MAX(0,MIN($W12,DATOS!$C$23*2/4)-MAX($V12,DATOS!$C$23*1/4))+(PRESIONES!$K$34-ABERTURAS!$L$66)*MAX(0,MIN($W12,DATOS!$C$23*3/4)-MAX($V12,DATOS!$C$23*2/4))+(PRESIONES!$K$35-ABERTURAS!$L$66)*MAX(0,MIN($W12,DATOS!$C$23*4/4)-MAX($V12,DATOS!$C$23*3/4))))</f>
        <v>-6.59233325279981</v>
      </c>
      <c r="AY12" s="30" t="n">
        <f aca="false">IF($L12&lt;&gt;"OK",0,PRESIONES!$C$12*((PRESIONES!$N$32-ABERTURAS!$L$67)*MAX(0,MIN($W12,DATOS!$C$23*1/4)-MAX($V12,DATOS!$C$23*0/4))+(PRESIONES!$N$33-ABERTURAS!$L$67)*MAX(0,MIN($W12,DATOS!$C$23*2/4)-MAX($V12,DATOS!$C$23*1/4))+(PRESIONES!$N$34-ABERTURAS!$L$67)*MAX(0,MIN($W12,DATOS!$C$23*3/4)-MAX($V12,DATOS!$C$23*2/4))+(PRESIONES!$N$35-ABERTURAS!$L$67)*MAX(0,MIN($W12,DATOS!$C$23*4/4)-MAX($V12,DATOS!$C$23*3/4))))</f>
        <v>-95.5888321655973</v>
      </c>
      <c r="AZ12" s="30" t="n">
        <f aca="false">IF($L12&lt;&gt;"OK",0,PRESIONES!$C$12*((PRESIONES!$E$32-ABERTURAS!$L$60)*MAX(0,MIN($W12,DATOS!$C$23*1/4)-MAX($V12,DATOS!$C$23*0/4))*PRESIONES!$C$18+(PRESIONES!$E$33-ABERTURAS!$L$60)*MAX(0,MIN($W12,DATOS!$C$23*2/4)-MAX($V12,DATOS!$C$23*1/4))*PRESIONES!$C$19+(PRESIONES!$E$34-ABERTURAS!$L$60)*MAX(0,MIN($W12,DATOS!$C$23*3/4)-MAX($V12,DATOS!$C$23*2/4))*PRESIONES!$C$20+(PRESIONES!$E$35-ABERTURAS!$L$60)*MAX(0,MIN($W12,DATOS!$C$23*4/4)-MAX($V12,DATOS!$C$23*3/4))*PRESIONES!$C$21))</f>
        <v>0.659233325279981</v>
      </c>
      <c r="BA12" s="30" t="n">
        <f aca="false">IF($L12&lt;&gt;"OK",0,PRESIONES!$C$12*((PRESIONES!$H$32-ABERTURAS!$L$61)*MAX(0,MIN($W12,DATOS!$C$23*1/4)-MAX($V12,DATOS!$C$23*0/4))*PRESIONES!$C$18+(PRESIONES!$H$33-ABERTURAS!$L$61)*MAX(0,MIN($W12,DATOS!$C$23*2/4)-MAX($V12,DATOS!$C$23*1/4))*PRESIONES!$C$19+(PRESIONES!$H$34-ABERTURAS!$L$61)*MAX(0,MIN($W12,DATOS!$C$23*3/4)-MAX($V12,DATOS!$C$23*2/4))*PRESIONES!$C$20+(PRESIONES!$H$35-ABERTURAS!$L$61)*MAX(0,MIN($W12,DATOS!$C$23*4/4)-MAX($V12,DATOS!$C$23*3/4))*PRESIONES!$C$21))</f>
        <v>0.659233325279981</v>
      </c>
      <c r="BB12" s="30" t="n">
        <f aca="false">IF($L12&lt;&gt;"OK",0,PRESIONES!$C$12*((PRESIONES!$K$32-ABERTURAS!$L$62)*MAX(0,MIN($W12,DATOS!$C$23*1/4)-MAX($V12,DATOS!$C$23*0/4))*PRESIONES!$C$18+(PRESIONES!$K$33-ABERTURAS!$L$62)*MAX(0,MIN($W12,DATOS!$C$23*2/4)-MAX($V12,DATOS!$C$23*1/4))*PRESIONES!$C$19+(PRESIONES!$K$34-ABERTURAS!$L$62)*MAX(0,MIN($W12,DATOS!$C$23*3/4)-MAX($V12,DATOS!$C$23*2/4))*PRESIONES!$C$20+(PRESIONES!$K$35-ABERTURAS!$L$62)*MAX(0,MIN($W12,DATOS!$C$23*4/4)-MAX($V12,DATOS!$C$23*3/4))*PRESIONES!$C$21))</f>
        <v>0.32961666263999</v>
      </c>
      <c r="BC12" s="30" t="n">
        <f aca="false">IF($L12&lt;&gt;"OK",0,PRESIONES!$C$12*((PRESIONES!$N$32-ABERTURAS!$L$63)*MAX(0,MIN($W12,DATOS!$C$23*1/4)-MAX($V12,DATOS!$C$23*0/4))*PRESIONES!$C$18+(PRESIONES!$N$33-ABERTURAS!$L$63)*MAX(0,MIN($W12,DATOS!$C$23*2/4)-MAX($V12,DATOS!$C$23*1/4))*PRESIONES!$C$19+(PRESIONES!$N$34-ABERTURAS!$L$63)*MAX(0,MIN($W12,DATOS!$C$23*3/4)-MAX($V12,DATOS!$C$23*2/4))*PRESIONES!$C$20+(PRESIONES!$N$35-ABERTURAS!$L$63)*MAX(0,MIN($W12,DATOS!$C$23*4/4)-MAX($V12,DATOS!$C$23*3/4))*PRESIONES!$C$21))</f>
        <v>4.77944160827986</v>
      </c>
      <c r="BD12" s="30" t="n">
        <f aca="false">IF($L12&lt;&gt;"OK",0,PRESIONES!$C$12*((PRESIONES!$E$32-ABERTURAS!$L$64)*MAX(0,MIN($W12,DATOS!$C$23*1/4)-MAX($V12,DATOS!$C$23*0/4))*PRESIONES!$C$18+(PRESIONES!$E$33-ABERTURAS!$L$64)*MAX(0,MIN($W12,DATOS!$C$23*2/4)-MAX($V12,DATOS!$C$23*1/4))*PRESIONES!$C$19+(PRESIONES!$E$34-ABERTURAS!$L$64)*MAX(0,MIN($W12,DATOS!$C$23*3/4)-MAX($V12,DATOS!$C$23*2/4))*PRESIONES!$C$20+(PRESIONES!$E$35-ABERTURAS!$L$64)*MAX(0,MIN($W12,DATOS!$C$23*4/4)-MAX($V12,DATOS!$C$23*3/4))*PRESIONES!$C$21))</f>
        <v>0.659233325279981</v>
      </c>
      <c r="BE12" s="30" t="n">
        <f aca="false">IF($L12&lt;&gt;"OK",0,PRESIONES!$C$12*((PRESIONES!$H$32-ABERTURAS!$L$65)*MAX(0,MIN($W12,DATOS!$C$23*1/4)-MAX($V12,DATOS!$C$23*0/4))*PRESIONES!$C$18+(PRESIONES!$H$33-ABERTURAS!$L$65)*MAX(0,MIN($W12,DATOS!$C$23*2/4)-MAX($V12,DATOS!$C$23*1/4))*PRESIONES!$C$19+(PRESIONES!$H$34-ABERTURAS!$L$65)*MAX(0,MIN($W12,DATOS!$C$23*3/4)-MAX($V12,DATOS!$C$23*2/4))*PRESIONES!$C$20+(PRESIONES!$H$35-ABERTURAS!$L$65)*MAX(0,MIN($W12,DATOS!$C$23*4/4)-MAX($V12,DATOS!$C$23*3/4))*PRESIONES!$C$21))</f>
        <v>0.659233325279981</v>
      </c>
      <c r="BF12" s="30" t="n">
        <f aca="false">IF($L12&lt;&gt;"OK",0,PRESIONES!$C$12*((PRESIONES!$K$32-ABERTURAS!$L$66)*MAX(0,MIN($W12,DATOS!$C$23*1/4)-MAX($V12,DATOS!$C$23*0/4))*PRESIONES!$C$18+(PRESIONES!$K$33-ABERTURAS!$L$66)*MAX(0,MIN($W12,DATOS!$C$23*2/4)-MAX($V12,DATOS!$C$23*1/4))*PRESIONES!$C$19+(PRESIONES!$K$34-ABERTURAS!$L$66)*MAX(0,MIN($W12,DATOS!$C$23*3/4)-MAX($V12,DATOS!$C$23*2/4))*PRESIONES!$C$20+(PRESIONES!$K$35-ABERTURAS!$L$66)*MAX(0,MIN($W12,DATOS!$C$23*4/4)-MAX($V12,DATOS!$C$23*3/4))*PRESIONES!$C$21))</f>
        <v>0.32961666263999</v>
      </c>
      <c r="BG12" s="30" t="n">
        <f aca="false">IF($L12&lt;&gt;"OK",0,PRESIONES!$C$12*((PRESIONES!$N$32-ABERTURAS!$L$67)*MAX(0,MIN($W12,DATOS!$C$23*1/4)-MAX($V12,DATOS!$C$23*0/4))*PRESIONES!$C$18+(PRESIONES!$N$33-ABERTURAS!$L$67)*MAX(0,MIN($W12,DATOS!$C$23*2/4)-MAX($V12,DATOS!$C$23*1/4))*PRESIONES!$C$19+(PRESIONES!$N$34-ABERTURAS!$L$67)*MAX(0,MIN($W12,DATOS!$C$23*3/4)-MAX($V12,DATOS!$C$23*2/4))*PRESIONES!$C$20+(PRESIONES!$N$35-ABERTURAS!$L$67)*MAX(0,MIN($W12,DATOS!$C$23*4/4)-MAX($V12,DATOS!$C$23*3/4))*PRESIONES!$C$21))</f>
        <v>4.77944160827986</v>
      </c>
    </row>
    <row r="13" customFormat="false" ht="16.5" hidden="false" customHeight="true" outlineLevel="0" collapsed="false">
      <c r="B13" s="27" t="s">
        <v>407</v>
      </c>
      <c r="C13" s="17" t="s">
        <v>399</v>
      </c>
      <c r="D13" s="27" t="s">
        <v>408</v>
      </c>
      <c r="E13" s="17" t="s">
        <v>80</v>
      </c>
      <c r="F13" s="49" t="n">
        <v>0</v>
      </c>
      <c r="G13" s="49" t="n">
        <v>10.08</v>
      </c>
      <c r="H13" s="49" t="n">
        <v>4.725</v>
      </c>
      <c r="I13" s="49" t="n">
        <v>6.075</v>
      </c>
      <c r="J13" s="49"/>
      <c r="K13" s="49"/>
      <c r="L13" s="20" t="str">
        <f aca="false">IF($D13="","",IF($C13&lt;&gt;"TECHO","PON TECHO",IF(OR($F13="",$G13="",$H13="",$I13=""),"FALTAN a o b",IF($M13&lt;=0,"a₂ DEBE SER &gt; a₁",IF($N13&lt;=0,"b₂ DEBE SER &gt; b₁",IF(OR($V13&lt;-0.001,$W13&gt;DATOS!$C$23+0.001),"SE SALE DEL TECHO","OK"))))))</f>
        <v>OK</v>
      </c>
      <c r="M13" s="30" t="n">
        <f aca="false">IF($D13="",0,MAX(0,$G13-$F13))</f>
        <v>10.08</v>
      </c>
      <c r="N13" s="30" t="n">
        <f aca="false">MAX(0,$W13-$V13)</f>
        <v>1.35</v>
      </c>
      <c r="O13" s="30" t="n">
        <f aca="false">$M13*$N13</f>
        <v>13.608</v>
      </c>
      <c r="P13" s="30" t="n">
        <v>0</v>
      </c>
      <c r="Q13" s="30" t="n">
        <v>0</v>
      </c>
      <c r="R13" s="30" t="n">
        <f aca="false">$O13</f>
        <v>13.608</v>
      </c>
      <c r="S13" s="30" t="n">
        <f aca="false">$O13</f>
        <v>13.608</v>
      </c>
      <c r="T13" s="50" t="n">
        <f aca="false">IF($D13="",0,DATOS!$C$21)</f>
        <v>10.62</v>
      </c>
      <c r="U13" s="50" t="n">
        <v>0</v>
      </c>
      <c r="V13" s="50" t="n">
        <f aca="false">IF($D13="",0,(N($H13)+IF($J13="",N($H13),$J13))/2)</f>
        <v>4.725</v>
      </c>
      <c r="W13" s="50" t="n">
        <f aca="false">IF($D13="",0,(N($I13)+IF($K13="",N($I13),$K13))/2)</f>
        <v>6.075</v>
      </c>
      <c r="AB13" s="30" t="n">
        <f aca="false">IF($L13&lt;&gt;"OK",0,PRESIONES!$C$12*((PRESIONES!$D$32-ABERTURAS!$L$60)*MAX(0,MIN($W13,DATOS!$C$23*1/4)-MAX($V13,DATOS!$C$23*0/4))+(PRESIONES!$D$33-ABERTURAS!$L$60)*MAX(0,MIN($W13,DATOS!$C$23*2/4)-MAX($V13,DATOS!$C$23*1/4))+(PRESIONES!$D$34-ABERTURAS!$L$60)*MAX(0,MIN($W13,DATOS!$C$23*3/4)-MAX($V13,DATOS!$C$23*2/4))+(PRESIONES!$D$35-ABERTURAS!$L$60)*MAX(0,MIN($W13,DATOS!$C$23*4/4)-MAX($V13,DATOS!$C$23*3/4))))</f>
        <v>-13.1846665055996</v>
      </c>
      <c r="AC13" s="30" t="n">
        <f aca="false">IF($L13&lt;&gt;"OK",0,PRESIONES!$C$12*((PRESIONES!$G$32-ABERTURAS!$L$61)*MAX(0,MIN($W13,DATOS!$C$23*1/4)-MAX($V13,DATOS!$C$23*0/4))+(PRESIONES!$G$33-ABERTURAS!$L$61)*MAX(0,MIN($W13,DATOS!$C$23*2/4)-MAX($V13,DATOS!$C$23*1/4))+(PRESIONES!$G$34-ABERTURAS!$L$61)*MAX(0,MIN($W13,DATOS!$C$23*3/4)-MAX($V13,DATOS!$C$23*2/4))+(PRESIONES!$G$35-ABERTURAS!$L$61)*MAX(0,MIN($W13,DATOS!$C$23*4/4)-MAX($V13,DATOS!$C$23*3/4))))</f>
        <v>-13.1846665055996</v>
      </c>
      <c r="AD13" s="30" t="n">
        <f aca="false">IF($L13&lt;&gt;"OK",0,PRESIONES!$C$12*((PRESIONES!$J$32-ABERTURAS!$L$62)*MAX(0,MIN($W13,DATOS!$C$23*1/4)-MAX($V13,DATOS!$C$23*0/4))+(PRESIONES!$J$33-ABERTURAS!$L$62)*MAX(0,MIN($W13,DATOS!$C$23*2/4)-MAX($V13,DATOS!$C$23*1/4))+(PRESIONES!$J$34-ABERTURAS!$L$62)*MAX(0,MIN($W13,DATOS!$C$23*3/4)-MAX($V13,DATOS!$C$23*2/4))+(PRESIONES!$J$35-ABERTURAS!$L$62)*MAX(0,MIN($W13,DATOS!$C$23*4/4)-MAX($V13,DATOS!$C$23*3/4))))</f>
        <v>-6.59233325279982</v>
      </c>
      <c r="AE13" s="30" t="n">
        <f aca="false">IF($L13&lt;&gt;"OK",0,PRESIONES!$C$12*((PRESIONES!$M$32-ABERTURAS!$L$63)*MAX(0,MIN($W13,DATOS!$C$23*1/4)-MAX($V13,DATOS!$C$23*0/4))+(PRESIONES!$M$33-ABERTURAS!$L$63)*MAX(0,MIN($W13,DATOS!$C$23*2/4)-MAX($V13,DATOS!$C$23*1/4))+(PRESIONES!$M$34-ABERTURAS!$L$63)*MAX(0,MIN($W13,DATOS!$C$23*3/4)-MAX($V13,DATOS!$C$23*2/4))+(PRESIONES!$M$35-ABERTURAS!$L$63)*MAX(0,MIN($W13,DATOS!$C$23*4/4)-MAX($V13,DATOS!$C$23*3/4))))</f>
        <v>-95.5888321655974</v>
      </c>
      <c r="AF13" s="30" t="n">
        <f aca="false">IF($L13&lt;&gt;"OK",0,PRESIONES!$C$12*((PRESIONES!$D$32-ABERTURAS!$L$64)*MAX(0,MIN($W13,DATOS!$C$23*1/4)-MAX($V13,DATOS!$C$23*0/4))+(PRESIONES!$D$33-ABERTURAS!$L$64)*MAX(0,MIN($W13,DATOS!$C$23*2/4)-MAX($V13,DATOS!$C$23*1/4))+(PRESIONES!$D$34-ABERTURAS!$L$64)*MAX(0,MIN($W13,DATOS!$C$23*3/4)-MAX($V13,DATOS!$C$23*2/4))+(PRESIONES!$D$35-ABERTURAS!$L$64)*MAX(0,MIN($W13,DATOS!$C$23*4/4)-MAX($V13,DATOS!$C$23*3/4))))</f>
        <v>-13.1846665055996</v>
      </c>
      <c r="AG13" s="30" t="n">
        <f aca="false">IF($L13&lt;&gt;"OK",0,PRESIONES!$C$12*((PRESIONES!$G$32-ABERTURAS!$L$65)*MAX(0,MIN($W13,DATOS!$C$23*1/4)-MAX($V13,DATOS!$C$23*0/4))+(PRESIONES!$G$33-ABERTURAS!$L$65)*MAX(0,MIN($W13,DATOS!$C$23*2/4)-MAX($V13,DATOS!$C$23*1/4))+(PRESIONES!$G$34-ABERTURAS!$L$65)*MAX(0,MIN($W13,DATOS!$C$23*3/4)-MAX($V13,DATOS!$C$23*2/4))+(PRESIONES!$G$35-ABERTURAS!$L$65)*MAX(0,MIN($W13,DATOS!$C$23*4/4)-MAX($V13,DATOS!$C$23*3/4))))</f>
        <v>-13.1846665055996</v>
      </c>
      <c r="AH13" s="30" t="n">
        <f aca="false">IF($L13&lt;&gt;"OK",0,PRESIONES!$C$12*((PRESIONES!$J$32-ABERTURAS!$L$66)*MAX(0,MIN($W13,DATOS!$C$23*1/4)-MAX($V13,DATOS!$C$23*0/4))+(PRESIONES!$J$33-ABERTURAS!$L$66)*MAX(0,MIN($W13,DATOS!$C$23*2/4)-MAX($V13,DATOS!$C$23*1/4))+(PRESIONES!$J$34-ABERTURAS!$L$66)*MAX(0,MIN($W13,DATOS!$C$23*3/4)-MAX($V13,DATOS!$C$23*2/4))+(PRESIONES!$J$35-ABERTURAS!$L$66)*MAX(0,MIN($W13,DATOS!$C$23*4/4)-MAX($V13,DATOS!$C$23*3/4))))</f>
        <v>-6.59233325279982</v>
      </c>
      <c r="AI13" s="30" t="n">
        <f aca="false">IF($L13&lt;&gt;"OK",0,PRESIONES!$C$12*((PRESIONES!$M$32-ABERTURAS!$L$67)*MAX(0,MIN($W13,DATOS!$C$23*1/4)-MAX($V13,DATOS!$C$23*0/4))+(PRESIONES!$M$33-ABERTURAS!$L$67)*MAX(0,MIN($W13,DATOS!$C$23*2/4)-MAX($V13,DATOS!$C$23*1/4))+(PRESIONES!$M$34-ABERTURAS!$L$67)*MAX(0,MIN($W13,DATOS!$C$23*3/4)-MAX($V13,DATOS!$C$23*2/4))+(PRESIONES!$M$35-ABERTURAS!$L$67)*MAX(0,MIN($W13,DATOS!$C$23*4/4)-MAX($V13,DATOS!$C$23*3/4))))</f>
        <v>-95.5888321655974</v>
      </c>
      <c r="AJ13" s="30" t="n">
        <f aca="false">IF($L13&lt;&gt;"OK",0,PRESIONES!$C$12*((PRESIONES!$D$32-ABERTURAS!$L$60)*MAX(0,MIN($W13,DATOS!$C$23*1/4)-MAX($V13,DATOS!$C$23*0/4))*PRESIONES!$C$18+(PRESIONES!$D$33-ABERTURAS!$L$60)*MAX(0,MIN($W13,DATOS!$C$23*2/4)-MAX($V13,DATOS!$C$23*1/4))*PRESIONES!$C$19+(PRESIONES!$D$34-ABERTURAS!$L$60)*MAX(0,MIN($W13,DATOS!$C$23*3/4)-MAX($V13,DATOS!$C$23*2/4))*PRESIONES!$C$20+(PRESIONES!$D$35-ABERTURAS!$L$60)*MAX(0,MIN($W13,DATOS!$C$23*4/4)-MAX($V13,DATOS!$C$23*3/4))*PRESIONES!$C$21))</f>
        <v>0.659233325279981</v>
      </c>
      <c r="AK13" s="30" t="n">
        <f aca="false">IF($L13&lt;&gt;"OK",0,PRESIONES!$C$12*((PRESIONES!$G$32-ABERTURAS!$L$61)*MAX(0,MIN($W13,DATOS!$C$23*1/4)-MAX($V13,DATOS!$C$23*0/4))*PRESIONES!$C$18+(PRESIONES!$G$33-ABERTURAS!$L$61)*MAX(0,MIN($W13,DATOS!$C$23*2/4)-MAX($V13,DATOS!$C$23*1/4))*PRESIONES!$C$19+(PRESIONES!$G$34-ABERTURAS!$L$61)*MAX(0,MIN($W13,DATOS!$C$23*3/4)-MAX($V13,DATOS!$C$23*2/4))*PRESIONES!$C$20+(PRESIONES!$G$35-ABERTURAS!$L$61)*MAX(0,MIN($W13,DATOS!$C$23*4/4)-MAX($V13,DATOS!$C$23*3/4))*PRESIONES!$C$21))</f>
        <v>0.659233325279981</v>
      </c>
      <c r="AL13" s="30" t="n">
        <f aca="false">IF($L13&lt;&gt;"OK",0,PRESIONES!$C$12*((PRESIONES!$J$32-ABERTURAS!$L$62)*MAX(0,MIN($W13,DATOS!$C$23*1/4)-MAX($V13,DATOS!$C$23*0/4))*PRESIONES!$C$18+(PRESIONES!$J$33-ABERTURAS!$L$62)*MAX(0,MIN($W13,DATOS!$C$23*2/4)-MAX($V13,DATOS!$C$23*1/4))*PRESIONES!$C$19+(PRESIONES!$J$34-ABERTURAS!$L$62)*MAX(0,MIN($W13,DATOS!$C$23*3/4)-MAX($V13,DATOS!$C$23*2/4))*PRESIONES!$C$20+(PRESIONES!$J$35-ABERTURAS!$L$62)*MAX(0,MIN($W13,DATOS!$C$23*4/4)-MAX($V13,DATOS!$C$23*3/4))*PRESIONES!$C$21))</f>
        <v>0.32961666263999</v>
      </c>
      <c r="AM13" s="30" t="n">
        <f aca="false">IF($L13&lt;&gt;"OK",0,PRESIONES!$C$12*((PRESIONES!$M$32-ABERTURAS!$L$63)*MAX(0,MIN($W13,DATOS!$C$23*1/4)-MAX($V13,DATOS!$C$23*0/4))*PRESIONES!$C$18+(PRESIONES!$M$33-ABERTURAS!$L$63)*MAX(0,MIN($W13,DATOS!$C$23*2/4)-MAX($V13,DATOS!$C$23*1/4))*PRESIONES!$C$19+(PRESIONES!$M$34-ABERTURAS!$L$63)*MAX(0,MIN($W13,DATOS!$C$23*3/4)-MAX($V13,DATOS!$C$23*2/4))*PRESIONES!$C$20+(PRESIONES!$M$35-ABERTURAS!$L$63)*MAX(0,MIN($W13,DATOS!$C$23*4/4)-MAX($V13,DATOS!$C$23*3/4))*PRESIONES!$C$21))</f>
        <v>4.77944160827986</v>
      </c>
      <c r="AN13" s="30" t="n">
        <f aca="false">IF($L13&lt;&gt;"OK",0,PRESIONES!$C$12*((PRESIONES!$D$32-ABERTURAS!$L$64)*MAX(0,MIN($W13,DATOS!$C$23*1/4)-MAX($V13,DATOS!$C$23*0/4))*PRESIONES!$C$18+(PRESIONES!$D$33-ABERTURAS!$L$64)*MAX(0,MIN($W13,DATOS!$C$23*2/4)-MAX($V13,DATOS!$C$23*1/4))*PRESIONES!$C$19+(PRESIONES!$D$34-ABERTURAS!$L$64)*MAX(0,MIN($W13,DATOS!$C$23*3/4)-MAX($V13,DATOS!$C$23*2/4))*PRESIONES!$C$20+(PRESIONES!$D$35-ABERTURAS!$L$64)*MAX(0,MIN($W13,DATOS!$C$23*4/4)-MAX($V13,DATOS!$C$23*3/4))*PRESIONES!$C$21))</f>
        <v>0.659233325279981</v>
      </c>
      <c r="AO13" s="30" t="n">
        <f aca="false">IF($L13&lt;&gt;"OK",0,PRESIONES!$C$12*((PRESIONES!$G$32-ABERTURAS!$L$65)*MAX(0,MIN($W13,DATOS!$C$23*1/4)-MAX($V13,DATOS!$C$23*0/4))*PRESIONES!$C$18+(PRESIONES!$G$33-ABERTURAS!$L$65)*MAX(0,MIN($W13,DATOS!$C$23*2/4)-MAX($V13,DATOS!$C$23*1/4))*PRESIONES!$C$19+(PRESIONES!$G$34-ABERTURAS!$L$65)*MAX(0,MIN($W13,DATOS!$C$23*3/4)-MAX($V13,DATOS!$C$23*2/4))*PRESIONES!$C$20+(PRESIONES!$G$35-ABERTURAS!$L$65)*MAX(0,MIN($W13,DATOS!$C$23*4/4)-MAX($V13,DATOS!$C$23*3/4))*PRESIONES!$C$21))</f>
        <v>0.659233325279981</v>
      </c>
      <c r="AP13" s="30" t="n">
        <f aca="false">IF($L13&lt;&gt;"OK",0,PRESIONES!$C$12*((PRESIONES!$J$32-ABERTURAS!$L$66)*MAX(0,MIN($W13,DATOS!$C$23*1/4)-MAX($V13,DATOS!$C$23*0/4))*PRESIONES!$C$18+(PRESIONES!$J$33-ABERTURAS!$L$66)*MAX(0,MIN($W13,DATOS!$C$23*2/4)-MAX($V13,DATOS!$C$23*1/4))*PRESIONES!$C$19+(PRESIONES!$J$34-ABERTURAS!$L$66)*MAX(0,MIN($W13,DATOS!$C$23*3/4)-MAX($V13,DATOS!$C$23*2/4))*PRESIONES!$C$20+(PRESIONES!$J$35-ABERTURAS!$L$66)*MAX(0,MIN($W13,DATOS!$C$23*4/4)-MAX($V13,DATOS!$C$23*3/4))*PRESIONES!$C$21))</f>
        <v>0.32961666263999</v>
      </c>
      <c r="AQ13" s="30" t="n">
        <f aca="false">IF($L13&lt;&gt;"OK",0,PRESIONES!$C$12*((PRESIONES!$M$32-ABERTURAS!$L$67)*MAX(0,MIN($W13,DATOS!$C$23*1/4)-MAX($V13,DATOS!$C$23*0/4))*PRESIONES!$C$18+(PRESIONES!$M$33-ABERTURAS!$L$67)*MAX(0,MIN($W13,DATOS!$C$23*2/4)-MAX($V13,DATOS!$C$23*1/4))*PRESIONES!$C$19+(PRESIONES!$M$34-ABERTURAS!$L$67)*MAX(0,MIN($W13,DATOS!$C$23*3/4)-MAX($V13,DATOS!$C$23*2/4))*PRESIONES!$C$20+(PRESIONES!$M$35-ABERTURAS!$L$67)*MAX(0,MIN($W13,DATOS!$C$23*4/4)-MAX($V13,DATOS!$C$23*3/4))*PRESIONES!$C$21))</f>
        <v>4.77944160827986</v>
      </c>
      <c r="AR13" s="30" t="n">
        <f aca="false">IF($L13&lt;&gt;"OK",0,PRESIONES!$C$12*((PRESIONES!$E$32-ABERTURAS!$L$60)*MAX(0,MIN($W13,DATOS!$C$23*1/4)-MAX($V13,DATOS!$C$23*0/4))+(PRESIONES!$E$33-ABERTURAS!$L$60)*MAX(0,MIN($W13,DATOS!$C$23*2/4)-MAX($V13,DATOS!$C$23*1/4))+(PRESIONES!$E$34-ABERTURAS!$L$60)*MAX(0,MIN($W13,DATOS!$C$23*3/4)-MAX($V13,DATOS!$C$23*2/4))+(PRESIONES!$E$35-ABERTURAS!$L$60)*MAX(0,MIN($W13,DATOS!$C$23*4/4)-MAX($V13,DATOS!$C$23*3/4))))</f>
        <v>-13.1846665055996</v>
      </c>
      <c r="AS13" s="30" t="n">
        <f aca="false">IF($L13&lt;&gt;"OK",0,PRESIONES!$C$12*((PRESIONES!$H$32-ABERTURAS!$L$61)*MAX(0,MIN($W13,DATOS!$C$23*1/4)-MAX($V13,DATOS!$C$23*0/4))+(PRESIONES!$H$33-ABERTURAS!$L$61)*MAX(0,MIN($W13,DATOS!$C$23*2/4)-MAX($V13,DATOS!$C$23*1/4))+(PRESIONES!$H$34-ABERTURAS!$L$61)*MAX(0,MIN($W13,DATOS!$C$23*3/4)-MAX($V13,DATOS!$C$23*2/4))+(PRESIONES!$H$35-ABERTURAS!$L$61)*MAX(0,MIN($W13,DATOS!$C$23*4/4)-MAX($V13,DATOS!$C$23*3/4))))</f>
        <v>-13.1846665055996</v>
      </c>
      <c r="AT13" s="30" t="n">
        <f aca="false">IF($L13&lt;&gt;"OK",0,PRESIONES!$C$12*((PRESIONES!$K$32-ABERTURAS!$L$62)*MAX(0,MIN($W13,DATOS!$C$23*1/4)-MAX($V13,DATOS!$C$23*0/4))+(PRESIONES!$K$33-ABERTURAS!$L$62)*MAX(0,MIN($W13,DATOS!$C$23*2/4)-MAX($V13,DATOS!$C$23*1/4))+(PRESIONES!$K$34-ABERTURAS!$L$62)*MAX(0,MIN($W13,DATOS!$C$23*3/4)-MAX($V13,DATOS!$C$23*2/4))+(PRESIONES!$K$35-ABERTURAS!$L$62)*MAX(0,MIN($W13,DATOS!$C$23*4/4)-MAX($V13,DATOS!$C$23*3/4))))</f>
        <v>-6.59233325279982</v>
      </c>
      <c r="AU13" s="30" t="n">
        <f aca="false">IF($L13&lt;&gt;"OK",0,PRESIONES!$C$12*((PRESIONES!$N$32-ABERTURAS!$L$63)*MAX(0,MIN($W13,DATOS!$C$23*1/4)-MAX($V13,DATOS!$C$23*0/4))+(PRESIONES!$N$33-ABERTURAS!$L$63)*MAX(0,MIN($W13,DATOS!$C$23*2/4)-MAX($V13,DATOS!$C$23*1/4))+(PRESIONES!$N$34-ABERTURAS!$L$63)*MAX(0,MIN($W13,DATOS!$C$23*3/4)-MAX($V13,DATOS!$C$23*2/4))+(PRESIONES!$N$35-ABERTURAS!$L$63)*MAX(0,MIN($W13,DATOS!$C$23*4/4)-MAX($V13,DATOS!$C$23*3/4))))</f>
        <v>-95.5888321655974</v>
      </c>
      <c r="AV13" s="30" t="n">
        <f aca="false">IF($L13&lt;&gt;"OK",0,PRESIONES!$C$12*((PRESIONES!$E$32-ABERTURAS!$L$64)*MAX(0,MIN($W13,DATOS!$C$23*1/4)-MAX($V13,DATOS!$C$23*0/4))+(PRESIONES!$E$33-ABERTURAS!$L$64)*MAX(0,MIN($W13,DATOS!$C$23*2/4)-MAX($V13,DATOS!$C$23*1/4))+(PRESIONES!$E$34-ABERTURAS!$L$64)*MAX(0,MIN($W13,DATOS!$C$23*3/4)-MAX($V13,DATOS!$C$23*2/4))+(PRESIONES!$E$35-ABERTURAS!$L$64)*MAX(0,MIN($W13,DATOS!$C$23*4/4)-MAX($V13,DATOS!$C$23*3/4))))</f>
        <v>-13.1846665055996</v>
      </c>
      <c r="AW13" s="30" t="n">
        <f aca="false">IF($L13&lt;&gt;"OK",0,PRESIONES!$C$12*((PRESIONES!$H$32-ABERTURAS!$L$65)*MAX(0,MIN($W13,DATOS!$C$23*1/4)-MAX($V13,DATOS!$C$23*0/4))+(PRESIONES!$H$33-ABERTURAS!$L$65)*MAX(0,MIN($W13,DATOS!$C$23*2/4)-MAX($V13,DATOS!$C$23*1/4))+(PRESIONES!$H$34-ABERTURAS!$L$65)*MAX(0,MIN($W13,DATOS!$C$23*3/4)-MAX($V13,DATOS!$C$23*2/4))+(PRESIONES!$H$35-ABERTURAS!$L$65)*MAX(0,MIN($W13,DATOS!$C$23*4/4)-MAX($V13,DATOS!$C$23*3/4))))</f>
        <v>-13.1846665055996</v>
      </c>
      <c r="AX13" s="30" t="n">
        <f aca="false">IF($L13&lt;&gt;"OK",0,PRESIONES!$C$12*((PRESIONES!$K$32-ABERTURAS!$L$66)*MAX(0,MIN($W13,DATOS!$C$23*1/4)-MAX($V13,DATOS!$C$23*0/4))+(PRESIONES!$K$33-ABERTURAS!$L$66)*MAX(0,MIN($W13,DATOS!$C$23*2/4)-MAX($V13,DATOS!$C$23*1/4))+(PRESIONES!$K$34-ABERTURAS!$L$66)*MAX(0,MIN($W13,DATOS!$C$23*3/4)-MAX($V13,DATOS!$C$23*2/4))+(PRESIONES!$K$35-ABERTURAS!$L$66)*MAX(0,MIN($W13,DATOS!$C$23*4/4)-MAX($V13,DATOS!$C$23*3/4))))</f>
        <v>-6.59233325279982</v>
      </c>
      <c r="AY13" s="30" t="n">
        <f aca="false">IF($L13&lt;&gt;"OK",0,PRESIONES!$C$12*((PRESIONES!$N$32-ABERTURAS!$L$67)*MAX(0,MIN($W13,DATOS!$C$23*1/4)-MAX($V13,DATOS!$C$23*0/4))+(PRESIONES!$N$33-ABERTURAS!$L$67)*MAX(0,MIN($W13,DATOS!$C$23*2/4)-MAX($V13,DATOS!$C$23*1/4))+(PRESIONES!$N$34-ABERTURAS!$L$67)*MAX(0,MIN($W13,DATOS!$C$23*3/4)-MAX($V13,DATOS!$C$23*2/4))+(PRESIONES!$N$35-ABERTURAS!$L$67)*MAX(0,MIN($W13,DATOS!$C$23*4/4)-MAX($V13,DATOS!$C$23*3/4))))</f>
        <v>-95.5888321655974</v>
      </c>
      <c r="AZ13" s="30" t="n">
        <f aca="false">IF($L13&lt;&gt;"OK",0,PRESIONES!$C$12*((PRESIONES!$E$32-ABERTURAS!$L$60)*MAX(0,MIN($W13,DATOS!$C$23*1/4)-MAX($V13,DATOS!$C$23*0/4))*PRESIONES!$C$18+(PRESIONES!$E$33-ABERTURAS!$L$60)*MAX(0,MIN($W13,DATOS!$C$23*2/4)-MAX($V13,DATOS!$C$23*1/4))*PRESIONES!$C$19+(PRESIONES!$E$34-ABERTURAS!$L$60)*MAX(0,MIN($W13,DATOS!$C$23*3/4)-MAX($V13,DATOS!$C$23*2/4))*PRESIONES!$C$20+(PRESIONES!$E$35-ABERTURAS!$L$60)*MAX(0,MIN($W13,DATOS!$C$23*4/4)-MAX($V13,DATOS!$C$23*3/4))*PRESIONES!$C$21))</f>
        <v>0.659233325279981</v>
      </c>
      <c r="BA13" s="30" t="n">
        <f aca="false">IF($L13&lt;&gt;"OK",0,PRESIONES!$C$12*((PRESIONES!$H$32-ABERTURAS!$L$61)*MAX(0,MIN($W13,DATOS!$C$23*1/4)-MAX($V13,DATOS!$C$23*0/4))*PRESIONES!$C$18+(PRESIONES!$H$33-ABERTURAS!$L$61)*MAX(0,MIN($W13,DATOS!$C$23*2/4)-MAX($V13,DATOS!$C$23*1/4))*PRESIONES!$C$19+(PRESIONES!$H$34-ABERTURAS!$L$61)*MAX(0,MIN($W13,DATOS!$C$23*3/4)-MAX($V13,DATOS!$C$23*2/4))*PRESIONES!$C$20+(PRESIONES!$H$35-ABERTURAS!$L$61)*MAX(0,MIN($W13,DATOS!$C$23*4/4)-MAX($V13,DATOS!$C$23*3/4))*PRESIONES!$C$21))</f>
        <v>0.659233325279981</v>
      </c>
      <c r="BB13" s="30" t="n">
        <f aca="false">IF($L13&lt;&gt;"OK",0,PRESIONES!$C$12*((PRESIONES!$K$32-ABERTURAS!$L$62)*MAX(0,MIN($W13,DATOS!$C$23*1/4)-MAX($V13,DATOS!$C$23*0/4))*PRESIONES!$C$18+(PRESIONES!$K$33-ABERTURAS!$L$62)*MAX(0,MIN($W13,DATOS!$C$23*2/4)-MAX($V13,DATOS!$C$23*1/4))*PRESIONES!$C$19+(PRESIONES!$K$34-ABERTURAS!$L$62)*MAX(0,MIN($W13,DATOS!$C$23*3/4)-MAX($V13,DATOS!$C$23*2/4))*PRESIONES!$C$20+(PRESIONES!$K$35-ABERTURAS!$L$62)*MAX(0,MIN($W13,DATOS!$C$23*4/4)-MAX($V13,DATOS!$C$23*3/4))*PRESIONES!$C$21))</f>
        <v>0.32961666263999</v>
      </c>
      <c r="BC13" s="30" t="n">
        <f aca="false">IF($L13&lt;&gt;"OK",0,PRESIONES!$C$12*((PRESIONES!$N$32-ABERTURAS!$L$63)*MAX(0,MIN($W13,DATOS!$C$23*1/4)-MAX($V13,DATOS!$C$23*0/4))*PRESIONES!$C$18+(PRESIONES!$N$33-ABERTURAS!$L$63)*MAX(0,MIN($W13,DATOS!$C$23*2/4)-MAX($V13,DATOS!$C$23*1/4))*PRESIONES!$C$19+(PRESIONES!$N$34-ABERTURAS!$L$63)*MAX(0,MIN($W13,DATOS!$C$23*3/4)-MAX($V13,DATOS!$C$23*2/4))*PRESIONES!$C$20+(PRESIONES!$N$35-ABERTURAS!$L$63)*MAX(0,MIN($W13,DATOS!$C$23*4/4)-MAX($V13,DATOS!$C$23*3/4))*PRESIONES!$C$21))</f>
        <v>4.77944160827986</v>
      </c>
      <c r="BD13" s="30" t="n">
        <f aca="false">IF($L13&lt;&gt;"OK",0,PRESIONES!$C$12*((PRESIONES!$E$32-ABERTURAS!$L$64)*MAX(0,MIN($W13,DATOS!$C$23*1/4)-MAX($V13,DATOS!$C$23*0/4))*PRESIONES!$C$18+(PRESIONES!$E$33-ABERTURAS!$L$64)*MAX(0,MIN($W13,DATOS!$C$23*2/4)-MAX($V13,DATOS!$C$23*1/4))*PRESIONES!$C$19+(PRESIONES!$E$34-ABERTURAS!$L$64)*MAX(0,MIN($W13,DATOS!$C$23*3/4)-MAX($V13,DATOS!$C$23*2/4))*PRESIONES!$C$20+(PRESIONES!$E$35-ABERTURAS!$L$64)*MAX(0,MIN($W13,DATOS!$C$23*4/4)-MAX($V13,DATOS!$C$23*3/4))*PRESIONES!$C$21))</f>
        <v>0.659233325279981</v>
      </c>
      <c r="BE13" s="30" t="n">
        <f aca="false">IF($L13&lt;&gt;"OK",0,PRESIONES!$C$12*((PRESIONES!$H$32-ABERTURAS!$L$65)*MAX(0,MIN($W13,DATOS!$C$23*1/4)-MAX($V13,DATOS!$C$23*0/4))*PRESIONES!$C$18+(PRESIONES!$H$33-ABERTURAS!$L$65)*MAX(0,MIN($W13,DATOS!$C$23*2/4)-MAX($V13,DATOS!$C$23*1/4))*PRESIONES!$C$19+(PRESIONES!$H$34-ABERTURAS!$L$65)*MAX(0,MIN($W13,DATOS!$C$23*3/4)-MAX($V13,DATOS!$C$23*2/4))*PRESIONES!$C$20+(PRESIONES!$H$35-ABERTURAS!$L$65)*MAX(0,MIN($W13,DATOS!$C$23*4/4)-MAX($V13,DATOS!$C$23*3/4))*PRESIONES!$C$21))</f>
        <v>0.659233325279981</v>
      </c>
      <c r="BF13" s="30" t="n">
        <f aca="false">IF($L13&lt;&gt;"OK",0,PRESIONES!$C$12*((PRESIONES!$K$32-ABERTURAS!$L$66)*MAX(0,MIN($W13,DATOS!$C$23*1/4)-MAX($V13,DATOS!$C$23*0/4))*PRESIONES!$C$18+(PRESIONES!$K$33-ABERTURAS!$L$66)*MAX(0,MIN($W13,DATOS!$C$23*2/4)-MAX($V13,DATOS!$C$23*1/4))*PRESIONES!$C$19+(PRESIONES!$K$34-ABERTURAS!$L$66)*MAX(0,MIN($W13,DATOS!$C$23*3/4)-MAX($V13,DATOS!$C$23*2/4))*PRESIONES!$C$20+(PRESIONES!$K$35-ABERTURAS!$L$66)*MAX(0,MIN($W13,DATOS!$C$23*4/4)-MAX($V13,DATOS!$C$23*3/4))*PRESIONES!$C$21))</f>
        <v>0.32961666263999</v>
      </c>
      <c r="BG13" s="30" t="n">
        <f aca="false">IF($L13&lt;&gt;"OK",0,PRESIONES!$C$12*((PRESIONES!$N$32-ABERTURAS!$L$67)*MAX(0,MIN($W13,DATOS!$C$23*1/4)-MAX($V13,DATOS!$C$23*0/4))*PRESIONES!$C$18+(PRESIONES!$N$33-ABERTURAS!$L$67)*MAX(0,MIN($W13,DATOS!$C$23*2/4)-MAX($V13,DATOS!$C$23*1/4))*PRESIONES!$C$19+(PRESIONES!$N$34-ABERTURAS!$L$67)*MAX(0,MIN($W13,DATOS!$C$23*3/4)-MAX($V13,DATOS!$C$23*2/4))*PRESIONES!$C$20+(PRESIONES!$N$35-ABERTURAS!$L$67)*MAX(0,MIN($W13,DATOS!$C$23*4/4)-MAX($V13,DATOS!$C$23*3/4))*PRESIONES!$C$21))</f>
        <v>4.77944160827986</v>
      </c>
    </row>
    <row r="14" customFormat="false" ht="16.5" hidden="false" customHeight="true" outlineLevel="0" collapsed="false">
      <c r="B14" s="27" t="s">
        <v>409</v>
      </c>
      <c r="C14" s="17" t="s">
        <v>399</v>
      </c>
      <c r="D14" s="27" t="s">
        <v>410</v>
      </c>
      <c r="E14" s="17" t="s">
        <v>80</v>
      </c>
      <c r="F14" s="49" t="n">
        <v>0</v>
      </c>
      <c r="G14" s="49" t="n">
        <v>10.08</v>
      </c>
      <c r="H14" s="49" t="n">
        <v>6.075</v>
      </c>
      <c r="I14" s="49" t="n">
        <v>7.425</v>
      </c>
      <c r="J14" s="49"/>
      <c r="K14" s="49"/>
      <c r="L14" s="20" t="str">
        <f aca="false">IF($D14="","",IF($C14&lt;&gt;"TECHO","PON TECHO",IF(OR($F14="",$G14="",$H14="",$I14=""),"FALTAN a o b",IF($M14&lt;=0,"a₂ DEBE SER &gt; a₁",IF($N14&lt;=0,"b₂ DEBE SER &gt; b₁",IF(OR($V14&lt;-0.001,$W14&gt;DATOS!$C$23+0.001),"SE SALE DEL TECHO","OK"))))))</f>
        <v>OK</v>
      </c>
      <c r="M14" s="30" t="n">
        <f aca="false">IF($D14="",0,MAX(0,$G14-$F14))</f>
        <v>10.08</v>
      </c>
      <c r="N14" s="30" t="n">
        <f aca="false">MAX(0,$W14-$V14)</f>
        <v>1.35</v>
      </c>
      <c r="O14" s="30" t="n">
        <f aca="false">$M14*$N14</f>
        <v>13.608</v>
      </c>
      <c r="P14" s="30" t="n">
        <v>0</v>
      </c>
      <c r="Q14" s="30" t="n">
        <v>0</v>
      </c>
      <c r="R14" s="30" t="n">
        <f aca="false">$O14</f>
        <v>13.608</v>
      </c>
      <c r="S14" s="30" t="n">
        <f aca="false">$O14</f>
        <v>13.608</v>
      </c>
      <c r="T14" s="50" t="n">
        <f aca="false">IF($D14="",0,DATOS!$C$21)</f>
        <v>10.62</v>
      </c>
      <c r="U14" s="50" t="n">
        <v>0</v>
      </c>
      <c r="V14" s="50" t="n">
        <f aca="false">IF($D14="",0,(N($H14)+IF($J14="",N($H14),$J14))/2)</f>
        <v>6.075</v>
      </c>
      <c r="W14" s="50" t="n">
        <f aca="false">IF($D14="",0,(N($I14)+IF($K14="",N($I14),$K14))/2)</f>
        <v>7.425</v>
      </c>
      <c r="AB14" s="30" t="n">
        <f aca="false">IF($L14&lt;&gt;"OK",0,PRESIONES!$C$12*((PRESIONES!$D$32-ABERTURAS!$L$60)*MAX(0,MIN($W14,DATOS!$C$23*1/4)-MAX($V14,DATOS!$C$23*0/4))+(PRESIONES!$D$33-ABERTURAS!$L$60)*MAX(0,MIN($W14,DATOS!$C$23*2/4)-MAX($V14,DATOS!$C$23*1/4))+(PRESIONES!$D$34-ABERTURAS!$L$60)*MAX(0,MIN($W14,DATOS!$C$23*3/4)-MAX($V14,DATOS!$C$23*2/4))+(PRESIONES!$D$35-ABERTURAS!$L$60)*MAX(0,MIN($W14,DATOS!$C$23*4/4)-MAX($V14,DATOS!$C$23*3/4))))</f>
        <v>-13.1846665055996</v>
      </c>
      <c r="AC14" s="30" t="n">
        <f aca="false">IF($L14&lt;&gt;"OK",0,PRESIONES!$C$12*((PRESIONES!$G$32-ABERTURAS!$L$61)*MAX(0,MIN($W14,DATOS!$C$23*1/4)-MAX($V14,DATOS!$C$23*0/4))+(PRESIONES!$G$33-ABERTURAS!$L$61)*MAX(0,MIN($W14,DATOS!$C$23*2/4)-MAX($V14,DATOS!$C$23*1/4))+(PRESIONES!$G$34-ABERTURAS!$L$61)*MAX(0,MIN($W14,DATOS!$C$23*3/4)-MAX($V14,DATOS!$C$23*2/4))+(PRESIONES!$G$35-ABERTURAS!$L$61)*MAX(0,MIN($W14,DATOS!$C$23*4/4)-MAX($V14,DATOS!$C$23*3/4))))</f>
        <v>-13.1846665055996</v>
      </c>
      <c r="AD14" s="30" t="n">
        <f aca="false">IF($L14&lt;&gt;"OK",0,PRESIONES!$C$12*((PRESIONES!$J$32-ABERTURAS!$L$62)*MAX(0,MIN($W14,DATOS!$C$23*1/4)-MAX($V14,DATOS!$C$23*0/4))+(PRESIONES!$J$33-ABERTURAS!$L$62)*MAX(0,MIN($W14,DATOS!$C$23*2/4)-MAX($V14,DATOS!$C$23*1/4))+(PRESIONES!$J$34-ABERTURAS!$L$62)*MAX(0,MIN($W14,DATOS!$C$23*3/4)-MAX($V14,DATOS!$C$23*2/4))+(PRESIONES!$J$35-ABERTURAS!$L$62)*MAX(0,MIN($W14,DATOS!$C$23*4/4)-MAX($V14,DATOS!$C$23*3/4))))</f>
        <v>-6.59233325279981</v>
      </c>
      <c r="AE14" s="30" t="n">
        <f aca="false">IF($L14&lt;&gt;"OK",0,PRESIONES!$C$12*((PRESIONES!$M$32-ABERTURAS!$L$63)*MAX(0,MIN($W14,DATOS!$C$23*1/4)-MAX($V14,DATOS!$C$23*0/4))+(PRESIONES!$M$33-ABERTURAS!$L$63)*MAX(0,MIN($W14,DATOS!$C$23*2/4)-MAX($V14,DATOS!$C$23*1/4))+(PRESIONES!$M$34-ABERTURAS!$L$63)*MAX(0,MIN($W14,DATOS!$C$23*3/4)-MAX($V14,DATOS!$C$23*2/4))+(PRESIONES!$M$35-ABERTURAS!$L$63)*MAX(0,MIN($W14,DATOS!$C$23*4/4)-MAX($V14,DATOS!$C$23*3/4))))</f>
        <v>-95.5888321655973</v>
      </c>
      <c r="AF14" s="30" t="n">
        <f aca="false">IF($L14&lt;&gt;"OK",0,PRESIONES!$C$12*((PRESIONES!$D$32-ABERTURAS!$L$64)*MAX(0,MIN($W14,DATOS!$C$23*1/4)-MAX($V14,DATOS!$C$23*0/4))+(PRESIONES!$D$33-ABERTURAS!$L$64)*MAX(0,MIN($W14,DATOS!$C$23*2/4)-MAX($V14,DATOS!$C$23*1/4))+(PRESIONES!$D$34-ABERTURAS!$L$64)*MAX(0,MIN($W14,DATOS!$C$23*3/4)-MAX($V14,DATOS!$C$23*2/4))+(PRESIONES!$D$35-ABERTURAS!$L$64)*MAX(0,MIN($W14,DATOS!$C$23*4/4)-MAX($V14,DATOS!$C$23*3/4))))</f>
        <v>-13.1846665055996</v>
      </c>
      <c r="AG14" s="30" t="n">
        <f aca="false">IF($L14&lt;&gt;"OK",0,PRESIONES!$C$12*((PRESIONES!$G$32-ABERTURAS!$L$65)*MAX(0,MIN($W14,DATOS!$C$23*1/4)-MAX($V14,DATOS!$C$23*0/4))+(PRESIONES!$G$33-ABERTURAS!$L$65)*MAX(0,MIN($W14,DATOS!$C$23*2/4)-MAX($V14,DATOS!$C$23*1/4))+(PRESIONES!$G$34-ABERTURAS!$L$65)*MAX(0,MIN($W14,DATOS!$C$23*3/4)-MAX($V14,DATOS!$C$23*2/4))+(PRESIONES!$G$35-ABERTURAS!$L$65)*MAX(0,MIN($W14,DATOS!$C$23*4/4)-MAX($V14,DATOS!$C$23*3/4))))</f>
        <v>-13.1846665055996</v>
      </c>
      <c r="AH14" s="30" t="n">
        <f aca="false">IF($L14&lt;&gt;"OK",0,PRESIONES!$C$12*((PRESIONES!$J$32-ABERTURAS!$L$66)*MAX(0,MIN($W14,DATOS!$C$23*1/4)-MAX($V14,DATOS!$C$23*0/4))+(PRESIONES!$J$33-ABERTURAS!$L$66)*MAX(0,MIN($W14,DATOS!$C$23*2/4)-MAX($V14,DATOS!$C$23*1/4))+(PRESIONES!$J$34-ABERTURAS!$L$66)*MAX(0,MIN($W14,DATOS!$C$23*3/4)-MAX($V14,DATOS!$C$23*2/4))+(PRESIONES!$J$35-ABERTURAS!$L$66)*MAX(0,MIN($W14,DATOS!$C$23*4/4)-MAX($V14,DATOS!$C$23*3/4))))</f>
        <v>-6.59233325279981</v>
      </c>
      <c r="AI14" s="30" t="n">
        <f aca="false">IF($L14&lt;&gt;"OK",0,PRESIONES!$C$12*((PRESIONES!$M$32-ABERTURAS!$L$67)*MAX(0,MIN($W14,DATOS!$C$23*1/4)-MAX($V14,DATOS!$C$23*0/4))+(PRESIONES!$M$33-ABERTURAS!$L$67)*MAX(0,MIN($W14,DATOS!$C$23*2/4)-MAX($V14,DATOS!$C$23*1/4))+(PRESIONES!$M$34-ABERTURAS!$L$67)*MAX(0,MIN($W14,DATOS!$C$23*3/4)-MAX($V14,DATOS!$C$23*2/4))+(PRESIONES!$M$35-ABERTURAS!$L$67)*MAX(0,MIN($W14,DATOS!$C$23*4/4)-MAX($V14,DATOS!$C$23*3/4))))</f>
        <v>-95.5888321655973</v>
      </c>
      <c r="AJ14" s="30" t="n">
        <f aca="false">IF($L14&lt;&gt;"OK",0,PRESIONES!$C$12*((PRESIONES!$D$32-ABERTURAS!$L$60)*MAX(0,MIN($W14,DATOS!$C$23*1/4)-MAX($V14,DATOS!$C$23*0/4))*PRESIONES!$C$18+(PRESIONES!$D$33-ABERTURAS!$L$60)*MAX(0,MIN($W14,DATOS!$C$23*2/4)-MAX($V14,DATOS!$C$23*1/4))*PRESIONES!$C$19+(PRESIONES!$D$34-ABERTURAS!$L$60)*MAX(0,MIN($W14,DATOS!$C$23*3/4)-MAX($V14,DATOS!$C$23*2/4))*PRESIONES!$C$20+(PRESIONES!$D$35-ABERTURAS!$L$60)*MAX(0,MIN($W14,DATOS!$C$23*4/4)-MAX($V14,DATOS!$C$23*3/4))*PRESIONES!$C$21))</f>
        <v>0.65923332527998</v>
      </c>
      <c r="AK14" s="30" t="n">
        <f aca="false">IF($L14&lt;&gt;"OK",0,PRESIONES!$C$12*((PRESIONES!$G$32-ABERTURAS!$L$61)*MAX(0,MIN($W14,DATOS!$C$23*1/4)-MAX($V14,DATOS!$C$23*0/4))*PRESIONES!$C$18+(PRESIONES!$G$33-ABERTURAS!$L$61)*MAX(0,MIN($W14,DATOS!$C$23*2/4)-MAX($V14,DATOS!$C$23*1/4))*PRESIONES!$C$19+(PRESIONES!$G$34-ABERTURAS!$L$61)*MAX(0,MIN($W14,DATOS!$C$23*3/4)-MAX($V14,DATOS!$C$23*2/4))*PRESIONES!$C$20+(PRESIONES!$G$35-ABERTURAS!$L$61)*MAX(0,MIN($W14,DATOS!$C$23*4/4)-MAX($V14,DATOS!$C$23*3/4))*PRESIONES!$C$21))</f>
        <v>0.65923332527998</v>
      </c>
      <c r="AL14" s="30" t="n">
        <f aca="false">IF($L14&lt;&gt;"OK",0,PRESIONES!$C$12*((PRESIONES!$J$32-ABERTURAS!$L$62)*MAX(0,MIN($W14,DATOS!$C$23*1/4)-MAX($V14,DATOS!$C$23*0/4))*PRESIONES!$C$18+(PRESIONES!$J$33-ABERTURAS!$L$62)*MAX(0,MIN($W14,DATOS!$C$23*2/4)-MAX($V14,DATOS!$C$23*1/4))*PRESIONES!$C$19+(PRESIONES!$J$34-ABERTURAS!$L$62)*MAX(0,MIN($W14,DATOS!$C$23*3/4)-MAX($V14,DATOS!$C$23*2/4))*PRESIONES!$C$20+(PRESIONES!$J$35-ABERTURAS!$L$62)*MAX(0,MIN($W14,DATOS!$C$23*4/4)-MAX($V14,DATOS!$C$23*3/4))*PRESIONES!$C$21))</f>
        <v>0.32961666263999</v>
      </c>
      <c r="AM14" s="30" t="n">
        <f aca="false">IF($L14&lt;&gt;"OK",0,PRESIONES!$C$12*((PRESIONES!$M$32-ABERTURAS!$L$63)*MAX(0,MIN($W14,DATOS!$C$23*1/4)-MAX($V14,DATOS!$C$23*0/4))*PRESIONES!$C$18+(PRESIONES!$M$33-ABERTURAS!$L$63)*MAX(0,MIN($W14,DATOS!$C$23*2/4)-MAX($V14,DATOS!$C$23*1/4))*PRESIONES!$C$19+(PRESIONES!$M$34-ABERTURAS!$L$63)*MAX(0,MIN($W14,DATOS!$C$23*3/4)-MAX($V14,DATOS!$C$23*2/4))*PRESIONES!$C$20+(PRESIONES!$M$35-ABERTURAS!$L$63)*MAX(0,MIN($W14,DATOS!$C$23*4/4)-MAX($V14,DATOS!$C$23*3/4))*PRESIONES!$C$21))</f>
        <v>4.77944160827986</v>
      </c>
      <c r="AN14" s="30" t="n">
        <f aca="false">IF($L14&lt;&gt;"OK",0,PRESIONES!$C$12*((PRESIONES!$D$32-ABERTURAS!$L$64)*MAX(0,MIN($W14,DATOS!$C$23*1/4)-MAX($V14,DATOS!$C$23*0/4))*PRESIONES!$C$18+(PRESIONES!$D$33-ABERTURAS!$L$64)*MAX(0,MIN($W14,DATOS!$C$23*2/4)-MAX($V14,DATOS!$C$23*1/4))*PRESIONES!$C$19+(PRESIONES!$D$34-ABERTURAS!$L$64)*MAX(0,MIN($W14,DATOS!$C$23*3/4)-MAX($V14,DATOS!$C$23*2/4))*PRESIONES!$C$20+(PRESIONES!$D$35-ABERTURAS!$L$64)*MAX(0,MIN($W14,DATOS!$C$23*4/4)-MAX($V14,DATOS!$C$23*3/4))*PRESIONES!$C$21))</f>
        <v>0.65923332527998</v>
      </c>
      <c r="AO14" s="30" t="n">
        <f aca="false">IF($L14&lt;&gt;"OK",0,PRESIONES!$C$12*((PRESIONES!$G$32-ABERTURAS!$L$65)*MAX(0,MIN($W14,DATOS!$C$23*1/4)-MAX($V14,DATOS!$C$23*0/4))*PRESIONES!$C$18+(PRESIONES!$G$33-ABERTURAS!$L$65)*MAX(0,MIN($W14,DATOS!$C$23*2/4)-MAX($V14,DATOS!$C$23*1/4))*PRESIONES!$C$19+(PRESIONES!$G$34-ABERTURAS!$L$65)*MAX(0,MIN($W14,DATOS!$C$23*3/4)-MAX($V14,DATOS!$C$23*2/4))*PRESIONES!$C$20+(PRESIONES!$G$35-ABERTURAS!$L$65)*MAX(0,MIN($W14,DATOS!$C$23*4/4)-MAX($V14,DATOS!$C$23*3/4))*PRESIONES!$C$21))</f>
        <v>0.65923332527998</v>
      </c>
      <c r="AP14" s="30" t="n">
        <f aca="false">IF($L14&lt;&gt;"OK",0,PRESIONES!$C$12*((PRESIONES!$J$32-ABERTURAS!$L$66)*MAX(0,MIN($W14,DATOS!$C$23*1/4)-MAX($V14,DATOS!$C$23*0/4))*PRESIONES!$C$18+(PRESIONES!$J$33-ABERTURAS!$L$66)*MAX(0,MIN($W14,DATOS!$C$23*2/4)-MAX($V14,DATOS!$C$23*1/4))*PRESIONES!$C$19+(PRESIONES!$J$34-ABERTURAS!$L$66)*MAX(0,MIN($W14,DATOS!$C$23*3/4)-MAX($V14,DATOS!$C$23*2/4))*PRESIONES!$C$20+(PRESIONES!$J$35-ABERTURAS!$L$66)*MAX(0,MIN($W14,DATOS!$C$23*4/4)-MAX($V14,DATOS!$C$23*3/4))*PRESIONES!$C$21))</f>
        <v>0.32961666263999</v>
      </c>
      <c r="AQ14" s="30" t="n">
        <f aca="false">IF($L14&lt;&gt;"OK",0,PRESIONES!$C$12*((PRESIONES!$M$32-ABERTURAS!$L$67)*MAX(0,MIN($W14,DATOS!$C$23*1/4)-MAX($V14,DATOS!$C$23*0/4))*PRESIONES!$C$18+(PRESIONES!$M$33-ABERTURAS!$L$67)*MAX(0,MIN($W14,DATOS!$C$23*2/4)-MAX($V14,DATOS!$C$23*1/4))*PRESIONES!$C$19+(PRESIONES!$M$34-ABERTURAS!$L$67)*MAX(0,MIN($W14,DATOS!$C$23*3/4)-MAX($V14,DATOS!$C$23*2/4))*PRESIONES!$C$20+(PRESIONES!$M$35-ABERTURAS!$L$67)*MAX(0,MIN($W14,DATOS!$C$23*4/4)-MAX($V14,DATOS!$C$23*3/4))*PRESIONES!$C$21))</f>
        <v>4.77944160827986</v>
      </c>
      <c r="AR14" s="30" t="n">
        <f aca="false">IF($L14&lt;&gt;"OK",0,PRESIONES!$C$12*((PRESIONES!$E$32-ABERTURAS!$L$60)*MAX(0,MIN($W14,DATOS!$C$23*1/4)-MAX($V14,DATOS!$C$23*0/4))+(PRESIONES!$E$33-ABERTURAS!$L$60)*MAX(0,MIN($W14,DATOS!$C$23*2/4)-MAX($V14,DATOS!$C$23*1/4))+(PRESIONES!$E$34-ABERTURAS!$L$60)*MAX(0,MIN($W14,DATOS!$C$23*3/4)-MAX($V14,DATOS!$C$23*2/4))+(PRESIONES!$E$35-ABERTURAS!$L$60)*MAX(0,MIN($W14,DATOS!$C$23*4/4)-MAX($V14,DATOS!$C$23*3/4))))</f>
        <v>-13.1846665055996</v>
      </c>
      <c r="AS14" s="30" t="n">
        <f aca="false">IF($L14&lt;&gt;"OK",0,PRESIONES!$C$12*((PRESIONES!$H$32-ABERTURAS!$L$61)*MAX(0,MIN($W14,DATOS!$C$23*1/4)-MAX($V14,DATOS!$C$23*0/4))+(PRESIONES!$H$33-ABERTURAS!$L$61)*MAX(0,MIN($W14,DATOS!$C$23*2/4)-MAX($V14,DATOS!$C$23*1/4))+(PRESIONES!$H$34-ABERTURAS!$L$61)*MAX(0,MIN($W14,DATOS!$C$23*3/4)-MAX($V14,DATOS!$C$23*2/4))+(PRESIONES!$H$35-ABERTURAS!$L$61)*MAX(0,MIN($W14,DATOS!$C$23*4/4)-MAX($V14,DATOS!$C$23*3/4))))</f>
        <v>-13.1846665055996</v>
      </c>
      <c r="AT14" s="30" t="n">
        <f aca="false">IF($L14&lt;&gt;"OK",0,PRESIONES!$C$12*((PRESIONES!$K$32-ABERTURAS!$L$62)*MAX(0,MIN($W14,DATOS!$C$23*1/4)-MAX($V14,DATOS!$C$23*0/4))+(PRESIONES!$K$33-ABERTURAS!$L$62)*MAX(0,MIN($W14,DATOS!$C$23*2/4)-MAX($V14,DATOS!$C$23*1/4))+(PRESIONES!$K$34-ABERTURAS!$L$62)*MAX(0,MIN($W14,DATOS!$C$23*3/4)-MAX($V14,DATOS!$C$23*2/4))+(PRESIONES!$K$35-ABERTURAS!$L$62)*MAX(0,MIN($W14,DATOS!$C$23*4/4)-MAX($V14,DATOS!$C$23*3/4))))</f>
        <v>-6.59233325279981</v>
      </c>
      <c r="AU14" s="30" t="n">
        <f aca="false">IF($L14&lt;&gt;"OK",0,PRESIONES!$C$12*((PRESIONES!$N$32-ABERTURAS!$L$63)*MAX(0,MIN($W14,DATOS!$C$23*1/4)-MAX($V14,DATOS!$C$23*0/4))+(PRESIONES!$N$33-ABERTURAS!$L$63)*MAX(0,MIN($W14,DATOS!$C$23*2/4)-MAX($V14,DATOS!$C$23*1/4))+(PRESIONES!$N$34-ABERTURAS!$L$63)*MAX(0,MIN($W14,DATOS!$C$23*3/4)-MAX($V14,DATOS!$C$23*2/4))+(PRESIONES!$N$35-ABERTURAS!$L$63)*MAX(0,MIN($W14,DATOS!$C$23*4/4)-MAX($V14,DATOS!$C$23*3/4))))</f>
        <v>-95.5888321655973</v>
      </c>
      <c r="AV14" s="30" t="n">
        <f aca="false">IF($L14&lt;&gt;"OK",0,PRESIONES!$C$12*((PRESIONES!$E$32-ABERTURAS!$L$64)*MAX(0,MIN($W14,DATOS!$C$23*1/4)-MAX($V14,DATOS!$C$23*0/4))+(PRESIONES!$E$33-ABERTURAS!$L$64)*MAX(0,MIN($W14,DATOS!$C$23*2/4)-MAX($V14,DATOS!$C$23*1/4))+(PRESIONES!$E$34-ABERTURAS!$L$64)*MAX(0,MIN($W14,DATOS!$C$23*3/4)-MAX($V14,DATOS!$C$23*2/4))+(PRESIONES!$E$35-ABERTURAS!$L$64)*MAX(0,MIN($W14,DATOS!$C$23*4/4)-MAX($V14,DATOS!$C$23*3/4))))</f>
        <v>-13.1846665055996</v>
      </c>
      <c r="AW14" s="30" t="n">
        <f aca="false">IF($L14&lt;&gt;"OK",0,PRESIONES!$C$12*((PRESIONES!$H$32-ABERTURAS!$L$65)*MAX(0,MIN($W14,DATOS!$C$23*1/4)-MAX($V14,DATOS!$C$23*0/4))+(PRESIONES!$H$33-ABERTURAS!$L$65)*MAX(0,MIN($W14,DATOS!$C$23*2/4)-MAX($V14,DATOS!$C$23*1/4))+(PRESIONES!$H$34-ABERTURAS!$L$65)*MAX(0,MIN($W14,DATOS!$C$23*3/4)-MAX($V14,DATOS!$C$23*2/4))+(PRESIONES!$H$35-ABERTURAS!$L$65)*MAX(0,MIN($W14,DATOS!$C$23*4/4)-MAX($V14,DATOS!$C$23*3/4))))</f>
        <v>-13.1846665055996</v>
      </c>
      <c r="AX14" s="30" t="n">
        <f aca="false">IF($L14&lt;&gt;"OK",0,PRESIONES!$C$12*((PRESIONES!$K$32-ABERTURAS!$L$66)*MAX(0,MIN($W14,DATOS!$C$23*1/4)-MAX($V14,DATOS!$C$23*0/4))+(PRESIONES!$K$33-ABERTURAS!$L$66)*MAX(0,MIN($W14,DATOS!$C$23*2/4)-MAX($V14,DATOS!$C$23*1/4))+(PRESIONES!$K$34-ABERTURAS!$L$66)*MAX(0,MIN($W14,DATOS!$C$23*3/4)-MAX($V14,DATOS!$C$23*2/4))+(PRESIONES!$K$35-ABERTURAS!$L$66)*MAX(0,MIN($W14,DATOS!$C$23*4/4)-MAX($V14,DATOS!$C$23*3/4))))</f>
        <v>-6.59233325279981</v>
      </c>
      <c r="AY14" s="30" t="n">
        <f aca="false">IF($L14&lt;&gt;"OK",0,PRESIONES!$C$12*((PRESIONES!$N$32-ABERTURAS!$L$67)*MAX(0,MIN($W14,DATOS!$C$23*1/4)-MAX($V14,DATOS!$C$23*0/4))+(PRESIONES!$N$33-ABERTURAS!$L$67)*MAX(0,MIN($W14,DATOS!$C$23*2/4)-MAX($V14,DATOS!$C$23*1/4))+(PRESIONES!$N$34-ABERTURAS!$L$67)*MAX(0,MIN($W14,DATOS!$C$23*3/4)-MAX($V14,DATOS!$C$23*2/4))+(PRESIONES!$N$35-ABERTURAS!$L$67)*MAX(0,MIN($W14,DATOS!$C$23*4/4)-MAX($V14,DATOS!$C$23*3/4))))</f>
        <v>-95.5888321655973</v>
      </c>
      <c r="AZ14" s="30" t="n">
        <f aca="false">IF($L14&lt;&gt;"OK",0,PRESIONES!$C$12*((PRESIONES!$E$32-ABERTURAS!$L$60)*MAX(0,MIN($W14,DATOS!$C$23*1/4)-MAX($V14,DATOS!$C$23*0/4))*PRESIONES!$C$18+(PRESIONES!$E$33-ABERTURAS!$L$60)*MAX(0,MIN($W14,DATOS!$C$23*2/4)-MAX($V14,DATOS!$C$23*1/4))*PRESIONES!$C$19+(PRESIONES!$E$34-ABERTURAS!$L$60)*MAX(0,MIN($W14,DATOS!$C$23*3/4)-MAX($V14,DATOS!$C$23*2/4))*PRESIONES!$C$20+(PRESIONES!$E$35-ABERTURAS!$L$60)*MAX(0,MIN($W14,DATOS!$C$23*4/4)-MAX($V14,DATOS!$C$23*3/4))*PRESIONES!$C$21))</f>
        <v>0.65923332527998</v>
      </c>
      <c r="BA14" s="30" t="n">
        <f aca="false">IF($L14&lt;&gt;"OK",0,PRESIONES!$C$12*((PRESIONES!$H$32-ABERTURAS!$L$61)*MAX(0,MIN($W14,DATOS!$C$23*1/4)-MAX($V14,DATOS!$C$23*0/4))*PRESIONES!$C$18+(PRESIONES!$H$33-ABERTURAS!$L$61)*MAX(0,MIN($W14,DATOS!$C$23*2/4)-MAX($V14,DATOS!$C$23*1/4))*PRESIONES!$C$19+(PRESIONES!$H$34-ABERTURAS!$L$61)*MAX(0,MIN($W14,DATOS!$C$23*3/4)-MAX($V14,DATOS!$C$23*2/4))*PRESIONES!$C$20+(PRESIONES!$H$35-ABERTURAS!$L$61)*MAX(0,MIN($W14,DATOS!$C$23*4/4)-MAX($V14,DATOS!$C$23*3/4))*PRESIONES!$C$21))</f>
        <v>0.65923332527998</v>
      </c>
      <c r="BB14" s="30" t="n">
        <f aca="false">IF($L14&lt;&gt;"OK",0,PRESIONES!$C$12*((PRESIONES!$K$32-ABERTURAS!$L$62)*MAX(0,MIN($W14,DATOS!$C$23*1/4)-MAX($V14,DATOS!$C$23*0/4))*PRESIONES!$C$18+(PRESIONES!$K$33-ABERTURAS!$L$62)*MAX(0,MIN($W14,DATOS!$C$23*2/4)-MAX($V14,DATOS!$C$23*1/4))*PRESIONES!$C$19+(PRESIONES!$K$34-ABERTURAS!$L$62)*MAX(0,MIN($W14,DATOS!$C$23*3/4)-MAX($V14,DATOS!$C$23*2/4))*PRESIONES!$C$20+(PRESIONES!$K$35-ABERTURAS!$L$62)*MAX(0,MIN($W14,DATOS!$C$23*4/4)-MAX($V14,DATOS!$C$23*3/4))*PRESIONES!$C$21))</f>
        <v>0.32961666263999</v>
      </c>
      <c r="BC14" s="30" t="n">
        <f aca="false">IF($L14&lt;&gt;"OK",0,PRESIONES!$C$12*((PRESIONES!$N$32-ABERTURAS!$L$63)*MAX(0,MIN($W14,DATOS!$C$23*1/4)-MAX($V14,DATOS!$C$23*0/4))*PRESIONES!$C$18+(PRESIONES!$N$33-ABERTURAS!$L$63)*MAX(0,MIN($W14,DATOS!$C$23*2/4)-MAX($V14,DATOS!$C$23*1/4))*PRESIONES!$C$19+(PRESIONES!$N$34-ABERTURAS!$L$63)*MAX(0,MIN($W14,DATOS!$C$23*3/4)-MAX($V14,DATOS!$C$23*2/4))*PRESIONES!$C$20+(PRESIONES!$N$35-ABERTURAS!$L$63)*MAX(0,MIN($W14,DATOS!$C$23*4/4)-MAX($V14,DATOS!$C$23*3/4))*PRESIONES!$C$21))</f>
        <v>4.77944160827986</v>
      </c>
      <c r="BD14" s="30" t="n">
        <f aca="false">IF($L14&lt;&gt;"OK",0,PRESIONES!$C$12*((PRESIONES!$E$32-ABERTURAS!$L$64)*MAX(0,MIN($W14,DATOS!$C$23*1/4)-MAX($V14,DATOS!$C$23*0/4))*PRESIONES!$C$18+(PRESIONES!$E$33-ABERTURAS!$L$64)*MAX(0,MIN($W14,DATOS!$C$23*2/4)-MAX($V14,DATOS!$C$23*1/4))*PRESIONES!$C$19+(PRESIONES!$E$34-ABERTURAS!$L$64)*MAX(0,MIN($W14,DATOS!$C$23*3/4)-MAX($V14,DATOS!$C$23*2/4))*PRESIONES!$C$20+(PRESIONES!$E$35-ABERTURAS!$L$64)*MAX(0,MIN($W14,DATOS!$C$23*4/4)-MAX($V14,DATOS!$C$23*3/4))*PRESIONES!$C$21))</f>
        <v>0.65923332527998</v>
      </c>
      <c r="BE14" s="30" t="n">
        <f aca="false">IF($L14&lt;&gt;"OK",0,PRESIONES!$C$12*((PRESIONES!$H$32-ABERTURAS!$L$65)*MAX(0,MIN($W14,DATOS!$C$23*1/4)-MAX($V14,DATOS!$C$23*0/4))*PRESIONES!$C$18+(PRESIONES!$H$33-ABERTURAS!$L$65)*MAX(0,MIN($W14,DATOS!$C$23*2/4)-MAX($V14,DATOS!$C$23*1/4))*PRESIONES!$C$19+(PRESIONES!$H$34-ABERTURAS!$L$65)*MAX(0,MIN($W14,DATOS!$C$23*3/4)-MAX($V14,DATOS!$C$23*2/4))*PRESIONES!$C$20+(PRESIONES!$H$35-ABERTURAS!$L$65)*MAX(0,MIN($W14,DATOS!$C$23*4/4)-MAX($V14,DATOS!$C$23*3/4))*PRESIONES!$C$21))</f>
        <v>0.65923332527998</v>
      </c>
      <c r="BF14" s="30" t="n">
        <f aca="false">IF($L14&lt;&gt;"OK",0,PRESIONES!$C$12*((PRESIONES!$K$32-ABERTURAS!$L$66)*MAX(0,MIN($W14,DATOS!$C$23*1/4)-MAX($V14,DATOS!$C$23*0/4))*PRESIONES!$C$18+(PRESIONES!$K$33-ABERTURAS!$L$66)*MAX(0,MIN($W14,DATOS!$C$23*2/4)-MAX($V14,DATOS!$C$23*1/4))*PRESIONES!$C$19+(PRESIONES!$K$34-ABERTURAS!$L$66)*MAX(0,MIN($W14,DATOS!$C$23*3/4)-MAX($V14,DATOS!$C$23*2/4))*PRESIONES!$C$20+(PRESIONES!$K$35-ABERTURAS!$L$66)*MAX(0,MIN($W14,DATOS!$C$23*4/4)-MAX($V14,DATOS!$C$23*3/4))*PRESIONES!$C$21))</f>
        <v>0.32961666263999</v>
      </c>
      <c r="BG14" s="30" t="n">
        <f aca="false">IF($L14&lt;&gt;"OK",0,PRESIONES!$C$12*((PRESIONES!$N$32-ABERTURAS!$L$67)*MAX(0,MIN($W14,DATOS!$C$23*1/4)-MAX($V14,DATOS!$C$23*0/4))*PRESIONES!$C$18+(PRESIONES!$N$33-ABERTURAS!$L$67)*MAX(0,MIN($W14,DATOS!$C$23*2/4)-MAX($V14,DATOS!$C$23*1/4))*PRESIONES!$C$19+(PRESIONES!$N$34-ABERTURAS!$L$67)*MAX(0,MIN($W14,DATOS!$C$23*3/4)-MAX($V14,DATOS!$C$23*2/4))*PRESIONES!$C$20+(PRESIONES!$N$35-ABERTURAS!$L$67)*MAX(0,MIN($W14,DATOS!$C$23*4/4)-MAX($V14,DATOS!$C$23*3/4))*PRESIONES!$C$21))</f>
        <v>4.77944160827986</v>
      </c>
    </row>
    <row r="15" customFormat="false" ht="16.5" hidden="false" customHeight="true" outlineLevel="0" collapsed="false">
      <c r="B15" s="27" t="s">
        <v>411</v>
      </c>
      <c r="C15" s="17" t="s">
        <v>399</v>
      </c>
      <c r="D15" s="27" t="s">
        <v>412</v>
      </c>
      <c r="E15" s="17" t="s">
        <v>80</v>
      </c>
      <c r="F15" s="49" t="n">
        <v>0</v>
      </c>
      <c r="G15" s="49" t="n">
        <v>10.08</v>
      </c>
      <c r="H15" s="49" t="n">
        <v>7.425</v>
      </c>
      <c r="I15" s="49" t="n">
        <v>8.775</v>
      </c>
      <c r="J15" s="49"/>
      <c r="K15" s="49"/>
      <c r="L15" s="20" t="str">
        <f aca="false">IF($D15="","",IF($C15&lt;&gt;"TECHO","PON TECHO",IF(OR($F15="",$G15="",$H15="",$I15=""),"FALTAN a o b",IF($M15&lt;=0,"a₂ DEBE SER &gt; a₁",IF($N15&lt;=0,"b₂ DEBE SER &gt; b₁",IF(OR($V15&lt;-0.001,$W15&gt;DATOS!$C$23+0.001),"SE SALE DEL TECHO","OK"))))))</f>
        <v>OK</v>
      </c>
      <c r="M15" s="30" t="n">
        <f aca="false">IF($D15="",0,MAX(0,$G15-$F15))</f>
        <v>10.08</v>
      </c>
      <c r="N15" s="30" t="n">
        <f aca="false">MAX(0,$W15-$V15)</f>
        <v>1.35</v>
      </c>
      <c r="O15" s="30" t="n">
        <f aca="false">$M15*$N15</f>
        <v>13.608</v>
      </c>
      <c r="P15" s="30" t="n">
        <v>0</v>
      </c>
      <c r="Q15" s="30" t="n">
        <v>0</v>
      </c>
      <c r="R15" s="30" t="n">
        <f aca="false">$O15</f>
        <v>13.608</v>
      </c>
      <c r="S15" s="30" t="n">
        <f aca="false">$O15</f>
        <v>13.608</v>
      </c>
      <c r="T15" s="50" t="n">
        <f aca="false">IF($D15="",0,DATOS!$C$21)</f>
        <v>10.62</v>
      </c>
      <c r="U15" s="50" t="n">
        <v>0</v>
      </c>
      <c r="V15" s="50" t="n">
        <f aca="false">IF($D15="",0,(N($H15)+IF($J15="",N($H15),$J15))/2)</f>
        <v>7.425</v>
      </c>
      <c r="W15" s="50" t="n">
        <f aca="false">IF($D15="",0,(N($I15)+IF($K15="",N($I15),$K15))/2)</f>
        <v>8.775</v>
      </c>
      <c r="AB15" s="30" t="n">
        <f aca="false">IF($L15&lt;&gt;"OK",0,PRESIONES!$C$12*((PRESIONES!$D$32-ABERTURAS!$L$60)*MAX(0,MIN($W15,DATOS!$C$23*1/4)-MAX($V15,DATOS!$C$23*0/4))+(PRESIONES!$D$33-ABERTURAS!$L$60)*MAX(0,MIN($W15,DATOS!$C$23*2/4)-MAX($V15,DATOS!$C$23*1/4))+(PRESIONES!$D$34-ABERTURAS!$L$60)*MAX(0,MIN($W15,DATOS!$C$23*3/4)-MAX($V15,DATOS!$C$23*2/4))+(PRESIONES!$D$35-ABERTURAS!$L$60)*MAX(0,MIN($W15,DATOS!$C$23*4/4)-MAX($V15,DATOS!$C$23*3/4))))</f>
        <v>-13.1846665055996</v>
      </c>
      <c r="AC15" s="30" t="n">
        <f aca="false">IF($L15&lt;&gt;"OK",0,PRESIONES!$C$12*((PRESIONES!$G$32-ABERTURAS!$L$61)*MAX(0,MIN($W15,DATOS!$C$23*1/4)-MAX($V15,DATOS!$C$23*0/4))+(PRESIONES!$G$33-ABERTURAS!$L$61)*MAX(0,MIN($W15,DATOS!$C$23*2/4)-MAX($V15,DATOS!$C$23*1/4))+(PRESIONES!$G$34-ABERTURAS!$L$61)*MAX(0,MIN($W15,DATOS!$C$23*3/4)-MAX($V15,DATOS!$C$23*2/4))+(PRESIONES!$G$35-ABERTURAS!$L$61)*MAX(0,MIN($W15,DATOS!$C$23*4/4)-MAX($V15,DATOS!$C$23*3/4))))</f>
        <v>-13.1846665055996</v>
      </c>
      <c r="AD15" s="30" t="n">
        <f aca="false">IF($L15&lt;&gt;"OK",0,PRESIONES!$C$12*((PRESIONES!$J$32-ABERTURAS!$L$62)*MAX(0,MIN($W15,DATOS!$C$23*1/4)-MAX($V15,DATOS!$C$23*0/4))+(PRESIONES!$J$33-ABERTURAS!$L$62)*MAX(0,MIN($W15,DATOS!$C$23*2/4)-MAX($V15,DATOS!$C$23*1/4))+(PRESIONES!$J$34-ABERTURAS!$L$62)*MAX(0,MIN($W15,DATOS!$C$23*3/4)-MAX($V15,DATOS!$C$23*2/4))+(PRESIONES!$J$35-ABERTURAS!$L$62)*MAX(0,MIN($W15,DATOS!$C$23*4/4)-MAX($V15,DATOS!$C$23*3/4))))</f>
        <v>-6.59233325279982</v>
      </c>
      <c r="AE15" s="30" t="n">
        <f aca="false">IF($L15&lt;&gt;"OK",0,PRESIONES!$C$12*((PRESIONES!$M$32-ABERTURAS!$L$63)*MAX(0,MIN($W15,DATOS!$C$23*1/4)-MAX($V15,DATOS!$C$23*0/4))+(PRESIONES!$M$33-ABERTURAS!$L$63)*MAX(0,MIN($W15,DATOS!$C$23*2/4)-MAX($V15,DATOS!$C$23*1/4))+(PRESIONES!$M$34-ABERTURAS!$L$63)*MAX(0,MIN($W15,DATOS!$C$23*3/4)-MAX($V15,DATOS!$C$23*2/4))+(PRESIONES!$M$35-ABERTURAS!$L$63)*MAX(0,MIN($W15,DATOS!$C$23*4/4)-MAX($V15,DATOS!$C$23*3/4))))</f>
        <v>-95.5888321655974</v>
      </c>
      <c r="AF15" s="30" t="n">
        <f aca="false">IF($L15&lt;&gt;"OK",0,PRESIONES!$C$12*((PRESIONES!$D$32-ABERTURAS!$L$64)*MAX(0,MIN($W15,DATOS!$C$23*1/4)-MAX($V15,DATOS!$C$23*0/4))+(PRESIONES!$D$33-ABERTURAS!$L$64)*MAX(0,MIN($W15,DATOS!$C$23*2/4)-MAX($V15,DATOS!$C$23*1/4))+(PRESIONES!$D$34-ABERTURAS!$L$64)*MAX(0,MIN($W15,DATOS!$C$23*3/4)-MAX($V15,DATOS!$C$23*2/4))+(PRESIONES!$D$35-ABERTURAS!$L$64)*MAX(0,MIN($W15,DATOS!$C$23*4/4)-MAX($V15,DATOS!$C$23*3/4))))</f>
        <v>-13.1846665055996</v>
      </c>
      <c r="AG15" s="30" t="n">
        <f aca="false">IF($L15&lt;&gt;"OK",0,PRESIONES!$C$12*((PRESIONES!$G$32-ABERTURAS!$L$65)*MAX(0,MIN($W15,DATOS!$C$23*1/4)-MAX($V15,DATOS!$C$23*0/4))+(PRESIONES!$G$33-ABERTURAS!$L$65)*MAX(0,MIN($W15,DATOS!$C$23*2/4)-MAX($V15,DATOS!$C$23*1/4))+(PRESIONES!$G$34-ABERTURAS!$L$65)*MAX(0,MIN($W15,DATOS!$C$23*3/4)-MAX($V15,DATOS!$C$23*2/4))+(PRESIONES!$G$35-ABERTURAS!$L$65)*MAX(0,MIN($W15,DATOS!$C$23*4/4)-MAX($V15,DATOS!$C$23*3/4))))</f>
        <v>-13.1846665055996</v>
      </c>
      <c r="AH15" s="30" t="n">
        <f aca="false">IF($L15&lt;&gt;"OK",0,PRESIONES!$C$12*((PRESIONES!$J$32-ABERTURAS!$L$66)*MAX(0,MIN($W15,DATOS!$C$23*1/4)-MAX($V15,DATOS!$C$23*0/4))+(PRESIONES!$J$33-ABERTURAS!$L$66)*MAX(0,MIN($W15,DATOS!$C$23*2/4)-MAX($V15,DATOS!$C$23*1/4))+(PRESIONES!$J$34-ABERTURAS!$L$66)*MAX(0,MIN($W15,DATOS!$C$23*3/4)-MAX($V15,DATOS!$C$23*2/4))+(PRESIONES!$J$35-ABERTURAS!$L$66)*MAX(0,MIN($W15,DATOS!$C$23*4/4)-MAX($V15,DATOS!$C$23*3/4))))</f>
        <v>-6.59233325279982</v>
      </c>
      <c r="AI15" s="30" t="n">
        <f aca="false">IF($L15&lt;&gt;"OK",0,PRESIONES!$C$12*((PRESIONES!$M$32-ABERTURAS!$L$67)*MAX(0,MIN($W15,DATOS!$C$23*1/4)-MAX($V15,DATOS!$C$23*0/4))+(PRESIONES!$M$33-ABERTURAS!$L$67)*MAX(0,MIN($W15,DATOS!$C$23*2/4)-MAX($V15,DATOS!$C$23*1/4))+(PRESIONES!$M$34-ABERTURAS!$L$67)*MAX(0,MIN($W15,DATOS!$C$23*3/4)-MAX($V15,DATOS!$C$23*2/4))+(PRESIONES!$M$35-ABERTURAS!$L$67)*MAX(0,MIN($W15,DATOS!$C$23*4/4)-MAX($V15,DATOS!$C$23*3/4))))</f>
        <v>-95.5888321655974</v>
      </c>
      <c r="AJ15" s="30" t="n">
        <f aca="false">IF($L15&lt;&gt;"OK",0,PRESIONES!$C$12*((PRESIONES!$D$32-ABERTURAS!$L$60)*MAX(0,MIN($W15,DATOS!$C$23*1/4)-MAX($V15,DATOS!$C$23*0/4))*PRESIONES!$C$18+(PRESIONES!$D$33-ABERTURAS!$L$60)*MAX(0,MIN($W15,DATOS!$C$23*2/4)-MAX($V15,DATOS!$C$23*1/4))*PRESIONES!$C$19+(PRESIONES!$D$34-ABERTURAS!$L$60)*MAX(0,MIN($W15,DATOS!$C$23*3/4)-MAX($V15,DATOS!$C$23*2/4))*PRESIONES!$C$20+(PRESIONES!$D$35-ABERTURAS!$L$60)*MAX(0,MIN($W15,DATOS!$C$23*4/4)-MAX($V15,DATOS!$C$23*3/4))*PRESIONES!$C$21))</f>
        <v>0.659233325279981</v>
      </c>
      <c r="AK15" s="30" t="n">
        <f aca="false">IF($L15&lt;&gt;"OK",0,PRESIONES!$C$12*((PRESIONES!$G$32-ABERTURAS!$L$61)*MAX(0,MIN($W15,DATOS!$C$23*1/4)-MAX($V15,DATOS!$C$23*0/4))*PRESIONES!$C$18+(PRESIONES!$G$33-ABERTURAS!$L$61)*MAX(0,MIN($W15,DATOS!$C$23*2/4)-MAX($V15,DATOS!$C$23*1/4))*PRESIONES!$C$19+(PRESIONES!$G$34-ABERTURAS!$L$61)*MAX(0,MIN($W15,DATOS!$C$23*3/4)-MAX($V15,DATOS!$C$23*2/4))*PRESIONES!$C$20+(PRESIONES!$G$35-ABERTURAS!$L$61)*MAX(0,MIN($W15,DATOS!$C$23*4/4)-MAX($V15,DATOS!$C$23*3/4))*PRESIONES!$C$21))</f>
        <v>0.659233325279981</v>
      </c>
      <c r="AL15" s="30" t="n">
        <f aca="false">IF($L15&lt;&gt;"OK",0,PRESIONES!$C$12*((PRESIONES!$J$32-ABERTURAS!$L$62)*MAX(0,MIN($W15,DATOS!$C$23*1/4)-MAX($V15,DATOS!$C$23*0/4))*PRESIONES!$C$18+(PRESIONES!$J$33-ABERTURAS!$L$62)*MAX(0,MIN($W15,DATOS!$C$23*2/4)-MAX($V15,DATOS!$C$23*1/4))*PRESIONES!$C$19+(PRESIONES!$J$34-ABERTURAS!$L$62)*MAX(0,MIN($W15,DATOS!$C$23*3/4)-MAX($V15,DATOS!$C$23*2/4))*PRESIONES!$C$20+(PRESIONES!$J$35-ABERTURAS!$L$62)*MAX(0,MIN($W15,DATOS!$C$23*4/4)-MAX($V15,DATOS!$C$23*3/4))*PRESIONES!$C$21))</f>
        <v>0.32961666263999</v>
      </c>
      <c r="AM15" s="30" t="n">
        <f aca="false">IF($L15&lt;&gt;"OK",0,PRESIONES!$C$12*((PRESIONES!$M$32-ABERTURAS!$L$63)*MAX(0,MIN($W15,DATOS!$C$23*1/4)-MAX($V15,DATOS!$C$23*0/4))*PRESIONES!$C$18+(PRESIONES!$M$33-ABERTURAS!$L$63)*MAX(0,MIN($W15,DATOS!$C$23*2/4)-MAX($V15,DATOS!$C$23*1/4))*PRESIONES!$C$19+(PRESIONES!$M$34-ABERTURAS!$L$63)*MAX(0,MIN($W15,DATOS!$C$23*3/4)-MAX($V15,DATOS!$C$23*2/4))*PRESIONES!$C$20+(PRESIONES!$M$35-ABERTURAS!$L$63)*MAX(0,MIN($W15,DATOS!$C$23*4/4)-MAX($V15,DATOS!$C$23*3/4))*PRESIONES!$C$21))</f>
        <v>4.77944160827986</v>
      </c>
      <c r="AN15" s="30" t="n">
        <f aca="false">IF($L15&lt;&gt;"OK",0,PRESIONES!$C$12*((PRESIONES!$D$32-ABERTURAS!$L$64)*MAX(0,MIN($W15,DATOS!$C$23*1/4)-MAX($V15,DATOS!$C$23*0/4))*PRESIONES!$C$18+(PRESIONES!$D$33-ABERTURAS!$L$64)*MAX(0,MIN($W15,DATOS!$C$23*2/4)-MAX($V15,DATOS!$C$23*1/4))*PRESIONES!$C$19+(PRESIONES!$D$34-ABERTURAS!$L$64)*MAX(0,MIN($W15,DATOS!$C$23*3/4)-MAX($V15,DATOS!$C$23*2/4))*PRESIONES!$C$20+(PRESIONES!$D$35-ABERTURAS!$L$64)*MAX(0,MIN($W15,DATOS!$C$23*4/4)-MAX($V15,DATOS!$C$23*3/4))*PRESIONES!$C$21))</f>
        <v>0.659233325279981</v>
      </c>
      <c r="AO15" s="30" t="n">
        <f aca="false">IF($L15&lt;&gt;"OK",0,PRESIONES!$C$12*((PRESIONES!$G$32-ABERTURAS!$L$65)*MAX(0,MIN($W15,DATOS!$C$23*1/4)-MAX($V15,DATOS!$C$23*0/4))*PRESIONES!$C$18+(PRESIONES!$G$33-ABERTURAS!$L$65)*MAX(0,MIN($W15,DATOS!$C$23*2/4)-MAX($V15,DATOS!$C$23*1/4))*PRESIONES!$C$19+(PRESIONES!$G$34-ABERTURAS!$L$65)*MAX(0,MIN($W15,DATOS!$C$23*3/4)-MAX($V15,DATOS!$C$23*2/4))*PRESIONES!$C$20+(PRESIONES!$G$35-ABERTURAS!$L$65)*MAX(0,MIN($W15,DATOS!$C$23*4/4)-MAX($V15,DATOS!$C$23*3/4))*PRESIONES!$C$21))</f>
        <v>0.659233325279981</v>
      </c>
      <c r="AP15" s="30" t="n">
        <f aca="false">IF($L15&lt;&gt;"OK",0,PRESIONES!$C$12*((PRESIONES!$J$32-ABERTURAS!$L$66)*MAX(0,MIN($W15,DATOS!$C$23*1/4)-MAX($V15,DATOS!$C$23*0/4))*PRESIONES!$C$18+(PRESIONES!$J$33-ABERTURAS!$L$66)*MAX(0,MIN($W15,DATOS!$C$23*2/4)-MAX($V15,DATOS!$C$23*1/4))*PRESIONES!$C$19+(PRESIONES!$J$34-ABERTURAS!$L$66)*MAX(0,MIN($W15,DATOS!$C$23*3/4)-MAX($V15,DATOS!$C$23*2/4))*PRESIONES!$C$20+(PRESIONES!$J$35-ABERTURAS!$L$66)*MAX(0,MIN($W15,DATOS!$C$23*4/4)-MAX($V15,DATOS!$C$23*3/4))*PRESIONES!$C$21))</f>
        <v>0.32961666263999</v>
      </c>
      <c r="AQ15" s="30" t="n">
        <f aca="false">IF($L15&lt;&gt;"OK",0,PRESIONES!$C$12*((PRESIONES!$M$32-ABERTURAS!$L$67)*MAX(0,MIN($W15,DATOS!$C$23*1/4)-MAX($V15,DATOS!$C$23*0/4))*PRESIONES!$C$18+(PRESIONES!$M$33-ABERTURAS!$L$67)*MAX(0,MIN($W15,DATOS!$C$23*2/4)-MAX($V15,DATOS!$C$23*1/4))*PRESIONES!$C$19+(PRESIONES!$M$34-ABERTURAS!$L$67)*MAX(0,MIN($W15,DATOS!$C$23*3/4)-MAX($V15,DATOS!$C$23*2/4))*PRESIONES!$C$20+(PRESIONES!$M$35-ABERTURAS!$L$67)*MAX(0,MIN($W15,DATOS!$C$23*4/4)-MAX($V15,DATOS!$C$23*3/4))*PRESIONES!$C$21))</f>
        <v>4.77944160827986</v>
      </c>
      <c r="AR15" s="30" t="n">
        <f aca="false">IF($L15&lt;&gt;"OK",0,PRESIONES!$C$12*((PRESIONES!$E$32-ABERTURAS!$L$60)*MAX(0,MIN($W15,DATOS!$C$23*1/4)-MAX($V15,DATOS!$C$23*0/4))+(PRESIONES!$E$33-ABERTURAS!$L$60)*MAX(0,MIN($W15,DATOS!$C$23*2/4)-MAX($V15,DATOS!$C$23*1/4))+(PRESIONES!$E$34-ABERTURAS!$L$60)*MAX(0,MIN($W15,DATOS!$C$23*3/4)-MAX($V15,DATOS!$C$23*2/4))+(PRESIONES!$E$35-ABERTURAS!$L$60)*MAX(0,MIN($W15,DATOS!$C$23*4/4)-MAX($V15,DATOS!$C$23*3/4))))</f>
        <v>-13.1846665055996</v>
      </c>
      <c r="AS15" s="30" t="n">
        <f aca="false">IF($L15&lt;&gt;"OK",0,PRESIONES!$C$12*((PRESIONES!$H$32-ABERTURAS!$L$61)*MAX(0,MIN($W15,DATOS!$C$23*1/4)-MAX($V15,DATOS!$C$23*0/4))+(PRESIONES!$H$33-ABERTURAS!$L$61)*MAX(0,MIN($W15,DATOS!$C$23*2/4)-MAX($V15,DATOS!$C$23*1/4))+(PRESIONES!$H$34-ABERTURAS!$L$61)*MAX(0,MIN($W15,DATOS!$C$23*3/4)-MAX($V15,DATOS!$C$23*2/4))+(PRESIONES!$H$35-ABERTURAS!$L$61)*MAX(0,MIN($W15,DATOS!$C$23*4/4)-MAX($V15,DATOS!$C$23*3/4))))</f>
        <v>-13.1846665055996</v>
      </c>
      <c r="AT15" s="30" t="n">
        <f aca="false">IF($L15&lt;&gt;"OK",0,PRESIONES!$C$12*((PRESIONES!$K$32-ABERTURAS!$L$62)*MAX(0,MIN($W15,DATOS!$C$23*1/4)-MAX($V15,DATOS!$C$23*0/4))+(PRESIONES!$K$33-ABERTURAS!$L$62)*MAX(0,MIN($W15,DATOS!$C$23*2/4)-MAX($V15,DATOS!$C$23*1/4))+(PRESIONES!$K$34-ABERTURAS!$L$62)*MAX(0,MIN($W15,DATOS!$C$23*3/4)-MAX($V15,DATOS!$C$23*2/4))+(PRESIONES!$K$35-ABERTURAS!$L$62)*MAX(0,MIN($W15,DATOS!$C$23*4/4)-MAX($V15,DATOS!$C$23*3/4))))</f>
        <v>-6.59233325279982</v>
      </c>
      <c r="AU15" s="30" t="n">
        <f aca="false">IF($L15&lt;&gt;"OK",0,PRESIONES!$C$12*((PRESIONES!$N$32-ABERTURAS!$L$63)*MAX(0,MIN($W15,DATOS!$C$23*1/4)-MAX($V15,DATOS!$C$23*0/4))+(PRESIONES!$N$33-ABERTURAS!$L$63)*MAX(0,MIN($W15,DATOS!$C$23*2/4)-MAX($V15,DATOS!$C$23*1/4))+(PRESIONES!$N$34-ABERTURAS!$L$63)*MAX(0,MIN($W15,DATOS!$C$23*3/4)-MAX($V15,DATOS!$C$23*2/4))+(PRESIONES!$N$35-ABERTURAS!$L$63)*MAX(0,MIN($W15,DATOS!$C$23*4/4)-MAX($V15,DATOS!$C$23*3/4))))</f>
        <v>-95.5888321655974</v>
      </c>
      <c r="AV15" s="30" t="n">
        <f aca="false">IF($L15&lt;&gt;"OK",0,PRESIONES!$C$12*((PRESIONES!$E$32-ABERTURAS!$L$64)*MAX(0,MIN($W15,DATOS!$C$23*1/4)-MAX($V15,DATOS!$C$23*0/4))+(PRESIONES!$E$33-ABERTURAS!$L$64)*MAX(0,MIN($W15,DATOS!$C$23*2/4)-MAX($V15,DATOS!$C$23*1/4))+(PRESIONES!$E$34-ABERTURAS!$L$64)*MAX(0,MIN($W15,DATOS!$C$23*3/4)-MAX($V15,DATOS!$C$23*2/4))+(PRESIONES!$E$35-ABERTURAS!$L$64)*MAX(0,MIN($W15,DATOS!$C$23*4/4)-MAX($V15,DATOS!$C$23*3/4))))</f>
        <v>-13.1846665055996</v>
      </c>
      <c r="AW15" s="30" t="n">
        <f aca="false">IF($L15&lt;&gt;"OK",0,PRESIONES!$C$12*((PRESIONES!$H$32-ABERTURAS!$L$65)*MAX(0,MIN($W15,DATOS!$C$23*1/4)-MAX($V15,DATOS!$C$23*0/4))+(PRESIONES!$H$33-ABERTURAS!$L$65)*MAX(0,MIN($W15,DATOS!$C$23*2/4)-MAX($V15,DATOS!$C$23*1/4))+(PRESIONES!$H$34-ABERTURAS!$L$65)*MAX(0,MIN($W15,DATOS!$C$23*3/4)-MAX($V15,DATOS!$C$23*2/4))+(PRESIONES!$H$35-ABERTURAS!$L$65)*MAX(0,MIN($W15,DATOS!$C$23*4/4)-MAX($V15,DATOS!$C$23*3/4))))</f>
        <v>-13.1846665055996</v>
      </c>
      <c r="AX15" s="30" t="n">
        <f aca="false">IF($L15&lt;&gt;"OK",0,PRESIONES!$C$12*((PRESIONES!$K$32-ABERTURAS!$L$66)*MAX(0,MIN($W15,DATOS!$C$23*1/4)-MAX($V15,DATOS!$C$23*0/4))+(PRESIONES!$K$33-ABERTURAS!$L$66)*MAX(0,MIN($W15,DATOS!$C$23*2/4)-MAX($V15,DATOS!$C$23*1/4))+(PRESIONES!$K$34-ABERTURAS!$L$66)*MAX(0,MIN($W15,DATOS!$C$23*3/4)-MAX($V15,DATOS!$C$23*2/4))+(PRESIONES!$K$35-ABERTURAS!$L$66)*MAX(0,MIN($W15,DATOS!$C$23*4/4)-MAX($V15,DATOS!$C$23*3/4))))</f>
        <v>-6.59233325279982</v>
      </c>
      <c r="AY15" s="30" t="n">
        <f aca="false">IF($L15&lt;&gt;"OK",0,PRESIONES!$C$12*((PRESIONES!$N$32-ABERTURAS!$L$67)*MAX(0,MIN($W15,DATOS!$C$23*1/4)-MAX($V15,DATOS!$C$23*0/4))+(PRESIONES!$N$33-ABERTURAS!$L$67)*MAX(0,MIN($W15,DATOS!$C$23*2/4)-MAX($V15,DATOS!$C$23*1/4))+(PRESIONES!$N$34-ABERTURAS!$L$67)*MAX(0,MIN($W15,DATOS!$C$23*3/4)-MAX($V15,DATOS!$C$23*2/4))+(PRESIONES!$N$35-ABERTURAS!$L$67)*MAX(0,MIN($W15,DATOS!$C$23*4/4)-MAX($V15,DATOS!$C$23*3/4))))</f>
        <v>-95.5888321655974</v>
      </c>
      <c r="AZ15" s="30" t="n">
        <f aca="false">IF($L15&lt;&gt;"OK",0,PRESIONES!$C$12*((PRESIONES!$E$32-ABERTURAS!$L$60)*MAX(0,MIN($W15,DATOS!$C$23*1/4)-MAX($V15,DATOS!$C$23*0/4))*PRESIONES!$C$18+(PRESIONES!$E$33-ABERTURAS!$L$60)*MAX(0,MIN($W15,DATOS!$C$23*2/4)-MAX($V15,DATOS!$C$23*1/4))*PRESIONES!$C$19+(PRESIONES!$E$34-ABERTURAS!$L$60)*MAX(0,MIN($W15,DATOS!$C$23*3/4)-MAX($V15,DATOS!$C$23*2/4))*PRESIONES!$C$20+(PRESIONES!$E$35-ABERTURAS!$L$60)*MAX(0,MIN($W15,DATOS!$C$23*4/4)-MAX($V15,DATOS!$C$23*3/4))*PRESIONES!$C$21))</f>
        <v>0.659233325279981</v>
      </c>
      <c r="BA15" s="30" t="n">
        <f aca="false">IF($L15&lt;&gt;"OK",0,PRESIONES!$C$12*((PRESIONES!$H$32-ABERTURAS!$L$61)*MAX(0,MIN($W15,DATOS!$C$23*1/4)-MAX($V15,DATOS!$C$23*0/4))*PRESIONES!$C$18+(PRESIONES!$H$33-ABERTURAS!$L$61)*MAX(0,MIN($W15,DATOS!$C$23*2/4)-MAX($V15,DATOS!$C$23*1/4))*PRESIONES!$C$19+(PRESIONES!$H$34-ABERTURAS!$L$61)*MAX(0,MIN($W15,DATOS!$C$23*3/4)-MAX($V15,DATOS!$C$23*2/4))*PRESIONES!$C$20+(PRESIONES!$H$35-ABERTURAS!$L$61)*MAX(0,MIN($W15,DATOS!$C$23*4/4)-MAX($V15,DATOS!$C$23*3/4))*PRESIONES!$C$21))</f>
        <v>0.659233325279981</v>
      </c>
      <c r="BB15" s="30" t="n">
        <f aca="false">IF($L15&lt;&gt;"OK",0,PRESIONES!$C$12*((PRESIONES!$K$32-ABERTURAS!$L$62)*MAX(0,MIN($W15,DATOS!$C$23*1/4)-MAX($V15,DATOS!$C$23*0/4))*PRESIONES!$C$18+(PRESIONES!$K$33-ABERTURAS!$L$62)*MAX(0,MIN($W15,DATOS!$C$23*2/4)-MAX($V15,DATOS!$C$23*1/4))*PRESIONES!$C$19+(PRESIONES!$K$34-ABERTURAS!$L$62)*MAX(0,MIN($W15,DATOS!$C$23*3/4)-MAX($V15,DATOS!$C$23*2/4))*PRESIONES!$C$20+(PRESIONES!$K$35-ABERTURAS!$L$62)*MAX(0,MIN($W15,DATOS!$C$23*4/4)-MAX($V15,DATOS!$C$23*3/4))*PRESIONES!$C$21))</f>
        <v>0.32961666263999</v>
      </c>
      <c r="BC15" s="30" t="n">
        <f aca="false">IF($L15&lt;&gt;"OK",0,PRESIONES!$C$12*((PRESIONES!$N$32-ABERTURAS!$L$63)*MAX(0,MIN($W15,DATOS!$C$23*1/4)-MAX($V15,DATOS!$C$23*0/4))*PRESIONES!$C$18+(PRESIONES!$N$33-ABERTURAS!$L$63)*MAX(0,MIN($W15,DATOS!$C$23*2/4)-MAX($V15,DATOS!$C$23*1/4))*PRESIONES!$C$19+(PRESIONES!$N$34-ABERTURAS!$L$63)*MAX(0,MIN($W15,DATOS!$C$23*3/4)-MAX($V15,DATOS!$C$23*2/4))*PRESIONES!$C$20+(PRESIONES!$N$35-ABERTURAS!$L$63)*MAX(0,MIN($W15,DATOS!$C$23*4/4)-MAX($V15,DATOS!$C$23*3/4))*PRESIONES!$C$21))</f>
        <v>4.77944160827986</v>
      </c>
      <c r="BD15" s="30" t="n">
        <f aca="false">IF($L15&lt;&gt;"OK",0,PRESIONES!$C$12*((PRESIONES!$E$32-ABERTURAS!$L$64)*MAX(0,MIN($W15,DATOS!$C$23*1/4)-MAX($V15,DATOS!$C$23*0/4))*PRESIONES!$C$18+(PRESIONES!$E$33-ABERTURAS!$L$64)*MAX(0,MIN($W15,DATOS!$C$23*2/4)-MAX($V15,DATOS!$C$23*1/4))*PRESIONES!$C$19+(PRESIONES!$E$34-ABERTURAS!$L$64)*MAX(0,MIN($W15,DATOS!$C$23*3/4)-MAX($V15,DATOS!$C$23*2/4))*PRESIONES!$C$20+(PRESIONES!$E$35-ABERTURAS!$L$64)*MAX(0,MIN($W15,DATOS!$C$23*4/4)-MAX($V15,DATOS!$C$23*3/4))*PRESIONES!$C$21))</f>
        <v>0.659233325279981</v>
      </c>
      <c r="BE15" s="30" t="n">
        <f aca="false">IF($L15&lt;&gt;"OK",0,PRESIONES!$C$12*((PRESIONES!$H$32-ABERTURAS!$L$65)*MAX(0,MIN($W15,DATOS!$C$23*1/4)-MAX($V15,DATOS!$C$23*0/4))*PRESIONES!$C$18+(PRESIONES!$H$33-ABERTURAS!$L$65)*MAX(0,MIN($W15,DATOS!$C$23*2/4)-MAX($V15,DATOS!$C$23*1/4))*PRESIONES!$C$19+(PRESIONES!$H$34-ABERTURAS!$L$65)*MAX(0,MIN($W15,DATOS!$C$23*3/4)-MAX($V15,DATOS!$C$23*2/4))*PRESIONES!$C$20+(PRESIONES!$H$35-ABERTURAS!$L$65)*MAX(0,MIN($W15,DATOS!$C$23*4/4)-MAX($V15,DATOS!$C$23*3/4))*PRESIONES!$C$21))</f>
        <v>0.659233325279981</v>
      </c>
      <c r="BF15" s="30" t="n">
        <f aca="false">IF($L15&lt;&gt;"OK",0,PRESIONES!$C$12*((PRESIONES!$K$32-ABERTURAS!$L$66)*MAX(0,MIN($W15,DATOS!$C$23*1/4)-MAX($V15,DATOS!$C$23*0/4))*PRESIONES!$C$18+(PRESIONES!$K$33-ABERTURAS!$L$66)*MAX(0,MIN($W15,DATOS!$C$23*2/4)-MAX($V15,DATOS!$C$23*1/4))*PRESIONES!$C$19+(PRESIONES!$K$34-ABERTURAS!$L$66)*MAX(0,MIN($W15,DATOS!$C$23*3/4)-MAX($V15,DATOS!$C$23*2/4))*PRESIONES!$C$20+(PRESIONES!$K$35-ABERTURAS!$L$66)*MAX(0,MIN($W15,DATOS!$C$23*4/4)-MAX($V15,DATOS!$C$23*3/4))*PRESIONES!$C$21))</f>
        <v>0.32961666263999</v>
      </c>
      <c r="BG15" s="30" t="n">
        <f aca="false">IF($L15&lt;&gt;"OK",0,PRESIONES!$C$12*((PRESIONES!$N$32-ABERTURAS!$L$67)*MAX(0,MIN($W15,DATOS!$C$23*1/4)-MAX($V15,DATOS!$C$23*0/4))*PRESIONES!$C$18+(PRESIONES!$N$33-ABERTURAS!$L$67)*MAX(0,MIN($W15,DATOS!$C$23*2/4)-MAX($V15,DATOS!$C$23*1/4))*PRESIONES!$C$19+(PRESIONES!$N$34-ABERTURAS!$L$67)*MAX(0,MIN($W15,DATOS!$C$23*3/4)-MAX($V15,DATOS!$C$23*2/4))*PRESIONES!$C$20+(PRESIONES!$N$35-ABERTURAS!$L$67)*MAX(0,MIN($W15,DATOS!$C$23*4/4)-MAX($V15,DATOS!$C$23*3/4))*PRESIONES!$C$21))</f>
        <v>4.77944160827986</v>
      </c>
    </row>
    <row r="16" customFormat="false" ht="16.5" hidden="false" customHeight="true" outlineLevel="0" collapsed="false">
      <c r="B16" s="27" t="s">
        <v>413</v>
      </c>
      <c r="C16" s="17" t="s">
        <v>399</v>
      </c>
      <c r="D16" s="27" t="s">
        <v>414</v>
      </c>
      <c r="E16" s="17" t="s">
        <v>80</v>
      </c>
      <c r="F16" s="49" t="n">
        <v>0</v>
      </c>
      <c r="G16" s="49" t="n">
        <v>10.08</v>
      </c>
      <c r="H16" s="49" t="n">
        <v>8.775</v>
      </c>
      <c r="I16" s="49" t="n">
        <v>10.125</v>
      </c>
      <c r="J16" s="49"/>
      <c r="K16" s="49"/>
      <c r="L16" s="20" t="str">
        <f aca="false">IF($D16="","",IF($C16&lt;&gt;"TECHO","PON TECHO",IF(OR($F16="",$G16="",$H16="",$I16=""),"FALTAN a o b",IF($M16&lt;=0,"a₂ DEBE SER &gt; a₁",IF($N16&lt;=0,"b₂ DEBE SER &gt; b₁",IF(OR($V16&lt;-0.001,$W16&gt;DATOS!$C$23+0.001),"SE SALE DEL TECHO","OK"))))))</f>
        <v>OK</v>
      </c>
      <c r="M16" s="30" t="n">
        <f aca="false">IF($D16="",0,MAX(0,$G16-$F16))</f>
        <v>10.08</v>
      </c>
      <c r="N16" s="30" t="n">
        <f aca="false">MAX(0,$W16-$V16)</f>
        <v>1.35</v>
      </c>
      <c r="O16" s="30" t="n">
        <f aca="false">$M16*$N16</f>
        <v>13.608</v>
      </c>
      <c r="P16" s="30" t="n">
        <v>0</v>
      </c>
      <c r="Q16" s="30" t="n">
        <v>0</v>
      </c>
      <c r="R16" s="30" t="n">
        <f aca="false">$O16</f>
        <v>13.608</v>
      </c>
      <c r="S16" s="30" t="n">
        <f aca="false">$O16</f>
        <v>13.608</v>
      </c>
      <c r="T16" s="50" t="n">
        <f aca="false">IF($D16="",0,DATOS!$C$21)</f>
        <v>10.62</v>
      </c>
      <c r="U16" s="50" t="n">
        <v>0</v>
      </c>
      <c r="V16" s="50" t="n">
        <f aca="false">IF($D16="",0,(N($H16)+IF($J16="",N($H16),$J16))/2)</f>
        <v>8.775</v>
      </c>
      <c r="W16" s="50" t="n">
        <f aca="false">IF($D16="",0,(N($I16)+IF($K16="",N($I16),$K16))/2)</f>
        <v>10.125</v>
      </c>
      <c r="AB16" s="30" t="n">
        <f aca="false">IF($L16&lt;&gt;"OK",0,PRESIONES!$C$12*((PRESIONES!$D$32-ABERTURAS!$L$60)*MAX(0,MIN($W16,DATOS!$C$23*1/4)-MAX($V16,DATOS!$C$23*0/4))+(PRESIONES!$D$33-ABERTURAS!$L$60)*MAX(0,MIN($W16,DATOS!$C$23*2/4)-MAX($V16,DATOS!$C$23*1/4))+(PRESIONES!$D$34-ABERTURAS!$L$60)*MAX(0,MIN($W16,DATOS!$C$23*3/4)-MAX($V16,DATOS!$C$23*2/4))+(PRESIONES!$D$35-ABERTURAS!$L$60)*MAX(0,MIN($W16,DATOS!$C$23*4/4)-MAX($V16,DATOS!$C$23*3/4))))</f>
        <v>-13.1846665055996</v>
      </c>
      <c r="AC16" s="30" t="n">
        <f aca="false">IF($L16&lt;&gt;"OK",0,PRESIONES!$C$12*((PRESIONES!$G$32-ABERTURAS!$L$61)*MAX(0,MIN($W16,DATOS!$C$23*1/4)-MAX($V16,DATOS!$C$23*0/4))+(PRESIONES!$G$33-ABERTURAS!$L$61)*MAX(0,MIN($W16,DATOS!$C$23*2/4)-MAX($V16,DATOS!$C$23*1/4))+(PRESIONES!$G$34-ABERTURAS!$L$61)*MAX(0,MIN($W16,DATOS!$C$23*3/4)-MAX($V16,DATOS!$C$23*2/4))+(PRESIONES!$G$35-ABERTURAS!$L$61)*MAX(0,MIN($W16,DATOS!$C$23*4/4)-MAX($V16,DATOS!$C$23*3/4))))</f>
        <v>-13.1846665055996</v>
      </c>
      <c r="AD16" s="30" t="n">
        <f aca="false">IF($L16&lt;&gt;"OK",0,PRESIONES!$C$12*((PRESIONES!$J$32-ABERTURAS!$L$62)*MAX(0,MIN($W16,DATOS!$C$23*1/4)-MAX($V16,DATOS!$C$23*0/4))+(PRESIONES!$J$33-ABERTURAS!$L$62)*MAX(0,MIN($W16,DATOS!$C$23*2/4)-MAX($V16,DATOS!$C$23*1/4))+(PRESIONES!$J$34-ABERTURAS!$L$62)*MAX(0,MIN($W16,DATOS!$C$23*3/4)-MAX($V16,DATOS!$C$23*2/4))+(PRESIONES!$J$35-ABERTURAS!$L$62)*MAX(0,MIN($W16,DATOS!$C$23*4/4)-MAX($V16,DATOS!$C$23*3/4))))</f>
        <v>-6.59233325279981</v>
      </c>
      <c r="AE16" s="30" t="n">
        <f aca="false">IF($L16&lt;&gt;"OK",0,PRESIONES!$C$12*((PRESIONES!$M$32-ABERTURAS!$L$63)*MAX(0,MIN($W16,DATOS!$C$23*1/4)-MAX($V16,DATOS!$C$23*0/4))+(PRESIONES!$M$33-ABERTURAS!$L$63)*MAX(0,MIN($W16,DATOS!$C$23*2/4)-MAX($V16,DATOS!$C$23*1/4))+(PRESIONES!$M$34-ABERTURAS!$L$63)*MAX(0,MIN($W16,DATOS!$C$23*3/4)-MAX($V16,DATOS!$C$23*2/4))+(PRESIONES!$M$35-ABERTURAS!$L$63)*MAX(0,MIN($W16,DATOS!$C$23*4/4)-MAX($V16,DATOS!$C$23*3/4))))</f>
        <v>-95.5888321655973</v>
      </c>
      <c r="AF16" s="30" t="n">
        <f aca="false">IF($L16&lt;&gt;"OK",0,PRESIONES!$C$12*((PRESIONES!$D$32-ABERTURAS!$L$64)*MAX(0,MIN($W16,DATOS!$C$23*1/4)-MAX($V16,DATOS!$C$23*0/4))+(PRESIONES!$D$33-ABERTURAS!$L$64)*MAX(0,MIN($W16,DATOS!$C$23*2/4)-MAX($V16,DATOS!$C$23*1/4))+(PRESIONES!$D$34-ABERTURAS!$L$64)*MAX(0,MIN($W16,DATOS!$C$23*3/4)-MAX($V16,DATOS!$C$23*2/4))+(PRESIONES!$D$35-ABERTURAS!$L$64)*MAX(0,MIN($W16,DATOS!$C$23*4/4)-MAX($V16,DATOS!$C$23*3/4))))</f>
        <v>-13.1846665055996</v>
      </c>
      <c r="AG16" s="30" t="n">
        <f aca="false">IF($L16&lt;&gt;"OK",0,PRESIONES!$C$12*((PRESIONES!$G$32-ABERTURAS!$L$65)*MAX(0,MIN($W16,DATOS!$C$23*1/4)-MAX($V16,DATOS!$C$23*0/4))+(PRESIONES!$G$33-ABERTURAS!$L$65)*MAX(0,MIN($W16,DATOS!$C$23*2/4)-MAX($V16,DATOS!$C$23*1/4))+(PRESIONES!$G$34-ABERTURAS!$L$65)*MAX(0,MIN($W16,DATOS!$C$23*3/4)-MAX($V16,DATOS!$C$23*2/4))+(PRESIONES!$G$35-ABERTURAS!$L$65)*MAX(0,MIN($W16,DATOS!$C$23*4/4)-MAX($V16,DATOS!$C$23*3/4))))</f>
        <v>-13.1846665055996</v>
      </c>
      <c r="AH16" s="30" t="n">
        <f aca="false">IF($L16&lt;&gt;"OK",0,PRESIONES!$C$12*((PRESIONES!$J$32-ABERTURAS!$L$66)*MAX(0,MIN($W16,DATOS!$C$23*1/4)-MAX($V16,DATOS!$C$23*0/4))+(PRESIONES!$J$33-ABERTURAS!$L$66)*MAX(0,MIN($W16,DATOS!$C$23*2/4)-MAX($V16,DATOS!$C$23*1/4))+(PRESIONES!$J$34-ABERTURAS!$L$66)*MAX(0,MIN($W16,DATOS!$C$23*3/4)-MAX($V16,DATOS!$C$23*2/4))+(PRESIONES!$J$35-ABERTURAS!$L$66)*MAX(0,MIN($W16,DATOS!$C$23*4/4)-MAX($V16,DATOS!$C$23*3/4))))</f>
        <v>-6.59233325279981</v>
      </c>
      <c r="AI16" s="30" t="n">
        <f aca="false">IF($L16&lt;&gt;"OK",0,PRESIONES!$C$12*((PRESIONES!$M$32-ABERTURAS!$L$67)*MAX(0,MIN($W16,DATOS!$C$23*1/4)-MAX($V16,DATOS!$C$23*0/4))+(PRESIONES!$M$33-ABERTURAS!$L$67)*MAX(0,MIN($W16,DATOS!$C$23*2/4)-MAX($V16,DATOS!$C$23*1/4))+(PRESIONES!$M$34-ABERTURAS!$L$67)*MAX(0,MIN($W16,DATOS!$C$23*3/4)-MAX($V16,DATOS!$C$23*2/4))+(PRESIONES!$M$35-ABERTURAS!$L$67)*MAX(0,MIN($W16,DATOS!$C$23*4/4)-MAX($V16,DATOS!$C$23*3/4))))</f>
        <v>-95.5888321655973</v>
      </c>
      <c r="AJ16" s="30" t="n">
        <f aca="false">IF($L16&lt;&gt;"OK",0,PRESIONES!$C$12*((PRESIONES!$D$32-ABERTURAS!$L$60)*MAX(0,MIN($W16,DATOS!$C$23*1/4)-MAX($V16,DATOS!$C$23*0/4))*PRESIONES!$C$18+(PRESIONES!$D$33-ABERTURAS!$L$60)*MAX(0,MIN($W16,DATOS!$C$23*2/4)-MAX($V16,DATOS!$C$23*1/4))*PRESIONES!$C$19+(PRESIONES!$D$34-ABERTURAS!$L$60)*MAX(0,MIN($W16,DATOS!$C$23*3/4)-MAX($V16,DATOS!$C$23*2/4))*PRESIONES!$C$20+(PRESIONES!$D$35-ABERTURAS!$L$60)*MAX(0,MIN($W16,DATOS!$C$23*4/4)-MAX($V16,DATOS!$C$23*3/4))*PRESIONES!$C$21))</f>
        <v>0.65923332527998</v>
      </c>
      <c r="AK16" s="30" t="n">
        <f aca="false">IF($L16&lt;&gt;"OK",0,PRESIONES!$C$12*((PRESIONES!$G$32-ABERTURAS!$L$61)*MAX(0,MIN($W16,DATOS!$C$23*1/4)-MAX($V16,DATOS!$C$23*0/4))*PRESIONES!$C$18+(PRESIONES!$G$33-ABERTURAS!$L$61)*MAX(0,MIN($W16,DATOS!$C$23*2/4)-MAX($V16,DATOS!$C$23*1/4))*PRESIONES!$C$19+(PRESIONES!$G$34-ABERTURAS!$L$61)*MAX(0,MIN($W16,DATOS!$C$23*3/4)-MAX($V16,DATOS!$C$23*2/4))*PRESIONES!$C$20+(PRESIONES!$G$35-ABERTURAS!$L$61)*MAX(0,MIN($W16,DATOS!$C$23*4/4)-MAX($V16,DATOS!$C$23*3/4))*PRESIONES!$C$21))</f>
        <v>0.65923332527998</v>
      </c>
      <c r="AL16" s="30" t="n">
        <f aca="false">IF($L16&lt;&gt;"OK",0,PRESIONES!$C$12*((PRESIONES!$J$32-ABERTURAS!$L$62)*MAX(0,MIN($W16,DATOS!$C$23*1/4)-MAX($V16,DATOS!$C$23*0/4))*PRESIONES!$C$18+(PRESIONES!$J$33-ABERTURAS!$L$62)*MAX(0,MIN($W16,DATOS!$C$23*2/4)-MAX($V16,DATOS!$C$23*1/4))*PRESIONES!$C$19+(PRESIONES!$J$34-ABERTURAS!$L$62)*MAX(0,MIN($W16,DATOS!$C$23*3/4)-MAX($V16,DATOS!$C$23*2/4))*PRESIONES!$C$20+(PRESIONES!$J$35-ABERTURAS!$L$62)*MAX(0,MIN($W16,DATOS!$C$23*4/4)-MAX($V16,DATOS!$C$23*3/4))*PRESIONES!$C$21))</f>
        <v>0.32961666263999</v>
      </c>
      <c r="AM16" s="30" t="n">
        <f aca="false">IF($L16&lt;&gt;"OK",0,PRESIONES!$C$12*((PRESIONES!$M$32-ABERTURAS!$L$63)*MAX(0,MIN($W16,DATOS!$C$23*1/4)-MAX($V16,DATOS!$C$23*0/4))*PRESIONES!$C$18+(PRESIONES!$M$33-ABERTURAS!$L$63)*MAX(0,MIN($W16,DATOS!$C$23*2/4)-MAX($V16,DATOS!$C$23*1/4))*PRESIONES!$C$19+(PRESIONES!$M$34-ABERTURAS!$L$63)*MAX(0,MIN($W16,DATOS!$C$23*3/4)-MAX($V16,DATOS!$C$23*2/4))*PRESIONES!$C$20+(PRESIONES!$M$35-ABERTURAS!$L$63)*MAX(0,MIN($W16,DATOS!$C$23*4/4)-MAX($V16,DATOS!$C$23*3/4))*PRESIONES!$C$21))</f>
        <v>4.77944160827986</v>
      </c>
      <c r="AN16" s="30" t="n">
        <f aca="false">IF($L16&lt;&gt;"OK",0,PRESIONES!$C$12*((PRESIONES!$D$32-ABERTURAS!$L$64)*MAX(0,MIN($W16,DATOS!$C$23*1/4)-MAX($V16,DATOS!$C$23*0/4))*PRESIONES!$C$18+(PRESIONES!$D$33-ABERTURAS!$L$64)*MAX(0,MIN($W16,DATOS!$C$23*2/4)-MAX($V16,DATOS!$C$23*1/4))*PRESIONES!$C$19+(PRESIONES!$D$34-ABERTURAS!$L$64)*MAX(0,MIN($W16,DATOS!$C$23*3/4)-MAX($V16,DATOS!$C$23*2/4))*PRESIONES!$C$20+(PRESIONES!$D$35-ABERTURAS!$L$64)*MAX(0,MIN($W16,DATOS!$C$23*4/4)-MAX($V16,DATOS!$C$23*3/4))*PRESIONES!$C$21))</f>
        <v>0.65923332527998</v>
      </c>
      <c r="AO16" s="30" t="n">
        <f aca="false">IF($L16&lt;&gt;"OK",0,PRESIONES!$C$12*((PRESIONES!$G$32-ABERTURAS!$L$65)*MAX(0,MIN($W16,DATOS!$C$23*1/4)-MAX($V16,DATOS!$C$23*0/4))*PRESIONES!$C$18+(PRESIONES!$G$33-ABERTURAS!$L$65)*MAX(0,MIN($W16,DATOS!$C$23*2/4)-MAX($V16,DATOS!$C$23*1/4))*PRESIONES!$C$19+(PRESIONES!$G$34-ABERTURAS!$L$65)*MAX(0,MIN($W16,DATOS!$C$23*3/4)-MAX($V16,DATOS!$C$23*2/4))*PRESIONES!$C$20+(PRESIONES!$G$35-ABERTURAS!$L$65)*MAX(0,MIN($W16,DATOS!$C$23*4/4)-MAX($V16,DATOS!$C$23*3/4))*PRESIONES!$C$21))</f>
        <v>0.65923332527998</v>
      </c>
      <c r="AP16" s="30" t="n">
        <f aca="false">IF($L16&lt;&gt;"OK",0,PRESIONES!$C$12*((PRESIONES!$J$32-ABERTURAS!$L$66)*MAX(0,MIN($W16,DATOS!$C$23*1/4)-MAX($V16,DATOS!$C$23*0/4))*PRESIONES!$C$18+(PRESIONES!$J$33-ABERTURAS!$L$66)*MAX(0,MIN($W16,DATOS!$C$23*2/4)-MAX($V16,DATOS!$C$23*1/4))*PRESIONES!$C$19+(PRESIONES!$J$34-ABERTURAS!$L$66)*MAX(0,MIN($W16,DATOS!$C$23*3/4)-MAX($V16,DATOS!$C$23*2/4))*PRESIONES!$C$20+(PRESIONES!$J$35-ABERTURAS!$L$66)*MAX(0,MIN($W16,DATOS!$C$23*4/4)-MAX($V16,DATOS!$C$23*3/4))*PRESIONES!$C$21))</f>
        <v>0.32961666263999</v>
      </c>
      <c r="AQ16" s="30" t="n">
        <f aca="false">IF($L16&lt;&gt;"OK",0,PRESIONES!$C$12*((PRESIONES!$M$32-ABERTURAS!$L$67)*MAX(0,MIN($W16,DATOS!$C$23*1/4)-MAX($V16,DATOS!$C$23*0/4))*PRESIONES!$C$18+(PRESIONES!$M$33-ABERTURAS!$L$67)*MAX(0,MIN($W16,DATOS!$C$23*2/4)-MAX($V16,DATOS!$C$23*1/4))*PRESIONES!$C$19+(PRESIONES!$M$34-ABERTURAS!$L$67)*MAX(0,MIN($W16,DATOS!$C$23*3/4)-MAX($V16,DATOS!$C$23*2/4))*PRESIONES!$C$20+(PRESIONES!$M$35-ABERTURAS!$L$67)*MAX(0,MIN($W16,DATOS!$C$23*4/4)-MAX($V16,DATOS!$C$23*3/4))*PRESIONES!$C$21))</f>
        <v>4.77944160827986</v>
      </c>
      <c r="AR16" s="30" t="n">
        <f aca="false">IF($L16&lt;&gt;"OK",0,PRESIONES!$C$12*((PRESIONES!$E$32-ABERTURAS!$L$60)*MAX(0,MIN($W16,DATOS!$C$23*1/4)-MAX($V16,DATOS!$C$23*0/4))+(PRESIONES!$E$33-ABERTURAS!$L$60)*MAX(0,MIN($W16,DATOS!$C$23*2/4)-MAX($V16,DATOS!$C$23*1/4))+(PRESIONES!$E$34-ABERTURAS!$L$60)*MAX(0,MIN($W16,DATOS!$C$23*3/4)-MAX($V16,DATOS!$C$23*2/4))+(PRESIONES!$E$35-ABERTURAS!$L$60)*MAX(0,MIN($W16,DATOS!$C$23*4/4)-MAX($V16,DATOS!$C$23*3/4))))</f>
        <v>-13.1846665055996</v>
      </c>
      <c r="AS16" s="30" t="n">
        <f aca="false">IF($L16&lt;&gt;"OK",0,PRESIONES!$C$12*((PRESIONES!$H$32-ABERTURAS!$L$61)*MAX(0,MIN($W16,DATOS!$C$23*1/4)-MAX($V16,DATOS!$C$23*0/4))+(PRESIONES!$H$33-ABERTURAS!$L$61)*MAX(0,MIN($W16,DATOS!$C$23*2/4)-MAX($V16,DATOS!$C$23*1/4))+(PRESIONES!$H$34-ABERTURAS!$L$61)*MAX(0,MIN($W16,DATOS!$C$23*3/4)-MAX($V16,DATOS!$C$23*2/4))+(PRESIONES!$H$35-ABERTURAS!$L$61)*MAX(0,MIN($W16,DATOS!$C$23*4/4)-MAX($V16,DATOS!$C$23*3/4))))</f>
        <v>-13.1846665055996</v>
      </c>
      <c r="AT16" s="30" t="n">
        <f aca="false">IF($L16&lt;&gt;"OK",0,PRESIONES!$C$12*((PRESIONES!$K$32-ABERTURAS!$L$62)*MAX(0,MIN($W16,DATOS!$C$23*1/4)-MAX($V16,DATOS!$C$23*0/4))+(PRESIONES!$K$33-ABERTURAS!$L$62)*MAX(0,MIN($W16,DATOS!$C$23*2/4)-MAX($V16,DATOS!$C$23*1/4))+(PRESIONES!$K$34-ABERTURAS!$L$62)*MAX(0,MIN($W16,DATOS!$C$23*3/4)-MAX($V16,DATOS!$C$23*2/4))+(PRESIONES!$K$35-ABERTURAS!$L$62)*MAX(0,MIN($W16,DATOS!$C$23*4/4)-MAX($V16,DATOS!$C$23*3/4))))</f>
        <v>-6.59233325279981</v>
      </c>
      <c r="AU16" s="30" t="n">
        <f aca="false">IF($L16&lt;&gt;"OK",0,PRESIONES!$C$12*((PRESIONES!$N$32-ABERTURAS!$L$63)*MAX(0,MIN($W16,DATOS!$C$23*1/4)-MAX($V16,DATOS!$C$23*0/4))+(PRESIONES!$N$33-ABERTURAS!$L$63)*MAX(0,MIN($W16,DATOS!$C$23*2/4)-MAX($V16,DATOS!$C$23*1/4))+(PRESIONES!$N$34-ABERTURAS!$L$63)*MAX(0,MIN($W16,DATOS!$C$23*3/4)-MAX($V16,DATOS!$C$23*2/4))+(PRESIONES!$N$35-ABERTURAS!$L$63)*MAX(0,MIN($W16,DATOS!$C$23*4/4)-MAX($V16,DATOS!$C$23*3/4))))</f>
        <v>-95.5888321655973</v>
      </c>
      <c r="AV16" s="30" t="n">
        <f aca="false">IF($L16&lt;&gt;"OK",0,PRESIONES!$C$12*((PRESIONES!$E$32-ABERTURAS!$L$64)*MAX(0,MIN($W16,DATOS!$C$23*1/4)-MAX($V16,DATOS!$C$23*0/4))+(PRESIONES!$E$33-ABERTURAS!$L$64)*MAX(0,MIN($W16,DATOS!$C$23*2/4)-MAX($V16,DATOS!$C$23*1/4))+(PRESIONES!$E$34-ABERTURAS!$L$64)*MAX(0,MIN($W16,DATOS!$C$23*3/4)-MAX($V16,DATOS!$C$23*2/4))+(PRESIONES!$E$35-ABERTURAS!$L$64)*MAX(0,MIN($W16,DATOS!$C$23*4/4)-MAX($V16,DATOS!$C$23*3/4))))</f>
        <v>-13.1846665055996</v>
      </c>
      <c r="AW16" s="30" t="n">
        <f aca="false">IF($L16&lt;&gt;"OK",0,PRESIONES!$C$12*((PRESIONES!$H$32-ABERTURAS!$L$65)*MAX(0,MIN($W16,DATOS!$C$23*1/4)-MAX($V16,DATOS!$C$23*0/4))+(PRESIONES!$H$33-ABERTURAS!$L$65)*MAX(0,MIN($W16,DATOS!$C$23*2/4)-MAX($V16,DATOS!$C$23*1/4))+(PRESIONES!$H$34-ABERTURAS!$L$65)*MAX(0,MIN($W16,DATOS!$C$23*3/4)-MAX($V16,DATOS!$C$23*2/4))+(PRESIONES!$H$35-ABERTURAS!$L$65)*MAX(0,MIN($W16,DATOS!$C$23*4/4)-MAX($V16,DATOS!$C$23*3/4))))</f>
        <v>-13.1846665055996</v>
      </c>
      <c r="AX16" s="30" t="n">
        <f aca="false">IF($L16&lt;&gt;"OK",0,PRESIONES!$C$12*((PRESIONES!$K$32-ABERTURAS!$L$66)*MAX(0,MIN($W16,DATOS!$C$23*1/4)-MAX($V16,DATOS!$C$23*0/4))+(PRESIONES!$K$33-ABERTURAS!$L$66)*MAX(0,MIN($W16,DATOS!$C$23*2/4)-MAX($V16,DATOS!$C$23*1/4))+(PRESIONES!$K$34-ABERTURAS!$L$66)*MAX(0,MIN($W16,DATOS!$C$23*3/4)-MAX($V16,DATOS!$C$23*2/4))+(PRESIONES!$K$35-ABERTURAS!$L$66)*MAX(0,MIN($W16,DATOS!$C$23*4/4)-MAX($V16,DATOS!$C$23*3/4))))</f>
        <v>-6.59233325279981</v>
      </c>
      <c r="AY16" s="30" t="n">
        <f aca="false">IF($L16&lt;&gt;"OK",0,PRESIONES!$C$12*((PRESIONES!$N$32-ABERTURAS!$L$67)*MAX(0,MIN($W16,DATOS!$C$23*1/4)-MAX($V16,DATOS!$C$23*0/4))+(PRESIONES!$N$33-ABERTURAS!$L$67)*MAX(0,MIN($W16,DATOS!$C$23*2/4)-MAX($V16,DATOS!$C$23*1/4))+(PRESIONES!$N$34-ABERTURAS!$L$67)*MAX(0,MIN($W16,DATOS!$C$23*3/4)-MAX($V16,DATOS!$C$23*2/4))+(PRESIONES!$N$35-ABERTURAS!$L$67)*MAX(0,MIN($W16,DATOS!$C$23*4/4)-MAX($V16,DATOS!$C$23*3/4))))</f>
        <v>-95.5888321655973</v>
      </c>
      <c r="AZ16" s="30" t="n">
        <f aca="false">IF($L16&lt;&gt;"OK",0,PRESIONES!$C$12*((PRESIONES!$E$32-ABERTURAS!$L$60)*MAX(0,MIN($W16,DATOS!$C$23*1/4)-MAX($V16,DATOS!$C$23*0/4))*PRESIONES!$C$18+(PRESIONES!$E$33-ABERTURAS!$L$60)*MAX(0,MIN($W16,DATOS!$C$23*2/4)-MAX($V16,DATOS!$C$23*1/4))*PRESIONES!$C$19+(PRESIONES!$E$34-ABERTURAS!$L$60)*MAX(0,MIN($W16,DATOS!$C$23*3/4)-MAX($V16,DATOS!$C$23*2/4))*PRESIONES!$C$20+(PRESIONES!$E$35-ABERTURAS!$L$60)*MAX(0,MIN($W16,DATOS!$C$23*4/4)-MAX($V16,DATOS!$C$23*3/4))*PRESIONES!$C$21))</f>
        <v>0.65923332527998</v>
      </c>
      <c r="BA16" s="30" t="n">
        <f aca="false">IF($L16&lt;&gt;"OK",0,PRESIONES!$C$12*((PRESIONES!$H$32-ABERTURAS!$L$61)*MAX(0,MIN($W16,DATOS!$C$23*1/4)-MAX($V16,DATOS!$C$23*0/4))*PRESIONES!$C$18+(PRESIONES!$H$33-ABERTURAS!$L$61)*MAX(0,MIN($W16,DATOS!$C$23*2/4)-MAX($V16,DATOS!$C$23*1/4))*PRESIONES!$C$19+(PRESIONES!$H$34-ABERTURAS!$L$61)*MAX(0,MIN($W16,DATOS!$C$23*3/4)-MAX($V16,DATOS!$C$23*2/4))*PRESIONES!$C$20+(PRESIONES!$H$35-ABERTURAS!$L$61)*MAX(0,MIN($W16,DATOS!$C$23*4/4)-MAX($V16,DATOS!$C$23*3/4))*PRESIONES!$C$21))</f>
        <v>0.65923332527998</v>
      </c>
      <c r="BB16" s="30" t="n">
        <f aca="false">IF($L16&lt;&gt;"OK",0,PRESIONES!$C$12*((PRESIONES!$K$32-ABERTURAS!$L$62)*MAX(0,MIN($W16,DATOS!$C$23*1/4)-MAX($V16,DATOS!$C$23*0/4))*PRESIONES!$C$18+(PRESIONES!$K$33-ABERTURAS!$L$62)*MAX(0,MIN($W16,DATOS!$C$23*2/4)-MAX($V16,DATOS!$C$23*1/4))*PRESIONES!$C$19+(PRESIONES!$K$34-ABERTURAS!$L$62)*MAX(0,MIN($W16,DATOS!$C$23*3/4)-MAX($V16,DATOS!$C$23*2/4))*PRESIONES!$C$20+(PRESIONES!$K$35-ABERTURAS!$L$62)*MAX(0,MIN($W16,DATOS!$C$23*4/4)-MAX($V16,DATOS!$C$23*3/4))*PRESIONES!$C$21))</f>
        <v>0.32961666263999</v>
      </c>
      <c r="BC16" s="30" t="n">
        <f aca="false">IF($L16&lt;&gt;"OK",0,PRESIONES!$C$12*((PRESIONES!$N$32-ABERTURAS!$L$63)*MAX(0,MIN($W16,DATOS!$C$23*1/4)-MAX($V16,DATOS!$C$23*0/4))*PRESIONES!$C$18+(PRESIONES!$N$33-ABERTURAS!$L$63)*MAX(0,MIN($W16,DATOS!$C$23*2/4)-MAX($V16,DATOS!$C$23*1/4))*PRESIONES!$C$19+(PRESIONES!$N$34-ABERTURAS!$L$63)*MAX(0,MIN($W16,DATOS!$C$23*3/4)-MAX($V16,DATOS!$C$23*2/4))*PRESIONES!$C$20+(PRESIONES!$N$35-ABERTURAS!$L$63)*MAX(0,MIN($W16,DATOS!$C$23*4/4)-MAX($V16,DATOS!$C$23*3/4))*PRESIONES!$C$21))</f>
        <v>4.77944160827986</v>
      </c>
      <c r="BD16" s="30" t="n">
        <f aca="false">IF($L16&lt;&gt;"OK",0,PRESIONES!$C$12*((PRESIONES!$E$32-ABERTURAS!$L$64)*MAX(0,MIN($W16,DATOS!$C$23*1/4)-MAX($V16,DATOS!$C$23*0/4))*PRESIONES!$C$18+(PRESIONES!$E$33-ABERTURAS!$L$64)*MAX(0,MIN($W16,DATOS!$C$23*2/4)-MAX($V16,DATOS!$C$23*1/4))*PRESIONES!$C$19+(PRESIONES!$E$34-ABERTURAS!$L$64)*MAX(0,MIN($W16,DATOS!$C$23*3/4)-MAX($V16,DATOS!$C$23*2/4))*PRESIONES!$C$20+(PRESIONES!$E$35-ABERTURAS!$L$64)*MAX(0,MIN($W16,DATOS!$C$23*4/4)-MAX($V16,DATOS!$C$23*3/4))*PRESIONES!$C$21))</f>
        <v>0.65923332527998</v>
      </c>
      <c r="BE16" s="30" t="n">
        <f aca="false">IF($L16&lt;&gt;"OK",0,PRESIONES!$C$12*((PRESIONES!$H$32-ABERTURAS!$L$65)*MAX(0,MIN($W16,DATOS!$C$23*1/4)-MAX($V16,DATOS!$C$23*0/4))*PRESIONES!$C$18+(PRESIONES!$H$33-ABERTURAS!$L$65)*MAX(0,MIN($W16,DATOS!$C$23*2/4)-MAX($V16,DATOS!$C$23*1/4))*PRESIONES!$C$19+(PRESIONES!$H$34-ABERTURAS!$L$65)*MAX(0,MIN($W16,DATOS!$C$23*3/4)-MAX($V16,DATOS!$C$23*2/4))*PRESIONES!$C$20+(PRESIONES!$H$35-ABERTURAS!$L$65)*MAX(0,MIN($W16,DATOS!$C$23*4/4)-MAX($V16,DATOS!$C$23*3/4))*PRESIONES!$C$21))</f>
        <v>0.65923332527998</v>
      </c>
      <c r="BF16" s="30" t="n">
        <f aca="false">IF($L16&lt;&gt;"OK",0,PRESIONES!$C$12*((PRESIONES!$K$32-ABERTURAS!$L$66)*MAX(0,MIN($W16,DATOS!$C$23*1/4)-MAX($V16,DATOS!$C$23*0/4))*PRESIONES!$C$18+(PRESIONES!$K$33-ABERTURAS!$L$66)*MAX(0,MIN($W16,DATOS!$C$23*2/4)-MAX($V16,DATOS!$C$23*1/4))*PRESIONES!$C$19+(PRESIONES!$K$34-ABERTURAS!$L$66)*MAX(0,MIN($W16,DATOS!$C$23*3/4)-MAX($V16,DATOS!$C$23*2/4))*PRESIONES!$C$20+(PRESIONES!$K$35-ABERTURAS!$L$66)*MAX(0,MIN($W16,DATOS!$C$23*4/4)-MAX($V16,DATOS!$C$23*3/4))*PRESIONES!$C$21))</f>
        <v>0.32961666263999</v>
      </c>
      <c r="BG16" s="30" t="n">
        <f aca="false">IF($L16&lt;&gt;"OK",0,PRESIONES!$C$12*((PRESIONES!$N$32-ABERTURAS!$L$67)*MAX(0,MIN($W16,DATOS!$C$23*1/4)-MAX($V16,DATOS!$C$23*0/4))*PRESIONES!$C$18+(PRESIONES!$N$33-ABERTURAS!$L$67)*MAX(0,MIN($W16,DATOS!$C$23*2/4)-MAX($V16,DATOS!$C$23*1/4))*PRESIONES!$C$19+(PRESIONES!$N$34-ABERTURAS!$L$67)*MAX(0,MIN($W16,DATOS!$C$23*3/4)-MAX($V16,DATOS!$C$23*2/4))*PRESIONES!$C$20+(PRESIONES!$N$35-ABERTURAS!$L$67)*MAX(0,MIN($W16,DATOS!$C$23*4/4)-MAX($V16,DATOS!$C$23*3/4))*PRESIONES!$C$21))</f>
        <v>4.77944160827986</v>
      </c>
    </row>
    <row r="17" customFormat="false" ht="16.5" hidden="false" customHeight="true" outlineLevel="0" collapsed="false">
      <c r="B17" s="27" t="s">
        <v>415</v>
      </c>
      <c r="C17" s="17" t="s">
        <v>399</v>
      </c>
      <c r="D17" s="27" t="s">
        <v>416</v>
      </c>
      <c r="E17" s="17" t="s">
        <v>80</v>
      </c>
      <c r="F17" s="49" t="n">
        <v>0</v>
      </c>
      <c r="G17" s="49" t="n">
        <v>10.08</v>
      </c>
      <c r="H17" s="49" t="n">
        <v>10.125</v>
      </c>
      <c r="I17" s="49" t="n">
        <v>11.475</v>
      </c>
      <c r="J17" s="49"/>
      <c r="K17" s="49"/>
      <c r="L17" s="20" t="str">
        <f aca="false">IF($D17="","",IF($C17&lt;&gt;"TECHO","PON TECHO",IF(OR($F17="",$G17="",$H17="",$I17=""),"FALTAN a o b",IF($M17&lt;=0,"a₂ DEBE SER &gt; a₁",IF($N17&lt;=0,"b₂ DEBE SER &gt; b₁",IF(OR($V17&lt;-0.001,$W17&gt;DATOS!$C$23+0.001),"SE SALE DEL TECHO","OK"))))))</f>
        <v>OK</v>
      </c>
      <c r="M17" s="30" t="n">
        <f aca="false">IF($D17="",0,MAX(0,$G17-$F17))</f>
        <v>10.08</v>
      </c>
      <c r="N17" s="30" t="n">
        <f aca="false">MAX(0,$W17-$V17)</f>
        <v>1.35</v>
      </c>
      <c r="O17" s="30" t="n">
        <f aca="false">$M17*$N17</f>
        <v>13.608</v>
      </c>
      <c r="P17" s="30" t="n">
        <v>0</v>
      </c>
      <c r="Q17" s="30" t="n">
        <v>0</v>
      </c>
      <c r="R17" s="30" t="n">
        <f aca="false">$O17</f>
        <v>13.608</v>
      </c>
      <c r="S17" s="30" t="n">
        <f aca="false">$O17</f>
        <v>13.608</v>
      </c>
      <c r="T17" s="50" t="n">
        <f aca="false">IF($D17="",0,DATOS!$C$21)</f>
        <v>10.62</v>
      </c>
      <c r="U17" s="50" t="n">
        <v>0</v>
      </c>
      <c r="V17" s="50" t="n">
        <f aca="false">IF($D17="",0,(N($H17)+IF($J17="",N($H17),$J17))/2)</f>
        <v>10.125</v>
      </c>
      <c r="W17" s="50" t="n">
        <f aca="false">IF($D17="",0,(N($I17)+IF($K17="",N($I17),$K17))/2)</f>
        <v>11.475</v>
      </c>
      <c r="AB17" s="30" t="n">
        <f aca="false">IF($L17&lt;&gt;"OK",0,PRESIONES!$C$12*((PRESIONES!$D$32-ABERTURAS!$L$60)*MAX(0,MIN($W17,DATOS!$C$23*1/4)-MAX($V17,DATOS!$C$23*0/4))+(PRESIONES!$D$33-ABERTURAS!$L$60)*MAX(0,MIN($W17,DATOS!$C$23*2/4)-MAX($V17,DATOS!$C$23*1/4))+(PRESIONES!$D$34-ABERTURAS!$L$60)*MAX(0,MIN($W17,DATOS!$C$23*3/4)-MAX($V17,DATOS!$C$23*2/4))+(PRESIONES!$D$35-ABERTURAS!$L$60)*MAX(0,MIN($W17,DATOS!$C$23*4/4)-MAX($V17,DATOS!$C$23*3/4))))</f>
        <v>-13.1846665055996</v>
      </c>
      <c r="AC17" s="30" t="n">
        <f aca="false">IF($L17&lt;&gt;"OK",0,PRESIONES!$C$12*((PRESIONES!$G$32-ABERTURAS!$L$61)*MAX(0,MIN($W17,DATOS!$C$23*1/4)-MAX($V17,DATOS!$C$23*0/4))+(PRESIONES!$G$33-ABERTURAS!$L$61)*MAX(0,MIN($W17,DATOS!$C$23*2/4)-MAX($V17,DATOS!$C$23*1/4))+(PRESIONES!$G$34-ABERTURAS!$L$61)*MAX(0,MIN($W17,DATOS!$C$23*3/4)-MAX($V17,DATOS!$C$23*2/4))+(PRESIONES!$G$35-ABERTURAS!$L$61)*MAX(0,MIN($W17,DATOS!$C$23*4/4)-MAX($V17,DATOS!$C$23*3/4))))</f>
        <v>-13.1846665055996</v>
      </c>
      <c r="AD17" s="30" t="n">
        <f aca="false">IF($L17&lt;&gt;"OK",0,PRESIONES!$C$12*((PRESIONES!$J$32-ABERTURAS!$L$62)*MAX(0,MIN($W17,DATOS!$C$23*1/4)-MAX($V17,DATOS!$C$23*0/4))+(PRESIONES!$J$33-ABERTURAS!$L$62)*MAX(0,MIN($W17,DATOS!$C$23*2/4)-MAX($V17,DATOS!$C$23*1/4))+(PRESIONES!$J$34-ABERTURAS!$L$62)*MAX(0,MIN($W17,DATOS!$C$23*3/4)-MAX($V17,DATOS!$C$23*2/4))+(PRESIONES!$J$35-ABERTURAS!$L$62)*MAX(0,MIN($W17,DATOS!$C$23*4/4)-MAX($V17,DATOS!$C$23*3/4))))</f>
        <v>-6.59233325279981</v>
      </c>
      <c r="AE17" s="30" t="n">
        <f aca="false">IF($L17&lt;&gt;"OK",0,PRESIONES!$C$12*((PRESIONES!$M$32-ABERTURAS!$L$63)*MAX(0,MIN($W17,DATOS!$C$23*1/4)-MAX($V17,DATOS!$C$23*0/4))+(PRESIONES!$M$33-ABERTURAS!$L$63)*MAX(0,MIN($W17,DATOS!$C$23*2/4)-MAX($V17,DATOS!$C$23*1/4))+(PRESIONES!$M$34-ABERTURAS!$L$63)*MAX(0,MIN($W17,DATOS!$C$23*3/4)-MAX($V17,DATOS!$C$23*2/4))+(PRESIONES!$M$35-ABERTURAS!$L$63)*MAX(0,MIN($W17,DATOS!$C$23*4/4)-MAX($V17,DATOS!$C$23*3/4))))</f>
        <v>-95.5888321655973</v>
      </c>
      <c r="AF17" s="30" t="n">
        <f aca="false">IF($L17&lt;&gt;"OK",0,PRESIONES!$C$12*((PRESIONES!$D$32-ABERTURAS!$L$64)*MAX(0,MIN($W17,DATOS!$C$23*1/4)-MAX($V17,DATOS!$C$23*0/4))+(PRESIONES!$D$33-ABERTURAS!$L$64)*MAX(0,MIN($W17,DATOS!$C$23*2/4)-MAX($V17,DATOS!$C$23*1/4))+(PRESIONES!$D$34-ABERTURAS!$L$64)*MAX(0,MIN($W17,DATOS!$C$23*3/4)-MAX($V17,DATOS!$C$23*2/4))+(PRESIONES!$D$35-ABERTURAS!$L$64)*MAX(0,MIN($W17,DATOS!$C$23*4/4)-MAX($V17,DATOS!$C$23*3/4))))</f>
        <v>-13.1846665055996</v>
      </c>
      <c r="AG17" s="30" t="n">
        <f aca="false">IF($L17&lt;&gt;"OK",0,PRESIONES!$C$12*((PRESIONES!$G$32-ABERTURAS!$L$65)*MAX(0,MIN($W17,DATOS!$C$23*1/4)-MAX($V17,DATOS!$C$23*0/4))+(PRESIONES!$G$33-ABERTURAS!$L$65)*MAX(0,MIN($W17,DATOS!$C$23*2/4)-MAX($V17,DATOS!$C$23*1/4))+(PRESIONES!$G$34-ABERTURAS!$L$65)*MAX(0,MIN($W17,DATOS!$C$23*3/4)-MAX($V17,DATOS!$C$23*2/4))+(PRESIONES!$G$35-ABERTURAS!$L$65)*MAX(0,MIN($W17,DATOS!$C$23*4/4)-MAX($V17,DATOS!$C$23*3/4))))</f>
        <v>-13.1846665055996</v>
      </c>
      <c r="AH17" s="30" t="n">
        <f aca="false">IF($L17&lt;&gt;"OK",0,PRESIONES!$C$12*((PRESIONES!$J$32-ABERTURAS!$L$66)*MAX(0,MIN($W17,DATOS!$C$23*1/4)-MAX($V17,DATOS!$C$23*0/4))+(PRESIONES!$J$33-ABERTURAS!$L$66)*MAX(0,MIN($W17,DATOS!$C$23*2/4)-MAX($V17,DATOS!$C$23*1/4))+(PRESIONES!$J$34-ABERTURAS!$L$66)*MAX(0,MIN($W17,DATOS!$C$23*3/4)-MAX($V17,DATOS!$C$23*2/4))+(PRESIONES!$J$35-ABERTURAS!$L$66)*MAX(0,MIN($W17,DATOS!$C$23*4/4)-MAX($V17,DATOS!$C$23*3/4))))</f>
        <v>-6.59233325279981</v>
      </c>
      <c r="AI17" s="30" t="n">
        <f aca="false">IF($L17&lt;&gt;"OK",0,PRESIONES!$C$12*((PRESIONES!$M$32-ABERTURAS!$L$67)*MAX(0,MIN($W17,DATOS!$C$23*1/4)-MAX($V17,DATOS!$C$23*0/4))+(PRESIONES!$M$33-ABERTURAS!$L$67)*MAX(0,MIN($W17,DATOS!$C$23*2/4)-MAX($V17,DATOS!$C$23*1/4))+(PRESIONES!$M$34-ABERTURAS!$L$67)*MAX(0,MIN($W17,DATOS!$C$23*3/4)-MAX($V17,DATOS!$C$23*2/4))+(PRESIONES!$M$35-ABERTURAS!$L$67)*MAX(0,MIN($W17,DATOS!$C$23*4/4)-MAX($V17,DATOS!$C$23*3/4))))</f>
        <v>-95.5888321655973</v>
      </c>
      <c r="AJ17" s="30" t="n">
        <f aca="false">IF($L17&lt;&gt;"OK",0,PRESIONES!$C$12*((PRESIONES!$D$32-ABERTURAS!$L$60)*MAX(0,MIN($W17,DATOS!$C$23*1/4)-MAX($V17,DATOS!$C$23*0/4))*PRESIONES!$C$18+(PRESIONES!$D$33-ABERTURAS!$L$60)*MAX(0,MIN($W17,DATOS!$C$23*2/4)-MAX($V17,DATOS!$C$23*1/4))*PRESIONES!$C$19+(PRESIONES!$D$34-ABERTURAS!$L$60)*MAX(0,MIN($W17,DATOS!$C$23*3/4)-MAX($V17,DATOS!$C$23*2/4))*PRESIONES!$C$20+(PRESIONES!$D$35-ABERTURAS!$L$60)*MAX(0,MIN($W17,DATOS!$C$23*4/4)-MAX($V17,DATOS!$C$23*3/4))*PRESIONES!$C$21))</f>
        <v>0.65923332527998</v>
      </c>
      <c r="AK17" s="30" t="n">
        <f aca="false">IF($L17&lt;&gt;"OK",0,PRESIONES!$C$12*((PRESIONES!$G$32-ABERTURAS!$L$61)*MAX(0,MIN($W17,DATOS!$C$23*1/4)-MAX($V17,DATOS!$C$23*0/4))*PRESIONES!$C$18+(PRESIONES!$G$33-ABERTURAS!$L$61)*MAX(0,MIN($W17,DATOS!$C$23*2/4)-MAX($V17,DATOS!$C$23*1/4))*PRESIONES!$C$19+(PRESIONES!$G$34-ABERTURAS!$L$61)*MAX(0,MIN($W17,DATOS!$C$23*3/4)-MAX($V17,DATOS!$C$23*2/4))*PRESIONES!$C$20+(PRESIONES!$G$35-ABERTURAS!$L$61)*MAX(0,MIN($W17,DATOS!$C$23*4/4)-MAX($V17,DATOS!$C$23*3/4))*PRESIONES!$C$21))</f>
        <v>0.65923332527998</v>
      </c>
      <c r="AL17" s="30" t="n">
        <f aca="false">IF($L17&lt;&gt;"OK",0,PRESIONES!$C$12*((PRESIONES!$J$32-ABERTURAS!$L$62)*MAX(0,MIN($W17,DATOS!$C$23*1/4)-MAX($V17,DATOS!$C$23*0/4))*PRESIONES!$C$18+(PRESIONES!$J$33-ABERTURAS!$L$62)*MAX(0,MIN($W17,DATOS!$C$23*2/4)-MAX($V17,DATOS!$C$23*1/4))*PRESIONES!$C$19+(PRESIONES!$J$34-ABERTURAS!$L$62)*MAX(0,MIN($W17,DATOS!$C$23*3/4)-MAX($V17,DATOS!$C$23*2/4))*PRESIONES!$C$20+(PRESIONES!$J$35-ABERTURAS!$L$62)*MAX(0,MIN($W17,DATOS!$C$23*4/4)-MAX($V17,DATOS!$C$23*3/4))*PRESIONES!$C$21))</f>
        <v>0.32961666263999</v>
      </c>
      <c r="AM17" s="30" t="n">
        <f aca="false">IF($L17&lt;&gt;"OK",0,PRESIONES!$C$12*((PRESIONES!$M$32-ABERTURAS!$L$63)*MAX(0,MIN($W17,DATOS!$C$23*1/4)-MAX($V17,DATOS!$C$23*0/4))*PRESIONES!$C$18+(PRESIONES!$M$33-ABERTURAS!$L$63)*MAX(0,MIN($W17,DATOS!$C$23*2/4)-MAX($V17,DATOS!$C$23*1/4))*PRESIONES!$C$19+(PRESIONES!$M$34-ABERTURAS!$L$63)*MAX(0,MIN($W17,DATOS!$C$23*3/4)-MAX($V17,DATOS!$C$23*2/4))*PRESIONES!$C$20+(PRESIONES!$M$35-ABERTURAS!$L$63)*MAX(0,MIN($W17,DATOS!$C$23*4/4)-MAX($V17,DATOS!$C$23*3/4))*PRESIONES!$C$21))</f>
        <v>4.77944160827986</v>
      </c>
      <c r="AN17" s="30" t="n">
        <f aca="false">IF($L17&lt;&gt;"OK",0,PRESIONES!$C$12*((PRESIONES!$D$32-ABERTURAS!$L$64)*MAX(0,MIN($W17,DATOS!$C$23*1/4)-MAX($V17,DATOS!$C$23*0/4))*PRESIONES!$C$18+(PRESIONES!$D$33-ABERTURAS!$L$64)*MAX(0,MIN($W17,DATOS!$C$23*2/4)-MAX($V17,DATOS!$C$23*1/4))*PRESIONES!$C$19+(PRESIONES!$D$34-ABERTURAS!$L$64)*MAX(0,MIN($W17,DATOS!$C$23*3/4)-MAX($V17,DATOS!$C$23*2/4))*PRESIONES!$C$20+(PRESIONES!$D$35-ABERTURAS!$L$64)*MAX(0,MIN($W17,DATOS!$C$23*4/4)-MAX($V17,DATOS!$C$23*3/4))*PRESIONES!$C$21))</f>
        <v>0.65923332527998</v>
      </c>
      <c r="AO17" s="30" t="n">
        <f aca="false">IF($L17&lt;&gt;"OK",0,PRESIONES!$C$12*((PRESIONES!$G$32-ABERTURAS!$L$65)*MAX(0,MIN($W17,DATOS!$C$23*1/4)-MAX($V17,DATOS!$C$23*0/4))*PRESIONES!$C$18+(PRESIONES!$G$33-ABERTURAS!$L$65)*MAX(0,MIN($W17,DATOS!$C$23*2/4)-MAX($V17,DATOS!$C$23*1/4))*PRESIONES!$C$19+(PRESIONES!$G$34-ABERTURAS!$L$65)*MAX(0,MIN($W17,DATOS!$C$23*3/4)-MAX($V17,DATOS!$C$23*2/4))*PRESIONES!$C$20+(PRESIONES!$G$35-ABERTURAS!$L$65)*MAX(0,MIN($W17,DATOS!$C$23*4/4)-MAX($V17,DATOS!$C$23*3/4))*PRESIONES!$C$21))</f>
        <v>0.65923332527998</v>
      </c>
      <c r="AP17" s="30" t="n">
        <f aca="false">IF($L17&lt;&gt;"OK",0,PRESIONES!$C$12*((PRESIONES!$J$32-ABERTURAS!$L$66)*MAX(0,MIN($W17,DATOS!$C$23*1/4)-MAX($V17,DATOS!$C$23*0/4))*PRESIONES!$C$18+(PRESIONES!$J$33-ABERTURAS!$L$66)*MAX(0,MIN($W17,DATOS!$C$23*2/4)-MAX($V17,DATOS!$C$23*1/4))*PRESIONES!$C$19+(PRESIONES!$J$34-ABERTURAS!$L$66)*MAX(0,MIN($W17,DATOS!$C$23*3/4)-MAX($V17,DATOS!$C$23*2/4))*PRESIONES!$C$20+(PRESIONES!$J$35-ABERTURAS!$L$66)*MAX(0,MIN($W17,DATOS!$C$23*4/4)-MAX($V17,DATOS!$C$23*3/4))*PRESIONES!$C$21))</f>
        <v>0.32961666263999</v>
      </c>
      <c r="AQ17" s="30" t="n">
        <f aca="false">IF($L17&lt;&gt;"OK",0,PRESIONES!$C$12*((PRESIONES!$M$32-ABERTURAS!$L$67)*MAX(0,MIN($W17,DATOS!$C$23*1/4)-MAX($V17,DATOS!$C$23*0/4))*PRESIONES!$C$18+(PRESIONES!$M$33-ABERTURAS!$L$67)*MAX(0,MIN($W17,DATOS!$C$23*2/4)-MAX($V17,DATOS!$C$23*1/4))*PRESIONES!$C$19+(PRESIONES!$M$34-ABERTURAS!$L$67)*MAX(0,MIN($W17,DATOS!$C$23*3/4)-MAX($V17,DATOS!$C$23*2/4))*PRESIONES!$C$20+(PRESIONES!$M$35-ABERTURAS!$L$67)*MAX(0,MIN($W17,DATOS!$C$23*4/4)-MAX($V17,DATOS!$C$23*3/4))*PRESIONES!$C$21))</f>
        <v>4.77944160827986</v>
      </c>
      <c r="AR17" s="30" t="n">
        <f aca="false">IF($L17&lt;&gt;"OK",0,PRESIONES!$C$12*((PRESIONES!$E$32-ABERTURAS!$L$60)*MAX(0,MIN($W17,DATOS!$C$23*1/4)-MAX($V17,DATOS!$C$23*0/4))+(PRESIONES!$E$33-ABERTURAS!$L$60)*MAX(0,MIN($W17,DATOS!$C$23*2/4)-MAX($V17,DATOS!$C$23*1/4))+(PRESIONES!$E$34-ABERTURAS!$L$60)*MAX(0,MIN($W17,DATOS!$C$23*3/4)-MAX($V17,DATOS!$C$23*2/4))+(PRESIONES!$E$35-ABERTURAS!$L$60)*MAX(0,MIN($W17,DATOS!$C$23*4/4)-MAX($V17,DATOS!$C$23*3/4))))</f>
        <v>-13.1846665055996</v>
      </c>
      <c r="AS17" s="30" t="n">
        <f aca="false">IF($L17&lt;&gt;"OK",0,PRESIONES!$C$12*((PRESIONES!$H$32-ABERTURAS!$L$61)*MAX(0,MIN($W17,DATOS!$C$23*1/4)-MAX($V17,DATOS!$C$23*0/4))+(PRESIONES!$H$33-ABERTURAS!$L$61)*MAX(0,MIN($W17,DATOS!$C$23*2/4)-MAX($V17,DATOS!$C$23*1/4))+(PRESIONES!$H$34-ABERTURAS!$L$61)*MAX(0,MIN($W17,DATOS!$C$23*3/4)-MAX($V17,DATOS!$C$23*2/4))+(PRESIONES!$H$35-ABERTURAS!$L$61)*MAX(0,MIN($W17,DATOS!$C$23*4/4)-MAX($V17,DATOS!$C$23*3/4))))</f>
        <v>-13.1846665055996</v>
      </c>
      <c r="AT17" s="30" t="n">
        <f aca="false">IF($L17&lt;&gt;"OK",0,PRESIONES!$C$12*((PRESIONES!$K$32-ABERTURAS!$L$62)*MAX(0,MIN($W17,DATOS!$C$23*1/4)-MAX($V17,DATOS!$C$23*0/4))+(PRESIONES!$K$33-ABERTURAS!$L$62)*MAX(0,MIN($W17,DATOS!$C$23*2/4)-MAX($V17,DATOS!$C$23*1/4))+(PRESIONES!$K$34-ABERTURAS!$L$62)*MAX(0,MIN($W17,DATOS!$C$23*3/4)-MAX($V17,DATOS!$C$23*2/4))+(PRESIONES!$K$35-ABERTURAS!$L$62)*MAX(0,MIN($W17,DATOS!$C$23*4/4)-MAX($V17,DATOS!$C$23*3/4))))</f>
        <v>-6.59233325279981</v>
      </c>
      <c r="AU17" s="30" t="n">
        <f aca="false">IF($L17&lt;&gt;"OK",0,PRESIONES!$C$12*((PRESIONES!$N$32-ABERTURAS!$L$63)*MAX(0,MIN($W17,DATOS!$C$23*1/4)-MAX($V17,DATOS!$C$23*0/4))+(PRESIONES!$N$33-ABERTURAS!$L$63)*MAX(0,MIN($W17,DATOS!$C$23*2/4)-MAX($V17,DATOS!$C$23*1/4))+(PRESIONES!$N$34-ABERTURAS!$L$63)*MAX(0,MIN($W17,DATOS!$C$23*3/4)-MAX($V17,DATOS!$C$23*2/4))+(PRESIONES!$N$35-ABERTURAS!$L$63)*MAX(0,MIN($W17,DATOS!$C$23*4/4)-MAX($V17,DATOS!$C$23*3/4))))</f>
        <v>-95.5888321655973</v>
      </c>
      <c r="AV17" s="30" t="n">
        <f aca="false">IF($L17&lt;&gt;"OK",0,PRESIONES!$C$12*((PRESIONES!$E$32-ABERTURAS!$L$64)*MAX(0,MIN($W17,DATOS!$C$23*1/4)-MAX($V17,DATOS!$C$23*0/4))+(PRESIONES!$E$33-ABERTURAS!$L$64)*MAX(0,MIN($W17,DATOS!$C$23*2/4)-MAX($V17,DATOS!$C$23*1/4))+(PRESIONES!$E$34-ABERTURAS!$L$64)*MAX(0,MIN($W17,DATOS!$C$23*3/4)-MAX($V17,DATOS!$C$23*2/4))+(PRESIONES!$E$35-ABERTURAS!$L$64)*MAX(0,MIN($W17,DATOS!$C$23*4/4)-MAX($V17,DATOS!$C$23*3/4))))</f>
        <v>-13.1846665055996</v>
      </c>
      <c r="AW17" s="30" t="n">
        <f aca="false">IF($L17&lt;&gt;"OK",0,PRESIONES!$C$12*((PRESIONES!$H$32-ABERTURAS!$L$65)*MAX(0,MIN($W17,DATOS!$C$23*1/4)-MAX($V17,DATOS!$C$23*0/4))+(PRESIONES!$H$33-ABERTURAS!$L$65)*MAX(0,MIN($W17,DATOS!$C$23*2/4)-MAX($V17,DATOS!$C$23*1/4))+(PRESIONES!$H$34-ABERTURAS!$L$65)*MAX(0,MIN($W17,DATOS!$C$23*3/4)-MAX($V17,DATOS!$C$23*2/4))+(PRESIONES!$H$35-ABERTURAS!$L$65)*MAX(0,MIN($W17,DATOS!$C$23*4/4)-MAX($V17,DATOS!$C$23*3/4))))</f>
        <v>-13.1846665055996</v>
      </c>
      <c r="AX17" s="30" t="n">
        <f aca="false">IF($L17&lt;&gt;"OK",0,PRESIONES!$C$12*((PRESIONES!$K$32-ABERTURAS!$L$66)*MAX(0,MIN($W17,DATOS!$C$23*1/4)-MAX($V17,DATOS!$C$23*0/4))+(PRESIONES!$K$33-ABERTURAS!$L$66)*MAX(0,MIN($W17,DATOS!$C$23*2/4)-MAX($V17,DATOS!$C$23*1/4))+(PRESIONES!$K$34-ABERTURAS!$L$66)*MAX(0,MIN($W17,DATOS!$C$23*3/4)-MAX($V17,DATOS!$C$23*2/4))+(PRESIONES!$K$35-ABERTURAS!$L$66)*MAX(0,MIN($W17,DATOS!$C$23*4/4)-MAX($V17,DATOS!$C$23*3/4))))</f>
        <v>-6.59233325279981</v>
      </c>
      <c r="AY17" s="30" t="n">
        <f aca="false">IF($L17&lt;&gt;"OK",0,PRESIONES!$C$12*((PRESIONES!$N$32-ABERTURAS!$L$67)*MAX(0,MIN($W17,DATOS!$C$23*1/4)-MAX($V17,DATOS!$C$23*0/4))+(PRESIONES!$N$33-ABERTURAS!$L$67)*MAX(0,MIN($W17,DATOS!$C$23*2/4)-MAX($V17,DATOS!$C$23*1/4))+(PRESIONES!$N$34-ABERTURAS!$L$67)*MAX(0,MIN($W17,DATOS!$C$23*3/4)-MAX($V17,DATOS!$C$23*2/4))+(PRESIONES!$N$35-ABERTURAS!$L$67)*MAX(0,MIN($W17,DATOS!$C$23*4/4)-MAX($V17,DATOS!$C$23*3/4))))</f>
        <v>-95.5888321655973</v>
      </c>
      <c r="AZ17" s="30" t="n">
        <f aca="false">IF($L17&lt;&gt;"OK",0,PRESIONES!$C$12*((PRESIONES!$E$32-ABERTURAS!$L$60)*MAX(0,MIN($W17,DATOS!$C$23*1/4)-MAX($V17,DATOS!$C$23*0/4))*PRESIONES!$C$18+(PRESIONES!$E$33-ABERTURAS!$L$60)*MAX(0,MIN($W17,DATOS!$C$23*2/4)-MAX($V17,DATOS!$C$23*1/4))*PRESIONES!$C$19+(PRESIONES!$E$34-ABERTURAS!$L$60)*MAX(0,MIN($W17,DATOS!$C$23*3/4)-MAX($V17,DATOS!$C$23*2/4))*PRESIONES!$C$20+(PRESIONES!$E$35-ABERTURAS!$L$60)*MAX(0,MIN($W17,DATOS!$C$23*4/4)-MAX($V17,DATOS!$C$23*3/4))*PRESIONES!$C$21))</f>
        <v>0.65923332527998</v>
      </c>
      <c r="BA17" s="30" t="n">
        <f aca="false">IF($L17&lt;&gt;"OK",0,PRESIONES!$C$12*((PRESIONES!$H$32-ABERTURAS!$L$61)*MAX(0,MIN($W17,DATOS!$C$23*1/4)-MAX($V17,DATOS!$C$23*0/4))*PRESIONES!$C$18+(PRESIONES!$H$33-ABERTURAS!$L$61)*MAX(0,MIN($W17,DATOS!$C$23*2/4)-MAX($V17,DATOS!$C$23*1/4))*PRESIONES!$C$19+(PRESIONES!$H$34-ABERTURAS!$L$61)*MAX(0,MIN($W17,DATOS!$C$23*3/4)-MAX($V17,DATOS!$C$23*2/4))*PRESIONES!$C$20+(PRESIONES!$H$35-ABERTURAS!$L$61)*MAX(0,MIN($W17,DATOS!$C$23*4/4)-MAX($V17,DATOS!$C$23*3/4))*PRESIONES!$C$21))</f>
        <v>0.65923332527998</v>
      </c>
      <c r="BB17" s="30" t="n">
        <f aca="false">IF($L17&lt;&gt;"OK",0,PRESIONES!$C$12*((PRESIONES!$K$32-ABERTURAS!$L$62)*MAX(0,MIN($W17,DATOS!$C$23*1/4)-MAX($V17,DATOS!$C$23*0/4))*PRESIONES!$C$18+(PRESIONES!$K$33-ABERTURAS!$L$62)*MAX(0,MIN($W17,DATOS!$C$23*2/4)-MAX($V17,DATOS!$C$23*1/4))*PRESIONES!$C$19+(PRESIONES!$K$34-ABERTURAS!$L$62)*MAX(0,MIN($W17,DATOS!$C$23*3/4)-MAX($V17,DATOS!$C$23*2/4))*PRESIONES!$C$20+(PRESIONES!$K$35-ABERTURAS!$L$62)*MAX(0,MIN($W17,DATOS!$C$23*4/4)-MAX($V17,DATOS!$C$23*3/4))*PRESIONES!$C$21))</f>
        <v>0.32961666263999</v>
      </c>
      <c r="BC17" s="30" t="n">
        <f aca="false">IF($L17&lt;&gt;"OK",0,PRESIONES!$C$12*((PRESIONES!$N$32-ABERTURAS!$L$63)*MAX(0,MIN($W17,DATOS!$C$23*1/4)-MAX($V17,DATOS!$C$23*0/4))*PRESIONES!$C$18+(PRESIONES!$N$33-ABERTURAS!$L$63)*MAX(0,MIN($W17,DATOS!$C$23*2/4)-MAX($V17,DATOS!$C$23*1/4))*PRESIONES!$C$19+(PRESIONES!$N$34-ABERTURAS!$L$63)*MAX(0,MIN($W17,DATOS!$C$23*3/4)-MAX($V17,DATOS!$C$23*2/4))*PRESIONES!$C$20+(PRESIONES!$N$35-ABERTURAS!$L$63)*MAX(0,MIN($W17,DATOS!$C$23*4/4)-MAX($V17,DATOS!$C$23*3/4))*PRESIONES!$C$21))</f>
        <v>4.77944160827986</v>
      </c>
      <c r="BD17" s="30" t="n">
        <f aca="false">IF($L17&lt;&gt;"OK",0,PRESIONES!$C$12*((PRESIONES!$E$32-ABERTURAS!$L$64)*MAX(0,MIN($W17,DATOS!$C$23*1/4)-MAX($V17,DATOS!$C$23*0/4))*PRESIONES!$C$18+(PRESIONES!$E$33-ABERTURAS!$L$64)*MAX(0,MIN($W17,DATOS!$C$23*2/4)-MAX($V17,DATOS!$C$23*1/4))*PRESIONES!$C$19+(PRESIONES!$E$34-ABERTURAS!$L$64)*MAX(0,MIN($W17,DATOS!$C$23*3/4)-MAX($V17,DATOS!$C$23*2/4))*PRESIONES!$C$20+(PRESIONES!$E$35-ABERTURAS!$L$64)*MAX(0,MIN($W17,DATOS!$C$23*4/4)-MAX($V17,DATOS!$C$23*3/4))*PRESIONES!$C$21))</f>
        <v>0.65923332527998</v>
      </c>
      <c r="BE17" s="30" t="n">
        <f aca="false">IF($L17&lt;&gt;"OK",0,PRESIONES!$C$12*((PRESIONES!$H$32-ABERTURAS!$L$65)*MAX(0,MIN($W17,DATOS!$C$23*1/4)-MAX($V17,DATOS!$C$23*0/4))*PRESIONES!$C$18+(PRESIONES!$H$33-ABERTURAS!$L$65)*MAX(0,MIN($W17,DATOS!$C$23*2/4)-MAX($V17,DATOS!$C$23*1/4))*PRESIONES!$C$19+(PRESIONES!$H$34-ABERTURAS!$L$65)*MAX(0,MIN($W17,DATOS!$C$23*3/4)-MAX($V17,DATOS!$C$23*2/4))*PRESIONES!$C$20+(PRESIONES!$H$35-ABERTURAS!$L$65)*MAX(0,MIN($W17,DATOS!$C$23*4/4)-MAX($V17,DATOS!$C$23*3/4))*PRESIONES!$C$21))</f>
        <v>0.65923332527998</v>
      </c>
      <c r="BF17" s="30" t="n">
        <f aca="false">IF($L17&lt;&gt;"OK",0,PRESIONES!$C$12*((PRESIONES!$K$32-ABERTURAS!$L$66)*MAX(0,MIN($W17,DATOS!$C$23*1/4)-MAX($V17,DATOS!$C$23*0/4))*PRESIONES!$C$18+(PRESIONES!$K$33-ABERTURAS!$L$66)*MAX(0,MIN($W17,DATOS!$C$23*2/4)-MAX($V17,DATOS!$C$23*1/4))*PRESIONES!$C$19+(PRESIONES!$K$34-ABERTURAS!$L$66)*MAX(0,MIN($W17,DATOS!$C$23*3/4)-MAX($V17,DATOS!$C$23*2/4))*PRESIONES!$C$20+(PRESIONES!$K$35-ABERTURAS!$L$66)*MAX(0,MIN($W17,DATOS!$C$23*4/4)-MAX($V17,DATOS!$C$23*3/4))*PRESIONES!$C$21))</f>
        <v>0.32961666263999</v>
      </c>
      <c r="BG17" s="30" t="n">
        <f aca="false">IF($L17&lt;&gt;"OK",0,PRESIONES!$C$12*((PRESIONES!$N$32-ABERTURAS!$L$67)*MAX(0,MIN($W17,DATOS!$C$23*1/4)-MAX($V17,DATOS!$C$23*0/4))*PRESIONES!$C$18+(PRESIONES!$N$33-ABERTURAS!$L$67)*MAX(0,MIN($W17,DATOS!$C$23*2/4)-MAX($V17,DATOS!$C$23*1/4))*PRESIONES!$C$19+(PRESIONES!$N$34-ABERTURAS!$L$67)*MAX(0,MIN($W17,DATOS!$C$23*3/4)-MAX($V17,DATOS!$C$23*2/4))*PRESIONES!$C$20+(PRESIONES!$N$35-ABERTURAS!$L$67)*MAX(0,MIN($W17,DATOS!$C$23*4/4)-MAX($V17,DATOS!$C$23*3/4))*PRESIONES!$C$21))</f>
        <v>4.77944160827986</v>
      </c>
    </row>
    <row r="18" customFormat="false" ht="16.5" hidden="false" customHeight="true" outlineLevel="0" collapsed="false">
      <c r="B18" s="27" t="s">
        <v>417</v>
      </c>
      <c r="C18" s="17" t="s">
        <v>399</v>
      </c>
      <c r="D18" s="27" t="s">
        <v>418</v>
      </c>
      <c r="E18" s="17" t="s">
        <v>80</v>
      </c>
      <c r="F18" s="49" t="n">
        <v>0</v>
      </c>
      <c r="G18" s="49" t="n">
        <v>10.08</v>
      </c>
      <c r="H18" s="49" t="n">
        <v>11.475</v>
      </c>
      <c r="I18" s="49" t="n">
        <v>12.825</v>
      </c>
      <c r="J18" s="49"/>
      <c r="K18" s="49"/>
      <c r="L18" s="20" t="str">
        <f aca="false">IF($D18="","",IF($C18&lt;&gt;"TECHO","PON TECHO",IF(OR($F18="",$G18="",$H18="",$I18=""),"FALTAN a o b",IF($M18&lt;=0,"a₂ DEBE SER &gt; a₁",IF($N18&lt;=0,"b₂ DEBE SER &gt; b₁",IF(OR($V18&lt;-0.001,$W18&gt;DATOS!$C$23+0.001),"SE SALE DEL TECHO","OK"))))))</f>
        <v>OK</v>
      </c>
      <c r="M18" s="30" t="n">
        <f aca="false">IF($D18="",0,MAX(0,$G18-$F18))</f>
        <v>10.08</v>
      </c>
      <c r="N18" s="30" t="n">
        <f aca="false">MAX(0,$W18-$V18)</f>
        <v>1.35</v>
      </c>
      <c r="O18" s="30" t="n">
        <f aca="false">$M18*$N18</f>
        <v>13.608</v>
      </c>
      <c r="P18" s="30" t="n">
        <v>0</v>
      </c>
      <c r="Q18" s="30" t="n">
        <v>0</v>
      </c>
      <c r="R18" s="30" t="n">
        <f aca="false">$O18</f>
        <v>13.608</v>
      </c>
      <c r="S18" s="30" t="n">
        <f aca="false">$O18</f>
        <v>13.608</v>
      </c>
      <c r="T18" s="50" t="n">
        <f aca="false">IF($D18="",0,DATOS!$C$21)</f>
        <v>10.62</v>
      </c>
      <c r="U18" s="50" t="n">
        <v>0</v>
      </c>
      <c r="V18" s="50" t="n">
        <f aca="false">IF($D18="",0,(N($H18)+IF($J18="",N($H18),$J18))/2)</f>
        <v>11.475</v>
      </c>
      <c r="W18" s="50" t="n">
        <f aca="false">IF($D18="",0,(N($I18)+IF($K18="",N($I18),$K18))/2)</f>
        <v>12.825</v>
      </c>
      <c r="AB18" s="30" t="n">
        <f aca="false">IF($L18&lt;&gt;"OK",0,PRESIONES!$C$12*((PRESIONES!$D$32-ABERTURAS!$L$60)*MAX(0,MIN($W18,DATOS!$C$23*1/4)-MAX($V18,DATOS!$C$23*0/4))+(PRESIONES!$D$33-ABERTURAS!$L$60)*MAX(0,MIN($W18,DATOS!$C$23*2/4)-MAX($V18,DATOS!$C$23*1/4))+(PRESIONES!$D$34-ABERTURAS!$L$60)*MAX(0,MIN($W18,DATOS!$C$23*3/4)-MAX($V18,DATOS!$C$23*2/4))+(PRESIONES!$D$35-ABERTURAS!$L$60)*MAX(0,MIN($W18,DATOS!$C$23*4/4)-MAX($V18,DATOS!$C$23*3/4))))</f>
        <v>-13.1846665055996</v>
      </c>
      <c r="AC18" s="30" t="n">
        <f aca="false">IF($L18&lt;&gt;"OK",0,PRESIONES!$C$12*((PRESIONES!$G$32-ABERTURAS!$L$61)*MAX(0,MIN($W18,DATOS!$C$23*1/4)-MAX($V18,DATOS!$C$23*0/4))+(PRESIONES!$G$33-ABERTURAS!$L$61)*MAX(0,MIN($W18,DATOS!$C$23*2/4)-MAX($V18,DATOS!$C$23*1/4))+(PRESIONES!$G$34-ABERTURAS!$L$61)*MAX(0,MIN($W18,DATOS!$C$23*3/4)-MAX($V18,DATOS!$C$23*2/4))+(PRESIONES!$G$35-ABERTURAS!$L$61)*MAX(0,MIN($W18,DATOS!$C$23*4/4)-MAX($V18,DATOS!$C$23*3/4))))</f>
        <v>-13.1846665055996</v>
      </c>
      <c r="AD18" s="30" t="n">
        <f aca="false">IF($L18&lt;&gt;"OK",0,PRESIONES!$C$12*((PRESIONES!$J$32-ABERTURAS!$L$62)*MAX(0,MIN($W18,DATOS!$C$23*1/4)-MAX($V18,DATOS!$C$23*0/4))+(PRESIONES!$J$33-ABERTURAS!$L$62)*MAX(0,MIN($W18,DATOS!$C$23*2/4)-MAX($V18,DATOS!$C$23*1/4))+(PRESIONES!$J$34-ABERTURAS!$L$62)*MAX(0,MIN($W18,DATOS!$C$23*3/4)-MAX($V18,DATOS!$C$23*2/4))+(PRESIONES!$J$35-ABERTURAS!$L$62)*MAX(0,MIN($W18,DATOS!$C$23*4/4)-MAX($V18,DATOS!$C$23*3/4))))</f>
        <v>-6.59233325279981</v>
      </c>
      <c r="AE18" s="30" t="n">
        <f aca="false">IF($L18&lt;&gt;"OK",0,PRESIONES!$C$12*((PRESIONES!$M$32-ABERTURAS!$L$63)*MAX(0,MIN($W18,DATOS!$C$23*1/4)-MAX($V18,DATOS!$C$23*0/4))+(PRESIONES!$M$33-ABERTURAS!$L$63)*MAX(0,MIN($W18,DATOS!$C$23*2/4)-MAX($V18,DATOS!$C$23*1/4))+(PRESIONES!$M$34-ABERTURAS!$L$63)*MAX(0,MIN($W18,DATOS!$C$23*3/4)-MAX($V18,DATOS!$C$23*2/4))+(PRESIONES!$M$35-ABERTURAS!$L$63)*MAX(0,MIN($W18,DATOS!$C$23*4/4)-MAX($V18,DATOS!$C$23*3/4))))</f>
        <v>-95.5888321655973</v>
      </c>
      <c r="AF18" s="30" t="n">
        <f aca="false">IF($L18&lt;&gt;"OK",0,PRESIONES!$C$12*((PRESIONES!$D$32-ABERTURAS!$L$64)*MAX(0,MIN($W18,DATOS!$C$23*1/4)-MAX($V18,DATOS!$C$23*0/4))+(PRESIONES!$D$33-ABERTURAS!$L$64)*MAX(0,MIN($W18,DATOS!$C$23*2/4)-MAX($V18,DATOS!$C$23*1/4))+(PRESIONES!$D$34-ABERTURAS!$L$64)*MAX(0,MIN($W18,DATOS!$C$23*3/4)-MAX($V18,DATOS!$C$23*2/4))+(PRESIONES!$D$35-ABERTURAS!$L$64)*MAX(0,MIN($W18,DATOS!$C$23*4/4)-MAX($V18,DATOS!$C$23*3/4))))</f>
        <v>-13.1846665055996</v>
      </c>
      <c r="AG18" s="30" t="n">
        <f aca="false">IF($L18&lt;&gt;"OK",0,PRESIONES!$C$12*((PRESIONES!$G$32-ABERTURAS!$L$65)*MAX(0,MIN($W18,DATOS!$C$23*1/4)-MAX($V18,DATOS!$C$23*0/4))+(PRESIONES!$G$33-ABERTURAS!$L$65)*MAX(0,MIN($W18,DATOS!$C$23*2/4)-MAX($V18,DATOS!$C$23*1/4))+(PRESIONES!$G$34-ABERTURAS!$L$65)*MAX(0,MIN($W18,DATOS!$C$23*3/4)-MAX($V18,DATOS!$C$23*2/4))+(PRESIONES!$G$35-ABERTURAS!$L$65)*MAX(0,MIN($W18,DATOS!$C$23*4/4)-MAX($V18,DATOS!$C$23*3/4))))</f>
        <v>-13.1846665055996</v>
      </c>
      <c r="AH18" s="30" t="n">
        <f aca="false">IF($L18&lt;&gt;"OK",0,PRESIONES!$C$12*((PRESIONES!$J$32-ABERTURAS!$L$66)*MAX(0,MIN($W18,DATOS!$C$23*1/4)-MAX($V18,DATOS!$C$23*0/4))+(PRESIONES!$J$33-ABERTURAS!$L$66)*MAX(0,MIN($W18,DATOS!$C$23*2/4)-MAX($V18,DATOS!$C$23*1/4))+(PRESIONES!$J$34-ABERTURAS!$L$66)*MAX(0,MIN($W18,DATOS!$C$23*3/4)-MAX($V18,DATOS!$C$23*2/4))+(PRESIONES!$J$35-ABERTURAS!$L$66)*MAX(0,MIN($W18,DATOS!$C$23*4/4)-MAX($V18,DATOS!$C$23*3/4))))</f>
        <v>-6.59233325279981</v>
      </c>
      <c r="AI18" s="30" t="n">
        <f aca="false">IF($L18&lt;&gt;"OK",0,PRESIONES!$C$12*((PRESIONES!$M$32-ABERTURAS!$L$67)*MAX(0,MIN($W18,DATOS!$C$23*1/4)-MAX($V18,DATOS!$C$23*0/4))+(PRESIONES!$M$33-ABERTURAS!$L$67)*MAX(0,MIN($W18,DATOS!$C$23*2/4)-MAX($V18,DATOS!$C$23*1/4))+(PRESIONES!$M$34-ABERTURAS!$L$67)*MAX(0,MIN($W18,DATOS!$C$23*3/4)-MAX($V18,DATOS!$C$23*2/4))+(PRESIONES!$M$35-ABERTURAS!$L$67)*MAX(0,MIN($W18,DATOS!$C$23*4/4)-MAX($V18,DATOS!$C$23*3/4))))</f>
        <v>-95.5888321655973</v>
      </c>
      <c r="AJ18" s="30" t="n">
        <f aca="false">IF($L18&lt;&gt;"OK",0,PRESIONES!$C$12*((PRESIONES!$D$32-ABERTURAS!$L$60)*MAX(0,MIN($W18,DATOS!$C$23*1/4)-MAX($V18,DATOS!$C$23*0/4))*PRESIONES!$C$18+(PRESIONES!$D$33-ABERTURAS!$L$60)*MAX(0,MIN($W18,DATOS!$C$23*2/4)-MAX($V18,DATOS!$C$23*1/4))*PRESIONES!$C$19+(PRESIONES!$D$34-ABERTURAS!$L$60)*MAX(0,MIN($W18,DATOS!$C$23*3/4)-MAX($V18,DATOS!$C$23*2/4))*PRESIONES!$C$20+(PRESIONES!$D$35-ABERTURAS!$L$60)*MAX(0,MIN($W18,DATOS!$C$23*4/4)-MAX($V18,DATOS!$C$23*3/4))*PRESIONES!$C$21))</f>
        <v>0.659233325279981</v>
      </c>
      <c r="AK18" s="30" t="n">
        <f aca="false">IF($L18&lt;&gt;"OK",0,PRESIONES!$C$12*((PRESIONES!$G$32-ABERTURAS!$L$61)*MAX(0,MIN($W18,DATOS!$C$23*1/4)-MAX($V18,DATOS!$C$23*0/4))*PRESIONES!$C$18+(PRESIONES!$G$33-ABERTURAS!$L$61)*MAX(0,MIN($W18,DATOS!$C$23*2/4)-MAX($V18,DATOS!$C$23*1/4))*PRESIONES!$C$19+(PRESIONES!$G$34-ABERTURAS!$L$61)*MAX(0,MIN($W18,DATOS!$C$23*3/4)-MAX($V18,DATOS!$C$23*2/4))*PRESIONES!$C$20+(PRESIONES!$G$35-ABERTURAS!$L$61)*MAX(0,MIN($W18,DATOS!$C$23*4/4)-MAX($V18,DATOS!$C$23*3/4))*PRESIONES!$C$21))</f>
        <v>0.659233325279981</v>
      </c>
      <c r="AL18" s="30" t="n">
        <f aca="false">IF($L18&lt;&gt;"OK",0,PRESIONES!$C$12*((PRESIONES!$J$32-ABERTURAS!$L$62)*MAX(0,MIN($W18,DATOS!$C$23*1/4)-MAX($V18,DATOS!$C$23*0/4))*PRESIONES!$C$18+(PRESIONES!$J$33-ABERTURAS!$L$62)*MAX(0,MIN($W18,DATOS!$C$23*2/4)-MAX($V18,DATOS!$C$23*1/4))*PRESIONES!$C$19+(PRESIONES!$J$34-ABERTURAS!$L$62)*MAX(0,MIN($W18,DATOS!$C$23*3/4)-MAX($V18,DATOS!$C$23*2/4))*PRESIONES!$C$20+(PRESIONES!$J$35-ABERTURAS!$L$62)*MAX(0,MIN($W18,DATOS!$C$23*4/4)-MAX($V18,DATOS!$C$23*3/4))*PRESIONES!$C$21))</f>
        <v>0.32961666263999</v>
      </c>
      <c r="AM18" s="30" t="n">
        <f aca="false">IF($L18&lt;&gt;"OK",0,PRESIONES!$C$12*((PRESIONES!$M$32-ABERTURAS!$L$63)*MAX(0,MIN($W18,DATOS!$C$23*1/4)-MAX($V18,DATOS!$C$23*0/4))*PRESIONES!$C$18+(PRESIONES!$M$33-ABERTURAS!$L$63)*MAX(0,MIN($W18,DATOS!$C$23*2/4)-MAX($V18,DATOS!$C$23*1/4))*PRESIONES!$C$19+(PRESIONES!$M$34-ABERTURAS!$L$63)*MAX(0,MIN($W18,DATOS!$C$23*3/4)-MAX($V18,DATOS!$C$23*2/4))*PRESIONES!$C$20+(PRESIONES!$M$35-ABERTURAS!$L$63)*MAX(0,MIN($W18,DATOS!$C$23*4/4)-MAX($V18,DATOS!$C$23*3/4))*PRESIONES!$C$21))</f>
        <v>4.77944160827986</v>
      </c>
      <c r="AN18" s="30" t="n">
        <f aca="false">IF($L18&lt;&gt;"OK",0,PRESIONES!$C$12*((PRESIONES!$D$32-ABERTURAS!$L$64)*MAX(0,MIN($W18,DATOS!$C$23*1/4)-MAX($V18,DATOS!$C$23*0/4))*PRESIONES!$C$18+(PRESIONES!$D$33-ABERTURAS!$L$64)*MAX(0,MIN($W18,DATOS!$C$23*2/4)-MAX($V18,DATOS!$C$23*1/4))*PRESIONES!$C$19+(PRESIONES!$D$34-ABERTURAS!$L$64)*MAX(0,MIN($W18,DATOS!$C$23*3/4)-MAX($V18,DATOS!$C$23*2/4))*PRESIONES!$C$20+(PRESIONES!$D$35-ABERTURAS!$L$64)*MAX(0,MIN($W18,DATOS!$C$23*4/4)-MAX($V18,DATOS!$C$23*3/4))*PRESIONES!$C$21))</f>
        <v>0.659233325279981</v>
      </c>
      <c r="AO18" s="30" t="n">
        <f aca="false">IF($L18&lt;&gt;"OK",0,PRESIONES!$C$12*((PRESIONES!$G$32-ABERTURAS!$L$65)*MAX(0,MIN($W18,DATOS!$C$23*1/4)-MAX($V18,DATOS!$C$23*0/4))*PRESIONES!$C$18+(PRESIONES!$G$33-ABERTURAS!$L$65)*MAX(0,MIN($W18,DATOS!$C$23*2/4)-MAX($V18,DATOS!$C$23*1/4))*PRESIONES!$C$19+(PRESIONES!$G$34-ABERTURAS!$L$65)*MAX(0,MIN($W18,DATOS!$C$23*3/4)-MAX($V18,DATOS!$C$23*2/4))*PRESIONES!$C$20+(PRESIONES!$G$35-ABERTURAS!$L$65)*MAX(0,MIN($W18,DATOS!$C$23*4/4)-MAX($V18,DATOS!$C$23*3/4))*PRESIONES!$C$21))</f>
        <v>0.659233325279981</v>
      </c>
      <c r="AP18" s="30" t="n">
        <f aca="false">IF($L18&lt;&gt;"OK",0,PRESIONES!$C$12*((PRESIONES!$J$32-ABERTURAS!$L$66)*MAX(0,MIN($W18,DATOS!$C$23*1/4)-MAX($V18,DATOS!$C$23*0/4))*PRESIONES!$C$18+(PRESIONES!$J$33-ABERTURAS!$L$66)*MAX(0,MIN($W18,DATOS!$C$23*2/4)-MAX($V18,DATOS!$C$23*1/4))*PRESIONES!$C$19+(PRESIONES!$J$34-ABERTURAS!$L$66)*MAX(0,MIN($W18,DATOS!$C$23*3/4)-MAX($V18,DATOS!$C$23*2/4))*PRESIONES!$C$20+(PRESIONES!$J$35-ABERTURAS!$L$66)*MAX(0,MIN($W18,DATOS!$C$23*4/4)-MAX($V18,DATOS!$C$23*3/4))*PRESIONES!$C$21))</f>
        <v>0.32961666263999</v>
      </c>
      <c r="AQ18" s="30" t="n">
        <f aca="false">IF($L18&lt;&gt;"OK",0,PRESIONES!$C$12*((PRESIONES!$M$32-ABERTURAS!$L$67)*MAX(0,MIN($W18,DATOS!$C$23*1/4)-MAX($V18,DATOS!$C$23*0/4))*PRESIONES!$C$18+(PRESIONES!$M$33-ABERTURAS!$L$67)*MAX(0,MIN($W18,DATOS!$C$23*2/4)-MAX($V18,DATOS!$C$23*1/4))*PRESIONES!$C$19+(PRESIONES!$M$34-ABERTURAS!$L$67)*MAX(0,MIN($W18,DATOS!$C$23*3/4)-MAX($V18,DATOS!$C$23*2/4))*PRESIONES!$C$20+(PRESIONES!$M$35-ABERTURAS!$L$67)*MAX(0,MIN($W18,DATOS!$C$23*4/4)-MAX($V18,DATOS!$C$23*3/4))*PRESIONES!$C$21))</f>
        <v>4.77944160827986</v>
      </c>
      <c r="AR18" s="30" t="n">
        <f aca="false">IF($L18&lt;&gt;"OK",0,PRESIONES!$C$12*((PRESIONES!$E$32-ABERTURAS!$L$60)*MAX(0,MIN($W18,DATOS!$C$23*1/4)-MAX($V18,DATOS!$C$23*0/4))+(PRESIONES!$E$33-ABERTURAS!$L$60)*MAX(0,MIN($W18,DATOS!$C$23*2/4)-MAX($V18,DATOS!$C$23*1/4))+(PRESIONES!$E$34-ABERTURAS!$L$60)*MAX(0,MIN($W18,DATOS!$C$23*3/4)-MAX($V18,DATOS!$C$23*2/4))+(PRESIONES!$E$35-ABERTURAS!$L$60)*MAX(0,MIN($W18,DATOS!$C$23*4/4)-MAX($V18,DATOS!$C$23*3/4))))</f>
        <v>-13.1846665055996</v>
      </c>
      <c r="AS18" s="30" t="n">
        <f aca="false">IF($L18&lt;&gt;"OK",0,PRESIONES!$C$12*((PRESIONES!$H$32-ABERTURAS!$L$61)*MAX(0,MIN($W18,DATOS!$C$23*1/4)-MAX($V18,DATOS!$C$23*0/4))+(PRESIONES!$H$33-ABERTURAS!$L$61)*MAX(0,MIN($W18,DATOS!$C$23*2/4)-MAX($V18,DATOS!$C$23*1/4))+(PRESIONES!$H$34-ABERTURAS!$L$61)*MAX(0,MIN($W18,DATOS!$C$23*3/4)-MAX($V18,DATOS!$C$23*2/4))+(PRESIONES!$H$35-ABERTURAS!$L$61)*MAX(0,MIN($W18,DATOS!$C$23*4/4)-MAX($V18,DATOS!$C$23*3/4))))</f>
        <v>-13.1846665055996</v>
      </c>
      <c r="AT18" s="30" t="n">
        <f aca="false">IF($L18&lt;&gt;"OK",0,PRESIONES!$C$12*((PRESIONES!$K$32-ABERTURAS!$L$62)*MAX(0,MIN($W18,DATOS!$C$23*1/4)-MAX($V18,DATOS!$C$23*0/4))+(PRESIONES!$K$33-ABERTURAS!$L$62)*MAX(0,MIN($W18,DATOS!$C$23*2/4)-MAX($V18,DATOS!$C$23*1/4))+(PRESIONES!$K$34-ABERTURAS!$L$62)*MAX(0,MIN($W18,DATOS!$C$23*3/4)-MAX($V18,DATOS!$C$23*2/4))+(PRESIONES!$K$35-ABERTURAS!$L$62)*MAX(0,MIN($W18,DATOS!$C$23*4/4)-MAX($V18,DATOS!$C$23*3/4))))</f>
        <v>-6.59233325279981</v>
      </c>
      <c r="AU18" s="30" t="n">
        <f aca="false">IF($L18&lt;&gt;"OK",0,PRESIONES!$C$12*((PRESIONES!$N$32-ABERTURAS!$L$63)*MAX(0,MIN($W18,DATOS!$C$23*1/4)-MAX($V18,DATOS!$C$23*0/4))+(PRESIONES!$N$33-ABERTURAS!$L$63)*MAX(0,MIN($W18,DATOS!$C$23*2/4)-MAX($V18,DATOS!$C$23*1/4))+(PRESIONES!$N$34-ABERTURAS!$L$63)*MAX(0,MIN($W18,DATOS!$C$23*3/4)-MAX($V18,DATOS!$C$23*2/4))+(PRESIONES!$N$35-ABERTURAS!$L$63)*MAX(0,MIN($W18,DATOS!$C$23*4/4)-MAX($V18,DATOS!$C$23*3/4))))</f>
        <v>-95.5888321655973</v>
      </c>
      <c r="AV18" s="30" t="n">
        <f aca="false">IF($L18&lt;&gt;"OK",0,PRESIONES!$C$12*((PRESIONES!$E$32-ABERTURAS!$L$64)*MAX(0,MIN($W18,DATOS!$C$23*1/4)-MAX($V18,DATOS!$C$23*0/4))+(PRESIONES!$E$33-ABERTURAS!$L$64)*MAX(0,MIN($W18,DATOS!$C$23*2/4)-MAX($V18,DATOS!$C$23*1/4))+(PRESIONES!$E$34-ABERTURAS!$L$64)*MAX(0,MIN($W18,DATOS!$C$23*3/4)-MAX($V18,DATOS!$C$23*2/4))+(PRESIONES!$E$35-ABERTURAS!$L$64)*MAX(0,MIN($W18,DATOS!$C$23*4/4)-MAX($V18,DATOS!$C$23*3/4))))</f>
        <v>-13.1846665055996</v>
      </c>
      <c r="AW18" s="30" t="n">
        <f aca="false">IF($L18&lt;&gt;"OK",0,PRESIONES!$C$12*((PRESIONES!$H$32-ABERTURAS!$L$65)*MAX(0,MIN($W18,DATOS!$C$23*1/4)-MAX($V18,DATOS!$C$23*0/4))+(PRESIONES!$H$33-ABERTURAS!$L$65)*MAX(0,MIN($W18,DATOS!$C$23*2/4)-MAX($V18,DATOS!$C$23*1/4))+(PRESIONES!$H$34-ABERTURAS!$L$65)*MAX(0,MIN($W18,DATOS!$C$23*3/4)-MAX($V18,DATOS!$C$23*2/4))+(PRESIONES!$H$35-ABERTURAS!$L$65)*MAX(0,MIN($W18,DATOS!$C$23*4/4)-MAX($V18,DATOS!$C$23*3/4))))</f>
        <v>-13.1846665055996</v>
      </c>
      <c r="AX18" s="30" t="n">
        <f aca="false">IF($L18&lt;&gt;"OK",0,PRESIONES!$C$12*((PRESIONES!$K$32-ABERTURAS!$L$66)*MAX(0,MIN($W18,DATOS!$C$23*1/4)-MAX($V18,DATOS!$C$23*0/4))+(PRESIONES!$K$33-ABERTURAS!$L$66)*MAX(0,MIN($W18,DATOS!$C$23*2/4)-MAX($V18,DATOS!$C$23*1/4))+(PRESIONES!$K$34-ABERTURAS!$L$66)*MAX(0,MIN($W18,DATOS!$C$23*3/4)-MAX($V18,DATOS!$C$23*2/4))+(PRESIONES!$K$35-ABERTURAS!$L$66)*MAX(0,MIN($W18,DATOS!$C$23*4/4)-MAX($V18,DATOS!$C$23*3/4))))</f>
        <v>-6.59233325279981</v>
      </c>
      <c r="AY18" s="30" t="n">
        <f aca="false">IF($L18&lt;&gt;"OK",0,PRESIONES!$C$12*((PRESIONES!$N$32-ABERTURAS!$L$67)*MAX(0,MIN($W18,DATOS!$C$23*1/4)-MAX($V18,DATOS!$C$23*0/4))+(PRESIONES!$N$33-ABERTURAS!$L$67)*MAX(0,MIN($W18,DATOS!$C$23*2/4)-MAX($V18,DATOS!$C$23*1/4))+(PRESIONES!$N$34-ABERTURAS!$L$67)*MAX(0,MIN($W18,DATOS!$C$23*3/4)-MAX($V18,DATOS!$C$23*2/4))+(PRESIONES!$N$35-ABERTURAS!$L$67)*MAX(0,MIN($W18,DATOS!$C$23*4/4)-MAX($V18,DATOS!$C$23*3/4))))</f>
        <v>-95.5888321655973</v>
      </c>
      <c r="AZ18" s="30" t="n">
        <f aca="false">IF($L18&lt;&gt;"OK",0,PRESIONES!$C$12*((PRESIONES!$E$32-ABERTURAS!$L$60)*MAX(0,MIN($W18,DATOS!$C$23*1/4)-MAX($V18,DATOS!$C$23*0/4))*PRESIONES!$C$18+(PRESIONES!$E$33-ABERTURAS!$L$60)*MAX(0,MIN($W18,DATOS!$C$23*2/4)-MAX($V18,DATOS!$C$23*1/4))*PRESIONES!$C$19+(PRESIONES!$E$34-ABERTURAS!$L$60)*MAX(0,MIN($W18,DATOS!$C$23*3/4)-MAX($V18,DATOS!$C$23*2/4))*PRESIONES!$C$20+(PRESIONES!$E$35-ABERTURAS!$L$60)*MAX(0,MIN($W18,DATOS!$C$23*4/4)-MAX($V18,DATOS!$C$23*3/4))*PRESIONES!$C$21))</f>
        <v>0.659233325279981</v>
      </c>
      <c r="BA18" s="30" t="n">
        <f aca="false">IF($L18&lt;&gt;"OK",0,PRESIONES!$C$12*((PRESIONES!$H$32-ABERTURAS!$L$61)*MAX(0,MIN($W18,DATOS!$C$23*1/4)-MAX($V18,DATOS!$C$23*0/4))*PRESIONES!$C$18+(PRESIONES!$H$33-ABERTURAS!$L$61)*MAX(0,MIN($W18,DATOS!$C$23*2/4)-MAX($V18,DATOS!$C$23*1/4))*PRESIONES!$C$19+(PRESIONES!$H$34-ABERTURAS!$L$61)*MAX(0,MIN($W18,DATOS!$C$23*3/4)-MAX($V18,DATOS!$C$23*2/4))*PRESIONES!$C$20+(PRESIONES!$H$35-ABERTURAS!$L$61)*MAX(0,MIN($W18,DATOS!$C$23*4/4)-MAX($V18,DATOS!$C$23*3/4))*PRESIONES!$C$21))</f>
        <v>0.659233325279981</v>
      </c>
      <c r="BB18" s="30" t="n">
        <f aca="false">IF($L18&lt;&gt;"OK",0,PRESIONES!$C$12*((PRESIONES!$K$32-ABERTURAS!$L$62)*MAX(0,MIN($W18,DATOS!$C$23*1/4)-MAX($V18,DATOS!$C$23*0/4))*PRESIONES!$C$18+(PRESIONES!$K$33-ABERTURAS!$L$62)*MAX(0,MIN($W18,DATOS!$C$23*2/4)-MAX($V18,DATOS!$C$23*1/4))*PRESIONES!$C$19+(PRESIONES!$K$34-ABERTURAS!$L$62)*MAX(0,MIN($W18,DATOS!$C$23*3/4)-MAX($V18,DATOS!$C$23*2/4))*PRESIONES!$C$20+(PRESIONES!$K$35-ABERTURAS!$L$62)*MAX(0,MIN($W18,DATOS!$C$23*4/4)-MAX($V18,DATOS!$C$23*3/4))*PRESIONES!$C$21))</f>
        <v>0.32961666263999</v>
      </c>
      <c r="BC18" s="30" t="n">
        <f aca="false">IF($L18&lt;&gt;"OK",0,PRESIONES!$C$12*((PRESIONES!$N$32-ABERTURAS!$L$63)*MAX(0,MIN($W18,DATOS!$C$23*1/4)-MAX($V18,DATOS!$C$23*0/4))*PRESIONES!$C$18+(PRESIONES!$N$33-ABERTURAS!$L$63)*MAX(0,MIN($W18,DATOS!$C$23*2/4)-MAX($V18,DATOS!$C$23*1/4))*PRESIONES!$C$19+(PRESIONES!$N$34-ABERTURAS!$L$63)*MAX(0,MIN($W18,DATOS!$C$23*3/4)-MAX($V18,DATOS!$C$23*2/4))*PRESIONES!$C$20+(PRESIONES!$N$35-ABERTURAS!$L$63)*MAX(0,MIN($W18,DATOS!$C$23*4/4)-MAX($V18,DATOS!$C$23*3/4))*PRESIONES!$C$21))</f>
        <v>4.77944160827986</v>
      </c>
      <c r="BD18" s="30" t="n">
        <f aca="false">IF($L18&lt;&gt;"OK",0,PRESIONES!$C$12*((PRESIONES!$E$32-ABERTURAS!$L$64)*MAX(0,MIN($W18,DATOS!$C$23*1/4)-MAX($V18,DATOS!$C$23*0/4))*PRESIONES!$C$18+(PRESIONES!$E$33-ABERTURAS!$L$64)*MAX(0,MIN($W18,DATOS!$C$23*2/4)-MAX($V18,DATOS!$C$23*1/4))*PRESIONES!$C$19+(PRESIONES!$E$34-ABERTURAS!$L$64)*MAX(0,MIN($W18,DATOS!$C$23*3/4)-MAX($V18,DATOS!$C$23*2/4))*PRESIONES!$C$20+(PRESIONES!$E$35-ABERTURAS!$L$64)*MAX(0,MIN($W18,DATOS!$C$23*4/4)-MAX($V18,DATOS!$C$23*3/4))*PRESIONES!$C$21))</f>
        <v>0.659233325279981</v>
      </c>
      <c r="BE18" s="30" t="n">
        <f aca="false">IF($L18&lt;&gt;"OK",0,PRESIONES!$C$12*((PRESIONES!$H$32-ABERTURAS!$L$65)*MAX(0,MIN($W18,DATOS!$C$23*1/4)-MAX($V18,DATOS!$C$23*0/4))*PRESIONES!$C$18+(PRESIONES!$H$33-ABERTURAS!$L$65)*MAX(0,MIN($W18,DATOS!$C$23*2/4)-MAX($V18,DATOS!$C$23*1/4))*PRESIONES!$C$19+(PRESIONES!$H$34-ABERTURAS!$L$65)*MAX(0,MIN($W18,DATOS!$C$23*3/4)-MAX($V18,DATOS!$C$23*2/4))*PRESIONES!$C$20+(PRESIONES!$H$35-ABERTURAS!$L$65)*MAX(0,MIN($W18,DATOS!$C$23*4/4)-MAX($V18,DATOS!$C$23*3/4))*PRESIONES!$C$21))</f>
        <v>0.659233325279981</v>
      </c>
      <c r="BF18" s="30" t="n">
        <f aca="false">IF($L18&lt;&gt;"OK",0,PRESIONES!$C$12*((PRESIONES!$K$32-ABERTURAS!$L$66)*MAX(0,MIN($W18,DATOS!$C$23*1/4)-MAX($V18,DATOS!$C$23*0/4))*PRESIONES!$C$18+(PRESIONES!$K$33-ABERTURAS!$L$66)*MAX(0,MIN($W18,DATOS!$C$23*2/4)-MAX($V18,DATOS!$C$23*1/4))*PRESIONES!$C$19+(PRESIONES!$K$34-ABERTURAS!$L$66)*MAX(0,MIN($W18,DATOS!$C$23*3/4)-MAX($V18,DATOS!$C$23*2/4))*PRESIONES!$C$20+(PRESIONES!$K$35-ABERTURAS!$L$66)*MAX(0,MIN($W18,DATOS!$C$23*4/4)-MAX($V18,DATOS!$C$23*3/4))*PRESIONES!$C$21))</f>
        <v>0.32961666263999</v>
      </c>
      <c r="BG18" s="30" t="n">
        <f aca="false">IF($L18&lt;&gt;"OK",0,PRESIONES!$C$12*((PRESIONES!$N$32-ABERTURAS!$L$67)*MAX(0,MIN($W18,DATOS!$C$23*1/4)-MAX($V18,DATOS!$C$23*0/4))*PRESIONES!$C$18+(PRESIONES!$N$33-ABERTURAS!$L$67)*MAX(0,MIN($W18,DATOS!$C$23*2/4)-MAX($V18,DATOS!$C$23*1/4))*PRESIONES!$C$19+(PRESIONES!$N$34-ABERTURAS!$L$67)*MAX(0,MIN($W18,DATOS!$C$23*3/4)-MAX($V18,DATOS!$C$23*2/4))*PRESIONES!$C$20+(PRESIONES!$N$35-ABERTURAS!$L$67)*MAX(0,MIN($W18,DATOS!$C$23*4/4)-MAX($V18,DATOS!$C$23*3/4))*PRESIONES!$C$21))</f>
        <v>4.77944160827986</v>
      </c>
    </row>
    <row r="19" customFormat="false" ht="16.5" hidden="false" customHeight="true" outlineLevel="0" collapsed="false">
      <c r="B19" s="27" t="s">
        <v>419</v>
      </c>
      <c r="C19" s="17" t="s">
        <v>399</v>
      </c>
      <c r="D19" s="27" t="s">
        <v>420</v>
      </c>
      <c r="E19" s="17" t="s">
        <v>80</v>
      </c>
      <c r="F19" s="49" t="n">
        <v>0</v>
      </c>
      <c r="G19" s="49" t="n">
        <v>10.08</v>
      </c>
      <c r="H19" s="49" t="n">
        <v>12.825</v>
      </c>
      <c r="I19" s="49" t="n">
        <v>14.125</v>
      </c>
      <c r="J19" s="49"/>
      <c r="K19" s="49"/>
      <c r="L19" s="20" t="str">
        <f aca="false">IF($D19="","",IF($C19&lt;&gt;"TECHO","PON TECHO",IF(OR($F19="",$G19="",$H19="",$I19=""),"FALTAN a o b",IF($M19&lt;=0,"a₂ DEBE SER &gt; a₁",IF($N19&lt;=0,"b₂ DEBE SER &gt; b₁",IF(OR($V19&lt;-0.001,$W19&gt;DATOS!$C$23+0.001),"SE SALE DEL TECHO","OK"))))))</f>
        <v>OK</v>
      </c>
      <c r="M19" s="30" t="n">
        <f aca="false">IF($D19="",0,MAX(0,$G19-$F19))</f>
        <v>10.08</v>
      </c>
      <c r="N19" s="30" t="n">
        <f aca="false">MAX(0,$W19-$V19)</f>
        <v>1.3</v>
      </c>
      <c r="O19" s="30" t="n">
        <f aca="false">$M19*$N19</f>
        <v>13.104</v>
      </c>
      <c r="P19" s="30" t="n">
        <v>0</v>
      </c>
      <c r="Q19" s="30" t="n">
        <v>0</v>
      </c>
      <c r="R19" s="30" t="n">
        <f aca="false">$O19</f>
        <v>13.104</v>
      </c>
      <c r="S19" s="30" t="n">
        <f aca="false">$O19</f>
        <v>13.104</v>
      </c>
      <c r="T19" s="50" t="n">
        <f aca="false">IF($D19="",0,DATOS!$C$21)</f>
        <v>10.62</v>
      </c>
      <c r="U19" s="50" t="n">
        <v>0</v>
      </c>
      <c r="V19" s="50" t="n">
        <f aca="false">IF($D19="",0,(N($H19)+IF($J19="",N($H19),$J19))/2)</f>
        <v>12.825</v>
      </c>
      <c r="W19" s="50" t="n">
        <f aca="false">IF($D19="",0,(N($I19)+IF($K19="",N($I19),$K19))/2)</f>
        <v>14.125</v>
      </c>
      <c r="AB19" s="30" t="n">
        <f aca="false">IF($L19&lt;&gt;"OK",0,PRESIONES!$C$12*((PRESIONES!$D$32-ABERTURAS!$L$60)*MAX(0,MIN($W19,DATOS!$C$23*1/4)-MAX($V19,DATOS!$C$23*0/4))+(PRESIONES!$D$33-ABERTURAS!$L$60)*MAX(0,MIN($W19,DATOS!$C$23*2/4)-MAX($V19,DATOS!$C$23*1/4))+(PRESIONES!$D$34-ABERTURAS!$L$60)*MAX(0,MIN($W19,DATOS!$C$23*3/4)-MAX($V19,DATOS!$C$23*2/4))+(PRESIONES!$D$35-ABERTURAS!$L$60)*MAX(0,MIN($W19,DATOS!$C$23*4/4)-MAX($V19,DATOS!$C$23*3/4))))</f>
        <v>-12.6963455239108</v>
      </c>
      <c r="AC19" s="30" t="n">
        <f aca="false">IF($L19&lt;&gt;"OK",0,PRESIONES!$C$12*((PRESIONES!$G$32-ABERTURAS!$L$61)*MAX(0,MIN($W19,DATOS!$C$23*1/4)-MAX($V19,DATOS!$C$23*0/4))+(PRESIONES!$G$33-ABERTURAS!$L$61)*MAX(0,MIN($W19,DATOS!$C$23*2/4)-MAX($V19,DATOS!$C$23*1/4))+(PRESIONES!$G$34-ABERTURAS!$L$61)*MAX(0,MIN($W19,DATOS!$C$23*3/4)-MAX($V19,DATOS!$C$23*2/4))+(PRESIONES!$G$35-ABERTURAS!$L$61)*MAX(0,MIN($W19,DATOS!$C$23*4/4)-MAX($V19,DATOS!$C$23*3/4))))</f>
        <v>-12.6963455239108</v>
      </c>
      <c r="AD19" s="30" t="n">
        <f aca="false">IF($L19&lt;&gt;"OK",0,PRESIONES!$C$12*((PRESIONES!$J$32-ABERTURAS!$L$62)*MAX(0,MIN($W19,DATOS!$C$23*1/4)-MAX($V19,DATOS!$C$23*0/4))+(PRESIONES!$J$33-ABERTURAS!$L$62)*MAX(0,MIN($W19,DATOS!$C$23*2/4)-MAX($V19,DATOS!$C$23*1/4))+(PRESIONES!$J$34-ABERTURAS!$L$62)*MAX(0,MIN($W19,DATOS!$C$23*3/4)-MAX($V19,DATOS!$C$23*2/4))+(PRESIONES!$J$35-ABERTURAS!$L$62)*MAX(0,MIN($W19,DATOS!$C$23*4/4)-MAX($V19,DATOS!$C$23*3/4))))</f>
        <v>-6.34817276195538</v>
      </c>
      <c r="AE19" s="30" t="n">
        <f aca="false">IF($L19&lt;&gt;"OK",0,PRESIONES!$C$12*((PRESIONES!$M$32-ABERTURAS!$L$63)*MAX(0,MIN($W19,DATOS!$C$23*1/4)-MAX($V19,DATOS!$C$23*0/4))+(PRESIONES!$M$33-ABERTURAS!$L$63)*MAX(0,MIN($W19,DATOS!$C$23*2/4)-MAX($V19,DATOS!$C$23*1/4))+(PRESIONES!$M$34-ABERTURAS!$L$63)*MAX(0,MIN($W19,DATOS!$C$23*3/4)-MAX($V19,DATOS!$C$23*2/4))+(PRESIONES!$M$35-ABERTURAS!$L$63)*MAX(0,MIN($W19,DATOS!$C$23*4/4)-MAX($V19,DATOS!$C$23*3/4))))</f>
        <v>-92.048505048353</v>
      </c>
      <c r="AF19" s="30" t="n">
        <f aca="false">IF($L19&lt;&gt;"OK",0,PRESIONES!$C$12*((PRESIONES!$D$32-ABERTURAS!$L$64)*MAX(0,MIN($W19,DATOS!$C$23*1/4)-MAX($V19,DATOS!$C$23*0/4))+(PRESIONES!$D$33-ABERTURAS!$L$64)*MAX(0,MIN($W19,DATOS!$C$23*2/4)-MAX($V19,DATOS!$C$23*1/4))+(PRESIONES!$D$34-ABERTURAS!$L$64)*MAX(0,MIN($W19,DATOS!$C$23*3/4)-MAX($V19,DATOS!$C$23*2/4))+(PRESIONES!$D$35-ABERTURAS!$L$64)*MAX(0,MIN($W19,DATOS!$C$23*4/4)-MAX($V19,DATOS!$C$23*3/4))))</f>
        <v>-12.6963455239108</v>
      </c>
      <c r="AG19" s="30" t="n">
        <f aca="false">IF($L19&lt;&gt;"OK",0,PRESIONES!$C$12*((PRESIONES!$G$32-ABERTURAS!$L$65)*MAX(0,MIN($W19,DATOS!$C$23*1/4)-MAX($V19,DATOS!$C$23*0/4))+(PRESIONES!$G$33-ABERTURAS!$L$65)*MAX(0,MIN($W19,DATOS!$C$23*2/4)-MAX($V19,DATOS!$C$23*1/4))+(PRESIONES!$G$34-ABERTURAS!$L$65)*MAX(0,MIN($W19,DATOS!$C$23*3/4)-MAX($V19,DATOS!$C$23*2/4))+(PRESIONES!$G$35-ABERTURAS!$L$65)*MAX(0,MIN($W19,DATOS!$C$23*4/4)-MAX($V19,DATOS!$C$23*3/4))))</f>
        <v>-12.6963455239108</v>
      </c>
      <c r="AH19" s="30" t="n">
        <f aca="false">IF($L19&lt;&gt;"OK",0,PRESIONES!$C$12*((PRESIONES!$J$32-ABERTURAS!$L$66)*MAX(0,MIN($W19,DATOS!$C$23*1/4)-MAX($V19,DATOS!$C$23*0/4))+(PRESIONES!$J$33-ABERTURAS!$L$66)*MAX(0,MIN($W19,DATOS!$C$23*2/4)-MAX($V19,DATOS!$C$23*1/4))+(PRESIONES!$J$34-ABERTURAS!$L$66)*MAX(0,MIN($W19,DATOS!$C$23*3/4)-MAX($V19,DATOS!$C$23*2/4))+(PRESIONES!$J$35-ABERTURAS!$L$66)*MAX(0,MIN($W19,DATOS!$C$23*4/4)-MAX($V19,DATOS!$C$23*3/4))))</f>
        <v>-6.34817276195538</v>
      </c>
      <c r="AI19" s="30" t="n">
        <f aca="false">IF($L19&lt;&gt;"OK",0,PRESIONES!$C$12*((PRESIONES!$M$32-ABERTURAS!$L$67)*MAX(0,MIN($W19,DATOS!$C$23*1/4)-MAX($V19,DATOS!$C$23*0/4))+(PRESIONES!$M$33-ABERTURAS!$L$67)*MAX(0,MIN($W19,DATOS!$C$23*2/4)-MAX($V19,DATOS!$C$23*1/4))+(PRESIONES!$M$34-ABERTURAS!$L$67)*MAX(0,MIN($W19,DATOS!$C$23*3/4)-MAX($V19,DATOS!$C$23*2/4))+(PRESIONES!$M$35-ABERTURAS!$L$67)*MAX(0,MIN($W19,DATOS!$C$23*4/4)-MAX($V19,DATOS!$C$23*3/4))))</f>
        <v>-92.048505048353</v>
      </c>
      <c r="AJ19" s="30" t="n">
        <f aca="false">IF($L19&lt;&gt;"OK",0,PRESIONES!$C$12*((PRESIONES!$D$32-ABERTURAS!$L$60)*MAX(0,MIN($W19,DATOS!$C$23*1/4)-MAX($V19,DATOS!$C$23*0/4))*PRESIONES!$C$18+(PRESIONES!$D$33-ABERTURAS!$L$60)*MAX(0,MIN($W19,DATOS!$C$23*2/4)-MAX($V19,DATOS!$C$23*1/4))*PRESIONES!$C$19+(PRESIONES!$D$34-ABERTURAS!$L$60)*MAX(0,MIN($W19,DATOS!$C$23*3/4)-MAX($V19,DATOS!$C$23*2/4))*PRESIONES!$C$20+(PRESIONES!$D$35-ABERTURAS!$L$60)*MAX(0,MIN($W19,DATOS!$C$23*4/4)-MAX($V19,DATOS!$C$23*3/4))*PRESIONES!$C$21))</f>
        <v>0.634817276195537</v>
      </c>
      <c r="AK19" s="30" t="n">
        <f aca="false">IF($L19&lt;&gt;"OK",0,PRESIONES!$C$12*((PRESIONES!$G$32-ABERTURAS!$L$61)*MAX(0,MIN($W19,DATOS!$C$23*1/4)-MAX($V19,DATOS!$C$23*0/4))*PRESIONES!$C$18+(PRESIONES!$G$33-ABERTURAS!$L$61)*MAX(0,MIN($W19,DATOS!$C$23*2/4)-MAX($V19,DATOS!$C$23*1/4))*PRESIONES!$C$19+(PRESIONES!$G$34-ABERTURAS!$L$61)*MAX(0,MIN($W19,DATOS!$C$23*3/4)-MAX($V19,DATOS!$C$23*2/4))*PRESIONES!$C$20+(PRESIONES!$G$35-ABERTURAS!$L$61)*MAX(0,MIN($W19,DATOS!$C$23*4/4)-MAX($V19,DATOS!$C$23*3/4))*PRESIONES!$C$21))</f>
        <v>0.634817276195537</v>
      </c>
      <c r="AL19" s="30" t="n">
        <f aca="false">IF($L19&lt;&gt;"OK",0,PRESIONES!$C$12*((PRESIONES!$J$32-ABERTURAS!$L$62)*MAX(0,MIN($W19,DATOS!$C$23*1/4)-MAX($V19,DATOS!$C$23*0/4))*PRESIONES!$C$18+(PRESIONES!$J$33-ABERTURAS!$L$62)*MAX(0,MIN($W19,DATOS!$C$23*2/4)-MAX($V19,DATOS!$C$23*1/4))*PRESIONES!$C$19+(PRESIONES!$J$34-ABERTURAS!$L$62)*MAX(0,MIN($W19,DATOS!$C$23*3/4)-MAX($V19,DATOS!$C$23*2/4))*PRESIONES!$C$20+(PRESIONES!$J$35-ABERTURAS!$L$62)*MAX(0,MIN($W19,DATOS!$C$23*4/4)-MAX($V19,DATOS!$C$23*3/4))*PRESIONES!$C$21))</f>
        <v>0.317408638097769</v>
      </c>
      <c r="AM19" s="30" t="n">
        <f aca="false">IF($L19&lt;&gt;"OK",0,PRESIONES!$C$12*((PRESIONES!$M$32-ABERTURAS!$L$63)*MAX(0,MIN($W19,DATOS!$C$23*1/4)-MAX($V19,DATOS!$C$23*0/4))*PRESIONES!$C$18+(PRESIONES!$M$33-ABERTURAS!$L$63)*MAX(0,MIN($W19,DATOS!$C$23*2/4)-MAX($V19,DATOS!$C$23*1/4))*PRESIONES!$C$19+(PRESIONES!$M$34-ABERTURAS!$L$63)*MAX(0,MIN($W19,DATOS!$C$23*3/4)-MAX($V19,DATOS!$C$23*2/4))*PRESIONES!$C$20+(PRESIONES!$M$35-ABERTURAS!$L$63)*MAX(0,MIN($W19,DATOS!$C$23*4/4)-MAX($V19,DATOS!$C$23*3/4))*PRESIONES!$C$21))</f>
        <v>4.60242525241765</v>
      </c>
      <c r="AN19" s="30" t="n">
        <f aca="false">IF($L19&lt;&gt;"OK",0,PRESIONES!$C$12*((PRESIONES!$D$32-ABERTURAS!$L$64)*MAX(0,MIN($W19,DATOS!$C$23*1/4)-MAX($V19,DATOS!$C$23*0/4))*PRESIONES!$C$18+(PRESIONES!$D$33-ABERTURAS!$L$64)*MAX(0,MIN($W19,DATOS!$C$23*2/4)-MAX($V19,DATOS!$C$23*1/4))*PRESIONES!$C$19+(PRESIONES!$D$34-ABERTURAS!$L$64)*MAX(0,MIN($W19,DATOS!$C$23*3/4)-MAX($V19,DATOS!$C$23*2/4))*PRESIONES!$C$20+(PRESIONES!$D$35-ABERTURAS!$L$64)*MAX(0,MIN($W19,DATOS!$C$23*4/4)-MAX($V19,DATOS!$C$23*3/4))*PRESIONES!$C$21))</f>
        <v>0.634817276195537</v>
      </c>
      <c r="AO19" s="30" t="n">
        <f aca="false">IF($L19&lt;&gt;"OK",0,PRESIONES!$C$12*((PRESIONES!$G$32-ABERTURAS!$L$65)*MAX(0,MIN($W19,DATOS!$C$23*1/4)-MAX($V19,DATOS!$C$23*0/4))*PRESIONES!$C$18+(PRESIONES!$G$33-ABERTURAS!$L$65)*MAX(0,MIN($W19,DATOS!$C$23*2/4)-MAX($V19,DATOS!$C$23*1/4))*PRESIONES!$C$19+(PRESIONES!$G$34-ABERTURAS!$L$65)*MAX(0,MIN($W19,DATOS!$C$23*3/4)-MAX($V19,DATOS!$C$23*2/4))*PRESIONES!$C$20+(PRESIONES!$G$35-ABERTURAS!$L$65)*MAX(0,MIN($W19,DATOS!$C$23*4/4)-MAX($V19,DATOS!$C$23*3/4))*PRESIONES!$C$21))</f>
        <v>0.634817276195537</v>
      </c>
      <c r="AP19" s="30" t="n">
        <f aca="false">IF($L19&lt;&gt;"OK",0,PRESIONES!$C$12*((PRESIONES!$J$32-ABERTURAS!$L$66)*MAX(0,MIN($W19,DATOS!$C$23*1/4)-MAX($V19,DATOS!$C$23*0/4))*PRESIONES!$C$18+(PRESIONES!$J$33-ABERTURAS!$L$66)*MAX(0,MIN($W19,DATOS!$C$23*2/4)-MAX($V19,DATOS!$C$23*1/4))*PRESIONES!$C$19+(PRESIONES!$J$34-ABERTURAS!$L$66)*MAX(0,MIN($W19,DATOS!$C$23*3/4)-MAX($V19,DATOS!$C$23*2/4))*PRESIONES!$C$20+(PRESIONES!$J$35-ABERTURAS!$L$66)*MAX(0,MIN($W19,DATOS!$C$23*4/4)-MAX($V19,DATOS!$C$23*3/4))*PRESIONES!$C$21))</f>
        <v>0.317408638097769</v>
      </c>
      <c r="AQ19" s="30" t="n">
        <f aca="false">IF($L19&lt;&gt;"OK",0,PRESIONES!$C$12*((PRESIONES!$M$32-ABERTURAS!$L$67)*MAX(0,MIN($W19,DATOS!$C$23*1/4)-MAX($V19,DATOS!$C$23*0/4))*PRESIONES!$C$18+(PRESIONES!$M$33-ABERTURAS!$L$67)*MAX(0,MIN($W19,DATOS!$C$23*2/4)-MAX($V19,DATOS!$C$23*1/4))*PRESIONES!$C$19+(PRESIONES!$M$34-ABERTURAS!$L$67)*MAX(0,MIN($W19,DATOS!$C$23*3/4)-MAX($V19,DATOS!$C$23*2/4))*PRESIONES!$C$20+(PRESIONES!$M$35-ABERTURAS!$L$67)*MAX(0,MIN($W19,DATOS!$C$23*4/4)-MAX($V19,DATOS!$C$23*3/4))*PRESIONES!$C$21))</f>
        <v>4.60242525241765</v>
      </c>
      <c r="AR19" s="30" t="n">
        <f aca="false">IF($L19&lt;&gt;"OK",0,PRESIONES!$C$12*((PRESIONES!$E$32-ABERTURAS!$L$60)*MAX(0,MIN($W19,DATOS!$C$23*1/4)-MAX($V19,DATOS!$C$23*0/4))+(PRESIONES!$E$33-ABERTURAS!$L$60)*MAX(0,MIN($W19,DATOS!$C$23*2/4)-MAX($V19,DATOS!$C$23*1/4))+(PRESIONES!$E$34-ABERTURAS!$L$60)*MAX(0,MIN($W19,DATOS!$C$23*3/4)-MAX($V19,DATOS!$C$23*2/4))+(PRESIONES!$E$35-ABERTURAS!$L$60)*MAX(0,MIN($W19,DATOS!$C$23*4/4)-MAX($V19,DATOS!$C$23*3/4))))</f>
        <v>-12.6963455239108</v>
      </c>
      <c r="AS19" s="30" t="n">
        <f aca="false">IF($L19&lt;&gt;"OK",0,PRESIONES!$C$12*((PRESIONES!$H$32-ABERTURAS!$L$61)*MAX(0,MIN($W19,DATOS!$C$23*1/4)-MAX($V19,DATOS!$C$23*0/4))+(PRESIONES!$H$33-ABERTURAS!$L$61)*MAX(0,MIN($W19,DATOS!$C$23*2/4)-MAX($V19,DATOS!$C$23*1/4))+(PRESIONES!$H$34-ABERTURAS!$L$61)*MAX(0,MIN($W19,DATOS!$C$23*3/4)-MAX($V19,DATOS!$C$23*2/4))+(PRESIONES!$H$35-ABERTURAS!$L$61)*MAX(0,MIN($W19,DATOS!$C$23*4/4)-MAX($V19,DATOS!$C$23*3/4))))</f>
        <v>-12.6963455239108</v>
      </c>
      <c r="AT19" s="30" t="n">
        <f aca="false">IF($L19&lt;&gt;"OK",0,PRESIONES!$C$12*((PRESIONES!$K$32-ABERTURAS!$L$62)*MAX(0,MIN($W19,DATOS!$C$23*1/4)-MAX($V19,DATOS!$C$23*0/4))+(PRESIONES!$K$33-ABERTURAS!$L$62)*MAX(0,MIN($W19,DATOS!$C$23*2/4)-MAX($V19,DATOS!$C$23*1/4))+(PRESIONES!$K$34-ABERTURAS!$L$62)*MAX(0,MIN($W19,DATOS!$C$23*3/4)-MAX($V19,DATOS!$C$23*2/4))+(PRESIONES!$K$35-ABERTURAS!$L$62)*MAX(0,MIN($W19,DATOS!$C$23*4/4)-MAX($V19,DATOS!$C$23*3/4))))</f>
        <v>-6.34817276195538</v>
      </c>
      <c r="AU19" s="30" t="n">
        <f aca="false">IF($L19&lt;&gt;"OK",0,PRESIONES!$C$12*((PRESIONES!$N$32-ABERTURAS!$L$63)*MAX(0,MIN($W19,DATOS!$C$23*1/4)-MAX($V19,DATOS!$C$23*0/4))+(PRESIONES!$N$33-ABERTURAS!$L$63)*MAX(0,MIN($W19,DATOS!$C$23*2/4)-MAX($V19,DATOS!$C$23*1/4))+(PRESIONES!$N$34-ABERTURAS!$L$63)*MAX(0,MIN($W19,DATOS!$C$23*3/4)-MAX($V19,DATOS!$C$23*2/4))+(PRESIONES!$N$35-ABERTURAS!$L$63)*MAX(0,MIN($W19,DATOS!$C$23*4/4)-MAX($V19,DATOS!$C$23*3/4))))</f>
        <v>-92.048505048353</v>
      </c>
      <c r="AV19" s="30" t="n">
        <f aca="false">IF($L19&lt;&gt;"OK",0,PRESIONES!$C$12*((PRESIONES!$E$32-ABERTURAS!$L$64)*MAX(0,MIN($W19,DATOS!$C$23*1/4)-MAX($V19,DATOS!$C$23*0/4))+(PRESIONES!$E$33-ABERTURAS!$L$64)*MAX(0,MIN($W19,DATOS!$C$23*2/4)-MAX($V19,DATOS!$C$23*1/4))+(PRESIONES!$E$34-ABERTURAS!$L$64)*MAX(0,MIN($W19,DATOS!$C$23*3/4)-MAX($V19,DATOS!$C$23*2/4))+(PRESIONES!$E$35-ABERTURAS!$L$64)*MAX(0,MIN($W19,DATOS!$C$23*4/4)-MAX($V19,DATOS!$C$23*3/4))))</f>
        <v>-12.6963455239108</v>
      </c>
      <c r="AW19" s="30" t="n">
        <f aca="false">IF($L19&lt;&gt;"OK",0,PRESIONES!$C$12*((PRESIONES!$H$32-ABERTURAS!$L$65)*MAX(0,MIN($W19,DATOS!$C$23*1/4)-MAX($V19,DATOS!$C$23*0/4))+(PRESIONES!$H$33-ABERTURAS!$L$65)*MAX(0,MIN($W19,DATOS!$C$23*2/4)-MAX($V19,DATOS!$C$23*1/4))+(PRESIONES!$H$34-ABERTURAS!$L$65)*MAX(0,MIN($W19,DATOS!$C$23*3/4)-MAX($V19,DATOS!$C$23*2/4))+(PRESIONES!$H$35-ABERTURAS!$L$65)*MAX(0,MIN($W19,DATOS!$C$23*4/4)-MAX($V19,DATOS!$C$23*3/4))))</f>
        <v>-12.6963455239108</v>
      </c>
      <c r="AX19" s="30" t="n">
        <f aca="false">IF($L19&lt;&gt;"OK",0,PRESIONES!$C$12*((PRESIONES!$K$32-ABERTURAS!$L$66)*MAX(0,MIN($W19,DATOS!$C$23*1/4)-MAX($V19,DATOS!$C$23*0/4))+(PRESIONES!$K$33-ABERTURAS!$L$66)*MAX(0,MIN($W19,DATOS!$C$23*2/4)-MAX($V19,DATOS!$C$23*1/4))+(PRESIONES!$K$34-ABERTURAS!$L$66)*MAX(0,MIN($W19,DATOS!$C$23*3/4)-MAX($V19,DATOS!$C$23*2/4))+(PRESIONES!$K$35-ABERTURAS!$L$66)*MAX(0,MIN($W19,DATOS!$C$23*4/4)-MAX($V19,DATOS!$C$23*3/4))))</f>
        <v>-6.34817276195538</v>
      </c>
      <c r="AY19" s="30" t="n">
        <f aca="false">IF($L19&lt;&gt;"OK",0,PRESIONES!$C$12*((PRESIONES!$N$32-ABERTURAS!$L$67)*MAX(0,MIN($W19,DATOS!$C$23*1/4)-MAX($V19,DATOS!$C$23*0/4))+(PRESIONES!$N$33-ABERTURAS!$L$67)*MAX(0,MIN($W19,DATOS!$C$23*2/4)-MAX($V19,DATOS!$C$23*1/4))+(PRESIONES!$N$34-ABERTURAS!$L$67)*MAX(0,MIN($W19,DATOS!$C$23*3/4)-MAX($V19,DATOS!$C$23*2/4))+(PRESIONES!$N$35-ABERTURAS!$L$67)*MAX(0,MIN($W19,DATOS!$C$23*4/4)-MAX($V19,DATOS!$C$23*3/4))))</f>
        <v>-92.048505048353</v>
      </c>
      <c r="AZ19" s="30" t="n">
        <f aca="false">IF($L19&lt;&gt;"OK",0,PRESIONES!$C$12*((PRESIONES!$E$32-ABERTURAS!$L$60)*MAX(0,MIN($W19,DATOS!$C$23*1/4)-MAX($V19,DATOS!$C$23*0/4))*PRESIONES!$C$18+(PRESIONES!$E$33-ABERTURAS!$L$60)*MAX(0,MIN($W19,DATOS!$C$23*2/4)-MAX($V19,DATOS!$C$23*1/4))*PRESIONES!$C$19+(PRESIONES!$E$34-ABERTURAS!$L$60)*MAX(0,MIN($W19,DATOS!$C$23*3/4)-MAX($V19,DATOS!$C$23*2/4))*PRESIONES!$C$20+(PRESIONES!$E$35-ABERTURAS!$L$60)*MAX(0,MIN($W19,DATOS!$C$23*4/4)-MAX($V19,DATOS!$C$23*3/4))*PRESIONES!$C$21))</f>
        <v>0.634817276195537</v>
      </c>
      <c r="BA19" s="30" t="n">
        <f aca="false">IF($L19&lt;&gt;"OK",0,PRESIONES!$C$12*((PRESIONES!$H$32-ABERTURAS!$L$61)*MAX(0,MIN($W19,DATOS!$C$23*1/4)-MAX($V19,DATOS!$C$23*0/4))*PRESIONES!$C$18+(PRESIONES!$H$33-ABERTURAS!$L$61)*MAX(0,MIN($W19,DATOS!$C$23*2/4)-MAX($V19,DATOS!$C$23*1/4))*PRESIONES!$C$19+(PRESIONES!$H$34-ABERTURAS!$L$61)*MAX(0,MIN($W19,DATOS!$C$23*3/4)-MAX($V19,DATOS!$C$23*2/4))*PRESIONES!$C$20+(PRESIONES!$H$35-ABERTURAS!$L$61)*MAX(0,MIN($W19,DATOS!$C$23*4/4)-MAX($V19,DATOS!$C$23*3/4))*PRESIONES!$C$21))</f>
        <v>0.634817276195537</v>
      </c>
      <c r="BB19" s="30" t="n">
        <f aca="false">IF($L19&lt;&gt;"OK",0,PRESIONES!$C$12*((PRESIONES!$K$32-ABERTURAS!$L$62)*MAX(0,MIN($W19,DATOS!$C$23*1/4)-MAX($V19,DATOS!$C$23*0/4))*PRESIONES!$C$18+(PRESIONES!$K$33-ABERTURAS!$L$62)*MAX(0,MIN($W19,DATOS!$C$23*2/4)-MAX($V19,DATOS!$C$23*1/4))*PRESIONES!$C$19+(PRESIONES!$K$34-ABERTURAS!$L$62)*MAX(0,MIN($W19,DATOS!$C$23*3/4)-MAX($V19,DATOS!$C$23*2/4))*PRESIONES!$C$20+(PRESIONES!$K$35-ABERTURAS!$L$62)*MAX(0,MIN($W19,DATOS!$C$23*4/4)-MAX($V19,DATOS!$C$23*3/4))*PRESIONES!$C$21))</f>
        <v>0.317408638097769</v>
      </c>
      <c r="BC19" s="30" t="n">
        <f aca="false">IF($L19&lt;&gt;"OK",0,PRESIONES!$C$12*((PRESIONES!$N$32-ABERTURAS!$L$63)*MAX(0,MIN($W19,DATOS!$C$23*1/4)-MAX($V19,DATOS!$C$23*0/4))*PRESIONES!$C$18+(PRESIONES!$N$33-ABERTURAS!$L$63)*MAX(0,MIN($W19,DATOS!$C$23*2/4)-MAX($V19,DATOS!$C$23*1/4))*PRESIONES!$C$19+(PRESIONES!$N$34-ABERTURAS!$L$63)*MAX(0,MIN($W19,DATOS!$C$23*3/4)-MAX($V19,DATOS!$C$23*2/4))*PRESIONES!$C$20+(PRESIONES!$N$35-ABERTURAS!$L$63)*MAX(0,MIN($W19,DATOS!$C$23*4/4)-MAX($V19,DATOS!$C$23*3/4))*PRESIONES!$C$21))</f>
        <v>4.60242525241765</v>
      </c>
      <c r="BD19" s="30" t="n">
        <f aca="false">IF($L19&lt;&gt;"OK",0,PRESIONES!$C$12*((PRESIONES!$E$32-ABERTURAS!$L$64)*MAX(0,MIN($W19,DATOS!$C$23*1/4)-MAX($V19,DATOS!$C$23*0/4))*PRESIONES!$C$18+(PRESIONES!$E$33-ABERTURAS!$L$64)*MAX(0,MIN($W19,DATOS!$C$23*2/4)-MAX($V19,DATOS!$C$23*1/4))*PRESIONES!$C$19+(PRESIONES!$E$34-ABERTURAS!$L$64)*MAX(0,MIN($W19,DATOS!$C$23*3/4)-MAX($V19,DATOS!$C$23*2/4))*PRESIONES!$C$20+(PRESIONES!$E$35-ABERTURAS!$L$64)*MAX(0,MIN($W19,DATOS!$C$23*4/4)-MAX($V19,DATOS!$C$23*3/4))*PRESIONES!$C$21))</f>
        <v>0.634817276195537</v>
      </c>
      <c r="BE19" s="30" t="n">
        <f aca="false">IF($L19&lt;&gt;"OK",0,PRESIONES!$C$12*((PRESIONES!$H$32-ABERTURAS!$L$65)*MAX(0,MIN($W19,DATOS!$C$23*1/4)-MAX($V19,DATOS!$C$23*0/4))*PRESIONES!$C$18+(PRESIONES!$H$33-ABERTURAS!$L$65)*MAX(0,MIN($W19,DATOS!$C$23*2/4)-MAX($V19,DATOS!$C$23*1/4))*PRESIONES!$C$19+(PRESIONES!$H$34-ABERTURAS!$L$65)*MAX(0,MIN($W19,DATOS!$C$23*3/4)-MAX($V19,DATOS!$C$23*2/4))*PRESIONES!$C$20+(PRESIONES!$H$35-ABERTURAS!$L$65)*MAX(0,MIN($W19,DATOS!$C$23*4/4)-MAX($V19,DATOS!$C$23*3/4))*PRESIONES!$C$21))</f>
        <v>0.634817276195537</v>
      </c>
      <c r="BF19" s="30" t="n">
        <f aca="false">IF($L19&lt;&gt;"OK",0,PRESIONES!$C$12*((PRESIONES!$K$32-ABERTURAS!$L$66)*MAX(0,MIN($W19,DATOS!$C$23*1/4)-MAX($V19,DATOS!$C$23*0/4))*PRESIONES!$C$18+(PRESIONES!$K$33-ABERTURAS!$L$66)*MAX(0,MIN($W19,DATOS!$C$23*2/4)-MAX($V19,DATOS!$C$23*1/4))*PRESIONES!$C$19+(PRESIONES!$K$34-ABERTURAS!$L$66)*MAX(0,MIN($W19,DATOS!$C$23*3/4)-MAX($V19,DATOS!$C$23*2/4))*PRESIONES!$C$20+(PRESIONES!$K$35-ABERTURAS!$L$66)*MAX(0,MIN($W19,DATOS!$C$23*4/4)-MAX($V19,DATOS!$C$23*3/4))*PRESIONES!$C$21))</f>
        <v>0.317408638097769</v>
      </c>
      <c r="BG19" s="30" t="n">
        <f aca="false">IF($L19&lt;&gt;"OK",0,PRESIONES!$C$12*((PRESIONES!$N$32-ABERTURAS!$L$67)*MAX(0,MIN($W19,DATOS!$C$23*1/4)-MAX($V19,DATOS!$C$23*0/4))*PRESIONES!$C$18+(PRESIONES!$N$33-ABERTURAS!$L$67)*MAX(0,MIN($W19,DATOS!$C$23*2/4)-MAX($V19,DATOS!$C$23*1/4))*PRESIONES!$C$19+(PRESIONES!$N$34-ABERTURAS!$L$67)*MAX(0,MIN($W19,DATOS!$C$23*3/4)-MAX($V19,DATOS!$C$23*2/4))*PRESIONES!$C$20+(PRESIONES!$N$35-ABERTURAS!$L$67)*MAX(0,MIN($W19,DATOS!$C$23*4/4)-MAX($V19,DATOS!$C$23*3/4))*PRESIONES!$C$21))</f>
        <v>4.60242525241765</v>
      </c>
    </row>
    <row r="20" customFormat="false" ht="16.5" hidden="false" customHeight="true" outlineLevel="0" collapsed="false">
      <c r="B20" s="27" t="s">
        <v>421</v>
      </c>
      <c r="C20" s="17" t="s">
        <v>399</v>
      </c>
      <c r="D20" s="27" t="s">
        <v>422</v>
      </c>
      <c r="E20" s="17" t="s">
        <v>80</v>
      </c>
      <c r="F20" s="49" t="n">
        <v>0</v>
      </c>
      <c r="G20" s="49" t="n">
        <v>10.08</v>
      </c>
      <c r="H20" s="49" t="n">
        <v>14.125</v>
      </c>
      <c r="I20" s="49" t="n">
        <v>15.375</v>
      </c>
      <c r="J20" s="49"/>
      <c r="K20" s="49"/>
      <c r="L20" s="20" t="str">
        <f aca="false">IF($D20="","",IF($C20&lt;&gt;"TECHO","PON TECHO",IF(OR($F20="",$G20="",$H20="",$I20=""),"FALTAN a o b",IF($M20&lt;=0,"a₂ DEBE SER &gt; a₁",IF($N20&lt;=0,"b₂ DEBE SER &gt; b₁",IF(OR($V20&lt;-0.001,$W20&gt;DATOS!$C$23+0.001),"SE SALE DEL TECHO","OK"))))))</f>
        <v>OK</v>
      </c>
      <c r="M20" s="30" t="n">
        <f aca="false">IF($D20="",0,MAX(0,$G20-$F20))</f>
        <v>10.08</v>
      </c>
      <c r="N20" s="30" t="n">
        <f aca="false">MAX(0,$W20-$V20)</f>
        <v>1.25</v>
      </c>
      <c r="O20" s="30" t="n">
        <f aca="false">$M20*$N20</f>
        <v>12.6</v>
      </c>
      <c r="P20" s="30" t="n">
        <v>0</v>
      </c>
      <c r="Q20" s="30" t="n">
        <v>0</v>
      </c>
      <c r="R20" s="30" t="n">
        <f aca="false">$O20</f>
        <v>12.6</v>
      </c>
      <c r="S20" s="30" t="n">
        <f aca="false">$O20</f>
        <v>12.6</v>
      </c>
      <c r="T20" s="50" t="n">
        <f aca="false">IF($D20="",0,DATOS!$C$21)</f>
        <v>10.62</v>
      </c>
      <c r="U20" s="50" t="n">
        <v>0</v>
      </c>
      <c r="V20" s="50" t="n">
        <f aca="false">IF($D20="",0,(N($H20)+IF($J20="",N($H20),$J20))/2)</f>
        <v>14.125</v>
      </c>
      <c r="W20" s="50" t="n">
        <f aca="false">IF($D20="",0,(N($I20)+IF($K20="",N($I20),$K20))/2)</f>
        <v>15.375</v>
      </c>
      <c r="AB20" s="30" t="n">
        <f aca="false">IF($L20&lt;&gt;"OK",0,PRESIONES!$C$12*((PRESIONES!$D$32-ABERTURAS!$L$60)*MAX(0,MIN($W20,DATOS!$C$23*1/4)-MAX($V20,DATOS!$C$23*0/4))+(PRESIONES!$D$33-ABERTURAS!$L$60)*MAX(0,MIN($W20,DATOS!$C$23*2/4)-MAX($V20,DATOS!$C$23*1/4))+(PRESIONES!$D$34-ABERTURAS!$L$60)*MAX(0,MIN($W20,DATOS!$C$23*3/4)-MAX($V20,DATOS!$C$23*2/4))+(PRESIONES!$D$35-ABERTURAS!$L$60)*MAX(0,MIN($W20,DATOS!$C$23*4/4)-MAX($V20,DATOS!$C$23*3/4))))</f>
        <v>-12.2080245422219</v>
      </c>
      <c r="AC20" s="30" t="n">
        <f aca="false">IF($L20&lt;&gt;"OK",0,PRESIONES!$C$12*((PRESIONES!$G$32-ABERTURAS!$L$61)*MAX(0,MIN($W20,DATOS!$C$23*1/4)-MAX($V20,DATOS!$C$23*0/4))+(PRESIONES!$G$33-ABERTURAS!$L$61)*MAX(0,MIN($W20,DATOS!$C$23*2/4)-MAX($V20,DATOS!$C$23*1/4))+(PRESIONES!$G$34-ABERTURAS!$L$61)*MAX(0,MIN($W20,DATOS!$C$23*3/4)-MAX($V20,DATOS!$C$23*2/4))+(PRESIONES!$G$35-ABERTURAS!$L$61)*MAX(0,MIN($W20,DATOS!$C$23*4/4)-MAX($V20,DATOS!$C$23*3/4))))</f>
        <v>-12.2080245422219</v>
      </c>
      <c r="AD20" s="30" t="n">
        <f aca="false">IF($L20&lt;&gt;"OK",0,PRESIONES!$C$12*((PRESIONES!$J$32-ABERTURAS!$L$62)*MAX(0,MIN($W20,DATOS!$C$23*1/4)-MAX($V20,DATOS!$C$23*0/4))+(PRESIONES!$J$33-ABERTURAS!$L$62)*MAX(0,MIN($W20,DATOS!$C$23*2/4)-MAX($V20,DATOS!$C$23*1/4))+(PRESIONES!$J$34-ABERTURAS!$L$62)*MAX(0,MIN($W20,DATOS!$C$23*3/4)-MAX($V20,DATOS!$C$23*2/4))+(PRESIONES!$J$35-ABERTURAS!$L$62)*MAX(0,MIN($W20,DATOS!$C$23*4/4)-MAX($V20,DATOS!$C$23*3/4))))</f>
        <v>-6.10401227111094</v>
      </c>
      <c r="AE20" s="30" t="n">
        <f aca="false">IF($L20&lt;&gt;"OK",0,PRESIONES!$C$12*((PRESIONES!$M$32-ABERTURAS!$L$63)*MAX(0,MIN($W20,DATOS!$C$23*1/4)-MAX($V20,DATOS!$C$23*0/4))+(PRESIONES!$M$33-ABERTURAS!$L$63)*MAX(0,MIN($W20,DATOS!$C$23*2/4)-MAX($V20,DATOS!$C$23*1/4))+(PRESIONES!$M$34-ABERTURAS!$L$63)*MAX(0,MIN($W20,DATOS!$C$23*3/4)-MAX($V20,DATOS!$C$23*2/4))+(PRESIONES!$M$35-ABERTURAS!$L$63)*MAX(0,MIN($W20,DATOS!$C$23*4/4)-MAX($V20,DATOS!$C$23*3/4))))</f>
        <v>-88.5081779311087</v>
      </c>
      <c r="AF20" s="30" t="n">
        <f aca="false">IF($L20&lt;&gt;"OK",0,PRESIONES!$C$12*((PRESIONES!$D$32-ABERTURAS!$L$64)*MAX(0,MIN($W20,DATOS!$C$23*1/4)-MAX($V20,DATOS!$C$23*0/4))+(PRESIONES!$D$33-ABERTURAS!$L$64)*MAX(0,MIN($W20,DATOS!$C$23*2/4)-MAX($V20,DATOS!$C$23*1/4))+(PRESIONES!$D$34-ABERTURAS!$L$64)*MAX(0,MIN($W20,DATOS!$C$23*3/4)-MAX($V20,DATOS!$C$23*2/4))+(PRESIONES!$D$35-ABERTURAS!$L$64)*MAX(0,MIN($W20,DATOS!$C$23*4/4)-MAX($V20,DATOS!$C$23*3/4))))</f>
        <v>-12.2080245422219</v>
      </c>
      <c r="AG20" s="30" t="n">
        <f aca="false">IF($L20&lt;&gt;"OK",0,PRESIONES!$C$12*((PRESIONES!$G$32-ABERTURAS!$L$65)*MAX(0,MIN($W20,DATOS!$C$23*1/4)-MAX($V20,DATOS!$C$23*0/4))+(PRESIONES!$G$33-ABERTURAS!$L$65)*MAX(0,MIN($W20,DATOS!$C$23*2/4)-MAX($V20,DATOS!$C$23*1/4))+(PRESIONES!$G$34-ABERTURAS!$L$65)*MAX(0,MIN($W20,DATOS!$C$23*3/4)-MAX($V20,DATOS!$C$23*2/4))+(PRESIONES!$G$35-ABERTURAS!$L$65)*MAX(0,MIN($W20,DATOS!$C$23*4/4)-MAX($V20,DATOS!$C$23*3/4))))</f>
        <v>-12.2080245422219</v>
      </c>
      <c r="AH20" s="30" t="n">
        <f aca="false">IF($L20&lt;&gt;"OK",0,PRESIONES!$C$12*((PRESIONES!$J$32-ABERTURAS!$L$66)*MAX(0,MIN($W20,DATOS!$C$23*1/4)-MAX($V20,DATOS!$C$23*0/4))+(PRESIONES!$J$33-ABERTURAS!$L$66)*MAX(0,MIN($W20,DATOS!$C$23*2/4)-MAX($V20,DATOS!$C$23*1/4))+(PRESIONES!$J$34-ABERTURAS!$L$66)*MAX(0,MIN($W20,DATOS!$C$23*3/4)-MAX($V20,DATOS!$C$23*2/4))+(PRESIONES!$J$35-ABERTURAS!$L$66)*MAX(0,MIN($W20,DATOS!$C$23*4/4)-MAX($V20,DATOS!$C$23*3/4))))</f>
        <v>-6.10401227111094</v>
      </c>
      <c r="AI20" s="30" t="n">
        <f aca="false">IF($L20&lt;&gt;"OK",0,PRESIONES!$C$12*((PRESIONES!$M$32-ABERTURAS!$L$67)*MAX(0,MIN($W20,DATOS!$C$23*1/4)-MAX($V20,DATOS!$C$23*0/4))+(PRESIONES!$M$33-ABERTURAS!$L$67)*MAX(0,MIN($W20,DATOS!$C$23*2/4)-MAX($V20,DATOS!$C$23*1/4))+(PRESIONES!$M$34-ABERTURAS!$L$67)*MAX(0,MIN($W20,DATOS!$C$23*3/4)-MAX($V20,DATOS!$C$23*2/4))+(PRESIONES!$M$35-ABERTURAS!$L$67)*MAX(0,MIN($W20,DATOS!$C$23*4/4)-MAX($V20,DATOS!$C$23*3/4))))</f>
        <v>-88.5081779311087</v>
      </c>
      <c r="AJ20" s="30" t="n">
        <f aca="false">IF($L20&lt;&gt;"OK",0,PRESIONES!$C$12*((PRESIONES!$D$32-ABERTURAS!$L$60)*MAX(0,MIN($W20,DATOS!$C$23*1/4)-MAX($V20,DATOS!$C$23*0/4))*PRESIONES!$C$18+(PRESIONES!$D$33-ABERTURAS!$L$60)*MAX(0,MIN($W20,DATOS!$C$23*2/4)-MAX($V20,DATOS!$C$23*1/4))*PRESIONES!$C$19+(PRESIONES!$D$34-ABERTURAS!$L$60)*MAX(0,MIN($W20,DATOS!$C$23*3/4)-MAX($V20,DATOS!$C$23*2/4))*PRESIONES!$C$20+(PRESIONES!$D$35-ABERTURAS!$L$60)*MAX(0,MIN($W20,DATOS!$C$23*4/4)-MAX($V20,DATOS!$C$23*3/4))*PRESIONES!$C$21))</f>
        <v>0.610401227111093</v>
      </c>
      <c r="AK20" s="30" t="n">
        <f aca="false">IF($L20&lt;&gt;"OK",0,PRESIONES!$C$12*((PRESIONES!$G$32-ABERTURAS!$L$61)*MAX(0,MIN($W20,DATOS!$C$23*1/4)-MAX($V20,DATOS!$C$23*0/4))*PRESIONES!$C$18+(PRESIONES!$G$33-ABERTURAS!$L$61)*MAX(0,MIN($W20,DATOS!$C$23*2/4)-MAX($V20,DATOS!$C$23*1/4))*PRESIONES!$C$19+(PRESIONES!$G$34-ABERTURAS!$L$61)*MAX(0,MIN($W20,DATOS!$C$23*3/4)-MAX($V20,DATOS!$C$23*2/4))*PRESIONES!$C$20+(PRESIONES!$G$35-ABERTURAS!$L$61)*MAX(0,MIN($W20,DATOS!$C$23*4/4)-MAX($V20,DATOS!$C$23*3/4))*PRESIONES!$C$21))</f>
        <v>0.610401227111093</v>
      </c>
      <c r="AL20" s="30" t="n">
        <f aca="false">IF($L20&lt;&gt;"OK",0,PRESIONES!$C$12*((PRESIONES!$J$32-ABERTURAS!$L$62)*MAX(0,MIN($W20,DATOS!$C$23*1/4)-MAX($V20,DATOS!$C$23*0/4))*PRESIONES!$C$18+(PRESIONES!$J$33-ABERTURAS!$L$62)*MAX(0,MIN($W20,DATOS!$C$23*2/4)-MAX($V20,DATOS!$C$23*1/4))*PRESIONES!$C$19+(PRESIONES!$J$34-ABERTURAS!$L$62)*MAX(0,MIN($W20,DATOS!$C$23*3/4)-MAX($V20,DATOS!$C$23*2/4))*PRESIONES!$C$20+(PRESIONES!$J$35-ABERTURAS!$L$62)*MAX(0,MIN($W20,DATOS!$C$23*4/4)-MAX($V20,DATOS!$C$23*3/4))*PRESIONES!$C$21))</f>
        <v>0.305200613555547</v>
      </c>
      <c r="AM20" s="30" t="n">
        <f aca="false">IF($L20&lt;&gt;"OK",0,PRESIONES!$C$12*((PRESIONES!$M$32-ABERTURAS!$L$63)*MAX(0,MIN($W20,DATOS!$C$23*1/4)-MAX($V20,DATOS!$C$23*0/4))*PRESIONES!$C$18+(PRESIONES!$M$33-ABERTURAS!$L$63)*MAX(0,MIN($W20,DATOS!$C$23*2/4)-MAX($V20,DATOS!$C$23*1/4))*PRESIONES!$C$19+(PRESIONES!$M$34-ABERTURAS!$L$63)*MAX(0,MIN($W20,DATOS!$C$23*3/4)-MAX($V20,DATOS!$C$23*2/4))*PRESIONES!$C$20+(PRESIONES!$M$35-ABERTURAS!$L$63)*MAX(0,MIN($W20,DATOS!$C$23*4/4)-MAX($V20,DATOS!$C$23*3/4))*PRESIONES!$C$21))</f>
        <v>4.42540889655543</v>
      </c>
      <c r="AN20" s="30" t="n">
        <f aca="false">IF($L20&lt;&gt;"OK",0,PRESIONES!$C$12*((PRESIONES!$D$32-ABERTURAS!$L$64)*MAX(0,MIN($W20,DATOS!$C$23*1/4)-MAX($V20,DATOS!$C$23*0/4))*PRESIONES!$C$18+(PRESIONES!$D$33-ABERTURAS!$L$64)*MAX(0,MIN($W20,DATOS!$C$23*2/4)-MAX($V20,DATOS!$C$23*1/4))*PRESIONES!$C$19+(PRESIONES!$D$34-ABERTURAS!$L$64)*MAX(0,MIN($W20,DATOS!$C$23*3/4)-MAX($V20,DATOS!$C$23*2/4))*PRESIONES!$C$20+(PRESIONES!$D$35-ABERTURAS!$L$64)*MAX(0,MIN($W20,DATOS!$C$23*4/4)-MAX($V20,DATOS!$C$23*3/4))*PRESIONES!$C$21))</f>
        <v>0.610401227111093</v>
      </c>
      <c r="AO20" s="30" t="n">
        <f aca="false">IF($L20&lt;&gt;"OK",0,PRESIONES!$C$12*((PRESIONES!$G$32-ABERTURAS!$L$65)*MAX(0,MIN($W20,DATOS!$C$23*1/4)-MAX($V20,DATOS!$C$23*0/4))*PRESIONES!$C$18+(PRESIONES!$G$33-ABERTURAS!$L$65)*MAX(0,MIN($W20,DATOS!$C$23*2/4)-MAX($V20,DATOS!$C$23*1/4))*PRESIONES!$C$19+(PRESIONES!$G$34-ABERTURAS!$L$65)*MAX(0,MIN($W20,DATOS!$C$23*3/4)-MAX($V20,DATOS!$C$23*2/4))*PRESIONES!$C$20+(PRESIONES!$G$35-ABERTURAS!$L$65)*MAX(0,MIN($W20,DATOS!$C$23*4/4)-MAX($V20,DATOS!$C$23*3/4))*PRESIONES!$C$21))</f>
        <v>0.610401227111093</v>
      </c>
      <c r="AP20" s="30" t="n">
        <f aca="false">IF($L20&lt;&gt;"OK",0,PRESIONES!$C$12*((PRESIONES!$J$32-ABERTURAS!$L$66)*MAX(0,MIN($W20,DATOS!$C$23*1/4)-MAX($V20,DATOS!$C$23*0/4))*PRESIONES!$C$18+(PRESIONES!$J$33-ABERTURAS!$L$66)*MAX(0,MIN($W20,DATOS!$C$23*2/4)-MAX($V20,DATOS!$C$23*1/4))*PRESIONES!$C$19+(PRESIONES!$J$34-ABERTURAS!$L$66)*MAX(0,MIN($W20,DATOS!$C$23*3/4)-MAX($V20,DATOS!$C$23*2/4))*PRESIONES!$C$20+(PRESIONES!$J$35-ABERTURAS!$L$66)*MAX(0,MIN($W20,DATOS!$C$23*4/4)-MAX($V20,DATOS!$C$23*3/4))*PRESIONES!$C$21))</f>
        <v>0.305200613555547</v>
      </c>
      <c r="AQ20" s="30" t="n">
        <f aca="false">IF($L20&lt;&gt;"OK",0,PRESIONES!$C$12*((PRESIONES!$M$32-ABERTURAS!$L$67)*MAX(0,MIN($W20,DATOS!$C$23*1/4)-MAX($V20,DATOS!$C$23*0/4))*PRESIONES!$C$18+(PRESIONES!$M$33-ABERTURAS!$L$67)*MAX(0,MIN($W20,DATOS!$C$23*2/4)-MAX($V20,DATOS!$C$23*1/4))*PRESIONES!$C$19+(PRESIONES!$M$34-ABERTURAS!$L$67)*MAX(0,MIN($W20,DATOS!$C$23*3/4)-MAX($V20,DATOS!$C$23*2/4))*PRESIONES!$C$20+(PRESIONES!$M$35-ABERTURAS!$L$67)*MAX(0,MIN($W20,DATOS!$C$23*4/4)-MAX($V20,DATOS!$C$23*3/4))*PRESIONES!$C$21))</f>
        <v>4.42540889655543</v>
      </c>
      <c r="AR20" s="30" t="n">
        <f aca="false">IF($L20&lt;&gt;"OK",0,PRESIONES!$C$12*((PRESIONES!$E$32-ABERTURAS!$L$60)*MAX(0,MIN($W20,DATOS!$C$23*1/4)-MAX($V20,DATOS!$C$23*0/4))+(PRESIONES!$E$33-ABERTURAS!$L$60)*MAX(0,MIN($W20,DATOS!$C$23*2/4)-MAX($V20,DATOS!$C$23*1/4))+(PRESIONES!$E$34-ABERTURAS!$L$60)*MAX(0,MIN($W20,DATOS!$C$23*3/4)-MAX($V20,DATOS!$C$23*2/4))+(PRESIONES!$E$35-ABERTURAS!$L$60)*MAX(0,MIN($W20,DATOS!$C$23*4/4)-MAX($V20,DATOS!$C$23*3/4))))</f>
        <v>-12.2080245422219</v>
      </c>
      <c r="AS20" s="30" t="n">
        <f aca="false">IF($L20&lt;&gt;"OK",0,PRESIONES!$C$12*((PRESIONES!$H$32-ABERTURAS!$L$61)*MAX(0,MIN($W20,DATOS!$C$23*1/4)-MAX($V20,DATOS!$C$23*0/4))+(PRESIONES!$H$33-ABERTURAS!$L$61)*MAX(0,MIN($W20,DATOS!$C$23*2/4)-MAX($V20,DATOS!$C$23*1/4))+(PRESIONES!$H$34-ABERTURAS!$L$61)*MAX(0,MIN($W20,DATOS!$C$23*3/4)-MAX($V20,DATOS!$C$23*2/4))+(PRESIONES!$H$35-ABERTURAS!$L$61)*MAX(0,MIN($W20,DATOS!$C$23*4/4)-MAX($V20,DATOS!$C$23*3/4))))</f>
        <v>-12.2080245422219</v>
      </c>
      <c r="AT20" s="30" t="n">
        <f aca="false">IF($L20&lt;&gt;"OK",0,PRESIONES!$C$12*((PRESIONES!$K$32-ABERTURAS!$L$62)*MAX(0,MIN($W20,DATOS!$C$23*1/4)-MAX($V20,DATOS!$C$23*0/4))+(PRESIONES!$K$33-ABERTURAS!$L$62)*MAX(0,MIN($W20,DATOS!$C$23*2/4)-MAX($V20,DATOS!$C$23*1/4))+(PRESIONES!$K$34-ABERTURAS!$L$62)*MAX(0,MIN($W20,DATOS!$C$23*3/4)-MAX($V20,DATOS!$C$23*2/4))+(PRESIONES!$K$35-ABERTURAS!$L$62)*MAX(0,MIN($W20,DATOS!$C$23*4/4)-MAX($V20,DATOS!$C$23*3/4))))</f>
        <v>-6.10401227111094</v>
      </c>
      <c r="AU20" s="30" t="n">
        <f aca="false">IF($L20&lt;&gt;"OK",0,PRESIONES!$C$12*((PRESIONES!$N$32-ABERTURAS!$L$63)*MAX(0,MIN($W20,DATOS!$C$23*1/4)-MAX($V20,DATOS!$C$23*0/4))+(PRESIONES!$N$33-ABERTURAS!$L$63)*MAX(0,MIN($W20,DATOS!$C$23*2/4)-MAX($V20,DATOS!$C$23*1/4))+(PRESIONES!$N$34-ABERTURAS!$L$63)*MAX(0,MIN($W20,DATOS!$C$23*3/4)-MAX($V20,DATOS!$C$23*2/4))+(PRESIONES!$N$35-ABERTURAS!$L$63)*MAX(0,MIN($W20,DATOS!$C$23*4/4)-MAX($V20,DATOS!$C$23*3/4))))</f>
        <v>-88.5081779311087</v>
      </c>
      <c r="AV20" s="30" t="n">
        <f aca="false">IF($L20&lt;&gt;"OK",0,PRESIONES!$C$12*((PRESIONES!$E$32-ABERTURAS!$L$64)*MAX(0,MIN($W20,DATOS!$C$23*1/4)-MAX($V20,DATOS!$C$23*0/4))+(PRESIONES!$E$33-ABERTURAS!$L$64)*MAX(0,MIN($W20,DATOS!$C$23*2/4)-MAX($V20,DATOS!$C$23*1/4))+(PRESIONES!$E$34-ABERTURAS!$L$64)*MAX(0,MIN($W20,DATOS!$C$23*3/4)-MAX($V20,DATOS!$C$23*2/4))+(PRESIONES!$E$35-ABERTURAS!$L$64)*MAX(0,MIN($W20,DATOS!$C$23*4/4)-MAX($V20,DATOS!$C$23*3/4))))</f>
        <v>-12.2080245422219</v>
      </c>
      <c r="AW20" s="30" t="n">
        <f aca="false">IF($L20&lt;&gt;"OK",0,PRESIONES!$C$12*((PRESIONES!$H$32-ABERTURAS!$L$65)*MAX(0,MIN($W20,DATOS!$C$23*1/4)-MAX($V20,DATOS!$C$23*0/4))+(PRESIONES!$H$33-ABERTURAS!$L$65)*MAX(0,MIN($W20,DATOS!$C$23*2/4)-MAX($V20,DATOS!$C$23*1/4))+(PRESIONES!$H$34-ABERTURAS!$L$65)*MAX(0,MIN($W20,DATOS!$C$23*3/4)-MAX($V20,DATOS!$C$23*2/4))+(PRESIONES!$H$35-ABERTURAS!$L$65)*MAX(0,MIN($W20,DATOS!$C$23*4/4)-MAX($V20,DATOS!$C$23*3/4))))</f>
        <v>-12.2080245422219</v>
      </c>
      <c r="AX20" s="30" t="n">
        <f aca="false">IF($L20&lt;&gt;"OK",0,PRESIONES!$C$12*((PRESIONES!$K$32-ABERTURAS!$L$66)*MAX(0,MIN($W20,DATOS!$C$23*1/4)-MAX($V20,DATOS!$C$23*0/4))+(PRESIONES!$K$33-ABERTURAS!$L$66)*MAX(0,MIN($W20,DATOS!$C$23*2/4)-MAX($V20,DATOS!$C$23*1/4))+(PRESIONES!$K$34-ABERTURAS!$L$66)*MAX(0,MIN($W20,DATOS!$C$23*3/4)-MAX($V20,DATOS!$C$23*2/4))+(PRESIONES!$K$35-ABERTURAS!$L$66)*MAX(0,MIN($W20,DATOS!$C$23*4/4)-MAX($V20,DATOS!$C$23*3/4))))</f>
        <v>-6.10401227111094</v>
      </c>
      <c r="AY20" s="30" t="n">
        <f aca="false">IF($L20&lt;&gt;"OK",0,PRESIONES!$C$12*((PRESIONES!$N$32-ABERTURAS!$L$67)*MAX(0,MIN($W20,DATOS!$C$23*1/4)-MAX($V20,DATOS!$C$23*0/4))+(PRESIONES!$N$33-ABERTURAS!$L$67)*MAX(0,MIN($W20,DATOS!$C$23*2/4)-MAX($V20,DATOS!$C$23*1/4))+(PRESIONES!$N$34-ABERTURAS!$L$67)*MAX(0,MIN($W20,DATOS!$C$23*3/4)-MAX($V20,DATOS!$C$23*2/4))+(PRESIONES!$N$35-ABERTURAS!$L$67)*MAX(0,MIN($W20,DATOS!$C$23*4/4)-MAX($V20,DATOS!$C$23*3/4))))</f>
        <v>-88.5081779311087</v>
      </c>
      <c r="AZ20" s="30" t="n">
        <f aca="false">IF($L20&lt;&gt;"OK",0,PRESIONES!$C$12*((PRESIONES!$E$32-ABERTURAS!$L$60)*MAX(0,MIN($W20,DATOS!$C$23*1/4)-MAX($V20,DATOS!$C$23*0/4))*PRESIONES!$C$18+(PRESIONES!$E$33-ABERTURAS!$L$60)*MAX(0,MIN($W20,DATOS!$C$23*2/4)-MAX($V20,DATOS!$C$23*1/4))*PRESIONES!$C$19+(PRESIONES!$E$34-ABERTURAS!$L$60)*MAX(0,MIN($W20,DATOS!$C$23*3/4)-MAX($V20,DATOS!$C$23*2/4))*PRESIONES!$C$20+(PRESIONES!$E$35-ABERTURAS!$L$60)*MAX(0,MIN($W20,DATOS!$C$23*4/4)-MAX($V20,DATOS!$C$23*3/4))*PRESIONES!$C$21))</f>
        <v>0.610401227111093</v>
      </c>
      <c r="BA20" s="30" t="n">
        <f aca="false">IF($L20&lt;&gt;"OK",0,PRESIONES!$C$12*((PRESIONES!$H$32-ABERTURAS!$L$61)*MAX(0,MIN($W20,DATOS!$C$23*1/4)-MAX($V20,DATOS!$C$23*0/4))*PRESIONES!$C$18+(PRESIONES!$H$33-ABERTURAS!$L$61)*MAX(0,MIN($W20,DATOS!$C$23*2/4)-MAX($V20,DATOS!$C$23*1/4))*PRESIONES!$C$19+(PRESIONES!$H$34-ABERTURAS!$L$61)*MAX(0,MIN($W20,DATOS!$C$23*3/4)-MAX($V20,DATOS!$C$23*2/4))*PRESIONES!$C$20+(PRESIONES!$H$35-ABERTURAS!$L$61)*MAX(0,MIN($W20,DATOS!$C$23*4/4)-MAX($V20,DATOS!$C$23*3/4))*PRESIONES!$C$21))</f>
        <v>0.610401227111093</v>
      </c>
      <c r="BB20" s="30" t="n">
        <f aca="false">IF($L20&lt;&gt;"OK",0,PRESIONES!$C$12*((PRESIONES!$K$32-ABERTURAS!$L$62)*MAX(0,MIN($W20,DATOS!$C$23*1/4)-MAX($V20,DATOS!$C$23*0/4))*PRESIONES!$C$18+(PRESIONES!$K$33-ABERTURAS!$L$62)*MAX(0,MIN($W20,DATOS!$C$23*2/4)-MAX($V20,DATOS!$C$23*1/4))*PRESIONES!$C$19+(PRESIONES!$K$34-ABERTURAS!$L$62)*MAX(0,MIN($W20,DATOS!$C$23*3/4)-MAX($V20,DATOS!$C$23*2/4))*PRESIONES!$C$20+(PRESIONES!$K$35-ABERTURAS!$L$62)*MAX(0,MIN($W20,DATOS!$C$23*4/4)-MAX($V20,DATOS!$C$23*3/4))*PRESIONES!$C$21))</f>
        <v>0.305200613555547</v>
      </c>
      <c r="BC20" s="30" t="n">
        <f aca="false">IF($L20&lt;&gt;"OK",0,PRESIONES!$C$12*((PRESIONES!$N$32-ABERTURAS!$L$63)*MAX(0,MIN($W20,DATOS!$C$23*1/4)-MAX($V20,DATOS!$C$23*0/4))*PRESIONES!$C$18+(PRESIONES!$N$33-ABERTURAS!$L$63)*MAX(0,MIN($W20,DATOS!$C$23*2/4)-MAX($V20,DATOS!$C$23*1/4))*PRESIONES!$C$19+(PRESIONES!$N$34-ABERTURAS!$L$63)*MAX(0,MIN($W20,DATOS!$C$23*3/4)-MAX($V20,DATOS!$C$23*2/4))*PRESIONES!$C$20+(PRESIONES!$N$35-ABERTURAS!$L$63)*MAX(0,MIN($W20,DATOS!$C$23*4/4)-MAX($V20,DATOS!$C$23*3/4))*PRESIONES!$C$21))</f>
        <v>4.42540889655543</v>
      </c>
      <c r="BD20" s="30" t="n">
        <f aca="false">IF($L20&lt;&gt;"OK",0,PRESIONES!$C$12*((PRESIONES!$E$32-ABERTURAS!$L$64)*MAX(0,MIN($W20,DATOS!$C$23*1/4)-MAX($V20,DATOS!$C$23*0/4))*PRESIONES!$C$18+(PRESIONES!$E$33-ABERTURAS!$L$64)*MAX(0,MIN($W20,DATOS!$C$23*2/4)-MAX($V20,DATOS!$C$23*1/4))*PRESIONES!$C$19+(PRESIONES!$E$34-ABERTURAS!$L$64)*MAX(0,MIN($W20,DATOS!$C$23*3/4)-MAX($V20,DATOS!$C$23*2/4))*PRESIONES!$C$20+(PRESIONES!$E$35-ABERTURAS!$L$64)*MAX(0,MIN($W20,DATOS!$C$23*4/4)-MAX($V20,DATOS!$C$23*3/4))*PRESIONES!$C$21))</f>
        <v>0.610401227111093</v>
      </c>
      <c r="BE20" s="30" t="n">
        <f aca="false">IF($L20&lt;&gt;"OK",0,PRESIONES!$C$12*((PRESIONES!$H$32-ABERTURAS!$L$65)*MAX(0,MIN($W20,DATOS!$C$23*1/4)-MAX($V20,DATOS!$C$23*0/4))*PRESIONES!$C$18+(PRESIONES!$H$33-ABERTURAS!$L$65)*MAX(0,MIN($W20,DATOS!$C$23*2/4)-MAX($V20,DATOS!$C$23*1/4))*PRESIONES!$C$19+(PRESIONES!$H$34-ABERTURAS!$L$65)*MAX(0,MIN($W20,DATOS!$C$23*3/4)-MAX($V20,DATOS!$C$23*2/4))*PRESIONES!$C$20+(PRESIONES!$H$35-ABERTURAS!$L$65)*MAX(0,MIN($W20,DATOS!$C$23*4/4)-MAX($V20,DATOS!$C$23*3/4))*PRESIONES!$C$21))</f>
        <v>0.610401227111093</v>
      </c>
      <c r="BF20" s="30" t="n">
        <f aca="false">IF($L20&lt;&gt;"OK",0,PRESIONES!$C$12*((PRESIONES!$K$32-ABERTURAS!$L$66)*MAX(0,MIN($W20,DATOS!$C$23*1/4)-MAX($V20,DATOS!$C$23*0/4))*PRESIONES!$C$18+(PRESIONES!$K$33-ABERTURAS!$L$66)*MAX(0,MIN($W20,DATOS!$C$23*2/4)-MAX($V20,DATOS!$C$23*1/4))*PRESIONES!$C$19+(PRESIONES!$K$34-ABERTURAS!$L$66)*MAX(0,MIN($W20,DATOS!$C$23*3/4)-MAX($V20,DATOS!$C$23*2/4))*PRESIONES!$C$20+(PRESIONES!$K$35-ABERTURAS!$L$66)*MAX(0,MIN($W20,DATOS!$C$23*4/4)-MAX($V20,DATOS!$C$23*3/4))*PRESIONES!$C$21))</f>
        <v>0.305200613555547</v>
      </c>
      <c r="BG20" s="30" t="n">
        <f aca="false">IF($L20&lt;&gt;"OK",0,PRESIONES!$C$12*((PRESIONES!$N$32-ABERTURAS!$L$67)*MAX(0,MIN($W20,DATOS!$C$23*1/4)-MAX($V20,DATOS!$C$23*0/4))*PRESIONES!$C$18+(PRESIONES!$N$33-ABERTURAS!$L$67)*MAX(0,MIN($W20,DATOS!$C$23*2/4)-MAX($V20,DATOS!$C$23*1/4))*PRESIONES!$C$19+(PRESIONES!$N$34-ABERTURAS!$L$67)*MAX(0,MIN($W20,DATOS!$C$23*3/4)-MAX($V20,DATOS!$C$23*2/4))*PRESIONES!$C$20+(PRESIONES!$N$35-ABERTURAS!$L$67)*MAX(0,MIN($W20,DATOS!$C$23*4/4)-MAX($V20,DATOS!$C$23*3/4))*PRESIONES!$C$21))</f>
        <v>4.42540889655543</v>
      </c>
    </row>
    <row r="21" customFormat="false" ht="16.5" hidden="false" customHeight="true" outlineLevel="0" collapsed="false">
      <c r="B21" s="27" t="s">
        <v>423</v>
      </c>
      <c r="C21" s="17" t="s">
        <v>399</v>
      </c>
      <c r="D21" s="27" t="s">
        <v>424</v>
      </c>
      <c r="E21" s="17" t="s">
        <v>80</v>
      </c>
      <c r="F21" s="49" t="n">
        <v>0</v>
      </c>
      <c r="G21" s="49" t="n">
        <v>10.08</v>
      </c>
      <c r="H21" s="49" t="n">
        <v>15.375</v>
      </c>
      <c r="I21" s="49" t="n">
        <v>16</v>
      </c>
      <c r="J21" s="49"/>
      <c r="K21" s="49"/>
      <c r="L21" s="20" t="str">
        <f aca="false">IF($D21="","",IF($C21&lt;&gt;"TECHO","PON TECHO",IF(OR($F21="",$G21="",$H21="",$I21=""),"FALTAN a o b",IF($M21&lt;=0,"a₂ DEBE SER &gt; a₁",IF($N21&lt;=0,"b₂ DEBE SER &gt; b₁",IF(OR($V21&lt;-0.001,$W21&gt;DATOS!$C$23+0.001),"SE SALE DEL TECHO","OK"))))))</f>
        <v>OK</v>
      </c>
      <c r="M21" s="30" t="n">
        <f aca="false">IF($D21="",0,MAX(0,$G21-$F21))</f>
        <v>10.08</v>
      </c>
      <c r="N21" s="30" t="n">
        <f aca="false">MAX(0,$W21-$V21)</f>
        <v>0.625</v>
      </c>
      <c r="O21" s="30" t="n">
        <f aca="false">$M21*$N21</f>
        <v>6.3</v>
      </c>
      <c r="P21" s="30" t="n">
        <v>0</v>
      </c>
      <c r="Q21" s="30" t="n">
        <v>0</v>
      </c>
      <c r="R21" s="30" t="n">
        <f aca="false">$O21</f>
        <v>6.3</v>
      </c>
      <c r="S21" s="30" t="n">
        <f aca="false">$O21</f>
        <v>6.3</v>
      </c>
      <c r="T21" s="50" t="n">
        <f aca="false">IF($D21="",0,DATOS!$C$21)</f>
        <v>10.62</v>
      </c>
      <c r="U21" s="50" t="n">
        <v>0</v>
      </c>
      <c r="V21" s="50" t="n">
        <f aca="false">IF($D21="",0,(N($H21)+IF($J21="",N($H21),$J21))/2)</f>
        <v>15.375</v>
      </c>
      <c r="W21" s="50" t="n">
        <f aca="false">IF($D21="",0,(N($I21)+IF($K21="",N($I21),$K21))/2)</f>
        <v>16</v>
      </c>
      <c r="AB21" s="30" t="n">
        <f aca="false">IF($L21&lt;&gt;"OK",0,PRESIONES!$C$12*((PRESIONES!$D$32-ABERTURAS!$L$60)*MAX(0,MIN($W21,DATOS!$C$23*1/4)-MAX($V21,DATOS!$C$23*0/4))+(PRESIONES!$D$33-ABERTURAS!$L$60)*MAX(0,MIN($W21,DATOS!$C$23*2/4)-MAX($V21,DATOS!$C$23*1/4))+(PRESIONES!$D$34-ABERTURAS!$L$60)*MAX(0,MIN($W21,DATOS!$C$23*3/4)-MAX($V21,DATOS!$C$23*2/4))+(PRESIONES!$D$35-ABERTURAS!$L$60)*MAX(0,MIN($W21,DATOS!$C$23*4/4)-MAX($V21,DATOS!$C$23*3/4))))</f>
        <v>-6.10401227111094</v>
      </c>
      <c r="AC21" s="30" t="n">
        <f aca="false">IF($L21&lt;&gt;"OK",0,PRESIONES!$C$12*((PRESIONES!$G$32-ABERTURAS!$L$61)*MAX(0,MIN($W21,DATOS!$C$23*1/4)-MAX($V21,DATOS!$C$23*0/4))+(PRESIONES!$G$33-ABERTURAS!$L$61)*MAX(0,MIN($W21,DATOS!$C$23*2/4)-MAX($V21,DATOS!$C$23*1/4))+(PRESIONES!$G$34-ABERTURAS!$L$61)*MAX(0,MIN($W21,DATOS!$C$23*3/4)-MAX($V21,DATOS!$C$23*2/4))+(PRESIONES!$G$35-ABERTURAS!$L$61)*MAX(0,MIN($W21,DATOS!$C$23*4/4)-MAX($V21,DATOS!$C$23*3/4))))</f>
        <v>-6.10401227111094</v>
      </c>
      <c r="AD21" s="30" t="n">
        <f aca="false">IF($L21&lt;&gt;"OK",0,PRESIONES!$C$12*((PRESIONES!$J$32-ABERTURAS!$L$62)*MAX(0,MIN($W21,DATOS!$C$23*1/4)-MAX($V21,DATOS!$C$23*0/4))+(PRESIONES!$J$33-ABERTURAS!$L$62)*MAX(0,MIN($W21,DATOS!$C$23*2/4)-MAX($V21,DATOS!$C$23*1/4))+(PRESIONES!$J$34-ABERTURAS!$L$62)*MAX(0,MIN($W21,DATOS!$C$23*3/4)-MAX($V21,DATOS!$C$23*2/4))+(PRESIONES!$J$35-ABERTURAS!$L$62)*MAX(0,MIN($W21,DATOS!$C$23*4/4)-MAX($V21,DATOS!$C$23*3/4))))</f>
        <v>-3.05200613555547</v>
      </c>
      <c r="AE21" s="30" t="n">
        <f aca="false">IF($L21&lt;&gt;"OK",0,PRESIONES!$C$12*((PRESIONES!$M$32-ABERTURAS!$L$63)*MAX(0,MIN($W21,DATOS!$C$23*1/4)-MAX($V21,DATOS!$C$23*0/4))+(PRESIONES!$M$33-ABERTURAS!$L$63)*MAX(0,MIN($W21,DATOS!$C$23*2/4)-MAX($V21,DATOS!$C$23*1/4))+(PRESIONES!$M$34-ABERTURAS!$L$63)*MAX(0,MIN($W21,DATOS!$C$23*3/4)-MAX($V21,DATOS!$C$23*2/4))+(PRESIONES!$M$35-ABERTURAS!$L$63)*MAX(0,MIN($W21,DATOS!$C$23*4/4)-MAX($V21,DATOS!$C$23*3/4))))</f>
        <v>-44.2540889655543</v>
      </c>
      <c r="AF21" s="30" t="n">
        <f aca="false">IF($L21&lt;&gt;"OK",0,PRESIONES!$C$12*((PRESIONES!$D$32-ABERTURAS!$L$64)*MAX(0,MIN($W21,DATOS!$C$23*1/4)-MAX($V21,DATOS!$C$23*0/4))+(PRESIONES!$D$33-ABERTURAS!$L$64)*MAX(0,MIN($W21,DATOS!$C$23*2/4)-MAX($V21,DATOS!$C$23*1/4))+(PRESIONES!$D$34-ABERTURAS!$L$64)*MAX(0,MIN($W21,DATOS!$C$23*3/4)-MAX($V21,DATOS!$C$23*2/4))+(PRESIONES!$D$35-ABERTURAS!$L$64)*MAX(0,MIN($W21,DATOS!$C$23*4/4)-MAX($V21,DATOS!$C$23*3/4))))</f>
        <v>-6.10401227111094</v>
      </c>
      <c r="AG21" s="30" t="n">
        <f aca="false">IF($L21&lt;&gt;"OK",0,PRESIONES!$C$12*((PRESIONES!$G$32-ABERTURAS!$L$65)*MAX(0,MIN($W21,DATOS!$C$23*1/4)-MAX($V21,DATOS!$C$23*0/4))+(PRESIONES!$G$33-ABERTURAS!$L$65)*MAX(0,MIN($W21,DATOS!$C$23*2/4)-MAX($V21,DATOS!$C$23*1/4))+(PRESIONES!$G$34-ABERTURAS!$L$65)*MAX(0,MIN($W21,DATOS!$C$23*3/4)-MAX($V21,DATOS!$C$23*2/4))+(PRESIONES!$G$35-ABERTURAS!$L$65)*MAX(0,MIN($W21,DATOS!$C$23*4/4)-MAX($V21,DATOS!$C$23*3/4))))</f>
        <v>-6.10401227111094</v>
      </c>
      <c r="AH21" s="30" t="n">
        <f aca="false">IF($L21&lt;&gt;"OK",0,PRESIONES!$C$12*((PRESIONES!$J$32-ABERTURAS!$L$66)*MAX(0,MIN($W21,DATOS!$C$23*1/4)-MAX($V21,DATOS!$C$23*0/4))+(PRESIONES!$J$33-ABERTURAS!$L$66)*MAX(0,MIN($W21,DATOS!$C$23*2/4)-MAX($V21,DATOS!$C$23*1/4))+(PRESIONES!$J$34-ABERTURAS!$L$66)*MAX(0,MIN($W21,DATOS!$C$23*3/4)-MAX($V21,DATOS!$C$23*2/4))+(PRESIONES!$J$35-ABERTURAS!$L$66)*MAX(0,MIN($W21,DATOS!$C$23*4/4)-MAX($V21,DATOS!$C$23*3/4))))</f>
        <v>-3.05200613555547</v>
      </c>
      <c r="AI21" s="30" t="n">
        <f aca="false">IF($L21&lt;&gt;"OK",0,PRESIONES!$C$12*((PRESIONES!$M$32-ABERTURAS!$L$67)*MAX(0,MIN($W21,DATOS!$C$23*1/4)-MAX($V21,DATOS!$C$23*0/4))+(PRESIONES!$M$33-ABERTURAS!$L$67)*MAX(0,MIN($W21,DATOS!$C$23*2/4)-MAX($V21,DATOS!$C$23*1/4))+(PRESIONES!$M$34-ABERTURAS!$L$67)*MAX(0,MIN($W21,DATOS!$C$23*3/4)-MAX($V21,DATOS!$C$23*2/4))+(PRESIONES!$M$35-ABERTURAS!$L$67)*MAX(0,MIN($W21,DATOS!$C$23*4/4)-MAX($V21,DATOS!$C$23*3/4))))</f>
        <v>-44.2540889655543</v>
      </c>
      <c r="AJ21" s="30" t="n">
        <f aca="false">IF($L21&lt;&gt;"OK",0,PRESIONES!$C$12*((PRESIONES!$D$32-ABERTURAS!$L$60)*MAX(0,MIN($W21,DATOS!$C$23*1/4)-MAX($V21,DATOS!$C$23*0/4))*PRESIONES!$C$18+(PRESIONES!$D$33-ABERTURAS!$L$60)*MAX(0,MIN($W21,DATOS!$C$23*2/4)-MAX($V21,DATOS!$C$23*1/4))*PRESIONES!$C$19+(PRESIONES!$D$34-ABERTURAS!$L$60)*MAX(0,MIN($W21,DATOS!$C$23*3/4)-MAX($V21,DATOS!$C$23*2/4))*PRESIONES!$C$20+(PRESIONES!$D$35-ABERTURAS!$L$60)*MAX(0,MIN($W21,DATOS!$C$23*4/4)-MAX($V21,DATOS!$C$23*3/4))*PRESIONES!$C$21))</f>
        <v>0.305200613555547</v>
      </c>
      <c r="AK21" s="30" t="n">
        <f aca="false">IF($L21&lt;&gt;"OK",0,PRESIONES!$C$12*((PRESIONES!$G$32-ABERTURAS!$L$61)*MAX(0,MIN($W21,DATOS!$C$23*1/4)-MAX($V21,DATOS!$C$23*0/4))*PRESIONES!$C$18+(PRESIONES!$G$33-ABERTURAS!$L$61)*MAX(0,MIN($W21,DATOS!$C$23*2/4)-MAX($V21,DATOS!$C$23*1/4))*PRESIONES!$C$19+(PRESIONES!$G$34-ABERTURAS!$L$61)*MAX(0,MIN($W21,DATOS!$C$23*3/4)-MAX($V21,DATOS!$C$23*2/4))*PRESIONES!$C$20+(PRESIONES!$G$35-ABERTURAS!$L$61)*MAX(0,MIN($W21,DATOS!$C$23*4/4)-MAX($V21,DATOS!$C$23*3/4))*PRESIONES!$C$21))</f>
        <v>0.305200613555547</v>
      </c>
      <c r="AL21" s="30" t="n">
        <f aca="false">IF($L21&lt;&gt;"OK",0,PRESIONES!$C$12*((PRESIONES!$J$32-ABERTURAS!$L$62)*MAX(0,MIN($W21,DATOS!$C$23*1/4)-MAX($V21,DATOS!$C$23*0/4))*PRESIONES!$C$18+(PRESIONES!$J$33-ABERTURAS!$L$62)*MAX(0,MIN($W21,DATOS!$C$23*2/4)-MAX($V21,DATOS!$C$23*1/4))*PRESIONES!$C$19+(PRESIONES!$J$34-ABERTURAS!$L$62)*MAX(0,MIN($W21,DATOS!$C$23*3/4)-MAX($V21,DATOS!$C$23*2/4))*PRESIONES!$C$20+(PRESIONES!$J$35-ABERTURAS!$L$62)*MAX(0,MIN($W21,DATOS!$C$23*4/4)-MAX($V21,DATOS!$C$23*3/4))*PRESIONES!$C$21))</f>
        <v>0.152600306777773</v>
      </c>
      <c r="AM21" s="30" t="n">
        <f aca="false">IF($L21&lt;&gt;"OK",0,PRESIONES!$C$12*((PRESIONES!$M$32-ABERTURAS!$L$63)*MAX(0,MIN($W21,DATOS!$C$23*1/4)-MAX($V21,DATOS!$C$23*0/4))*PRESIONES!$C$18+(PRESIONES!$M$33-ABERTURAS!$L$63)*MAX(0,MIN($W21,DATOS!$C$23*2/4)-MAX($V21,DATOS!$C$23*1/4))*PRESIONES!$C$19+(PRESIONES!$M$34-ABERTURAS!$L$63)*MAX(0,MIN($W21,DATOS!$C$23*3/4)-MAX($V21,DATOS!$C$23*2/4))*PRESIONES!$C$20+(PRESIONES!$M$35-ABERTURAS!$L$63)*MAX(0,MIN($W21,DATOS!$C$23*4/4)-MAX($V21,DATOS!$C$23*3/4))*PRESIONES!$C$21))</f>
        <v>2.21270444827771</v>
      </c>
      <c r="AN21" s="30" t="n">
        <f aca="false">IF($L21&lt;&gt;"OK",0,PRESIONES!$C$12*((PRESIONES!$D$32-ABERTURAS!$L$64)*MAX(0,MIN($W21,DATOS!$C$23*1/4)-MAX($V21,DATOS!$C$23*0/4))*PRESIONES!$C$18+(PRESIONES!$D$33-ABERTURAS!$L$64)*MAX(0,MIN($W21,DATOS!$C$23*2/4)-MAX($V21,DATOS!$C$23*1/4))*PRESIONES!$C$19+(PRESIONES!$D$34-ABERTURAS!$L$64)*MAX(0,MIN($W21,DATOS!$C$23*3/4)-MAX($V21,DATOS!$C$23*2/4))*PRESIONES!$C$20+(PRESIONES!$D$35-ABERTURAS!$L$64)*MAX(0,MIN($W21,DATOS!$C$23*4/4)-MAX($V21,DATOS!$C$23*3/4))*PRESIONES!$C$21))</f>
        <v>0.305200613555547</v>
      </c>
      <c r="AO21" s="30" t="n">
        <f aca="false">IF($L21&lt;&gt;"OK",0,PRESIONES!$C$12*((PRESIONES!$G$32-ABERTURAS!$L$65)*MAX(0,MIN($W21,DATOS!$C$23*1/4)-MAX($V21,DATOS!$C$23*0/4))*PRESIONES!$C$18+(PRESIONES!$G$33-ABERTURAS!$L$65)*MAX(0,MIN($W21,DATOS!$C$23*2/4)-MAX($V21,DATOS!$C$23*1/4))*PRESIONES!$C$19+(PRESIONES!$G$34-ABERTURAS!$L$65)*MAX(0,MIN($W21,DATOS!$C$23*3/4)-MAX($V21,DATOS!$C$23*2/4))*PRESIONES!$C$20+(PRESIONES!$G$35-ABERTURAS!$L$65)*MAX(0,MIN($W21,DATOS!$C$23*4/4)-MAX($V21,DATOS!$C$23*3/4))*PRESIONES!$C$21))</f>
        <v>0.305200613555547</v>
      </c>
      <c r="AP21" s="30" t="n">
        <f aca="false">IF($L21&lt;&gt;"OK",0,PRESIONES!$C$12*((PRESIONES!$J$32-ABERTURAS!$L$66)*MAX(0,MIN($W21,DATOS!$C$23*1/4)-MAX($V21,DATOS!$C$23*0/4))*PRESIONES!$C$18+(PRESIONES!$J$33-ABERTURAS!$L$66)*MAX(0,MIN($W21,DATOS!$C$23*2/4)-MAX($V21,DATOS!$C$23*1/4))*PRESIONES!$C$19+(PRESIONES!$J$34-ABERTURAS!$L$66)*MAX(0,MIN($W21,DATOS!$C$23*3/4)-MAX($V21,DATOS!$C$23*2/4))*PRESIONES!$C$20+(PRESIONES!$J$35-ABERTURAS!$L$66)*MAX(0,MIN($W21,DATOS!$C$23*4/4)-MAX($V21,DATOS!$C$23*3/4))*PRESIONES!$C$21))</f>
        <v>0.152600306777773</v>
      </c>
      <c r="AQ21" s="30" t="n">
        <f aca="false">IF($L21&lt;&gt;"OK",0,PRESIONES!$C$12*((PRESIONES!$M$32-ABERTURAS!$L$67)*MAX(0,MIN($W21,DATOS!$C$23*1/4)-MAX($V21,DATOS!$C$23*0/4))*PRESIONES!$C$18+(PRESIONES!$M$33-ABERTURAS!$L$67)*MAX(0,MIN($W21,DATOS!$C$23*2/4)-MAX($V21,DATOS!$C$23*1/4))*PRESIONES!$C$19+(PRESIONES!$M$34-ABERTURAS!$L$67)*MAX(0,MIN($W21,DATOS!$C$23*3/4)-MAX($V21,DATOS!$C$23*2/4))*PRESIONES!$C$20+(PRESIONES!$M$35-ABERTURAS!$L$67)*MAX(0,MIN($W21,DATOS!$C$23*4/4)-MAX($V21,DATOS!$C$23*3/4))*PRESIONES!$C$21))</f>
        <v>2.21270444827771</v>
      </c>
      <c r="AR21" s="30" t="n">
        <f aca="false">IF($L21&lt;&gt;"OK",0,PRESIONES!$C$12*((PRESIONES!$E$32-ABERTURAS!$L$60)*MAX(0,MIN($W21,DATOS!$C$23*1/4)-MAX($V21,DATOS!$C$23*0/4))+(PRESIONES!$E$33-ABERTURAS!$L$60)*MAX(0,MIN($W21,DATOS!$C$23*2/4)-MAX($V21,DATOS!$C$23*1/4))+(PRESIONES!$E$34-ABERTURAS!$L$60)*MAX(0,MIN($W21,DATOS!$C$23*3/4)-MAX($V21,DATOS!$C$23*2/4))+(PRESIONES!$E$35-ABERTURAS!$L$60)*MAX(0,MIN($W21,DATOS!$C$23*4/4)-MAX($V21,DATOS!$C$23*3/4))))</f>
        <v>-6.10401227111094</v>
      </c>
      <c r="AS21" s="30" t="n">
        <f aca="false">IF($L21&lt;&gt;"OK",0,PRESIONES!$C$12*((PRESIONES!$H$32-ABERTURAS!$L$61)*MAX(0,MIN($W21,DATOS!$C$23*1/4)-MAX($V21,DATOS!$C$23*0/4))+(PRESIONES!$H$33-ABERTURAS!$L$61)*MAX(0,MIN($W21,DATOS!$C$23*2/4)-MAX($V21,DATOS!$C$23*1/4))+(PRESIONES!$H$34-ABERTURAS!$L$61)*MAX(0,MIN($W21,DATOS!$C$23*3/4)-MAX($V21,DATOS!$C$23*2/4))+(PRESIONES!$H$35-ABERTURAS!$L$61)*MAX(0,MIN($W21,DATOS!$C$23*4/4)-MAX($V21,DATOS!$C$23*3/4))))</f>
        <v>-6.10401227111094</v>
      </c>
      <c r="AT21" s="30" t="n">
        <f aca="false">IF($L21&lt;&gt;"OK",0,PRESIONES!$C$12*((PRESIONES!$K$32-ABERTURAS!$L$62)*MAX(0,MIN($W21,DATOS!$C$23*1/4)-MAX($V21,DATOS!$C$23*0/4))+(PRESIONES!$K$33-ABERTURAS!$L$62)*MAX(0,MIN($W21,DATOS!$C$23*2/4)-MAX($V21,DATOS!$C$23*1/4))+(PRESIONES!$K$34-ABERTURAS!$L$62)*MAX(0,MIN($W21,DATOS!$C$23*3/4)-MAX($V21,DATOS!$C$23*2/4))+(PRESIONES!$K$35-ABERTURAS!$L$62)*MAX(0,MIN($W21,DATOS!$C$23*4/4)-MAX($V21,DATOS!$C$23*3/4))))</f>
        <v>-3.05200613555547</v>
      </c>
      <c r="AU21" s="30" t="n">
        <f aca="false">IF($L21&lt;&gt;"OK",0,PRESIONES!$C$12*((PRESIONES!$N$32-ABERTURAS!$L$63)*MAX(0,MIN($W21,DATOS!$C$23*1/4)-MAX($V21,DATOS!$C$23*0/4))+(PRESIONES!$N$33-ABERTURAS!$L$63)*MAX(0,MIN($W21,DATOS!$C$23*2/4)-MAX($V21,DATOS!$C$23*1/4))+(PRESIONES!$N$34-ABERTURAS!$L$63)*MAX(0,MIN($W21,DATOS!$C$23*3/4)-MAX($V21,DATOS!$C$23*2/4))+(PRESIONES!$N$35-ABERTURAS!$L$63)*MAX(0,MIN($W21,DATOS!$C$23*4/4)-MAX($V21,DATOS!$C$23*3/4))))</f>
        <v>-44.2540889655543</v>
      </c>
      <c r="AV21" s="30" t="n">
        <f aca="false">IF($L21&lt;&gt;"OK",0,PRESIONES!$C$12*((PRESIONES!$E$32-ABERTURAS!$L$64)*MAX(0,MIN($W21,DATOS!$C$23*1/4)-MAX($V21,DATOS!$C$23*0/4))+(PRESIONES!$E$33-ABERTURAS!$L$64)*MAX(0,MIN($W21,DATOS!$C$23*2/4)-MAX($V21,DATOS!$C$23*1/4))+(PRESIONES!$E$34-ABERTURAS!$L$64)*MAX(0,MIN($W21,DATOS!$C$23*3/4)-MAX($V21,DATOS!$C$23*2/4))+(PRESIONES!$E$35-ABERTURAS!$L$64)*MAX(0,MIN($W21,DATOS!$C$23*4/4)-MAX($V21,DATOS!$C$23*3/4))))</f>
        <v>-6.10401227111094</v>
      </c>
      <c r="AW21" s="30" t="n">
        <f aca="false">IF($L21&lt;&gt;"OK",0,PRESIONES!$C$12*((PRESIONES!$H$32-ABERTURAS!$L$65)*MAX(0,MIN($W21,DATOS!$C$23*1/4)-MAX($V21,DATOS!$C$23*0/4))+(PRESIONES!$H$33-ABERTURAS!$L$65)*MAX(0,MIN($W21,DATOS!$C$23*2/4)-MAX($V21,DATOS!$C$23*1/4))+(PRESIONES!$H$34-ABERTURAS!$L$65)*MAX(0,MIN($W21,DATOS!$C$23*3/4)-MAX($V21,DATOS!$C$23*2/4))+(PRESIONES!$H$35-ABERTURAS!$L$65)*MAX(0,MIN($W21,DATOS!$C$23*4/4)-MAX($V21,DATOS!$C$23*3/4))))</f>
        <v>-6.10401227111094</v>
      </c>
      <c r="AX21" s="30" t="n">
        <f aca="false">IF($L21&lt;&gt;"OK",0,PRESIONES!$C$12*((PRESIONES!$K$32-ABERTURAS!$L$66)*MAX(0,MIN($W21,DATOS!$C$23*1/4)-MAX($V21,DATOS!$C$23*0/4))+(PRESIONES!$K$33-ABERTURAS!$L$66)*MAX(0,MIN($W21,DATOS!$C$23*2/4)-MAX($V21,DATOS!$C$23*1/4))+(PRESIONES!$K$34-ABERTURAS!$L$66)*MAX(0,MIN($W21,DATOS!$C$23*3/4)-MAX($V21,DATOS!$C$23*2/4))+(PRESIONES!$K$35-ABERTURAS!$L$66)*MAX(0,MIN($W21,DATOS!$C$23*4/4)-MAX($V21,DATOS!$C$23*3/4))))</f>
        <v>-3.05200613555547</v>
      </c>
      <c r="AY21" s="30" t="n">
        <f aca="false">IF($L21&lt;&gt;"OK",0,PRESIONES!$C$12*((PRESIONES!$N$32-ABERTURAS!$L$67)*MAX(0,MIN($W21,DATOS!$C$23*1/4)-MAX($V21,DATOS!$C$23*0/4))+(PRESIONES!$N$33-ABERTURAS!$L$67)*MAX(0,MIN($W21,DATOS!$C$23*2/4)-MAX($V21,DATOS!$C$23*1/4))+(PRESIONES!$N$34-ABERTURAS!$L$67)*MAX(0,MIN($W21,DATOS!$C$23*3/4)-MAX($V21,DATOS!$C$23*2/4))+(PRESIONES!$N$35-ABERTURAS!$L$67)*MAX(0,MIN($W21,DATOS!$C$23*4/4)-MAX($V21,DATOS!$C$23*3/4))))</f>
        <v>-44.2540889655543</v>
      </c>
      <c r="AZ21" s="30" t="n">
        <f aca="false">IF($L21&lt;&gt;"OK",0,PRESIONES!$C$12*((PRESIONES!$E$32-ABERTURAS!$L$60)*MAX(0,MIN($W21,DATOS!$C$23*1/4)-MAX($V21,DATOS!$C$23*0/4))*PRESIONES!$C$18+(PRESIONES!$E$33-ABERTURAS!$L$60)*MAX(0,MIN($W21,DATOS!$C$23*2/4)-MAX($V21,DATOS!$C$23*1/4))*PRESIONES!$C$19+(PRESIONES!$E$34-ABERTURAS!$L$60)*MAX(0,MIN($W21,DATOS!$C$23*3/4)-MAX($V21,DATOS!$C$23*2/4))*PRESIONES!$C$20+(PRESIONES!$E$35-ABERTURAS!$L$60)*MAX(0,MIN($W21,DATOS!$C$23*4/4)-MAX($V21,DATOS!$C$23*3/4))*PRESIONES!$C$21))</f>
        <v>0.305200613555547</v>
      </c>
      <c r="BA21" s="30" t="n">
        <f aca="false">IF($L21&lt;&gt;"OK",0,PRESIONES!$C$12*((PRESIONES!$H$32-ABERTURAS!$L$61)*MAX(0,MIN($W21,DATOS!$C$23*1/4)-MAX($V21,DATOS!$C$23*0/4))*PRESIONES!$C$18+(PRESIONES!$H$33-ABERTURAS!$L$61)*MAX(0,MIN($W21,DATOS!$C$23*2/4)-MAX($V21,DATOS!$C$23*1/4))*PRESIONES!$C$19+(PRESIONES!$H$34-ABERTURAS!$L$61)*MAX(0,MIN($W21,DATOS!$C$23*3/4)-MAX($V21,DATOS!$C$23*2/4))*PRESIONES!$C$20+(PRESIONES!$H$35-ABERTURAS!$L$61)*MAX(0,MIN($W21,DATOS!$C$23*4/4)-MAX($V21,DATOS!$C$23*3/4))*PRESIONES!$C$21))</f>
        <v>0.305200613555547</v>
      </c>
      <c r="BB21" s="30" t="n">
        <f aca="false">IF($L21&lt;&gt;"OK",0,PRESIONES!$C$12*((PRESIONES!$K$32-ABERTURAS!$L$62)*MAX(0,MIN($W21,DATOS!$C$23*1/4)-MAX($V21,DATOS!$C$23*0/4))*PRESIONES!$C$18+(PRESIONES!$K$33-ABERTURAS!$L$62)*MAX(0,MIN($W21,DATOS!$C$23*2/4)-MAX($V21,DATOS!$C$23*1/4))*PRESIONES!$C$19+(PRESIONES!$K$34-ABERTURAS!$L$62)*MAX(0,MIN($W21,DATOS!$C$23*3/4)-MAX($V21,DATOS!$C$23*2/4))*PRESIONES!$C$20+(PRESIONES!$K$35-ABERTURAS!$L$62)*MAX(0,MIN($W21,DATOS!$C$23*4/4)-MAX($V21,DATOS!$C$23*3/4))*PRESIONES!$C$21))</f>
        <v>0.152600306777773</v>
      </c>
      <c r="BC21" s="30" t="n">
        <f aca="false">IF($L21&lt;&gt;"OK",0,PRESIONES!$C$12*((PRESIONES!$N$32-ABERTURAS!$L$63)*MAX(0,MIN($W21,DATOS!$C$23*1/4)-MAX($V21,DATOS!$C$23*0/4))*PRESIONES!$C$18+(PRESIONES!$N$33-ABERTURAS!$L$63)*MAX(0,MIN($W21,DATOS!$C$23*2/4)-MAX($V21,DATOS!$C$23*1/4))*PRESIONES!$C$19+(PRESIONES!$N$34-ABERTURAS!$L$63)*MAX(0,MIN($W21,DATOS!$C$23*3/4)-MAX($V21,DATOS!$C$23*2/4))*PRESIONES!$C$20+(PRESIONES!$N$35-ABERTURAS!$L$63)*MAX(0,MIN($W21,DATOS!$C$23*4/4)-MAX($V21,DATOS!$C$23*3/4))*PRESIONES!$C$21))</f>
        <v>2.21270444827771</v>
      </c>
      <c r="BD21" s="30" t="n">
        <f aca="false">IF($L21&lt;&gt;"OK",0,PRESIONES!$C$12*((PRESIONES!$E$32-ABERTURAS!$L$64)*MAX(0,MIN($W21,DATOS!$C$23*1/4)-MAX($V21,DATOS!$C$23*0/4))*PRESIONES!$C$18+(PRESIONES!$E$33-ABERTURAS!$L$64)*MAX(0,MIN($W21,DATOS!$C$23*2/4)-MAX($V21,DATOS!$C$23*1/4))*PRESIONES!$C$19+(PRESIONES!$E$34-ABERTURAS!$L$64)*MAX(0,MIN($W21,DATOS!$C$23*3/4)-MAX($V21,DATOS!$C$23*2/4))*PRESIONES!$C$20+(PRESIONES!$E$35-ABERTURAS!$L$64)*MAX(0,MIN($W21,DATOS!$C$23*4/4)-MAX($V21,DATOS!$C$23*3/4))*PRESIONES!$C$21))</f>
        <v>0.305200613555547</v>
      </c>
      <c r="BE21" s="30" t="n">
        <f aca="false">IF($L21&lt;&gt;"OK",0,PRESIONES!$C$12*((PRESIONES!$H$32-ABERTURAS!$L$65)*MAX(0,MIN($W21,DATOS!$C$23*1/4)-MAX($V21,DATOS!$C$23*0/4))*PRESIONES!$C$18+(PRESIONES!$H$33-ABERTURAS!$L$65)*MAX(0,MIN($W21,DATOS!$C$23*2/4)-MAX($V21,DATOS!$C$23*1/4))*PRESIONES!$C$19+(PRESIONES!$H$34-ABERTURAS!$L$65)*MAX(0,MIN($W21,DATOS!$C$23*3/4)-MAX($V21,DATOS!$C$23*2/4))*PRESIONES!$C$20+(PRESIONES!$H$35-ABERTURAS!$L$65)*MAX(0,MIN($W21,DATOS!$C$23*4/4)-MAX($V21,DATOS!$C$23*3/4))*PRESIONES!$C$21))</f>
        <v>0.305200613555547</v>
      </c>
      <c r="BF21" s="30" t="n">
        <f aca="false">IF($L21&lt;&gt;"OK",0,PRESIONES!$C$12*((PRESIONES!$K$32-ABERTURAS!$L$66)*MAX(0,MIN($W21,DATOS!$C$23*1/4)-MAX($V21,DATOS!$C$23*0/4))*PRESIONES!$C$18+(PRESIONES!$K$33-ABERTURAS!$L$66)*MAX(0,MIN($W21,DATOS!$C$23*2/4)-MAX($V21,DATOS!$C$23*1/4))*PRESIONES!$C$19+(PRESIONES!$K$34-ABERTURAS!$L$66)*MAX(0,MIN($W21,DATOS!$C$23*3/4)-MAX($V21,DATOS!$C$23*2/4))*PRESIONES!$C$20+(PRESIONES!$K$35-ABERTURAS!$L$66)*MAX(0,MIN($W21,DATOS!$C$23*4/4)-MAX($V21,DATOS!$C$23*3/4))*PRESIONES!$C$21))</f>
        <v>0.152600306777773</v>
      </c>
      <c r="BG21" s="30" t="n">
        <f aca="false">IF($L21&lt;&gt;"OK",0,PRESIONES!$C$12*((PRESIONES!$N$32-ABERTURAS!$L$67)*MAX(0,MIN($W21,DATOS!$C$23*1/4)-MAX($V21,DATOS!$C$23*0/4))*PRESIONES!$C$18+(PRESIONES!$N$33-ABERTURAS!$L$67)*MAX(0,MIN($W21,DATOS!$C$23*2/4)-MAX($V21,DATOS!$C$23*1/4))*PRESIONES!$C$19+(PRESIONES!$N$34-ABERTURAS!$L$67)*MAX(0,MIN($W21,DATOS!$C$23*3/4)-MAX($V21,DATOS!$C$23*2/4))*PRESIONES!$C$20+(PRESIONES!$N$35-ABERTURAS!$L$67)*MAX(0,MIN($W21,DATOS!$C$23*4/4)-MAX($V21,DATOS!$C$23*3/4))*PRESIONES!$C$21))</f>
        <v>2.21270444827771</v>
      </c>
    </row>
    <row r="22" customFormat="false" ht="15" hidden="false" customHeight="true" outlineLevel="0" collapsed="false">
      <c r="B22" s="27"/>
      <c r="C22" s="17"/>
      <c r="D22" s="27"/>
      <c r="E22" s="17"/>
      <c r="F22" s="49"/>
      <c r="G22" s="49"/>
      <c r="H22" s="49"/>
      <c r="I22" s="49"/>
      <c r="J22" s="49"/>
      <c r="K22" s="49"/>
      <c r="L22" s="20" t="str">
        <f aca="false">IF($D22="","",IF($C22&lt;&gt;"TECHO","PON TECHO",IF(OR($F22="",$G22="",$H22="",$I22=""),"FALTAN a o b",IF($M22&lt;=0,"a₂ DEBE SER &gt; a₁",IF($N22&lt;=0,"b₂ DEBE SER &gt; b₁",IF(OR($V22&lt;-0.001,$W22&gt;DATOS!$C$23+0.001),"SE SALE DEL TECHO","OK"))))))</f>
        <v/>
      </c>
      <c r="M22" s="30" t="n">
        <f aca="false">IF($D22="",0,MAX(0,$G22-$F22))</f>
        <v>0</v>
      </c>
      <c r="N22" s="30" t="n">
        <f aca="false">MAX(0,$W22-$V22)</f>
        <v>0</v>
      </c>
      <c r="O22" s="30" t="n">
        <f aca="false">$M22*$N22</f>
        <v>0</v>
      </c>
      <c r="P22" s="30" t="n">
        <v>0</v>
      </c>
      <c r="Q22" s="30" t="n">
        <v>0</v>
      </c>
      <c r="R22" s="30" t="n">
        <f aca="false">$O22</f>
        <v>0</v>
      </c>
      <c r="S22" s="30" t="n">
        <f aca="false">$O22</f>
        <v>0</v>
      </c>
      <c r="T22" s="50" t="n">
        <f aca="false">IF($D22="",0,DATOS!$C$21)</f>
        <v>0</v>
      </c>
      <c r="U22" s="50" t="n">
        <v>0</v>
      </c>
      <c r="V22" s="50" t="n">
        <f aca="false">IF($D22="",0,(N($H22)+IF($J22="",N($H22),$J22))/2)</f>
        <v>0</v>
      </c>
      <c r="W22" s="50" t="n">
        <f aca="false">IF($D22="",0,(N($I22)+IF($K22="",N($I22),$K22))/2)</f>
        <v>0</v>
      </c>
      <c r="AB22" s="30" t="n">
        <f aca="false">IF($L22&lt;&gt;"OK",0,PRESIONES!$C$12*((PRESIONES!$D$32-ABERTURAS!$L$60)*MAX(0,MIN($W22,DATOS!$C$23*1/4)-MAX($V22,DATOS!$C$23*0/4))+(PRESIONES!$D$33-ABERTURAS!$L$60)*MAX(0,MIN($W22,DATOS!$C$23*2/4)-MAX($V22,DATOS!$C$23*1/4))+(PRESIONES!$D$34-ABERTURAS!$L$60)*MAX(0,MIN($W22,DATOS!$C$23*3/4)-MAX($V22,DATOS!$C$23*2/4))+(PRESIONES!$D$35-ABERTURAS!$L$60)*MAX(0,MIN($W22,DATOS!$C$23*4/4)-MAX($V22,DATOS!$C$23*3/4))))</f>
        <v>0</v>
      </c>
      <c r="AC22" s="30" t="n">
        <f aca="false">IF($L22&lt;&gt;"OK",0,PRESIONES!$C$12*((PRESIONES!$G$32-ABERTURAS!$L$61)*MAX(0,MIN($W22,DATOS!$C$23*1/4)-MAX($V22,DATOS!$C$23*0/4))+(PRESIONES!$G$33-ABERTURAS!$L$61)*MAX(0,MIN($W22,DATOS!$C$23*2/4)-MAX($V22,DATOS!$C$23*1/4))+(PRESIONES!$G$34-ABERTURAS!$L$61)*MAX(0,MIN($W22,DATOS!$C$23*3/4)-MAX($V22,DATOS!$C$23*2/4))+(PRESIONES!$G$35-ABERTURAS!$L$61)*MAX(0,MIN($W22,DATOS!$C$23*4/4)-MAX($V22,DATOS!$C$23*3/4))))</f>
        <v>0</v>
      </c>
      <c r="AD22" s="30" t="n">
        <f aca="false">IF($L22&lt;&gt;"OK",0,PRESIONES!$C$12*((PRESIONES!$J$32-ABERTURAS!$L$62)*MAX(0,MIN($W22,DATOS!$C$23*1/4)-MAX($V22,DATOS!$C$23*0/4))+(PRESIONES!$J$33-ABERTURAS!$L$62)*MAX(0,MIN($W22,DATOS!$C$23*2/4)-MAX($V22,DATOS!$C$23*1/4))+(PRESIONES!$J$34-ABERTURAS!$L$62)*MAX(0,MIN($W22,DATOS!$C$23*3/4)-MAX($V22,DATOS!$C$23*2/4))+(PRESIONES!$J$35-ABERTURAS!$L$62)*MAX(0,MIN($W22,DATOS!$C$23*4/4)-MAX($V22,DATOS!$C$23*3/4))))</f>
        <v>0</v>
      </c>
      <c r="AE22" s="30" t="n">
        <f aca="false">IF($L22&lt;&gt;"OK",0,PRESIONES!$C$12*((PRESIONES!$M$32-ABERTURAS!$L$63)*MAX(0,MIN($W22,DATOS!$C$23*1/4)-MAX($V22,DATOS!$C$23*0/4))+(PRESIONES!$M$33-ABERTURAS!$L$63)*MAX(0,MIN($W22,DATOS!$C$23*2/4)-MAX($V22,DATOS!$C$23*1/4))+(PRESIONES!$M$34-ABERTURAS!$L$63)*MAX(0,MIN($W22,DATOS!$C$23*3/4)-MAX($V22,DATOS!$C$23*2/4))+(PRESIONES!$M$35-ABERTURAS!$L$63)*MAX(0,MIN($W22,DATOS!$C$23*4/4)-MAX($V22,DATOS!$C$23*3/4))))</f>
        <v>0</v>
      </c>
      <c r="AF22" s="30" t="n">
        <f aca="false">IF($L22&lt;&gt;"OK",0,PRESIONES!$C$12*((PRESIONES!$D$32-ABERTURAS!$L$64)*MAX(0,MIN($W22,DATOS!$C$23*1/4)-MAX($V22,DATOS!$C$23*0/4))+(PRESIONES!$D$33-ABERTURAS!$L$64)*MAX(0,MIN($W22,DATOS!$C$23*2/4)-MAX($V22,DATOS!$C$23*1/4))+(PRESIONES!$D$34-ABERTURAS!$L$64)*MAX(0,MIN($W22,DATOS!$C$23*3/4)-MAX($V22,DATOS!$C$23*2/4))+(PRESIONES!$D$35-ABERTURAS!$L$64)*MAX(0,MIN($W22,DATOS!$C$23*4/4)-MAX($V22,DATOS!$C$23*3/4))))</f>
        <v>0</v>
      </c>
      <c r="AG22" s="30" t="n">
        <f aca="false">IF($L22&lt;&gt;"OK",0,PRESIONES!$C$12*((PRESIONES!$G$32-ABERTURAS!$L$65)*MAX(0,MIN($W22,DATOS!$C$23*1/4)-MAX($V22,DATOS!$C$23*0/4))+(PRESIONES!$G$33-ABERTURAS!$L$65)*MAX(0,MIN($W22,DATOS!$C$23*2/4)-MAX($V22,DATOS!$C$23*1/4))+(PRESIONES!$G$34-ABERTURAS!$L$65)*MAX(0,MIN($W22,DATOS!$C$23*3/4)-MAX($V22,DATOS!$C$23*2/4))+(PRESIONES!$G$35-ABERTURAS!$L$65)*MAX(0,MIN($W22,DATOS!$C$23*4/4)-MAX($V22,DATOS!$C$23*3/4))))</f>
        <v>0</v>
      </c>
      <c r="AH22" s="30" t="n">
        <f aca="false">IF($L22&lt;&gt;"OK",0,PRESIONES!$C$12*((PRESIONES!$J$32-ABERTURAS!$L$66)*MAX(0,MIN($W22,DATOS!$C$23*1/4)-MAX($V22,DATOS!$C$23*0/4))+(PRESIONES!$J$33-ABERTURAS!$L$66)*MAX(0,MIN($W22,DATOS!$C$23*2/4)-MAX($V22,DATOS!$C$23*1/4))+(PRESIONES!$J$34-ABERTURAS!$L$66)*MAX(0,MIN($W22,DATOS!$C$23*3/4)-MAX($V22,DATOS!$C$23*2/4))+(PRESIONES!$J$35-ABERTURAS!$L$66)*MAX(0,MIN($W22,DATOS!$C$23*4/4)-MAX($V22,DATOS!$C$23*3/4))))</f>
        <v>0</v>
      </c>
      <c r="AI22" s="30" t="n">
        <f aca="false">IF($L22&lt;&gt;"OK",0,PRESIONES!$C$12*((PRESIONES!$M$32-ABERTURAS!$L$67)*MAX(0,MIN($W22,DATOS!$C$23*1/4)-MAX($V22,DATOS!$C$23*0/4))+(PRESIONES!$M$33-ABERTURAS!$L$67)*MAX(0,MIN($W22,DATOS!$C$23*2/4)-MAX($V22,DATOS!$C$23*1/4))+(PRESIONES!$M$34-ABERTURAS!$L$67)*MAX(0,MIN($W22,DATOS!$C$23*3/4)-MAX($V22,DATOS!$C$23*2/4))+(PRESIONES!$M$35-ABERTURAS!$L$67)*MAX(0,MIN($W22,DATOS!$C$23*4/4)-MAX($V22,DATOS!$C$23*3/4))))</f>
        <v>0</v>
      </c>
      <c r="AJ22" s="30" t="n">
        <f aca="false">IF($L22&lt;&gt;"OK",0,PRESIONES!$C$12*((PRESIONES!$D$32-ABERTURAS!$L$60)*MAX(0,MIN($W22,DATOS!$C$23*1/4)-MAX($V22,DATOS!$C$23*0/4))*PRESIONES!$C$18+(PRESIONES!$D$33-ABERTURAS!$L$60)*MAX(0,MIN($W22,DATOS!$C$23*2/4)-MAX($V22,DATOS!$C$23*1/4))*PRESIONES!$C$19+(PRESIONES!$D$34-ABERTURAS!$L$60)*MAX(0,MIN($W22,DATOS!$C$23*3/4)-MAX($V22,DATOS!$C$23*2/4))*PRESIONES!$C$20+(PRESIONES!$D$35-ABERTURAS!$L$60)*MAX(0,MIN($W22,DATOS!$C$23*4/4)-MAX($V22,DATOS!$C$23*3/4))*PRESIONES!$C$21))</f>
        <v>0</v>
      </c>
      <c r="AK22" s="30" t="n">
        <f aca="false">IF($L22&lt;&gt;"OK",0,PRESIONES!$C$12*((PRESIONES!$G$32-ABERTURAS!$L$61)*MAX(0,MIN($W22,DATOS!$C$23*1/4)-MAX($V22,DATOS!$C$23*0/4))*PRESIONES!$C$18+(PRESIONES!$G$33-ABERTURAS!$L$61)*MAX(0,MIN($W22,DATOS!$C$23*2/4)-MAX($V22,DATOS!$C$23*1/4))*PRESIONES!$C$19+(PRESIONES!$G$34-ABERTURAS!$L$61)*MAX(0,MIN($W22,DATOS!$C$23*3/4)-MAX($V22,DATOS!$C$23*2/4))*PRESIONES!$C$20+(PRESIONES!$G$35-ABERTURAS!$L$61)*MAX(0,MIN($W22,DATOS!$C$23*4/4)-MAX($V22,DATOS!$C$23*3/4))*PRESIONES!$C$21))</f>
        <v>0</v>
      </c>
      <c r="AL22" s="30" t="n">
        <f aca="false">IF($L22&lt;&gt;"OK",0,PRESIONES!$C$12*((PRESIONES!$J$32-ABERTURAS!$L$62)*MAX(0,MIN($W22,DATOS!$C$23*1/4)-MAX($V22,DATOS!$C$23*0/4))*PRESIONES!$C$18+(PRESIONES!$J$33-ABERTURAS!$L$62)*MAX(0,MIN($W22,DATOS!$C$23*2/4)-MAX($V22,DATOS!$C$23*1/4))*PRESIONES!$C$19+(PRESIONES!$J$34-ABERTURAS!$L$62)*MAX(0,MIN($W22,DATOS!$C$23*3/4)-MAX($V22,DATOS!$C$23*2/4))*PRESIONES!$C$20+(PRESIONES!$J$35-ABERTURAS!$L$62)*MAX(0,MIN($W22,DATOS!$C$23*4/4)-MAX($V22,DATOS!$C$23*3/4))*PRESIONES!$C$21))</f>
        <v>0</v>
      </c>
      <c r="AM22" s="30" t="n">
        <f aca="false">IF($L22&lt;&gt;"OK",0,PRESIONES!$C$12*((PRESIONES!$M$32-ABERTURAS!$L$63)*MAX(0,MIN($W22,DATOS!$C$23*1/4)-MAX($V22,DATOS!$C$23*0/4))*PRESIONES!$C$18+(PRESIONES!$M$33-ABERTURAS!$L$63)*MAX(0,MIN($W22,DATOS!$C$23*2/4)-MAX($V22,DATOS!$C$23*1/4))*PRESIONES!$C$19+(PRESIONES!$M$34-ABERTURAS!$L$63)*MAX(0,MIN($W22,DATOS!$C$23*3/4)-MAX($V22,DATOS!$C$23*2/4))*PRESIONES!$C$20+(PRESIONES!$M$35-ABERTURAS!$L$63)*MAX(0,MIN($W22,DATOS!$C$23*4/4)-MAX($V22,DATOS!$C$23*3/4))*PRESIONES!$C$21))</f>
        <v>0</v>
      </c>
      <c r="AN22" s="30" t="n">
        <f aca="false">IF($L22&lt;&gt;"OK",0,PRESIONES!$C$12*((PRESIONES!$D$32-ABERTURAS!$L$64)*MAX(0,MIN($W22,DATOS!$C$23*1/4)-MAX($V22,DATOS!$C$23*0/4))*PRESIONES!$C$18+(PRESIONES!$D$33-ABERTURAS!$L$64)*MAX(0,MIN($W22,DATOS!$C$23*2/4)-MAX($V22,DATOS!$C$23*1/4))*PRESIONES!$C$19+(PRESIONES!$D$34-ABERTURAS!$L$64)*MAX(0,MIN($W22,DATOS!$C$23*3/4)-MAX($V22,DATOS!$C$23*2/4))*PRESIONES!$C$20+(PRESIONES!$D$35-ABERTURAS!$L$64)*MAX(0,MIN($W22,DATOS!$C$23*4/4)-MAX($V22,DATOS!$C$23*3/4))*PRESIONES!$C$21))</f>
        <v>0</v>
      </c>
      <c r="AO22" s="30" t="n">
        <f aca="false">IF($L22&lt;&gt;"OK",0,PRESIONES!$C$12*((PRESIONES!$G$32-ABERTURAS!$L$65)*MAX(0,MIN($W22,DATOS!$C$23*1/4)-MAX($V22,DATOS!$C$23*0/4))*PRESIONES!$C$18+(PRESIONES!$G$33-ABERTURAS!$L$65)*MAX(0,MIN($W22,DATOS!$C$23*2/4)-MAX($V22,DATOS!$C$23*1/4))*PRESIONES!$C$19+(PRESIONES!$G$34-ABERTURAS!$L$65)*MAX(0,MIN($W22,DATOS!$C$23*3/4)-MAX($V22,DATOS!$C$23*2/4))*PRESIONES!$C$20+(PRESIONES!$G$35-ABERTURAS!$L$65)*MAX(0,MIN($W22,DATOS!$C$23*4/4)-MAX($V22,DATOS!$C$23*3/4))*PRESIONES!$C$21))</f>
        <v>0</v>
      </c>
      <c r="AP22" s="30" t="n">
        <f aca="false">IF($L22&lt;&gt;"OK",0,PRESIONES!$C$12*((PRESIONES!$J$32-ABERTURAS!$L$66)*MAX(0,MIN($W22,DATOS!$C$23*1/4)-MAX($V22,DATOS!$C$23*0/4))*PRESIONES!$C$18+(PRESIONES!$J$33-ABERTURAS!$L$66)*MAX(0,MIN($W22,DATOS!$C$23*2/4)-MAX($V22,DATOS!$C$23*1/4))*PRESIONES!$C$19+(PRESIONES!$J$34-ABERTURAS!$L$66)*MAX(0,MIN($W22,DATOS!$C$23*3/4)-MAX($V22,DATOS!$C$23*2/4))*PRESIONES!$C$20+(PRESIONES!$J$35-ABERTURAS!$L$66)*MAX(0,MIN($W22,DATOS!$C$23*4/4)-MAX($V22,DATOS!$C$23*3/4))*PRESIONES!$C$21))</f>
        <v>0</v>
      </c>
      <c r="AQ22" s="30" t="n">
        <f aca="false">IF($L22&lt;&gt;"OK",0,PRESIONES!$C$12*((PRESIONES!$M$32-ABERTURAS!$L$67)*MAX(0,MIN($W22,DATOS!$C$23*1/4)-MAX($V22,DATOS!$C$23*0/4))*PRESIONES!$C$18+(PRESIONES!$M$33-ABERTURAS!$L$67)*MAX(0,MIN($W22,DATOS!$C$23*2/4)-MAX($V22,DATOS!$C$23*1/4))*PRESIONES!$C$19+(PRESIONES!$M$34-ABERTURAS!$L$67)*MAX(0,MIN($W22,DATOS!$C$23*3/4)-MAX($V22,DATOS!$C$23*2/4))*PRESIONES!$C$20+(PRESIONES!$M$35-ABERTURAS!$L$67)*MAX(0,MIN($W22,DATOS!$C$23*4/4)-MAX($V22,DATOS!$C$23*3/4))*PRESIONES!$C$21))</f>
        <v>0</v>
      </c>
      <c r="AR22" s="30" t="n">
        <f aca="false">IF($L22&lt;&gt;"OK",0,PRESIONES!$C$12*((PRESIONES!$E$32-ABERTURAS!$L$60)*MAX(0,MIN($W22,DATOS!$C$23*1/4)-MAX($V22,DATOS!$C$23*0/4))+(PRESIONES!$E$33-ABERTURAS!$L$60)*MAX(0,MIN($W22,DATOS!$C$23*2/4)-MAX($V22,DATOS!$C$23*1/4))+(PRESIONES!$E$34-ABERTURAS!$L$60)*MAX(0,MIN($W22,DATOS!$C$23*3/4)-MAX($V22,DATOS!$C$23*2/4))+(PRESIONES!$E$35-ABERTURAS!$L$60)*MAX(0,MIN($W22,DATOS!$C$23*4/4)-MAX($V22,DATOS!$C$23*3/4))))</f>
        <v>0</v>
      </c>
      <c r="AS22" s="30" t="n">
        <f aca="false">IF($L22&lt;&gt;"OK",0,PRESIONES!$C$12*((PRESIONES!$H$32-ABERTURAS!$L$61)*MAX(0,MIN($W22,DATOS!$C$23*1/4)-MAX($V22,DATOS!$C$23*0/4))+(PRESIONES!$H$33-ABERTURAS!$L$61)*MAX(0,MIN($W22,DATOS!$C$23*2/4)-MAX($V22,DATOS!$C$23*1/4))+(PRESIONES!$H$34-ABERTURAS!$L$61)*MAX(0,MIN($W22,DATOS!$C$23*3/4)-MAX($V22,DATOS!$C$23*2/4))+(PRESIONES!$H$35-ABERTURAS!$L$61)*MAX(0,MIN($W22,DATOS!$C$23*4/4)-MAX($V22,DATOS!$C$23*3/4))))</f>
        <v>0</v>
      </c>
      <c r="AT22" s="30" t="n">
        <f aca="false">IF($L22&lt;&gt;"OK",0,PRESIONES!$C$12*((PRESIONES!$K$32-ABERTURAS!$L$62)*MAX(0,MIN($W22,DATOS!$C$23*1/4)-MAX($V22,DATOS!$C$23*0/4))+(PRESIONES!$K$33-ABERTURAS!$L$62)*MAX(0,MIN($W22,DATOS!$C$23*2/4)-MAX($V22,DATOS!$C$23*1/4))+(PRESIONES!$K$34-ABERTURAS!$L$62)*MAX(0,MIN($W22,DATOS!$C$23*3/4)-MAX($V22,DATOS!$C$23*2/4))+(PRESIONES!$K$35-ABERTURAS!$L$62)*MAX(0,MIN($W22,DATOS!$C$23*4/4)-MAX($V22,DATOS!$C$23*3/4))))</f>
        <v>0</v>
      </c>
      <c r="AU22" s="30" t="n">
        <f aca="false">IF($L22&lt;&gt;"OK",0,PRESIONES!$C$12*((PRESIONES!$N$32-ABERTURAS!$L$63)*MAX(0,MIN($W22,DATOS!$C$23*1/4)-MAX($V22,DATOS!$C$23*0/4))+(PRESIONES!$N$33-ABERTURAS!$L$63)*MAX(0,MIN($W22,DATOS!$C$23*2/4)-MAX($V22,DATOS!$C$23*1/4))+(PRESIONES!$N$34-ABERTURAS!$L$63)*MAX(0,MIN($W22,DATOS!$C$23*3/4)-MAX($V22,DATOS!$C$23*2/4))+(PRESIONES!$N$35-ABERTURAS!$L$63)*MAX(0,MIN($W22,DATOS!$C$23*4/4)-MAX($V22,DATOS!$C$23*3/4))))</f>
        <v>0</v>
      </c>
      <c r="AV22" s="30" t="n">
        <f aca="false">IF($L22&lt;&gt;"OK",0,PRESIONES!$C$12*((PRESIONES!$E$32-ABERTURAS!$L$64)*MAX(0,MIN($W22,DATOS!$C$23*1/4)-MAX($V22,DATOS!$C$23*0/4))+(PRESIONES!$E$33-ABERTURAS!$L$64)*MAX(0,MIN($W22,DATOS!$C$23*2/4)-MAX($V22,DATOS!$C$23*1/4))+(PRESIONES!$E$34-ABERTURAS!$L$64)*MAX(0,MIN($W22,DATOS!$C$23*3/4)-MAX($V22,DATOS!$C$23*2/4))+(PRESIONES!$E$35-ABERTURAS!$L$64)*MAX(0,MIN($W22,DATOS!$C$23*4/4)-MAX($V22,DATOS!$C$23*3/4))))</f>
        <v>0</v>
      </c>
      <c r="AW22" s="30" t="n">
        <f aca="false">IF($L22&lt;&gt;"OK",0,PRESIONES!$C$12*((PRESIONES!$H$32-ABERTURAS!$L$65)*MAX(0,MIN($W22,DATOS!$C$23*1/4)-MAX($V22,DATOS!$C$23*0/4))+(PRESIONES!$H$33-ABERTURAS!$L$65)*MAX(0,MIN($W22,DATOS!$C$23*2/4)-MAX($V22,DATOS!$C$23*1/4))+(PRESIONES!$H$34-ABERTURAS!$L$65)*MAX(0,MIN($W22,DATOS!$C$23*3/4)-MAX($V22,DATOS!$C$23*2/4))+(PRESIONES!$H$35-ABERTURAS!$L$65)*MAX(0,MIN($W22,DATOS!$C$23*4/4)-MAX($V22,DATOS!$C$23*3/4))))</f>
        <v>0</v>
      </c>
      <c r="AX22" s="30" t="n">
        <f aca="false">IF($L22&lt;&gt;"OK",0,PRESIONES!$C$12*((PRESIONES!$K$32-ABERTURAS!$L$66)*MAX(0,MIN($W22,DATOS!$C$23*1/4)-MAX($V22,DATOS!$C$23*0/4))+(PRESIONES!$K$33-ABERTURAS!$L$66)*MAX(0,MIN($W22,DATOS!$C$23*2/4)-MAX($V22,DATOS!$C$23*1/4))+(PRESIONES!$K$34-ABERTURAS!$L$66)*MAX(0,MIN($W22,DATOS!$C$23*3/4)-MAX($V22,DATOS!$C$23*2/4))+(PRESIONES!$K$35-ABERTURAS!$L$66)*MAX(0,MIN($W22,DATOS!$C$23*4/4)-MAX($V22,DATOS!$C$23*3/4))))</f>
        <v>0</v>
      </c>
      <c r="AY22" s="30" t="n">
        <f aca="false">IF($L22&lt;&gt;"OK",0,PRESIONES!$C$12*((PRESIONES!$N$32-ABERTURAS!$L$67)*MAX(0,MIN($W22,DATOS!$C$23*1/4)-MAX($V22,DATOS!$C$23*0/4))+(PRESIONES!$N$33-ABERTURAS!$L$67)*MAX(0,MIN($W22,DATOS!$C$23*2/4)-MAX($V22,DATOS!$C$23*1/4))+(PRESIONES!$N$34-ABERTURAS!$L$67)*MAX(0,MIN($W22,DATOS!$C$23*3/4)-MAX($V22,DATOS!$C$23*2/4))+(PRESIONES!$N$35-ABERTURAS!$L$67)*MAX(0,MIN($W22,DATOS!$C$23*4/4)-MAX($V22,DATOS!$C$23*3/4))))</f>
        <v>0</v>
      </c>
      <c r="AZ22" s="30" t="n">
        <f aca="false">IF($L22&lt;&gt;"OK",0,PRESIONES!$C$12*((PRESIONES!$E$32-ABERTURAS!$L$60)*MAX(0,MIN($W22,DATOS!$C$23*1/4)-MAX($V22,DATOS!$C$23*0/4))*PRESIONES!$C$18+(PRESIONES!$E$33-ABERTURAS!$L$60)*MAX(0,MIN($W22,DATOS!$C$23*2/4)-MAX($V22,DATOS!$C$23*1/4))*PRESIONES!$C$19+(PRESIONES!$E$34-ABERTURAS!$L$60)*MAX(0,MIN($W22,DATOS!$C$23*3/4)-MAX($V22,DATOS!$C$23*2/4))*PRESIONES!$C$20+(PRESIONES!$E$35-ABERTURAS!$L$60)*MAX(0,MIN($W22,DATOS!$C$23*4/4)-MAX($V22,DATOS!$C$23*3/4))*PRESIONES!$C$21))</f>
        <v>0</v>
      </c>
      <c r="BA22" s="30" t="n">
        <f aca="false">IF($L22&lt;&gt;"OK",0,PRESIONES!$C$12*((PRESIONES!$H$32-ABERTURAS!$L$61)*MAX(0,MIN($W22,DATOS!$C$23*1/4)-MAX($V22,DATOS!$C$23*0/4))*PRESIONES!$C$18+(PRESIONES!$H$33-ABERTURAS!$L$61)*MAX(0,MIN($W22,DATOS!$C$23*2/4)-MAX($V22,DATOS!$C$23*1/4))*PRESIONES!$C$19+(PRESIONES!$H$34-ABERTURAS!$L$61)*MAX(0,MIN($W22,DATOS!$C$23*3/4)-MAX($V22,DATOS!$C$23*2/4))*PRESIONES!$C$20+(PRESIONES!$H$35-ABERTURAS!$L$61)*MAX(0,MIN($W22,DATOS!$C$23*4/4)-MAX($V22,DATOS!$C$23*3/4))*PRESIONES!$C$21))</f>
        <v>0</v>
      </c>
      <c r="BB22" s="30" t="n">
        <f aca="false">IF($L22&lt;&gt;"OK",0,PRESIONES!$C$12*((PRESIONES!$K$32-ABERTURAS!$L$62)*MAX(0,MIN($W22,DATOS!$C$23*1/4)-MAX($V22,DATOS!$C$23*0/4))*PRESIONES!$C$18+(PRESIONES!$K$33-ABERTURAS!$L$62)*MAX(0,MIN($W22,DATOS!$C$23*2/4)-MAX($V22,DATOS!$C$23*1/4))*PRESIONES!$C$19+(PRESIONES!$K$34-ABERTURAS!$L$62)*MAX(0,MIN($W22,DATOS!$C$23*3/4)-MAX($V22,DATOS!$C$23*2/4))*PRESIONES!$C$20+(PRESIONES!$K$35-ABERTURAS!$L$62)*MAX(0,MIN($W22,DATOS!$C$23*4/4)-MAX($V22,DATOS!$C$23*3/4))*PRESIONES!$C$21))</f>
        <v>0</v>
      </c>
      <c r="BC22" s="30" t="n">
        <f aca="false">IF($L22&lt;&gt;"OK",0,PRESIONES!$C$12*((PRESIONES!$N$32-ABERTURAS!$L$63)*MAX(0,MIN($W22,DATOS!$C$23*1/4)-MAX($V22,DATOS!$C$23*0/4))*PRESIONES!$C$18+(PRESIONES!$N$33-ABERTURAS!$L$63)*MAX(0,MIN($W22,DATOS!$C$23*2/4)-MAX($V22,DATOS!$C$23*1/4))*PRESIONES!$C$19+(PRESIONES!$N$34-ABERTURAS!$L$63)*MAX(0,MIN($W22,DATOS!$C$23*3/4)-MAX($V22,DATOS!$C$23*2/4))*PRESIONES!$C$20+(PRESIONES!$N$35-ABERTURAS!$L$63)*MAX(0,MIN($W22,DATOS!$C$23*4/4)-MAX($V22,DATOS!$C$23*3/4))*PRESIONES!$C$21))</f>
        <v>0</v>
      </c>
      <c r="BD22" s="30" t="n">
        <f aca="false">IF($L22&lt;&gt;"OK",0,PRESIONES!$C$12*((PRESIONES!$E$32-ABERTURAS!$L$64)*MAX(0,MIN($W22,DATOS!$C$23*1/4)-MAX($V22,DATOS!$C$23*0/4))*PRESIONES!$C$18+(PRESIONES!$E$33-ABERTURAS!$L$64)*MAX(0,MIN($W22,DATOS!$C$23*2/4)-MAX($V22,DATOS!$C$23*1/4))*PRESIONES!$C$19+(PRESIONES!$E$34-ABERTURAS!$L$64)*MAX(0,MIN($W22,DATOS!$C$23*3/4)-MAX($V22,DATOS!$C$23*2/4))*PRESIONES!$C$20+(PRESIONES!$E$35-ABERTURAS!$L$64)*MAX(0,MIN($W22,DATOS!$C$23*4/4)-MAX($V22,DATOS!$C$23*3/4))*PRESIONES!$C$21))</f>
        <v>0</v>
      </c>
      <c r="BE22" s="30" t="n">
        <f aca="false">IF($L22&lt;&gt;"OK",0,PRESIONES!$C$12*((PRESIONES!$H$32-ABERTURAS!$L$65)*MAX(0,MIN($W22,DATOS!$C$23*1/4)-MAX($V22,DATOS!$C$23*0/4))*PRESIONES!$C$18+(PRESIONES!$H$33-ABERTURAS!$L$65)*MAX(0,MIN($W22,DATOS!$C$23*2/4)-MAX($V22,DATOS!$C$23*1/4))*PRESIONES!$C$19+(PRESIONES!$H$34-ABERTURAS!$L$65)*MAX(0,MIN($W22,DATOS!$C$23*3/4)-MAX($V22,DATOS!$C$23*2/4))*PRESIONES!$C$20+(PRESIONES!$H$35-ABERTURAS!$L$65)*MAX(0,MIN($W22,DATOS!$C$23*4/4)-MAX($V22,DATOS!$C$23*3/4))*PRESIONES!$C$21))</f>
        <v>0</v>
      </c>
      <c r="BF22" s="30" t="n">
        <f aca="false">IF($L22&lt;&gt;"OK",0,PRESIONES!$C$12*((PRESIONES!$K$32-ABERTURAS!$L$66)*MAX(0,MIN($W22,DATOS!$C$23*1/4)-MAX($V22,DATOS!$C$23*0/4))*PRESIONES!$C$18+(PRESIONES!$K$33-ABERTURAS!$L$66)*MAX(0,MIN($W22,DATOS!$C$23*2/4)-MAX($V22,DATOS!$C$23*1/4))*PRESIONES!$C$19+(PRESIONES!$K$34-ABERTURAS!$L$66)*MAX(0,MIN($W22,DATOS!$C$23*3/4)-MAX($V22,DATOS!$C$23*2/4))*PRESIONES!$C$20+(PRESIONES!$K$35-ABERTURAS!$L$66)*MAX(0,MIN($W22,DATOS!$C$23*4/4)-MAX($V22,DATOS!$C$23*3/4))*PRESIONES!$C$21))</f>
        <v>0</v>
      </c>
      <c r="BG22" s="30" t="n">
        <f aca="false">IF($L22&lt;&gt;"OK",0,PRESIONES!$C$12*((PRESIONES!$N$32-ABERTURAS!$L$67)*MAX(0,MIN($W22,DATOS!$C$23*1/4)-MAX($V22,DATOS!$C$23*0/4))*PRESIONES!$C$18+(PRESIONES!$N$33-ABERTURAS!$L$67)*MAX(0,MIN($W22,DATOS!$C$23*2/4)-MAX($V22,DATOS!$C$23*1/4))*PRESIONES!$C$19+(PRESIONES!$N$34-ABERTURAS!$L$67)*MAX(0,MIN($W22,DATOS!$C$23*3/4)-MAX($V22,DATOS!$C$23*2/4))*PRESIONES!$C$20+(PRESIONES!$N$35-ABERTURAS!$L$67)*MAX(0,MIN($W22,DATOS!$C$23*4/4)-MAX($V22,DATOS!$C$23*3/4))*PRESIONES!$C$21))</f>
        <v>0</v>
      </c>
    </row>
    <row r="23" customFormat="false" ht="15" hidden="false" customHeight="true" outlineLevel="0" collapsed="false">
      <c r="B23" s="27"/>
      <c r="C23" s="17"/>
      <c r="D23" s="27"/>
      <c r="E23" s="17"/>
      <c r="F23" s="49"/>
      <c r="G23" s="49"/>
      <c r="H23" s="49"/>
      <c r="I23" s="49"/>
      <c r="J23" s="49"/>
      <c r="K23" s="49"/>
      <c r="L23" s="20" t="str">
        <f aca="false">IF($D23="","",IF($C23&lt;&gt;"TECHO","PON TECHO",IF(OR($F23="",$G23="",$H23="",$I23=""),"FALTAN a o b",IF($M23&lt;=0,"a₂ DEBE SER &gt; a₁",IF($N23&lt;=0,"b₂ DEBE SER &gt; b₁",IF(OR($V23&lt;-0.001,$W23&gt;DATOS!$C$23+0.001),"SE SALE DEL TECHO","OK"))))))</f>
        <v/>
      </c>
      <c r="M23" s="30" t="n">
        <f aca="false">IF($D23="",0,MAX(0,$G23-$F23))</f>
        <v>0</v>
      </c>
      <c r="N23" s="30" t="n">
        <f aca="false">MAX(0,$W23-$V23)</f>
        <v>0</v>
      </c>
      <c r="O23" s="30" t="n">
        <f aca="false">$M23*$N23</f>
        <v>0</v>
      </c>
      <c r="P23" s="30" t="n">
        <v>0</v>
      </c>
      <c r="Q23" s="30" t="n">
        <v>0</v>
      </c>
      <c r="R23" s="30" t="n">
        <f aca="false">$O23</f>
        <v>0</v>
      </c>
      <c r="S23" s="30" t="n">
        <f aca="false">$O23</f>
        <v>0</v>
      </c>
      <c r="T23" s="50" t="n">
        <f aca="false">IF($D23="",0,DATOS!$C$21)</f>
        <v>0</v>
      </c>
      <c r="U23" s="50" t="n">
        <v>0</v>
      </c>
      <c r="V23" s="50" t="n">
        <f aca="false">IF($D23="",0,(N($H23)+IF($J23="",N($H23),$J23))/2)</f>
        <v>0</v>
      </c>
      <c r="W23" s="50" t="n">
        <f aca="false">IF($D23="",0,(N($I23)+IF($K23="",N($I23),$K23))/2)</f>
        <v>0</v>
      </c>
      <c r="AB23" s="30" t="n">
        <f aca="false">IF($L23&lt;&gt;"OK",0,PRESIONES!$C$12*((PRESIONES!$D$32-ABERTURAS!$L$60)*MAX(0,MIN($W23,DATOS!$C$23*1/4)-MAX($V23,DATOS!$C$23*0/4))+(PRESIONES!$D$33-ABERTURAS!$L$60)*MAX(0,MIN($W23,DATOS!$C$23*2/4)-MAX($V23,DATOS!$C$23*1/4))+(PRESIONES!$D$34-ABERTURAS!$L$60)*MAX(0,MIN($W23,DATOS!$C$23*3/4)-MAX($V23,DATOS!$C$23*2/4))+(PRESIONES!$D$35-ABERTURAS!$L$60)*MAX(0,MIN($W23,DATOS!$C$23*4/4)-MAX($V23,DATOS!$C$23*3/4))))</f>
        <v>0</v>
      </c>
      <c r="AC23" s="30" t="n">
        <f aca="false">IF($L23&lt;&gt;"OK",0,PRESIONES!$C$12*((PRESIONES!$G$32-ABERTURAS!$L$61)*MAX(0,MIN($W23,DATOS!$C$23*1/4)-MAX($V23,DATOS!$C$23*0/4))+(PRESIONES!$G$33-ABERTURAS!$L$61)*MAX(0,MIN($W23,DATOS!$C$23*2/4)-MAX($V23,DATOS!$C$23*1/4))+(PRESIONES!$G$34-ABERTURAS!$L$61)*MAX(0,MIN($W23,DATOS!$C$23*3/4)-MAX($V23,DATOS!$C$23*2/4))+(PRESIONES!$G$35-ABERTURAS!$L$61)*MAX(0,MIN($W23,DATOS!$C$23*4/4)-MAX($V23,DATOS!$C$23*3/4))))</f>
        <v>0</v>
      </c>
      <c r="AD23" s="30" t="n">
        <f aca="false">IF($L23&lt;&gt;"OK",0,PRESIONES!$C$12*((PRESIONES!$J$32-ABERTURAS!$L$62)*MAX(0,MIN($W23,DATOS!$C$23*1/4)-MAX($V23,DATOS!$C$23*0/4))+(PRESIONES!$J$33-ABERTURAS!$L$62)*MAX(0,MIN($W23,DATOS!$C$23*2/4)-MAX($V23,DATOS!$C$23*1/4))+(PRESIONES!$J$34-ABERTURAS!$L$62)*MAX(0,MIN($W23,DATOS!$C$23*3/4)-MAX($V23,DATOS!$C$23*2/4))+(PRESIONES!$J$35-ABERTURAS!$L$62)*MAX(0,MIN($W23,DATOS!$C$23*4/4)-MAX($V23,DATOS!$C$23*3/4))))</f>
        <v>0</v>
      </c>
      <c r="AE23" s="30" t="n">
        <f aca="false">IF($L23&lt;&gt;"OK",0,PRESIONES!$C$12*((PRESIONES!$M$32-ABERTURAS!$L$63)*MAX(0,MIN($W23,DATOS!$C$23*1/4)-MAX($V23,DATOS!$C$23*0/4))+(PRESIONES!$M$33-ABERTURAS!$L$63)*MAX(0,MIN($W23,DATOS!$C$23*2/4)-MAX($V23,DATOS!$C$23*1/4))+(PRESIONES!$M$34-ABERTURAS!$L$63)*MAX(0,MIN($W23,DATOS!$C$23*3/4)-MAX($V23,DATOS!$C$23*2/4))+(PRESIONES!$M$35-ABERTURAS!$L$63)*MAX(0,MIN($W23,DATOS!$C$23*4/4)-MAX($V23,DATOS!$C$23*3/4))))</f>
        <v>0</v>
      </c>
      <c r="AF23" s="30" t="n">
        <f aca="false">IF($L23&lt;&gt;"OK",0,PRESIONES!$C$12*((PRESIONES!$D$32-ABERTURAS!$L$64)*MAX(0,MIN($W23,DATOS!$C$23*1/4)-MAX($V23,DATOS!$C$23*0/4))+(PRESIONES!$D$33-ABERTURAS!$L$64)*MAX(0,MIN($W23,DATOS!$C$23*2/4)-MAX($V23,DATOS!$C$23*1/4))+(PRESIONES!$D$34-ABERTURAS!$L$64)*MAX(0,MIN($W23,DATOS!$C$23*3/4)-MAX($V23,DATOS!$C$23*2/4))+(PRESIONES!$D$35-ABERTURAS!$L$64)*MAX(0,MIN($W23,DATOS!$C$23*4/4)-MAX($V23,DATOS!$C$23*3/4))))</f>
        <v>0</v>
      </c>
      <c r="AG23" s="30" t="n">
        <f aca="false">IF($L23&lt;&gt;"OK",0,PRESIONES!$C$12*((PRESIONES!$G$32-ABERTURAS!$L$65)*MAX(0,MIN($W23,DATOS!$C$23*1/4)-MAX($V23,DATOS!$C$23*0/4))+(PRESIONES!$G$33-ABERTURAS!$L$65)*MAX(0,MIN($W23,DATOS!$C$23*2/4)-MAX($V23,DATOS!$C$23*1/4))+(PRESIONES!$G$34-ABERTURAS!$L$65)*MAX(0,MIN($W23,DATOS!$C$23*3/4)-MAX($V23,DATOS!$C$23*2/4))+(PRESIONES!$G$35-ABERTURAS!$L$65)*MAX(0,MIN($W23,DATOS!$C$23*4/4)-MAX($V23,DATOS!$C$23*3/4))))</f>
        <v>0</v>
      </c>
      <c r="AH23" s="30" t="n">
        <f aca="false">IF($L23&lt;&gt;"OK",0,PRESIONES!$C$12*((PRESIONES!$J$32-ABERTURAS!$L$66)*MAX(0,MIN($W23,DATOS!$C$23*1/4)-MAX($V23,DATOS!$C$23*0/4))+(PRESIONES!$J$33-ABERTURAS!$L$66)*MAX(0,MIN($W23,DATOS!$C$23*2/4)-MAX($V23,DATOS!$C$23*1/4))+(PRESIONES!$J$34-ABERTURAS!$L$66)*MAX(0,MIN($W23,DATOS!$C$23*3/4)-MAX($V23,DATOS!$C$23*2/4))+(PRESIONES!$J$35-ABERTURAS!$L$66)*MAX(0,MIN($W23,DATOS!$C$23*4/4)-MAX($V23,DATOS!$C$23*3/4))))</f>
        <v>0</v>
      </c>
      <c r="AI23" s="30" t="n">
        <f aca="false">IF($L23&lt;&gt;"OK",0,PRESIONES!$C$12*((PRESIONES!$M$32-ABERTURAS!$L$67)*MAX(0,MIN($W23,DATOS!$C$23*1/4)-MAX($V23,DATOS!$C$23*0/4))+(PRESIONES!$M$33-ABERTURAS!$L$67)*MAX(0,MIN($W23,DATOS!$C$23*2/4)-MAX($V23,DATOS!$C$23*1/4))+(PRESIONES!$M$34-ABERTURAS!$L$67)*MAX(0,MIN($W23,DATOS!$C$23*3/4)-MAX($V23,DATOS!$C$23*2/4))+(PRESIONES!$M$35-ABERTURAS!$L$67)*MAX(0,MIN($W23,DATOS!$C$23*4/4)-MAX($V23,DATOS!$C$23*3/4))))</f>
        <v>0</v>
      </c>
      <c r="AJ23" s="30" t="n">
        <f aca="false">IF($L23&lt;&gt;"OK",0,PRESIONES!$C$12*((PRESIONES!$D$32-ABERTURAS!$L$60)*MAX(0,MIN($W23,DATOS!$C$23*1/4)-MAX($V23,DATOS!$C$23*0/4))*PRESIONES!$C$18+(PRESIONES!$D$33-ABERTURAS!$L$60)*MAX(0,MIN($W23,DATOS!$C$23*2/4)-MAX($V23,DATOS!$C$23*1/4))*PRESIONES!$C$19+(PRESIONES!$D$34-ABERTURAS!$L$60)*MAX(0,MIN($W23,DATOS!$C$23*3/4)-MAX($V23,DATOS!$C$23*2/4))*PRESIONES!$C$20+(PRESIONES!$D$35-ABERTURAS!$L$60)*MAX(0,MIN($W23,DATOS!$C$23*4/4)-MAX($V23,DATOS!$C$23*3/4))*PRESIONES!$C$21))</f>
        <v>0</v>
      </c>
      <c r="AK23" s="30" t="n">
        <f aca="false">IF($L23&lt;&gt;"OK",0,PRESIONES!$C$12*((PRESIONES!$G$32-ABERTURAS!$L$61)*MAX(0,MIN($W23,DATOS!$C$23*1/4)-MAX($V23,DATOS!$C$23*0/4))*PRESIONES!$C$18+(PRESIONES!$G$33-ABERTURAS!$L$61)*MAX(0,MIN($W23,DATOS!$C$23*2/4)-MAX($V23,DATOS!$C$23*1/4))*PRESIONES!$C$19+(PRESIONES!$G$34-ABERTURAS!$L$61)*MAX(0,MIN($W23,DATOS!$C$23*3/4)-MAX($V23,DATOS!$C$23*2/4))*PRESIONES!$C$20+(PRESIONES!$G$35-ABERTURAS!$L$61)*MAX(0,MIN($W23,DATOS!$C$23*4/4)-MAX($V23,DATOS!$C$23*3/4))*PRESIONES!$C$21))</f>
        <v>0</v>
      </c>
      <c r="AL23" s="30" t="n">
        <f aca="false">IF($L23&lt;&gt;"OK",0,PRESIONES!$C$12*((PRESIONES!$J$32-ABERTURAS!$L$62)*MAX(0,MIN($W23,DATOS!$C$23*1/4)-MAX($V23,DATOS!$C$23*0/4))*PRESIONES!$C$18+(PRESIONES!$J$33-ABERTURAS!$L$62)*MAX(0,MIN($W23,DATOS!$C$23*2/4)-MAX($V23,DATOS!$C$23*1/4))*PRESIONES!$C$19+(PRESIONES!$J$34-ABERTURAS!$L$62)*MAX(0,MIN($W23,DATOS!$C$23*3/4)-MAX($V23,DATOS!$C$23*2/4))*PRESIONES!$C$20+(PRESIONES!$J$35-ABERTURAS!$L$62)*MAX(0,MIN($W23,DATOS!$C$23*4/4)-MAX($V23,DATOS!$C$23*3/4))*PRESIONES!$C$21))</f>
        <v>0</v>
      </c>
      <c r="AM23" s="30" t="n">
        <f aca="false">IF($L23&lt;&gt;"OK",0,PRESIONES!$C$12*((PRESIONES!$M$32-ABERTURAS!$L$63)*MAX(0,MIN($W23,DATOS!$C$23*1/4)-MAX($V23,DATOS!$C$23*0/4))*PRESIONES!$C$18+(PRESIONES!$M$33-ABERTURAS!$L$63)*MAX(0,MIN($W23,DATOS!$C$23*2/4)-MAX($V23,DATOS!$C$23*1/4))*PRESIONES!$C$19+(PRESIONES!$M$34-ABERTURAS!$L$63)*MAX(0,MIN($W23,DATOS!$C$23*3/4)-MAX($V23,DATOS!$C$23*2/4))*PRESIONES!$C$20+(PRESIONES!$M$35-ABERTURAS!$L$63)*MAX(0,MIN($W23,DATOS!$C$23*4/4)-MAX($V23,DATOS!$C$23*3/4))*PRESIONES!$C$21))</f>
        <v>0</v>
      </c>
      <c r="AN23" s="30" t="n">
        <f aca="false">IF($L23&lt;&gt;"OK",0,PRESIONES!$C$12*((PRESIONES!$D$32-ABERTURAS!$L$64)*MAX(0,MIN($W23,DATOS!$C$23*1/4)-MAX($V23,DATOS!$C$23*0/4))*PRESIONES!$C$18+(PRESIONES!$D$33-ABERTURAS!$L$64)*MAX(0,MIN($W23,DATOS!$C$23*2/4)-MAX($V23,DATOS!$C$23*1/4))*PRESIONES!$C$19+(PRESIONES!$D$34-ABERTURAS!$L$64)*MAX(0,MIN($W23,DATOS!$C$23*3/4)-MAX($V23,DATOS!$C$23*2/4))*PRESIONES!$C$20+(PRESIONES!$D$35-ABERTURAS!$L$64)*MAX(0,MIN($W23,DATOS!$C$23*4/4)-MAX($V23,DATOS!$C$23*3/4))*PRESIONES!$C$21))</f>
        <v>0</v>
      </c>
      <c r="AO23" s="30" t="n">
        <f aca="false">IF($L23&lt;&gt;"OK",0,PRESIONES!$C$12*((PRESIONES!$G$32-ABERTURAS!$L$65)*MAX(0,MIN($W23,DATOS!$C$23*1/4)-MAX($V23,DATOS!$C$23*0/4))*PRESIONES!$C$18+(PRESIONES!$G$33-ABERTURAS!$L$65)*MAX(0,MIN($W23,DATOS!$C$23*2/4)-MAX($V23,DATOS!$C$23*1/4))*PRESIONES!$C$19+(PRESIONES!$G$34-ABERTURAS!$L$65)*MAX(0,MIN($W23,DATOS!$C$23*3/4)-MAX($V23,DATOS!$C$23*2/4))*PRESIONES!$C$20+(PRESIONES!$G$35-ABERTURAS!$L$65)*MAX(0,MIN($W23,DATOS!$C$23*4/4)-MAX($V23,DATOS!$C$23*3/4))*PRESIONES!$C$21))</f>
        <v>0</v>
      </c>
      <c r="AP23" s="30" t="n">
        <f aca="false">IF($L23&lt;&gt;"OK",0,PRESIONES!$C$12*((PRESIONES!$J$32-ABERTURAS!$L$66)*MAX(0,MIN($W23,DATOS!$C$23*1/4)-MAX($V23,DATOS!$C$23*0/4))*PRESIONES!$C$18+(PRESIONES!$J$33-ABERTURAS!$L$66)*MAX(0,MIN($W23,DATOS!$C$23*2/4)-MAX($V23,DATOS!$C$23*1/4))*PRESIONES!$C$19+(PRESIONES!$J$34-ABERTURAS!$L$66)*MAX(0,MIN($W23,DATOS!$C$23*3/4)-MAX($V23,DATOS!$C$23*2/4))*PRESIONES!$C$20+(PRESIONES!$J$35-ABERTURAS!$L$66)*MAX(0,MIN($W23,DATOS!$C$23*4/4)-MAX($V23,DATOS!$C$23*3/4))*PRESIONES!$C$21))</f>
        <v>0</v>
      </c>
      <c r="AQ23" s="30" t="n">
        <f aca="false">IF($L23&lt;&gt;"OK",0,PRESIONES!$C$12*((PRESIONES!$M$32-ABERTURAS!$L$67)*MAX(0,MIN($W23,DATOS!$C$23*1/4)-MAX($V23,DATOS!$C$23*0/4))*PRESIONES!$C$18+(PRESIONES!$M$33-ABERTURAS!$L$67)*MAX(0,MIN($W23,DATOS!$C$23*2/4)-MAX($V23,DATOS!$C$23*1/4))*PRESIONES!$C$19+(PRESIONES!$M$34-ABERTURAS!$L$67)*MAX(0,MIN($W23,DATOS!$C$23*3/4)-MAX($V23,DATOS!$C$23*2/4))*PRESIONES!$C$20+(PRESIONES!$M$35-ABERTURAS!$L$67)*MAX(0,MIN($W23,DATOS!$C$23*4/4)-MAX($V23,DATOS!$C$23*3/4))*PRESIONES!$C$21))</f>
        <v>0</v>
      </c>
      <c r="AR23" s="30" t="n">
        <f aca="false">IF($L23&lt;&gt;"OK",0,PRESIONES!$C$12*((PRESIONES!$E$32-ABERTURAS!$L$60)*MAX(0,MIN($W23,DATOS!$C$23*1/4)-MAX($V23,DATOS!$C$23*0/4))+(PRESIONES!$E$33-ABERTURAS!$L$60)*MAX(0,MIN($W23,DATOS!$C$23*2/4)-MAX($V23,DATOS!$C$23*1/4))+(PRESIONES!$E$34-ABERTURAS!$L$60)*MAX(0,MIN($W23,DATOS!$C$23*3/4)-MAX($V23,DATOS!$C$23*2/4))+(PRESIONES!$E$35-ABERTURAS!$L$60)*MAX(0,MIN($W23,DATOS!$C$23*4/4)-MAX($V23,DATOS!$C$23*3/4))))</f>
        <v>0</v>
      </c>
      <c r="AS23" s="30" t="n">
        <f aca="false">IF($L23&lt;&gt;"OK",0,PRESIONES!$C$12*((PRESIONES!$H$32-ABERTURAS!$L$61)*MAX(0,MIN($W23,DATOS!$C$23*1/4)-MAX($V23,DATOS!$C$23*0/4))+(PRESIONES!$H$33-ABERTURAS!$L$61)*MAX(0,MIN($W23,DATOS!$C$23*2/4)-MAX($V23,DATOS!$C$23*1/4))+(PRESIONES!$H$34-ABERTURAS!$L$61)*MAX(0,MIN($W23,DATOS!$C$23*3/4)-MAX($V23,DATOS!$C$23*2/4))+(PRESIONES!$H$35-ABERTURAS!$L$61)*MAX(0,MIN($W23,DATOS!$C$23*4/4)-MAX($V23,DATOS!$C$23*3/4))))</f>
        <v>0</v>
      </c>
      <c r="AT23" s="30" t="n">
        <f aca="false">IF($L23&lt;&gt;"OK",0,PRESIONES!$C$12*((PRESIONES!$K$32-ABERTURAS!$L$62)*MAX(0,MIN($W23,DATOS!$C$23*1/4)-MAX($V23,DATOS!$C$23*0/4))+(PRESIONES!$K$33-ABERTURAS!$L$62)*MAX(0,MIN($W23,DATOS!$C$23*2/4)-MAX($V23,DATOS!$C$23*1/4))+(PRESIONES!$K$34-ABERTURAS!$L$62)*MAX(0,MIN($W23,DATOS!$C$23*3/4)-MAX($V23,DATOS!$C$23*2/4))+(PRESIONES!$K$35-ABERTURAS!$L$62)*MAX(0,MIN($W23,DATOS!$C$23*4/4)-MAX($V23,DATOS!$C$23*3/4))))</f>
        <v>0</v>
      </c>
      <c r="AU23" s="30" t="n">
        <f aca="false">IF($L23&lt;&gt;"OK",0,PRESIONES!$C$12*((PRESIONES!$N$32-ABERTURAS!$L$63)*MAX(0,MIN($W23,DATOS!$C$23*1/4)-MAX($V23,DATOS!$C$23*0/4))+(PRESIONES!$N$33-ABERTURAS!$L$63)*MAX(0,MIN($W23,DATOS!$C$23*2/4)-MAX($V23,DATOS!$C$23*1/4))+(PRESIONES!$N$34-ABERTURAS!$L$63)*MAX(0,MIN($W23,DATOS!$C$23*3/4)-MAX($V23,DATOS!$C$23*2/4))+(PRESIONES!$N$35-ABERTURAS!$L$63)*MAX(0,MIN($W23,DATOS!$C$23*4/4)-MAX($V23,DATOS!$C$23*3/4))))</f>
        <v>0</v>
      </c>
      <c r="AV23" s="30" t="n">
        <f aca="false">IF($L23&lt;&gt;"OK",0,PRESIONES!$C$12*((PRESIONES!$E$32-ABERTURAS!$L$64)*MAX(0,MIN($W23,DATOS!$C$23*1/4)-MAX($V23,DATOS!$C$23*0/4))+(PRESIONES!$E$33-ABERTURAS!$L$64)*MAX(0,MIN($W23,DATOS!$C$23*2/4)-MAX($V23,DATOS!$C$23*1/4))+(PRESIONES!$E$34-ABERTURAS!$L$64)*MAX(0,MIN($W23,DATOS!$C$23*3/4)-MAX($V23,DATOS!$C$23*2/4))+(PRESIONES!$E$35-ABERTURAS!$L$64)*MAX(0,MIN($W23,DATOS!$C$23*4/4)-MAX($V23,DATOS!$C$23*3/4))))</f>
        <v>0</v>
      </c>
      <c r="AW23" s="30" t="n">
        <f aca="false">IF($L23&lt;&gt;"OK",0,PRESIONES!$C$12*((PRESIONES!$H$32-ABERTURAS!$L$65)*MAX(0,MIN($W23,DATOS!$C$23*1/4)-MAX($V23,DATOS!$C$23*0/4))+(PRESIONES!$H$33-ABERTURAS!$L$65)*MAX(0,MIN($W23,DATOS!$C$23*2/4)-MAX($V23,DATOS!$C$23*1/4))+(PRESIONES!$H$34-ABERTURAS!$L$65)*MAX(0,MIN($W23,DATOS!$C$23*3/4)-MAX($V23,DATOS!$C$23*2/4))+(PRESIONES!$H$35-ABERTURAS!$L$65)*MAX(0,MIN($W23,DATOS!$C$23*4/4)-MAX($V23,DATOS!$C$23*3/4))))</f>
        <v>0</v>
      </c>
      <c r="AX23" s="30" t="n">
        <f aca="false">IF($L23&lt;&gt;"OK",0,PRESIONES!$C$12*((PRESIONES!$K$32-ABERTURAS!$L$66)*MAX(0,MIN($W23,DATOS!$C$23*1/4)-MAX($V23,DATOS!$C$23*0/4))+(PRESIONES!$K$33-ABERTURAS!$L$66)*MAX(0,MIN($W23,DATOS!$C$23*2/4)-MAX($V23,DATOS!$C$23*1/4))+(PRESIONES!$K$34-ABERTURAS!$L$66)*MAX(0,MIN($W23,DATOS!$C$23*3/4)-MAX($V23,DATOS!$C$23*2/4))+(PRESIONES!$K$35-ABERTURAS!$L$66)*MAX(0,MIN($W23,DATOS!$C$23*4/4)-MAX($V23,DATOS!$C$23*3/4))))</f>
        <v>0</v>
      </c>
      <c r="AY23" s="30" t="n">
        <f aca="false">IF($L23&lt;&gt;"OK",0,PRESIONES!$C$12*((PRESIONES!$N$32-ABERTURAS!$L$67)*MAX(0,MIN($W23,DATOS!$C$23*1/4)-MAX($V23,DATOS!$C$23*0/4))+(PRESIONES!$N$33-ABERTURAS!$L$67)*MAX(0,MIN($W23,DATOS!$C$23*2/4)-MAX($V23,DATOS!$C$23*1/4))+(PRESIONES!$N$34-ABERTURAS!$L$67)*MAX(0,MIN($W23,DATOS!$C$23*3/4)-MAX($V23,DATOS!$C$23*2/4))+(PRESIONES!$N$35-ABERTURAS!$L$67)*MAX(0,MIN($W23,DATOS!$C$23*4/4)-MAX($V23,DATOS!$C$23*3/4))))</f>
        <v>0</v>
      </c>
      <c r="AZ23" s="30" t="n">
        <f aca="false">IF($L23&lt;&gt;"OK",0,PRESIONES!$C$12*((PRESIONES!$E$32-ABERTURAS!$L$60)*MAX(0,MIN($W23,DATOS!$C$23*1/4)-MAX($V23,DATOS!$C$23*0/4))*PRESIONES!$C$18+(PRESIONES!$E$33-ABERTURAS!$L$60)*MAX(0,MIN($W23,DATOS!$C$23*2/4)-MAX($V23,DATOS!$C$23*1/4))*PRESIONES!$C$19+(PRESIONES!$E$34-ABERTURAS!$L$60)*MAX(0,MIN($W23,DATOS!$C$23*3/4)-MAX($V23,DATOS!$C$23*2/4))*PRESIONES!$C$20+(PRESIONES!$E$35-ABERTURAS!$L$60)*MAX(0,MIN($W23,DATOS!$C$23*4/4)-MAX($V23,DATOS!$C$23*3/4))*PRESIONES!$C$21))</f>
        <v>0</v>
      </c>
      <c r="BA23" s="30" t="n">
        <f aca="false">IF($L23&lt;&gt;"OK",0,PRESIONES!$C$12*((PRESIONES!$H$32-ABERTURAS!$L$61)*MAX(0,MIN($W23,DATOS!$C$23*1/4)-MAX($V23,DATOS!$C$23*0/4))*PRESIONES!$C$18+(PRESIONES!$H$33-ABERTURAS!$L$61)*MAX(0,MIN($W23,DATOS!$C$23*2/4)-MAX($V23,DATOS!$C$23*1/4))*PRESIONES!$C$19+(PRESIONES!$H$34-ABERTURAS!$L$61)*MAX(0,MIN($W23,DATOS!$C$23*3/4)-MAX($V23,DATOS!$C$23*2/4))*PRESIONES!$C$20+(PRESIONES!$H$35-ABERTURAS!$L$61)*MAX(0,MIN($W23,DATOS!$C$23*4/4)-MAX($V23,DATOS!$C$23*3/4))*PRESIONES!$C$21))</f>
        <v>0</v>
      </c>
      <c r="BB23" s="30" t="n">
        <f aca="false">IF($L23&lt;&gt;"OK",0,PRESIONES!$C$12*((PRESIONES!$K$32-ABERTURAS!$L$62)*MAX(0,MIN($W23,DATOS!$C$23*1/4)-MAX($V23,DATOS!$C$23*0/4))*PRESIONES!$C$18+(PRESIONES!$K$33-ABERTURAS!$L$62)*MAX(0,MIN($W23,DATOS!$C$23*2/4)-MAX($V23,DATOS!$C$23*1/4))*PRESIONES!$C$19+(PRESIONES!$K$34-ABERTURAS!$L$62)*MAX(0,MIN($W23,DATOS!$C$23*3/4)-MAX($V23,DATOS!$C$23*2/4))*PRESIONES!$C$20+(PRESIONES!$K$35-ABERTURAS!$L$62)*MAX(0,MIN($W23,DATOS!$C$23*4/4)-MAX($V23,DATOS!$C$23*3/4))*PRESIONES!$C$21))</f>
        <v>0</v>
      </c>
      <c r="BC23" s="30" t="n">
        <f aca="false">IF($L23&lt;&gt;"OK",0,PRESIONES!$C$12*((PRESIONES!$N$32-ABERTURAS!$L$63)*MAX(0,MIN($W23,DATOS!$C$23*1/4)-MAX($V23,DATOS!$C$23*0/4))*PRESIONES!$C$18+(PRESIONES!$N$33-ABERTURAS!$L$63)*MAX(0,MIN($W23,DATOS!$C$23*2/4)-MAX($V23,DATOS!$C$23*1/4))*PRESIONES!$C$19+(PRESIONES!$N$34-ABERTURAS!$L$63)*MAX(0,MIN($W23,DATOS!$C$23*3/4)-MAX($V23,DATOS!$C$23*2/4))*PRESIONES!$C$20+(PRESIONES!$N$35-ABERTURAS!$L$63)*MAX(0,MIN($W23,DATOS!$C$23*4/4)-MAX($V23,DATOS!$C$23*3/4))*PRESIONES!$C$21))</f>
        <v>0</v>
      </c>
      <c r="BD23" s="30" t="n">
        <f aca="false">IF($L23&lt;&gt;"OK",0,PRESIONES!$C$12*((PRESIONES!$E$32-ABERTURAS!$L$64)*MAX(0,MIN($W23,DATOS!$C$23*1/4)-MAX($V23,DATOS!$C$23*0/4))*PRESIONES!$C$18+(PRESIONES!$E$33-ABERTURAS!$L$64)*MAX(0,MIN($W23,DATOS!$C$23*2/4)-MAX($V23,DATOS!$C$23*1/4))*PRESIONES!$C$19+(PRESIONES!$E$34-ABERTURAS!$L$64)*MAX(0,MIN($W23,DATOS!$C$23*3/4)-MAX($V23,DATOS!$C$23*2/4))*PRESIONES!$C$20+(PRESIONES!$E$35-ABERTURAS!$L$64)*MAX(0,MIN($W23,DATOS!$C$23*4/4)-MAX($V23,DATOS!$C$23*3/4))*PRESIONES!$C$21))</f>
        <v>0</v>
      </c>
      <c r="BE23" s="30" t="n">
        <f aca="false">IF($L23&lt;&gt;"OK",0,PRESIONES!$C$12*((PRESIONES!$H$32-ABERTURAS!$L$65)*MAX(0,MIN($W23,DATOS!$C$23*1/4)-MAX($V23,DATOS!$C$23*0/4))*PRESIONES!$C$18+(PRESIONES!$H$33-ABERTURAS!$L$65)*MAX(0,MIN($W23,DATOS!$C$23*2/4)-MAX($V23,DATOS!$C$23*1/4))*PRESIONES!$C$19+(PRESIONES!$H$34-ABERTURAS!$L$65)*MAX(0,MIN($W23,DATOS!$C$23*3/4)-MAX($V23,DATOS!$C$23*2/4))*PRESIONES!$C$20+(PRESIONES!$H$35-ABERTURAS!$L$65)*MAX(0,MIN($W23,DATOS!$C$23*4/4)-MAX($V23,DATOS!$C$23*3/4))*PRESIONES!$C$21))</f>
        <v>0</v>
      </c>
      <c r="BF23" s="30" t="n">
        <f aca="false">IF($L23&lt;&gt;"OK",0,PRESIONES!$C$12*((PRESIONES!$K$32-ABERTURAS!$L$66)*MAX(0,MIN($W23,DATOS!$C$23*1/4)-MAX($V23,DATOS!$C$23*0/4))*PRESIONES!$C$18+(PRESIONES!$K$33-ABERTURAS!$L$66)*MAX(0,MIN($W23,DATOS!$C$23*2/4)-MAX($V23,DATOS!$C$23*1/4))*PRESIONES!$C$19+(PRESIONES!$K$34-ABERTURAS!$L$66)*MAX(0,MIN($W23,DATOS!$C$23*3/4)-MAX($V23,DATOS!$C$23*2/4))*PRESIONES!$C$20+(PRESIONES!$K$35-ABERTURAS!$L$66)*MAX(0,MIN($W23,DATOS!$C$23*4/4)-MAX($V23,DATOS!$C$23*3/4))*PRESIONES!$C$21))</f>
        <v>0</v>
      </c>
      <c r="BG23" s="30" t="n">
        <f aca="false">IF($L23&lt;&gt;"OK",0,PRESIONES!$C$12*((PRESIONES!$N$32-ABERTURAS!$L$67)*MAX(0,MIN($W23,DATOS!$C$23*1/4)-MAX($V23,DATOS!$C$23*0/4))*PRESIONES!$C$18+(PRESIONES!$N$33-ABERTURAS!$L$67)*MAX(0,MIN($W23,DATOS!$C$23*2/4)-MAX($V23,DATOS!$C$23*1/4))*PRESIONES!$C$19+(PRESIONES!$N$34-ABERTURAS!$L$67)*MAX(0,MIN($W23,DATOS!$C$23*3/4)-MAX($V23,DATOS!$C$23*2/4))*PRESIONES!$C$20+(PRESIONES!$N$35-ABERTURAS!$L$67)*MAX(0,MIN($W23,DATOS!$C$23*4/4)-MAX($V23,DATOS!$C$23*3/4))*PRESIONES!$C$21))</f>
        <v>0</v>
      </c>
    </row>
    <row r="24" customFormat="false" ht="15" hidden="false" customHeight="true" outlineLevel="0" collapsed="false">
      <c r="B24" s="27"/>
      <c r="C24" s="17"/>
      <c r="D24" s="27"/>
      <c r="E24" s="17"/>
      <c r="F24" s="49"/>
      <c r="G24" s="49"/>
      <c r="H24" s="49"/>
      <c r="I24" s="49"/>
      <c r="J24" s="49"/>
      <c r="K24" s="49"/>
      <c r="L24" s="20" t="str">
        <f aca="false">IF($D24="","",IF($C24&lt;&gt;"TECHO","PON TECHO",IF(OR($F24="",$G24="",$H24="",$I24=""),"FALTAN a o b",IF($M24&lt;=0,"a₂ DEBE SER &gt; a₁",IF($N24&lt;=0,"b₂ DEBE SER &gt; b₁",IF(OR($V24&lt;-0.001,$W24&gt;DATOS!$C$23+0.001),"SE SALE DEL TECHO","OK"))))))</f>
        <v/>
      </c>
      <c r="M24" s="30" t="n">
        <f aca="false">IF($D24="",0,MAX(0,$G24-$F24))</f>
        <v>0</v>
      </c>
      <c r="N24" s="30" t="n">
        <f aca="false">MAX(0,$W24-$V24)</f>
        <v>0</v>
      </c>
      <c r="O24" s="30" t="n">
        <f aca="false">$M24*$N24</f>
        <v>0</v>
      </c>
      <c r="P24" s="30" t="n">
        <v>0</v>
      </c>
      <c r="Q24" s="30" t="n">
        <v>0</v>
      </c>
      <c r="R24" s="30" t="n">
        <f aca="false">$O24</f>
        <v>0</v>
      </c>
      <c r="S24" s="30" t="n">
        <f aca="false">$O24</f>
        <v>0</v>
      </c>
      <c r="T24" s="50" t="n">
        <f aca="false">IF($D24="",0,DATOS!$C$21)</f>
        <v>0</v>
      </c>
      <c r="U24" s="50" t="n">
        <v>0</v>
      </c>
      <c r="V24" s="50" t="n">
        <f aca="false">IF($D24="",0,(N($H24)+IF($J24="",N($H24),$J24))/2)</f>
        <v>0</v>
      </c>
      <c r="W24" s="50" t="n">
        <f aca="false">IF($D24="",0,(N($I24)+IF($K24="",N($I24),$K24))/2)</f>
        <v>0</v>
      </c>
      <c r="AB24" s="30" t="n">
        <f aca="false">IF($L24&lt;&gt;"OK",0,PRESIONES!$C$12*((PRESIONES!$D$32-ABERTURAS!$L$60)*MAX(0,MIN($W24,DATOS!$C$23*1/4)-MAX($V24,DATOS!$C$23*0/4))+(PRESIONES!$D$33-ABERTURAS!$L$60)*MAX(0,MIN($W24,DATOS!$C$23*2/4)-MAX($V24,DATOS!$C$23*1/4))+(PRESIONES!$D$34-ABERTURAS!$L$60)*MAX(0,MIN($W24,DATOS!$C$23*3/4)-MAX($V24,DATOS!$C$23*2/4))+(PRESIONES!$D$35-ABERTURAS!$L$60)*MAX(0,MIN($W24,DATOS!$C$23*4/4)-MAX($V24,DATOS!$C$23*3/4))))</f>
        <v>0</v>
      </c>
      <c r="AC24" s="30" t="n">
        <f aca="false">IF($L24&lt;&gt;"OK",0,PRESIONES!$C$12*((PRESIONES!$G$32-ABERTURAS!$L$61)*MAX(0,MIN($W24,DATOS!$C$23*1/4)-MAX($V24,DATOS!$C$23*0/4))+(PRESIONES!$G$33-ABERTURAS!$L$61)*MAX(0,MIN($W24,DATOS!$C$23*2/4)-MAX($V24,DATOS!$C$23*1/4))+(PRESIONES!$G$34-ABERTURAS!$L$61)*MAX(0,MIN($W24,DATOS!$C$23*3/4)-MAX($V24,DATOS!$C$23*2/4))+(PRESIONES!$G$35-ABERTURAS!$L$61)*MAX(0,MIN($W24,DATOS!$C$23*4/4)-MAX($V24,DATOS!$C$23*3/4))))</f>
        <v>0</v>
      </c>
      <c r="AD24" s="30" t="n">
        <f aca="false">IF($L24&lt;&gt;"OK",0,PRESIONES!$C$12*((PRESIONES!$J$32-ABERTURAS!$L$62)*MAX(0,MIN($W24,DATOS!$C$23*1/4)-MAX($V24,DATOS!$C$23*0/4))+(PRESIONES!$J$33-ABERTURAS!$L$62)*MAX(0,MIN($W24,DATOS!$C$23*2/4)-MAX($V24,DATOS!$C$23*1/4))+(PRESIONES!$J$34-ABERTURAS!$L$62)*MAX(0,MIN($W24,DATOS!$C$23*3/4)-MAX($V24,DATOS!$C$23*2/4))+(PRESIONES!$J$35-ABERTURAS!$L$62)*MAX(0,MIN($W24,DATOS!$C$23*4/4)-MAX($V24,DATOS!$C$23*3/4))))</f>
        <v>0</v>
      </c>
      <c r="AE24" s="30" t="n">
        <f aca="false">IF($L24&lt;&gt;"OK",0,PRESIONES!$C$12*((PRESIONES!$M$32-ABERTURAS!$L$63)*MAX(0,MIN($W24,DATOS!$C$23*1/4)-MAX($V24,DATOS!$C$23*0/4))+(PRESIONES!$M$33-ABERTURAS!$L$63)*MAX(0,MIN($W24,DATOS!$C$23*2/4)-MAX($V24,DATOS!$C$23*1/4))+(PRESIONES!$M$34-ABERTURAS!$L$63)*MAX(0,MIN($W24,DATOS!$C$23*3/4)-MAX($V24,DATOS!$C$23*2/4))+(PRESIONES!$M$35-ABERTURAS!$L$63)*MAX(0,MIN($W24,DATOS!$C$23*4/4)-MAX($V24,DATOS!$C$23*3/4))))</f>
        <v>0</v>
      </c>
      <c r="AF24" s="30" t="n">
        <f aca="false">IF($L24&lt;&gt;"OK",0,PRESIONES!$C$12*((PRESIONES!$D$32-ABERTURAS!$L$64)*MAX(0,MIN($W24,DATOS!$C$23*1/4)-MAX($V24,DATOS!$C$23*0/4))+(PRESIONES!$D$33-ABERTURAS!$L$64)*MAX(0,MIN($W24,DATOS!$C$23*2/4)-MAX($V24,DATOS!$C$23*1/4))+(PRESIONES!$D$34-ABERTURAS!$L$64)*MAX(0,MIN($W24,DATOS!$C$23*3/4)-MAX($V24,DATOS!$C$23*2/4))+(PRESIONES!$D$35-ABERTURAS!$L$64)*MAX(0,MIN($W24,DATOS!$C$23*4/4)-MAX($V24,DATOS!$C$23*3/4))))</f>
        <v>0</v>
      </c>
      <c r="AG24" s="30" t="n">
        <f aca="false">IF($L24&lt;&gt;"OK",0,PRESIONES!$C$12*((PRESIONES!$G$32-ABERTURAS!$L$65)*MAX(0,MIN($W24,DATOS!$C$23*1/4)-MAX($V24,DATOS!$C$23*0/4))+(PRESIONES!$G$33-ABERTURAS!$L$65)*MAX(0,MIN($W24,DATOS!$C$23*2/4)-MAX($V24,DATOS!$C$23*1/4))+(PRESIONES!$G$34-ABERTURAS!$L$65)*MAX(0,MIN($W24,DATOS!$C$23*3/4)-MAX($V24,DATOS!$C$23*2/4))+(PRESIONES!$G$35-ABERTURAS!$L$65)*MAX(0,MIN($W24,DATOS!$C$23*4/4)-MAX($V24,DATOS!$C$23*3/4))))</f>
        <v>0</v>
      </c>
      <c r="AH24" s="30" t="n">
        <f aca="false">IF($L24&lt;&gt;"OK",0,PRESIONES!$C$12*((PRESIONES!$J$32-ABERTURAS!$L$66)*MAX(0,MIN($W24,DATOS!$C$23*1/4)-MAX($V24,DATOS!$C$23*0/4))+(PRESIONES!$J$33-ABERTURAS!$L$66)*MAX(0,MIN($W24,DATOS!$C$23*2/4)-MAX($V24,DATOS!$C$23*1/4))+(PRESIONES!$J$34-ABERTURAS!$L$66)*MAX(0,MIN($W24,DATOS!$C$23*3/4)-MAX($V24,DATOS!$C$23*2/4))+(PRESIONES!$J$35-ABERTURAS!$L$66)*MAX(0,MIN($W24,DATOS!$C$23*4/4)-MAX($V24,DATOS!$C$23*3/4))))</f>
        <v>0</v>
      </c>
      <c r="AI24" s="30" t="n">
        <f aca="false">IF($L24&lt;&gt;"OK",0,PRESIONES!$C$12*((PRESIONES!$M$32-ABERTURAS!$L$67)*MAX(0,MIN($W24,DATOS!$C$23*1/4)-MAX($V24,DATOS!$C$23*0/4))+(PRESIONES!$M$33-ABERTURAS!$L$67)*MAX(0,MIN($W24,DATOS!$C$23*2/4)-MAX($V24,DATOS!$C$23*1/4))+(PRESIONES!$M$34-ABERTURAS!$L$67)*MAX(0,MIN($W24,DATOS!$C$23*3/4)-MAX($V24,DATOS!$C$23*2/4))+(PRESIONES!$M$35-ABERTURAS!$L$67)*MAX(0,MIN($W24,DATOS!$C$23*4/4)-MAX($V24,DATOS!$C$23*3/4))))</f>
        <v>0</v>
      </c>
      <c r="AJ24" s="30" t="n">
        <f aca="false">IF($L24&lt;&gt;"OK",0,PRESIONES!$C$12*((PRESIONES!$D$32-ABERTURAS!$L$60)*MAX(0,MIN($W24,DATOS!$C$23*1/4)-MAX($V24,DATOS!$C$23*0/4))*PRESIONES!$C$18+(PRESIONES!$D$33-ABERTURAS!$L$60)*MAX(0,MIN($W24,DATOS!$C$23*2/4)-MAX($V24,DATOS!$C$23*1/4))*PRESIONES!$C$19+(PRESIONES!$D$34-ABERTURAS!$L$60)*MAX(0,MIN($W24,DATOS!$C$23*3/4)-MAX($V24,DATOS!$C$23*2/4))*PRESIONES!$C$20+(PRESIONES!$D$35-ABERTURAS!$L$60)*MAX(0,MIN($W24,DATOS!$C$23*4/4)-MAX($V24,DATOS!$C$23*3/4))*PRESIONES!$C$21))</f>
        <v>0</v>
      </c>
      <c r="AK24" s="30" t="n">
        <f aca="false">IF($L24&lt;&gt;"OK",0,PRESIONES!$C$12*((PRESIONES!$G$32-ABERTURAS!$L$61)*MAX(0,MIN($W24,DATOS!$C$23*1/4)-MAX($V24,DATOS!$C$23*0/4))*PRESIONES!$C$18+(PRESIONES!$G$33-ABERTURAS!$L$61)*MAX(0,MIN($W24,DATOS!$C$23*2/4)-MAX($V24,DATOS!$C$23*1/4))*PRESIONES!$C$19+(PRESIONES!$G$34-ABERTURAS!$L$61)*MAX(0,MIN($W24,DATOS!$C$23*3/4)-MAX($V24,DATOS!$C$23*2/4))*PRESIONES!$C$20+(PRESIONES!$G$35-ABERTURAS!$L$61)*MAX(0,MIN($W24,DATOS!$C$23*4/4)-MAX($V24,DATOS!$C$23*3/4))*PRESIONES!$C$21))</f>
        <v>0</v>
      </c>
      <c r="AL24" s="30" t="n">
        <f aca="false">IF($L24&lt;&gt;"OK",0,PRESIONES!$C$12*((PRESIONES!$J$32-ABERTURAS!$L$62)*MAX(0,MIN($W24,DATOS!$C$23*1/4)-MAX($V24,DATOS!$C$23*0/4))*PRESIONES!$C$18+(PRESIONES!$J$33-ABERTURAS!$L$62)*MAX(0,MIN($W24,DATOS!$C$23*2/4)-MAX($V24,DATOS!$C$23*1/4))*PRESIONES!$C$19+(PRESIONES!$J$34-ABERTURAS!$L$62)*MAX(0,MIN($W24,DATOS!$C$23*3/4)-MAX($V24,DATOS!$C$23*2/4))*PRESIONES!$C$20+(PRESIONES!$J$35-ABERTURAS!$L$62)*MAX(0,MIN($W24,DATOS!$C$23*4/4)-MAX($V24,DATOS!$C$23*3/4))*PRESIONES!$C$21))</f>
        <v>0</v>
      </c>
      <c r="AM24" s="30" t="n">
        <f aca="false">IF($L24&lt;&gt;"OK",0,PRESIONES!$C$12*((PRESIONES!$M$32-ABERTURAS!$L$63)*MAX(0,MIN($W24,DATOS!$C$23*1/4)-MAX($V24,DATOS!$C$23*0/4))*PRESIONES!$C$18+(PRESIONES!$M$33-ABERTURAS!$L$63)*MAX(0,MIN($W24,DATOS!$C$23*2/4)-MAX($V24,DATOS!$C$23*1/4))*PRESIONES!$C$19+(PRESIONES!$M$34-ABERTURAS!$L$63)*MAX(0,MIN($W24,DATOS!$C$23*3/4)-MAX($V24,DATOS!$C$23*2/4))*PRESIONES!$C$20+(PRESIONES!$M$35-ABERTURAS!$L$63)*MAX(0,MIN($W24,DATOS!$C$23*4/4)-MAX($V24,DATOS!$C$23*3/4))*PRESIONES!$C$21))</f>
        <v>0</v>
      </c>
      <c r="AN24" s="30" t="n">
        <f aca="false">IF($L24&lt;&gt;"OK",0,PRESIONES!$C$12*((PRESIONES!$D$32-ABERTURAS!$L$64)*MAX(0,MIN($W24,DATOS!$C$23*1/4)-MAX($V24,DATOS!$C$23*0/4))*PRESIONES!$C$18+(PRESIONES!$D$33-ABERTURAS!$L$64)*MAX(0,MIN($W24,DATOS!$C$23*2/4)-MAX($V24,DATOS!$C$23*1/4))*PRESIONES!$C$19+(PRESIONES!$D$34-ABERTURAS!$L$64)*MAX(0,MIN($W24,DATOS!$C$23*3/4)-MAX($V24,DATOS!$C$23*2/4))*PRESIONES!$C$20+(PRESIONES!$D$35-ABERTURAS!$L$64)*MAX(0,MIN($W24,DATOS!$C$23*4/4)-MAX($V24,DATOS!$C$23*3/4))*PRESIONES!$C$21))</f>
        <v>0</v>
      </c>
      <c r="AO24" s="30" t="n">
        <f aca="false">IF($L24&lt;&gt;"OK",0,PRESIONES!$C$12*((PRESIONES!$G$32-ABERTURAS!$L$65)*MAX(0,MIN($W24,DATOS!$C$23*1/4)-MAX($V24,DATOS!$C$23*0/4))*PRESIONES!$C$18+(PRESIONES!$G$33-ABERTURAS!$L$65)*MAX(0,MIN($W24,DATOS!$C$23*2/4)-MAX($V24,DATOS!$C$23*1/4))*PRESIONES!$C$19+(PRESIONES!$G$34-ABERTURAS!$L$65)*MAX(0,MIN($W24,DATOS!$C$23*3/4)-MAX($V24,DATOS!$C$23*2/4))*PRESIONES!$C$20+(PRESIONES!$G$35-ABERTURAS!$L$65)*MAX(0,MIN($W24,DATOS!$C$23*4/4)-MAX($V24,DATOS!$C$23*3/4))*PRESIONES!$C$21))</f>
        <v>0</v>
      </c>
      <c r="AP24" s="30" t="n">
        <f aca="false">IF($L24&lt;&gt;"OK",0,PRESIONES!$C$12*((PRESIONES!$J$32-ABERTURAS!$L$66)*MAX(0,MIN($W24,DATOS!$C$23*1/4)-MAX($V24,DATOS!$C$23*0/4))*PRESIONES!$C$18+(PRESIONES!$J$33-ABERTURAS!$L$66)*MAX(0,MIN($W24,DATOS!$C$23*2/4)-MAX($V24,DATOS!$C$23*1/4))*PRESIONES!$C$19+(PRESIONES!$J$34-ABERTURAS!$L$66)*MAX(0,MIN($W24,DATOS!$C$23*3/4)-MAX($V24,DATOS!$C$23*2/4))*PRESIONES!$C$20+(PRESIONES!$J$35-ABERTURAS!$L$66)*MAX(0,MIN($W24,DATOS!$C$23*4/4)-MAX($V24,DATOS!$C$23*3/4))*PRESIONES!$C$21))</f>
        <v>0</v>
      </c>
      <c r="AQ24" s="30" t="n">
        <f aca="false">IF($L24&lt;&gt;"OK",0,PRESIONES!$C$12*((PRESIONES!$M$32-ABERTURAS!$L$67)*MAX(0,MIN($W24,DATOS!$C$23*1/4)-MAX($V24,DATOS!$C$23*0/4))*PRESIONES!$C$18+(PRESIONES!$M$33-ABERTURAS!$L$67)*MAX(0,MIN($W24,DATOS!$C$23*2/4)-MAX($V24,DATOS!$C$23*1/4))*PRESIONES!$C$19+(PRESIONES!$M$34-ABERTURAS!$L$67)*MAX(0,MIN($W24,DATOS!$C$23*3/4)-MAX($V24,DATOS!$C$23*2/4))*PRESIONES!$C$20+(PRESIONES!$M$35-ABERTURAS!$L$67)*MAX(0,MIN($W24,DATOS!$C$23*4/4)-MAX($V24,DATOS!$C$23*3/4))*PRESIONES!$C$21))</f>
        <v>0</v>
      </c>
      <c r="AR24" s="30" t="n">
        <f aca="false">IF($L24&lt;&gt;"OK",0,PRESIONES!$C$12*((PRESIONES!$E$32-ABERTURAS!$L$60)*MAX(0,MIN($W24,DATOS!$C$23*1/4)-MAX($V24,DATOS!$C$23*0/4))+(PRESIONES!$E$33-ABERTURAS!$L$60)*MAX(0,MIN($W24,DATOS!$C$23*2/4)-MAX($V24,DATOS!$C$23*1/4))+(PRESIONES!$E$34-ABERTURAS!$L$60)*MAX(0,MIN($W24,DATOS!$C$23*3/4)-MAX($V24,DATOS!$C$23*2/4))+(PRESIONES!$E$35-ABERTURAS!$L$60)*MAX(0,MIN($W24,DATOS!$C$23*4/4)-MAX($V24,DATOS!$C$23*3/4))))</f>
        <v>0</v>
      </c>
      <c r="AS24" s="30" t="n">
        <f aca="false">IF($L24&lt;&gt;"OK",0,PRESIONES!$C$12*((PRESIONES!$H$32-ABERTURAS!$L$61)*MAX(0,MIN($W24,DATOS!$C$23*1/4)-MAX($V24,DATOS!$C$23*0/4))+(PRESIONES!$H$33-ABERTURAS!$L$61)*MAX(0,MIN($W24,DATOS!$C$23*2/4)-MAX($V24,DATOS!$C$23*1/4))+(PRESIONES!$H$34-ABERTURAS!$L$61)*MAX(0,MIN($W24,DATOS!$C$23*3/4)-MAX($V24,DATOS!$C$23*2/4))+(PRESIONES!$H$35-ABERTURAS!$L$61)*MAX(0,MIN($W24,DATOS!$C$23*4/4)-MAX($V24,DATOS!$C$23*3/4))))</f>
        <v>0</v>
      </c>
      <c r="AT24" s="30" t="n">
        <f aca="false">IF($L24&lt;&gt;"OK",0,PRESIONES!$C$12*((PRESIONES!$K$32-ABERTURAS!$L$62)*MAX(0,MIN($W24,DATOS!$C$23*1/4)-MAX($V24,DATOS!$C$23*0/4))+(PRESIONES!$K$33-ABERTURAS!$L$62)*MAX(0,MIN($W24,DATOS!$C$23*2/4)-MAX($V24,DATOS!$C$23*1/4))+(PRESIONES!$K$34-ABERTURAS!$L$62)*MAX(0,MIN($W24,DATOS!$C$23*3/4)-MAX($V24,DATOS!$C$23*2/4))+(PRESIONES!$K$35-ABERTURAS!$L$62)*MAX(0,MIN($W24,DATOS!$C$23*4/4)-MAX($V24,DATOS!$C$23*3/4))))</f>
        <v>0</v>
      </c>
      <c r="AU24" s="30" t="n">
        <f aca="false">IF($L24&lt;&gt;"OK",0,PRESIONES!$C$12*((PRESIONES!$N$32-ABERTURAS!$L$63)*MAX(0,MIN($W24,DATOS!$C$23*1/4)-MAX($V24,DATOS!$C$23*0/4))+(PRESIONES!$N$33-ABERTURAS!$L$63)*MAX(0,MIN($W24,DATOS!$C$23*2/4)-MAX($V24,DATOS!$C$23*1/4))+(PRESIONES!$N$34-ABERTURAS!$L$63)*MAX(0,MIN($W24,DATOS!$C$23*3/4)-MAX($V24,DATOS!$C$23*2/4))+(PRESIONES!$N$35-ABERTURAS!$L$63)*MAX(0,MIN($W24,DATOS!$C$23*4/4)-MAX($V24,DATOS!$C$23*3/4))))</f>
        <v>0</v>
      </c>
      <c r="AV24" s="30" t="n">
        <f aca="false">IF($L24&lt;&gt;"OK",0,PRESIONES!$C$12*((PRESIONES!$E$32-ABERTURAS!$L$64)*MAX(0,MIN($W24,DATOS!$C$23*1/4)-MAX($V24,DATOS!$C$23*0/4))+(PRESIONES!$E$33-ABERTURAS!$L$64)*MAX(0,MIN($W24,DATOS!$C$23*2/4)-MAX($V24,DATOS!$C$23*1/4))+(PRESIONES!$E$34-ABERTURAS!$L$64)*MAX(0,MIN($W24,DATOS!$C$23*3/4)-MAX($V24,DATOS!$C$23*2/4))+(PRESIONES!$E$35-ABERTURAS!$L$64)*MAX(0,MIN($W24,DATOS!$C$23*4/4)-MAX($V24,DATOS!$C$23*3/4))))</f>
        <v>0</v>
      </c>
      <c r="AW24" s="30" t="n">
        <f aca="false">IF($L24&lt;&gt;"OK",0,PRESIONES!$C$12*((PRESIONES!$H$32-ABERTURAS!$L$65)*MAX(0,MIN($W24,DATOS!$C$23*1/4)-MAX($V24,DATOS!$C$23*0/4))+(PRESIONES!$H$33-ABERTURAS!$L$65)*MAX(0,MIN($W24,DATOS!$C$23*2/4)-MAX($V24,DATOS!$C$23*1/4))+(PRESIONES!$H$34-ABERTURAS!$L$65)*MAX(0,MIN($W24,DATOS!$C$23*3/4)-MAX($V24,DATOS!$C$23*2/4))+(PRESIONES!$H$35-ABERTURAS!$L$65)*MAX(0,MIN($W24,DATOS!$C$23*4/4)-MAX($V24,DATOS!$C$23*3/4))))</f>
        <v>0</v>
      </c>
      <c r="AX24" s="30" t="n">
        <f aca="false">IF($L24&lt;&gt;"OK",0,PRESIONES!$C$12*((PRESIONES!$K$32-ABERTURAS!$L$66)*MAX(0,MIN($W24,DATOS!$C$23*1/4)-MAX($V24,DATOS!$C$23*0/4))+(PRESIONES!$K$33-ABERTURAS!$L$66)*MAX(0,MIN($W24,DATOS!$C$23*2/4)-MAX($V24,DATOS!$C$23*1/4))+(PRESIONES!$K$34-ABERTURAS!$L$66)*MAX(0,MIN($W24,DATOS!$C$23*3/4)-MAX($V24,DATOS!$C$23*2/4))+(PRESIONES!$K$35-ABERTURAS!$L$66)*MAX(0,MIN($W24,DATOS!$C$23*4/4)-MAX($V24,DATOS!$C$23*3/4))))</f>
        <v>0</v>
      </c>
      <c r="AY24" s="30" t="n">
        <f aca="false">IF($L24&lt;&gt;"OK",0,PRESIONES!$C$12*((PRESIONES!$N$32-ABERTURAS!$L$67)*MAX(0,MIN($W24,DATOS!$C$23*1/4)-MAX($V24,DATOS!$C$23*0/4))+(PRESIONES!$N$33-ABERTURAS!$L$67)*MAX(0,MIN($W24,DATOS!$C$23*2/4)-MAX($V24,DATOS!$C$23*1/4))+(PRESIONES!$N$34-ABERTURAS!$L$67)*MAX(0,MIN($W24,DATOS!$C$23*3/4)-MAX($V24,DATOS!$C$23*2/4))+(PRESIONES!$N$35-ABERTURAS!$L$67)*MAX(0,MIN($W24,DATOS!$C$23*4/4)-MAX($V24,DATOS!$C$23*3/4))))</f>
        <v>0</v>
      </c>
      <c r="AZ24" s="30" t="n">
        <f aca="false">IF($L24&lt;&gt;"OK",0,PRESIONES!$C$12*((PRESIONES!$E$32-ABERTURAS!$L$60)*MAX(0,MIN($W24,DATOS!$C$23*1/4)-MAX($V24,DATOS!$C$23*0/4))*PRESIONES!$C$18+(PRESIONES!$E$33-ABERTURAS!$L$60)*MAX(0,MIN($W24,DATOS!$C$23*2/4)-MAX($V24,DATOS!$C$23*1/4))*PRESIONES!$C$19+(PRESIONES!$E$34-ABERTURAS!$L$60)*MAX(0,MIN($W24,DATOS!$C$23*3/4)-MAX($V24,DATOS!$C$23*2/4))*PRESIONES!$C$20+(PRESIONES!$E$35-ABERTURAS!$L$60)*MAX(0,MIN($W24,DATOS!$C$23*4/4)-MAX($V24,DATOS!$C$23*3/4))*PRESIONES!$C$21))</f>
        <v>0</v>
      </c>
      <c r="BA24" s="30" t="n">
        <f aca="false">IF($L24&lt;&gt;"OK",0,PRESIONES!$C$12*((PRESIONES!$H$32-ABERTURAS!$L$61)*MAX(0,MIN($W24,DATOS!$C$23*1/4)-MAX($V24,DATOS!$C$23*0/4))*PRESIONES!$C$18+(PRESIONES!$H$33-ABERTURAS!$L$61)*MAX(0,MIN($W24,DATOS!$C$23*2/4)-MAX($V24,DATOS!$C$23*1/4))*PRESIONES!$C$19+(PRESIONES!$H$34-ABERTURAS!$L$61)*MAX(0,MIN($W24,DATOS!$C$23*3/4)-MAX($V24,DATOS!$C$23*2/4))*PRESIONES!$C$20+(PRESIONES!$H$35-ABERTURAS!$L$61)*MAX(0,MIN($W24,DATOS!$C$23*4/4)-MAX($V24,DATOS!$C$23*3/4))*PRESIONES!$C$21))</f>
        <v>0</v>
      </c>
      <c r="BB24" s="30" t="n">
        <f aca="false">IF($L24&lt;&gt;"OK",0,PRESIONES!$C$12*((PRESIONES!$K$32-ABERTURAS!$L$62)*MAX(0,MIN($W24,DATOS!$C$23*1/4)-MAX($V24,DATOS!$C$23*0/4))*PRESIONES!$C$18+(PRESIONES!$K$33-ABERTURAS!$L$62)*MAX(0,MIN($W24,DATOS!$C$23*2/4)-MAX($V24,DATOS!$C$23*1/4))*PRESIONES!$C$19+(PRESIONES!$K$34-ABERTURAS!$L$62)*MAX(0,MIN($W24,DATOS!$C$23*3/4)-MAX($V24,DATOS!$C$23*2/4))*PRESIONES!$C$20+(PRESIONES!$K$35-ABERTURAS!$L$62)*MAX(0,MIN($W24,DATOS!$C$23*4/4)-MAX($V24,DATOS!$C$23*3/4))*PRESIONES!$C$21))</f>
        <v>0</v>
      </c>
      <c r="BC24" s="30" t="n">
        <f aca="false">IF($L24&lt;&gt;"OK",0,PRESIONES!$C$12*((PRESIONES!$N$32-ABERTURAS!$L$63)*MAX(0,MIN($W24,DATOS!$C$23*1/4)-MAX($V24,DATOS!$C$23*0/4))*PRESIONES!$C$18+(PRESIONES!$N$33-ABERTURAS!$L$63)*MAX(0,MIN($W24,DATOS!$C$23*2/4)-MAX($V24,DATOS!$C$23*1/4))*PRESIONES!$C$19+(PRESIONES!$N$34-ABERTURAS!$L$63)*MAX(0,MIN($W24,DATOS!$C$23*3/4)-MAX($V24,DATOS!$C$23*2/4))*PRESIONES!$C$20+(PRESIONES!$N$35-ABERTURAS!$L$63)*MAX(0,MIN($W24,DATOS!$C$23*4/4)-MAX($V24,DATOS!$C$23*3/4))*PRESIONES!$C$21))</f>
        <v>0</v>
      </c>
      <c r="BD24" s="30" t="n">
        <f aca="false">IF($L24&lt;&gt;"OK",0,PRESIONES!$C$12*((PRESIONES!$E$32-ABERTURAS!$L$64)*MAX(0,MIN($W24,DATOS!$C$23*1/4)-MAX($V24,DATOS!$C$23*0/4))*PRESIONES!$C$18+(PRESIONES!$E$33-ABERTURAS!$L$64)*MAX(0,MIN($W24,DATOS!$C$23*2/4)-MAX($V24,DATOS!$C$23*1/4))*PRESIONES!$C$19+(PRESIONES!$E$34-ABERTURAS!$L$64)*MAX(0,MIN($W24,DATOS!$C$23*3/4)-MAX($V24,DATOS!$C$23*2/4))*PRESIONES!$C$20+(PRESIONES!$E$35-ABERTURAS!$L$64)*MAX(0,MIN($W24,DATOS!$C$23*4/4)-MAX($V24,DATOS!$C$23*3/4))*PRESIONES!$C$21))</f>
        <v>0</v>
      </c>
      <c r="BE24" s="30" t="n">
        <f aca="false">IF($L24&lt;&gt;"OK",0,PRESIONES!$C$12*((PRESIONES!$H$32-ABERTURAS!$L$65)*MAX(0,MIN($W24,DATOS!$C$23*1/4)-MAX($V24,DATOS!$C$23*0/4))*PRESIONES!$C$18+(PRESIONES!$H$33-ABERTURAS!$L$65)*MAX(0,MIN($W24,DATOS!$C$23*2/4)-MAX($V24,DATOS!$C$23*1/4))*PRESIONES!$C$19+(PRESIONES!$H$34-ABERTURAS!$L$65)*MAX(0,MIN($W24,DATOS!$C$23*3/4)-MAX($V24,DATOS!$C$23*2/4))*PRESIONES!$C$20+(PRESIONES!$H$35-ABERTURAS!$L$65)*MAX(0,MIN($W24,DATOS!$C$23*4/4)-MAX($V24,DATOS!$C$23*3/4))*PRESIONES!$C$21))</f>
        <v>0</v>
      </c>
      <c r="BF24" s="30" t="n">
        <f aca="false">IF($L24&lt;&gt;"OK",0,PRESIONES!$C$12*((PRESIONES!$K$32-ABERTURAS!$L$66)*MAX(0,MIN($W24,DATOS!$C$23*1/4)-MAX($V24,DATOS!$C$23*0/4))*PRESIONES!$C$18+(PRESIONES!$K$33-ABERTURAS!$L$66)*MAX(0,MIN($W24,DATOS!$C$23*2/4)-MAX($V24,DATOS!$C$23*1/4))*PRESIONES!$C$19+(PRESIONES!$K$34-ABERTURAS!$L$66)*MAX(0,MIN($W24,DATOS!$C$23*3/4)-MAX($V24,DATOS!$C$23*2/4))*PRESIONES!$C$20+(PRESIONES!$K$35-ABERTURAS!$L$66)*MAX(0,MIN($W24,DATOS!$C$23*4/4)-MAX($V24,DATOS!$C$23*3/4))*PRESIONES!$C$21))</f>
        <v>0</v>
      </c>
      <c r="BG24" s="30" t="n">
        <f aca="false">IF($L24&lt;&gt;"OK",0,PRESIONES!$C$12*((PRESIONES!$N$32-ABERTURAS!$L$67)*MAX(0,MIN($W24,DATOS!$C$23*1/4)-MAX($V24,DATOS!$C$23*0/4))*PRESIONES!$C$18+(PRESIONES!$N$33-ABERTURAS!$L$67)*MAX(0,MIN($W24,DATOS!$C$23*2/4)-MAX($V24,DATOS!$C$23*1/4))*PRESIONES!$C$19+(PRESIONES!$N$34-ABERTURAS!$L$67)*MAX(0,MIN($W24,DATOS!$C$23*3/4)-MAX($V24,DATOS!$C$23*2/4))*PRESIONES!$C$20+(PRESIONES!$N$35-ABERTURAS!$L$67)*MAX(0,MIN($W24,DATOS!$C$23*4/4)-MAX($V24,DATOS!$C$23*3/4))*PRESIONES!$C$21))</f>
        <v>0</v>
      </c>
    </row>
    <row r="25" customFormat="false" ht="15" hidden="false" customHeight="true" outlineLevel="0" collapsed="false">
      <c r="B25" s="27"/>
      <c r="C25" s="17"/>
      <c r="D25" s="27"/>
      <c r="E25" s="17"/>
      <c r="F25" s="49"/>
      <c r="G25" s="49"/>
      <c r="H25" s="49"/>
      <c r="I25" s="49"/>
      <c r="J25" s="49"/>
      <c r="K25" s="49"/>
      <c r="L25" s="20" t="str">
        <f aca="false">IF($D25="","",IF($C25&lt;&gt;"TECHO","PON TECHO",IF(OR($F25="",$G25="",$H25="",$I25=""),"FALTAN a o b",IF($M25&lt;=0,"a₂ DEBE SER &gt; a₁",IF($N25&lt;=0,"b₂ DEBE SER &gt; b₁",IF(OR($V25&lt;-0.001,$W25&gt;DATOS!$C$23+0.001),"SE SALE DEL TECHO","OK"))))))</f>
        <v/>
      </c>
      <c r="M25" s="30" t="n">
        <f aca="false">IF($D25="",0,MAX(0,$G25-$F25))</f>
        <v>0</v>
      </c>
      <c r="N25" s="30" t="n">
        <f aca="false">MAX(0,$W25-$V25)</f>
        <v>0</v>
      </c>
      <c r="O25" s="30" t="n">
        <f aca="false">$M25*$N25</f>
        <v>0</v>
      </c>
      <c r="P25" s="30" t="n">
        <v>0</v>
      </c>
      <c r="Q25" s="30" t="n">
        <v>0</v>
      </c>
      <c r="R25" s="30" t="n">
        <f aca="false">$O25</f>
        <v>0</v>
      </c>
      <c r="S25" s="30" t="n">
        <f aca="false">$O25</f>
        <v>0</v>
      </c>
      <c r="T25" s="50" t="n">
        <f aca="false">IF($D25="",0,DATOS!$C$21)</f>
        <v>0</v>
      </c>
      <c r="U25" s="50" t="n">
        <v>0</v>
      </c>
      <c r="V25" s="50" t="n">
        <f aca="false">IF($D25="",0,(N($H25)+IF($J25="",N($H25),$J25))/2)</f>
        <v>0</v>
      </c>
      <c r="W25" s="50" t="n">
        <f aca="false">IF($D25="",0,(N($I25)+IF($K25="",N($I25),$K25))/2)</f>
        <v>0</v>
      </c>
      <c r="AB25" s="30" t="n">
        <f aca="false">IF($L25&lt;&gt;"OK",0,PRESIONES!$C$12*((PRESIONES!$D$32-ABERTURAS!$L$60)*MAX(0,MIN($W25,DATOS!$C$23*1/4)-MAX($V25,DATOS!$C$23*0/4))+(PRESIONES!$D$33-ABERTURAS!$L$60)*MAX(0,MIN($W25,DATOS!$C$23*2/4)-MAX($V25,DATOS!$C$23*1/4))+(PRESIONES!$D$34-ABERTURAS!$L$60)*MAX(0,MIN($W25,DATOS!$C$23*3/4)-MAX($V25,DATOS!$C$23*2/4))+(PRESIONES!$D$35-ABERTURAS!$L$60)*MAX(0,MIN($W25,DATOS!$C$23*4/4)-MAX($V25,DATOS!$C$23*3/4))))</f>
        <v>0</v>
      </c>
      <c r="AC25" s="30" t="n">
        <f aca="false">IF($L25&lt;&gt;"OK",0,PRESIONES!$C$12*((PRESIONES!$G$32-ABERTURAS!$L$61)*MAX(0,MIN($W25,DATOS!$C$23*1/4)-MAX($V25,DATOS!$C$23*0/4))+(PRESIONES!$G$33-ABERTURAS!$L$61)*MAX(0,MIN($W25,DATOS!$C$23*2/4)-MAX($V25,DATOS!$C$23*1/4))+(PRESIONES!$G$34-ABERTURAS!$L$61)*MAX(0,MIN($W25,DATOS!$C$23*3/4)-MAX($V25,DATOS!$C$23*2/4))+(PRESIONES!$G$35-ABERTURAS!$L$61)*MAX(0,MIN($W25,DATOS!$C$23*4/4)-MAX($V25,DATOS!$C$23*3/4))))</f>
        <v>0</v>
      </c>
      <c r="AD25" s="30" t="n">
        <f aca="false">IF($L25&lt;&gt;"OK",0,PRESIONES!$C$12*((PRESIONES!$J$32-ABERTURAS!$L$62)*MAX(0,MIN($W25,DATOS!$C$23*1/4)-MAX($V25,DATOS!$C$23*0/4))+(PRESIONES!$J$33-ABERTURAS!$L$62)*MAX(0,MIN($W25,DATOS!$C$23*2/4)-MAX($V25,DATOS!$C$23*1/4))+(PRESIONES!$J$34-ABERTURAS!$L$62)*MAX(0,MIN($W25,DATOS!$C$23*3/4)-MAX($V25,DATOS!$C$23*2/4))+(PRESIONES!$J$35-ABERTURAS!$L$62)*MAX(0,MIN($W25,DATOS!$C$23*4/4)-MAX($V25,DATOS!$C$23*3/4))))</f>
        <v>0</v>
      </c>
      <c r="AE25" s="30" t="n">
        <f aca="false">IF($L25&lt;&gt;"OK",0,PRESIONES!$C$12*((PRESIONES!$M$32-ABERTURAS!$L$63)*MAX(0,MIN($W25,DATOS!$C$23*1/4)-MAX($V25,DATOS!$C$23*0/4))+(PRESIONES!$M$33-ABERTURAS!$L$63)*MAX(0,MIN($W25,DATOS!$C$23*2/4)-MAX($V25,DATOS!$C$23*1/4))+(PRESIONES!$M$34-ABERTURAS!$L$63)*MAX(0,MIN($W25,DATOS!$C$23*3/4)-MAX($V25,DATOS!$C$23*2/4))+(PRESIONES!$M$35-ABERTURAS!$L$63)*MAX(0,MIN($W25,DATOS!$C$23*4/4)-MAX($V25,DATOS!$C$23*3/4))))</f>
        <v>0</v>
      </c>
      <c r="AF25" s="30" t="n">
        <f aca="false">IF($L25&lt;&gt;"OK",0,PRESIONES!$C$12*((PRESIONES!$D$32-ABERTURAS!$L$64)*MAX(0,MIN($W25,DATOS!$C$23*1/4)-MAX($V25,DATOS!$C$23*0/4))+(PRESIONES!$D$33-ABERTURAS!$L$64)*MAX(0,MIN($W25,DATOS!$C$23*2/4)-MAX($V25,DATOS!$C$23*1/4))+(PRESIONES!$D$34-ABERTURAS!$L$64)*MAX(0,MIN($W25,DATOS!$C$23*3/4)-MAX($V25,DATOS!$C$23*2/4))+(PRESIONES!$D$35-ABERTURAS!$L$64)*MAX(0,MIN($W25,DATOS!$C$23*4/4)-MAX($V25,DATOS!$C$23*3/4))))</f>
        <v>0</v>
      </c>
      <c r="AG25" s="30" t="n">
        <f aca="false">IF($L25&lt;&gt;"OK",0,PRESIONES!$C$12*((PRESIONES!$G$32-ABERTURAS!$L$65)*MAX(0,MIN($W25,DATOS!$C$23*1/4)-MAX($V25,DATOS!$C$23*0/4))+(PRESIONES!$G$33-ABERTURAS!$L$65)*MAX(0,MIN($W25,DATOS!$C$23*2/4)-MAX($V25,DATOS!$C$23*1/4))+(PRESIONES!$G$34-ABERTURAS!$L$65)*MAX(0,MIN($W25,DATOS!$C$23*3/4)-MAX($V25,DATOS!$C$23*2/4))+(PRESIONES!$G$35-ABERTURAS!$L$65)*MAX(0,MIN($W25,DATOS!$C$23*4/4)-MAX($V25,DATOS!$C$23*3/4))))</f>
        <v>0</v>
      </c>
      <c r="AH25" s="30" t="n">
        <f aca="false">IF($L25&lt;&gt;"OK",0,PRESIONES!$C$12*((PRESIONES!$J$32-ABERTURAS!$L$66)*MAX(0,MIN($W25,DATOS!$C$23*1/4)-MAX($V25,DATOS!$C$23*0/4))+(PRESIONES!$J$33-ABERTURAS!$L$66)*MAX(0,MIN($W25,DATOS!$C$23*2/4)-MAX($V25,DATOS!$C$23*1/4))+(PRESIONES!$J$34-ABERTURAS!$L$66)*MAX(0,MIN($W25,DATOS!$C$23*3/4)-MAX($V25,DATOS!$C$23*2/4))+(PRESIONES!$J$35-ABERTURAS!$L$66)*MAX(0,MIN($W25,DATOS!$C$23*4/4)-MAX($V25,DATOS!$C$23*3/4))))</f>
        <v>0</v>
      </c>
      <c r="AI25" s="30" t="n">
        <f aca="false">IF($L25&lt;&gt;"OK",0,PRESIONES!$C$12*((PRESIONES!$M$32-ABERTURAS!$L$67)*MAX(0,MIN($W25,DATOS!$C$23*1/4)-MAX($V25,DATOS!$C$23*0/4))+(PRESIONES!$M$33-ABERTURAS!$L$67)*MAX(0,MIN($W25,DATOS!$C$23*2/4)-MAX($V25,DATOS!$C$23*1/4))+(PRESIONES!$M$34-ABERTURAS!$L$67)*MAX(0,MIN($W25,DATOS!$C$23*3/4)-MAX($V25,DATOS!$C$23*2/4))+(PRESIONES!$M$35-ABERTURAS!$L$67)*MAX(0,MIN($W25,DATOS!$C$23*4/4)-MAX($V25,DATOS!$C$23*3/4))))</f>
        <v>0</v>
      </c>
      <c r="AJ25" s="30" t="n">
        <f aca="false">IF($L25&lt;&gt;"OK",0,PRESIONES!$C$12*((PRESIONES!$D$32-ABERTURAS!$L$60)*MAX(0,MIN($W25,DATOS!$C$23*1/4)-MAX($V25,DATOS!$C$23*0/4))*PRESIONES!$C$18+(PRESIONES!$D$33-ABERTURAS!$L$60)*MAX(0,MIN($W25,DATOS!$C$23*2/4)-MAX($V25,DATOS!$C$23*1/4))*PRESIONES!$C$19+(PRESIONES!$D$34-ABERTURAS!$L$60)*MAX(0,MIN($W25,DATOS!$C$23*3/4)-MAX($V25,DATOS!$C$23*2/4))*PRESIONES!$C$20+(PRESIONES!$D$35-ABERTURAS!$L$60)*MAX(0,MIN($W25,DATOS!$C$23*4/4)-MAX($V25,DATOS!$C$23*3/4))*PRESIONES!$C$21))</f>
        <v>0</v>
      </c>
      <c r="AK25" s="30" t="n">
        <f aca="false">IF($L25&lt;&gt;"OK",0,PRESIONES!$C$12*((PRESIONES!$G$32-ABERTURAS!$L$61)*MAX(0,MIN($W25,DATOS!$C$23*1/4)-MAX($V25,DATOS!$C$23*0/4))*PRESIONES!$C$18+(PRESIONES!$G$33-ABERTURAS!$L$61)*MAX(0,MIN($W25,DATOS!$C$23*2/4)-MAX($V25,DATOS!$C$23*1/4))*PRESIONES!$C$19+(PRESIONES!$G$34-ABERTURAS!$L$61)*MAX(0,MIN($W25,DATOS!$C$23*3/4)-MAX($V25,DATOS!$C$23*2/4))*PRESIONES!$C$20+(PRESIONES!$G$35-ABERTURAS!$L$61)*MAX(0,MIN($W25,DATOS!$C$23*4/4)-MAX($V25,DATOS!$C$23*3/4))*PRESIONES!$C$21))</f>
        <v>0</v>
      </c>
      <c r="AL25" s="30" t="n">
        <f aca="false">IF($L25&lt;&gt;"OK",0,PRESIONES!$C$12*((PRESIONES!$J$32-ABERTURAS!$L$62)*MAX(0,MIN($W25,DATOS!$C$23*1/4)-MAX($V25,DATOS!$C$23*0/4))*PRESIONES!$C$18+(PRESIONES!$J$33-ABERTURAS!$L$62)*MAX(0,MIN($W25,DATOS!$C$23*2/4)-MAX($V25,DATOS!$C$23*1/4))*PRESIONES!$C$19+(PRESIONES!$J$34-ABERTURAS!$L$62)*MAX(0,MIN($W25,DATOS!$C$23*3/4)-MAX($V25,DATOS!$C$23*2/4))*PRESIONES!$C$20+(PRESIONES!$J$35-ABERTURAS!$L$62)*MAX(0,MIN($W25,DATOS!$C$23*4/4)-MAX($V25,DATOS!$C$23*3/4))*PRESIONES!$C$21))</f>
        <v>0</v>
      </c>
      <c r="AM25" s="30" t="n">
        <f aca="false">IF($L25&lt;&gt;"OK",0,PRESIONES!$C$12*((PRESIONES!$M$32-ABERTURAS!$L$63)*MAX(0,MIN($W25,DATOS!$C$23*1/4)-MAX($V25,DATOS!$C$23*0/4))*PRESIONES!$C$18+(PRESIONES!$M$33-ABERTURAS!$L$63)*MAX(0,MIN($W25,DATOS!$C$23*2/4)-MAX($V25,DATOS!$C$23*1/4))*PRESIONES!$C$19+(PRESIONES!$M$34-ABERTURAS!$L$63)*MAX(0,MIN($W25,DATOS!$C$23*3/4)-MAX($V25,DATOS!$C$23*2/4))*PRESIONES!$C$20+(PRESIONES!$M$35-ABERTURAS!$L$63)*MAX(0,MIN($W25,DATOS!$C$23*4/4)-MAX($V25,DATOS!$C$23*3/4))*PRESIONES!$C$21))</f>
        <v>0</v>
      </c>
      <c r="AN25" s="30" t="n">
        <f aca="false">IF($L25&lt;&gt;"OK",0,PRESIONES!$C$12*((PRESIONES!$D$32-ABERTURAS!$L$64)*MAX(0,MIN($W25,DATOS!$C$23*1/4)-MAX($V25,DATOS!$C$23*0/4))*PRESIONES!$C$18+(PRESIONES!$D$33-ABERTURAS!$L$64)*MAX(0,MIN($W25,DATOS!$C$23*2/4)-MAX($V25,DATOS!$C$23*1/4))*PRESIONES!$C$19+(PRESIONES!$D$34-ABERTURAS!$L$64)*MAX(0,MIN($W25,DATOS!$C$23*3/4)-MAX($V25,DATOS!$C$23*2/4))*PRESIONES!$C$20+(PRESIONES!$D$35-ABERTURAS!$L$64)*MAX(0,MIN($W25,DATOS!$C$23*4/4)-MAX($V25,DATOS!$C$23*3/4))*PRESIONES!$C$21))</f>
        <v>0</v>
      </c>
      <c r="AO25" s="30" t="n">
        <f aca="false">IF($L25&lt;&gt;"OK",0,PRESIONES!$C$12*((PRESIONES!$G$32-ABERTURAS!$L$65)*MAX(0,MIN($W25,DATOS!$C$23*1/4)-MAX($V25,DATOS!$C$23*0/4))*PRESIONES!$C$18+(PRESIONES!$G$33-ABERTURAS!$L$65)*MAX(0,MIN($W25,DATOS!$C$23*2/4)-MAX($V25,DATOS!$C$23*1/4))*PRESIONES!$C$19+(PRESIONES!$G$34-ABERTURAS!$L$65)*MAX(0,MIN($W25,DATOS!$C$23*3/4)-MAX($V25,DATOS!$C$23*2/4))*PRESIONES!$C$20+(PRESIONES!$G$35-ABERTURAS!$L$65)*MAX(0,MIN($W25,DATOS!$C$23*4/4)-MAX($V25,DATOS!$C$23*3/4))*PRESIONES!$C$21))</f>
        <v>0</v>
      </c>
      <c r="AP25" s="30" t="n">
        <f aca="false">IF($L25&lt;&gt;"OK",0,PRESIONES!$C$12*((PRESIONES!$J$32-ABERTURAS!$L$66)*MAX(0,MIN($W25,DATOS!$C$23*1/4)-MAX($V25,DATOS!$C$23*0/4))*PRESIONES!$C$18+(PRESIONES!$J$33-ABERTURAS!$L$66)*MAX(0,MIN($W25,DATOS!$C$23*2/4)-MAX($V25,DATOS!$C$23*1/4))*PRESIONES!$C$19+(PRESIONES!$J$34-ABERTURAS!$L$66)*MAX(0,MIN($W25,DATOS!$C$23*3/4)-MAX($V25,DATOS!$C$23*2/4))*PRESIONES!$C$20+(PRESIONES!$J$35-ABERTURAS!$L$66)*MAX(0,MIN($W25,DATOS!$C$23*4/4)-MAX($V25,DATOS!$C$23*3/4))*PRESIONES!$C$21))</f>
        <v>0</v>
      </c>
      <c r="AQ25" s="30" t="n">
        <f aca="false">IF($L25&lt;&gt;"OK",0,PRESIONES!$C$12*((PRESIONES!$M$32-ABERTURAS!$L$67)*MAX(0,MIN($W25,DATOS!$C$23*1/4)-MAX($V25,DATOS!$C$23*0/4))*PRESIONES!$C$18+(PRESIONES!$M$33-ABERTURAS!$L$67)*MAX(0,MIN($W25,DATOS!$C$23*2/4)-MAX($V25,DATOS!$C$23*1/4))*PRESIONES!$C$19+(PRESIONES!$M$34-ABERTURAS!$L$67)*MAX(0,MIN($W25,DATOS!$C$23*3/4)-MAX($V25,DATOS!$C$23*2/4))*PRESIONES!$C$20+(PRESIONES!$M$35-ABERTURAS!$L$67)*MAX(0,MIN($W25,DATOS!$C$23*4/4)-MAX($V25,DATOS!$C$23*3/4))*PRESIONES!$C$21))</f>
        <v>0</v>
      </c>
      <c r="AR25" s="30" t="n">
        <f aca="false">IF($L25&lt;&gt;"OK",0,PRESIONES!$C$12*((PRESIONES!$E$32-ABERTURAS!$L$60)*MAX(0,MIN($W25,DATOS!$C$23*1/4)-MAX($V25,DATOS!$C$23*0/4))+(PRESIONES!$E$33-ABERTURAS!$L$60)*MAX(0,MIN($W25,DATOS!$C$23*2/4)-MAX($V25,DATOS!$C$23*1/4))+(PRESIONES!$E$34-ABERTURAS!$L$60)*MAX(0,MIN($W25,DATOS!$C$23*3/4)-MAX($V25,DATOS!$C$23*2/4))+(PRESIONES!$E$35-ABERTURAS!$L$60)*MAX(0,MIN($W25,DATOS!$C$23*4/4)-MAX($V25,DATOS!$C$23*3/4))))</f>
        <v>0</v>
      </c>
      <c r="AS25" s="30" t="n">
        <f aca="false">IF($L25&lt;&gt;"OK",0,PRESIONES!$C$12*((PRESIONES!$H$32-ABERTURAS!$L$61)*MAX(0,MIN($W25,DATOS!$C$23*1/4)-MAX($V25,DATOS!$C$23*0/4))+(PRESIONES!$H$33-ABERTURAS!$L$61)*MAX(0,MIN($W25,DATOS!$C$23*2/4)-MAX($V25,DATOS!$C$23*1/4))+(PRESIONES!$H$34-ABERTURAS!$L$61)*MAX(0,MIN($W25,DATOS!$C$23*3/4)-MAX($V25,DATOS!$C$23*2/4))+(PRESIONES!$H$35-ABERTURAS!$L$61)*MAX(0,MIN($W25,DATOS!$C$23*4/4)-MAX($V25,DATOS!$C$23*3/4))))</f>
        <v>0</v>
      </c>
      <c r="AT25" s="30" t="n">
        <f aca="false">IF($L25&lt;&gt;"OK",0,PRESIONES!$C$12*((PRESIONES!$K$32-ABERTURAS!$L$62)*MAX(0,MIN($W25,DATOS!$C$23*1/4)-MAX($V25,DATOS!$C$23*0/4))+(PRESIONES!$K$33-ABERTURAS!$L$62)*MAX(0,MIN($W25,DATOS!$C$23*2/4)-MAX($V25,DATOS!$C$23*1/4))+(PRESIONES!$K$34-ABERTURAS!$L$62)*MAX(0,MIN($W25,DATOS!$C$23*3/4)-MAX($V25,DATOS!$C$23*2/4))+(PRESIONES!$K$35-ABERTURAS!$L$62)*MAX(0,MIN($W25,DATOS!$C$23*4/4)-MAX($V25,DATOS!$C$23*3/4))))</f>
        <v>0</v>
      </c>
      <c r="AU25" s="30" t="n">
        <f aca="false">IF($L25&lt;&gt;"OK",0,PRESIONES!$C$12*((PRESIONES!$N$32-ABERTURAS!$L$63)*MAX(0,MIN($W25,DATOS!$C$23*1/4)-MAX($V25,DATOS!$C$23*0/4))+(PRESIONES!$N$33-ABERTURAS!$L$63)*MAX(0,MIN($W25,DATOS!$C$23*2/4)-MAX($V25,DATOS!$C$23*1/4))+(PRESIONES!$N$34-ABERTURAS!$L$63)*MAX(0,MIN($W25,DATOS!$C$23*3/4)-MAX($V25,DATOS!$C$23*2/4))+(PRESIONES!$N$35-ABERTURAS!$L$63)*MAX(0,MIN($W25,DATOS!$C$23*4/4)-MAX($V25,DATOS!$C$23*3/4))))</f>
        <v>0</v>
      </c>
      <c r="AV25" s="30" t="n">
        <f aca="false">IF($L25&lt;&gt;"OK",0,PRESIONES!$C$12*((PRESIONES!$E$32-ABERTURAS!$L$64)*MAX(0,MIN($W25,DATOS!$C$23*1/4)-MAX($V25,DATOS!$C$23*0/4))+(PRESIONES!$E$33-ABERTURAS!$L$64)*MAX(0,MIN($W25,DATOS!$C$23*2/4)-MAX($V25,DATOS!$C$23*1/4))+(PRESIONES!$E$34-ABERTURAS!$L$64)*MAX(0,MIN($W25,DATOS!$C$23*3/4)-MAX($V25,DATOS!$C$23*2/4))+(PRESIONES!$E$35-ABERTURAS!$L$64)*MAX(0,MIN($W25,DATOS!$C$23*4/4)-MAX($V25,DATOS!$C$23*3/4))))</f>
        <v>0</v>
      </c>
      <c r="AW25" s="30" t="n">
        <f aca="false">IF($L25&lt;&gt;"OK",0,PRESIONES!$C$12*((PRESIONES!$H$32-ABERTURAS!$L$65)*MAX(0,MIN($W25,DATOS!$C$23*1/4)-MAX($V25,DATOS!$C$23*0/4))+(PRESIONES!$H$33-ABERTURAS!$L$65)*MAX(0,MIN($W25,DATOS!$C$23*2/4)-MAX($V25,DATOS!$C$23*1/4))+(PRESIONES!$H$34-ABERTURAS!$L$65)*MAX(0,MIN($W25,DATOS!$C$23*3/4)-MAX($V25,DATOS!$C$23*2/4))+(PRESIONES!$H$35-ABERTURAS!$L$65)*MAX(0,MIN($W25,DATOS!$C$23*4/4)-MAX($V25,DATOS!$C$23*3/4))))</f>
        <v>0</v>
      </c>
      <c r="AX25" s="30" t="n">
        <f aca="false">IF($L25&lt;&gt;"OK",0,PRESIONES!$C$12*((PRESIONES!$K$32-ABERTURAS!$L$66)*MAX(0,MIN($W25,DATOS!$C$23*1/4)-MAX($V25,DATOS!$C$23*0/4))+(PRESIONES!$K$33-ABERTURAS!$L$66)*MAX(0,MIN($W25,DATOS!$C$23*2/4)-MAX($V25,DATOS!$C$23*1/4))+(PRESIONES!$K$34-ABERTURAS!$L$66)*MAX(0,MIN($W25,DATOS!$C$23*3/4)-MAX($V25,DATOS!$C$23*2/4))+(PRESIONES!$K$35-ABERTURAS!$L$66)*MAX(0,MIN($W25,DATOS!$C$23*4/4)-MAX($V25,DATOS!$C$23*3/4))))</f>
        <v>0</v>
      </c>
      <c r="AY25" s="30" t="n">
        <f aca="false">IF($L25&lt;&gt;"OK",0,PRESIONES!$C$12*((PRESIONES!$N$32-ABERTURAS!$L$67)*MAX(0,MIN($W25,DATOS!$C$23*1/4)-MAX($V25,DATOS!$C$23*0/4))+(PRESIONES!$N$33-ABERTURAS!$L$67)*MAX(0,MIN($W25,DATOS!$C$23*2/4)-MAX($V25,DATOS!$C$23*1/4))+(PRESIONES!$N$34-ABERTURAS!$L$67)*MAX(0,MIN($W25,DATOS!$C$23*3/4)-MAX($V25,DATOS!$C$23*2/4))+(PRESIONES!$N$35-ABERTURAS!$L$67)*MAX(0,MIN($W25,DATOS!$C$23*4/4)-MAX($V25,DATOS!$C$23*3/4))))</f>
        <v>0</v>
      </c>
      <c r="AZ25" s="30" t="n">
        <f aca="false">IF($L25&lt;&gt;"OK",0,PRESIONES!$C$12*((PRESIONES!$E$32-ABERTURAS!$L$60)*MAX(0,MIN($W25,DATOS!$C$23*1/4)-MAX($V25,DATOS!$C$23*0/4))*PRESIONES!$C$18+(PRESIONES!$E$33-ABERTURAS!$L$60)*MAX(0,MIN($W25,DATOS!$C$23*2/4)-MAX($V25,DATOS!$C$23*1/4))*PRESIONES!$C$19+(PRESIONES!$E$34-ABERTURAS!$L$60)*MAX(0,MIN($W25,DATOS!$C$23*3/4)-MAX($V25,DATOS!$C$23*2/4))*PRESIONES!$C$20+(PRESIONES!$E$35-ABERTURAS!$L$60)*MAX(0,MIN($W25,DATOS!$C$23*4/4)-MAX($V25,DATOS!$C$23*3/4))*PRESIONES!$C$21))</f>
        <v>0</v>
      </c>
      <c r="BA25" s="30" t="n">
        <f aca="false">IF($L25&lt;&gt;"OK",0,PRESIONES!$C$12*((PRESIONES!$H$32-ABERTURAS!$L$61)*MAX(0,MIN($W25,DATOS!$C$23*1/4)-MAX($V25,DATOS!$C$23*0/4))*PRESIONES!$C$18+(PRESIONES!$H$33-ABERTURAS!$L$61)*MAX(0,MIN($W25,DATOS!$C$23*2/4)-MAX($V25,DATOS!$C$23*1/4))*PRESIONES!$C$19+(PRESIONES!$H$34-ABERTURAS!$L$61)*MAX(0,MIN($W25,DATOS!$C$23*3/4)-MAX($V25,DATOS!$C$23*2/4))*PRESIONES!$C$20+(PRESIONES!$H$35-ABERTURAS!$L$61)*MAX(0,MIN($W25,DATOS!$C$23*4/4)-MAX($V25,DATOS!$C$23*3/4))*PRESIONES!$C$21))</f>
        <v>0</v>
      </c>
      <c r="BB25" s="30" t="n">
        <f aca="false">IF($L25&lt;&gt;"OK",0,PRESIONES!$C$12*((PRESIONES!$K$32-ABERTURAS!$L$62)*MAX(0,MIN($W25,DATOS!$C$23*1/4)-MAX($V25,DATOS!$C$23*0/4))*PRESIONES!$C$18+(PRESIONES!$K$33-ABERTURAS!$L$62)*MAX(0,MIN($W25,DATOS!$C$23*2/4)-MAX($V25,DATOS!$C$23*1/4))*PRESIONES!$C$19+(PRESIONES!$K$34-ABERTURAS!$L$62)*MAX(0,MIN($W25,DATOS!$C$23*3/4)-MAX($V25,DATOS!$C$23*2/4))*PRESIONES!$C$20+(PRESIONES!$K$35-ABERTURAS!$L$62)*MAX(0,MIN($W25,DATOS!$C$23*4/4)-MAX($V25,DATOS!$C$23*3/4))*PRESIONES!$C$21))</f>
        <v>0</v>
      </c>
      <c r="BC25" s="30" t="n">
        <f aca="false">IF($L25&lt;&gt;"OK",0,PRESIONES!$C$12*((PRESIONES!$N$32-ABERTURAS!$L$63)*MAX(0,MIN($W25,DATOS!$C$23*1/4)-MAX($V25,DATOS!$C$23*0/4))*PRESIONES!$C$18+(PRESIONES!$N$33-ABERTURAS!$L$63)*MAX(0,MIN($W25,DATOS!$C$23*2/4)-MAX($V25,DATOS!$C$23*1/4))*PRESIONES!$C$19+(PRESIONES!$N$34-ABERTURAS!$L$63)*MAX(0,MIN($W25,DATOS!$C$23*3/4)-MAX($V25,DATOS!$C$23*2/4))*PRESIONES!$C$20+(PRESIONES!$N$35-ABERTURAS!$L$63)*MAX(0,MIN($W25,DATOS!$C$23*4/4)-MAX($V25,DATOS!$C$23*3/4))*PRESIONES!$C$21))</f>
        <v>0</v>
      </c>
      <c r="BD25" s="30" t="n">
        <f aca="false">IF($L25&lt;&gt;"OK",0,PRESIONES!$C$12*((PRESIONES!$E$32-ABERTURAS!$L$64)*MAX(0,MIN($W25,DATOS!$C$23*1/4)-MAX($V25,DATOS!$C$23*0/4))*PRESIONES!$C$18+(PRESIONES!$E$33-ABERTURAS!$L$64)*MAX(0,MIN($W25,DATOS!$C$23*2/4)-MAX($V25,DATOS!$C$23*1/4))*PRESIONES!$C$19+(PRESIONES!$E$34-ABERTURAS!$L$64)*MAX(0,MIN($W25,DATOS!$C$23*3/4)-MAX($V25,DATOS!$C$23*2/4))*PRESIONES!$C$20+(PRESIONES!$E$35-ABERTURAS!$L$64)*MAX(0,MIN($W25,DATOS!$C$23*4/4)-MAX($V25,DATOS!$C$23*3/4))*PRESIONES!$C$21))</f>
        <v>0</v>
      </c>
      <c r="BE25" s="30" t="n">
        <f aca="false">IF($L25&lt;&gt;"OK",0,PRESIONES!$C$12*((PRESIONES!$H$32-ABERTURAS!$L$65)*MAX(0,MIN($W25,DATOS!$C$23*1/4)-MAX($V25,DATOS!$C$23*0/4))*PRESIONES!$C$18+(PRESIONES!$H$33-ABERTURAS!$L$65)*MAX(0,MIN($W25,DATOS!$C$23*2/4)-MAX($V25,DATOS!$C$23*1/4))*PRESIONES!$C$19+(PRESIONES!$H$34-ABERTURAS!$L$65)*MAX(0,MIN($W25,DATOS!$C$23*3/4)-MAX($V25,DATOS!$C$23*2/4))*PRESIONES!$C$20+(PRESIONES!$H$35-ABERTURAS!$L$65)*MAX(0,MIN($W25,DATOS!$C$23*4/4)-MAX($V25,DATOS!$C$23*3/4))*PRESIONES!$C$21))</f>
        <v>0</v>
      </c>
      <c r="BF25" s="30" t="n">
        <f aca="false">IF($L25&lt;&gt;"OK",0,PRESIONES!$C$12*((PRESIONES!$K$32-ABERTURAS!$L$66)*MAX(0,MIN($W25,DATOS!$C$23*1/4)-MAX($V25,DATOS!$C$23*0/4))*PRESIONES!$C$18+(PRESIONES!$K$33-ABERTURAS!$L$66)*MAX(0,MIN($W25,DATOS!$C$23*2/4)-MAX($V25,DATOS!$C$23*1/4))*PRESIONES!$C$19+(PRESIONES!$K$34-ABERTURAS!$L$66)*MAX(0,MIN($W25,DATOS!$C$23*3/4)-MAX($V25,DATOS!$C$23*2/4))*PRESIONES!$C$20+(PRESIONES!$K$35-ABERTURAS!$L$66)*MAX(0,MIN($W25,DATOS!$C$23*4/4)-MAX($V25,DATOS!$C$23*3/4))*PRESIONES!$C$21))</f>
        <v>0</v>
      </c>
      <c r="BG25" s="30" t="n">
        <f aca="false">IF($L25&lt;&gt;"OK",0,PRESIONES!$C$12*((PRESIONES!$N$32-ABERTURAS!$L$67)*MAX(0,MIN($W25,DATOS!$C$23*1/4)-MAX($V25,DATOS!$C$23*0/4))*PRESIONES!$C$18+(PRESIONES!$N$33-ABERTURAS!$L$67)*MAX(0,MIN($W25,DATOS!$C$23*2/4)-MAX($V25,DATOS!$C$23*1/4))*PRESIONES!$C$19+(PRESIONES!$N$34-ABERTURAS!$L$67)*MAX(0,MIN($W25,DATOS!$C$23*3/4)-MAX($V25,DATOS!$C$23*2/4))*PRESIONES!$C$20+(PRESIONES!$N$35-ABERTURAS!$L$67)*MAX(0,MIN($W25,DATOS!$C$23*4/4)-MAX($V25,DATOS!$C$23*3/4))*PRESIONES!$C$21))</f>
        <v>0</v>
      </c>
    </row>
    <row r="26" customFormat="false" ht="15" hidden="false" customHeight="true" outlineLevel="0" collapsed="false">
      <c r="B26" s="27"/>
      <c r="C26" s="17"/>
      <c r="D26" s="27"/>
      <c r="E26" s="17"/>
      <c r="F26" s="49"/>
      <c r="G26" s="49"/>
      <c r="H26" s="49"/>
      <c r="I26" s="49"/>
      <c r="J26" s="49"/>
      <c r="K26" s="49"/>
      <c r="L26" s="20" t="str">
        <f aca="false">IF($D26="","",IF($C26&lt;&gt;"TECHO","PON TECHO",IF(OR($F26="",$G26="",$H26="",$I26=""),"FALTAN a o b",IF($M26&lt;=0,"a₂ DEBE SER &gt; a₁",IF($N26&lt;=0,"b₂ DEBE SER &gt; b₁",IF(OR($V26&lt;-0.001,$W26&gt;DATOS!$C$23+0.001),"SE SALE DEL TECHO","OK"))))))</f>
        <v/>
      </c>
      <c r="M26" s="30" t="n">
        <f aca="false">IF($D26="",0,MAX(0,$G26-$F26))</f>
        <v>0</v>
      </c>
      <c r="N26" s="30" t="n">
        <f aca="false">MAX(0,$W26-$V26)</f>
        <v>0</v>
      </c>
      <c r="O26" s="30" t="n">
        <f aca="false">$M26*$N26</f>
        <v>0</v>
      </c>
      <c r="P26" s="30" t="n">
        <v>0</v>
      </c>
      <c r="Q26" s="30" t="n">
        <v>0</v>
      </c>
      <c r="R26" s="30" t="n">
        <f aca="false">$O26</f>
        <v>0</v>
      </c>
      <c r="S26" s="30" t="n">
        <f aca="false">$O26</f>
        <v>0</v>
      </c>
      <c r="T26" s="50" t="n">
        <f aca="false">IF($D26="",0,DATOS!$C$21)</f>
        <v>0</v>
      </c>
      <c r="U26" s="50" t="n">
        <v>0</v>
      </c>
      <c r="V26" s="50" t="n">
        <f aca="false">IF($D26="",0,(N($H26)+IF($J26="",N($H26),$J26))/2)</f>
        <v>0</v>
      </c>
      <c r="W26" s="50" t="n">
        <f aca="false">IF($D26="",0,(N($I26)+IF($K26="",N($I26),$K26))/2)</f>
        <v>0</v>
      </c>
      <c r="AB26" s="30" t="n">
        <f aca="false">IF($L26&lt;&gt;"OK",0,PRESIONES!$C$12*((PRESIONES!$D$32-ABERTURAS!$L$60)*MAX(0,MIN($W26,DATOS!$C$23*1/4)-MAX($V26,DATOS!$C$23*0/4))+(PRESIONES!$D$33-ABERTURAS!$L$60)*MAX(0,MIN($W26,DATOS!$C$23*2/4)-MAX($V26,DATOS!$C$23*1/4))+(PRESIONES!$D$34-ABERTURAS!$L$60)*MAX(0,MIN($W26,DATOS!$C$23*3/4)-MAX($V26,DATOS!$C$23*2/4))+(PRESIONES!$D$35-ABERTURAS!$L$60)*MAX(0,MIN($W26,DATOS!$C$23*4/4)-MAX($V26,DATOS!$C$23*3/4))))</f>
        <v>0</v>
      </c>
      <c r="AC26" s="30" t="n">
        <f aca="false">IF($L26&lt;&gt;"OK",0,PRESIONES!$C$12*((PRESIONES!$G$32-ABERTURAS!$L$61)*MAX(0,MIN($W26,DATOS!$C$23*1/4)-MAX($V26,DATOS!$C$23*0/4))+(PRESIONES!$G$33-ABERTURAS!$L$61)*MAX(0,MIN($W26,DATOS!$C$23*2/4)-MAX($V26,DATOS!$C$23*1/4))+(PRESIONES!$G$34-ABERTURAS!$L$61)*MAX(0,MIN($W26,DATOS!$C$23*3/4)-MAX($V26,DATOS!$C$23*2/4))+(PRESIONES!$G$35-ABERTURAS!$L$61)*MAX(0,MIN($W26,DATOS!$C$23*4/4)-MAX($V26,DATOS!$C$23*3/4))))</f>
        <v>0</v>
      </c>
      <c r="AD26" s="30" t="n">
        <f aca="false">IF($L26&lt;&gt;"OK",0,PRESIONES!$C$12*((PRESIONES!$J$32-ABERTURAS!$L$62)*MAX(0,MIN($W26,DATOS!$C$23*1/4)-MAX($V26,DATOS!$C$23*0/4))+(PRESIONES!$J$33-ABERTURAS!$L$62)*MAX(0,MIN($W26,DATOS!$C$23*2/4)-MAX($V26,DATOS!$C$23*1/4))+(PRESIONES!$J$34-ABERTURAS!$L$62)*MAX(0,MIN($W26,DATOS!$C$23*3/4)-MAX($V26,DATOS!$C$23*2/4))+(PRESIONES!$J$35-ABERTURAS!$L$62)*MAX(0,MIN($W26,DATOS!$C$23*4/4)-MAX($V26,DATOS!$C$23*3/4))))</f>
        <v>0</v>
      </c>
      <c r="AE26" s="30" t="n">
        <f aca="false">IF($L26&lt;&gt;"OK",0,PRESIONES!$C$12*((PRESIONES!$M$32-ABERTURAS!$L$63)*MAX(0,MIN($W26,DATOS!$C$23*1/4)-MAX($V26,DATOS!$C$23*0/4))+(PRESIONES!$M$33-ABERTURAS!$L$63)*MAX(0,MIN($W26,DATOS!$C$23*2/4)-MAX($V26,DATOS!$C$23*1/4))+(PRESIONES!$M$34-ABERTURAS!$L$63)*MAX(0,MIN($W26,DATOS!$C$23*3/4)-MAX($V26,DATOS!$C$23*2/4))+(PRESIONES!$M$35-ABERTURAS!$L$63)*MAX(0,MIN($W26,DATOS!$C$23*4/4)-MAX($V26,DATOS!$C$23*3/4))))</f>
        <v>0</v>
      </c>
      <c r="AF26" s="30" t="n">
        <f aca="false">IF($L26&lt;&gt;"OK",0,PRESIONES!$C$12*((PRESIONES!$D$32-ABERTURAS!$L$64)*MAX(0,MIN($W26,DATOS!$C$23*1/4)-MAX($V26,DATOS!$C$23*0/4))+(PRESIONES!$D$33-ABERTURAS!$L$64)*MAX(0,MIN($W26,DATOS!$C$23*2/4)-MAX($V26,DATOS!$C$23*1/4))+(PRESIONES!$D$34-ABERTURAS!$L$64)*MAX(0,MIN($W26,DATOS!$C$23*3/4)-MAX($V26,DATOS!$C$23*2/4))+(PRESIONES!$D$35-ABERTURAS!$L$64)*MAX(0,MIN($W26,DATOS!$C$23*4/4)-MAX($V26,DATOS!$C$23*3/4))))</f>
        <v>0</v>
      </c>
      <c r="AG26" s="30" t="n">
        <f aca="false">IF($L26&lt;&gt;"OK",0,PRESIONES!$C$12*((PRESIONES!$G$32-ABERTURAS!$L$65)*MAX(0,MIN($W26,DATOS!$C$23*1/4)-MAX($V26,DATOS!$C$23*0/4))+(PRESIONES!$G$33-ABERTURAS!$L$65)*MAX(0,MIN($W26,DATOS!$C$23*2/4)-MAX($V26,DATOS!$C$23*1/4))+(PRESIONES!$G$34-ABERTURAS!$L$65)*MAX(0,MIN($W26,DATOS!$C$23*3/4)-MAX($V26,DATOS!$C$23*2/4))+(PRESIONES!$G$35-ABERTURAS!$L$65)*MAX(0,MIN($W26,DATOS!$C$23*4/4)-MAX($V26,DATOS!$C$23*3/4))))</f>
        <v>0</v>
      </c>
      <c r="AH26" s="30" t="n">
        <f aca="false">IF($L26&lt;&gt;"OK",0,PRESIONES!$C$12*((PRESIONES!$J$32-ABERTURAS!$L$66)*MAX(0,MIN($W26,DATOS!$C$23*1/4)-MAX($V26,DATOS!$C$23*0/4))+(PRESIONES!$J$33-ABERTURAS!$L$66)*MAX(0,MIN($W26,DATOS!$C$23*2/4)-MAX($V26,DATOS!$C$23*1/4))+(PRESIONES!$J$34-ABERTURAS!$L$66)*MAX(0,MIN($W26,DATOS!$C$23*3/4)-MAX($V26,DATOS!$C$23*2/4))+(PRESIONES!$J$35-ABERTURAS!$L$66)*MAX(0,MIN($W26,DATOS!$C$23*4/4)-MAX($V26,DATOS!$C$23*3/4))))</f>
        <v>0</v>
      </c>
      <c r="AI26" s="30" t="n">
        <f aca="false">IF($L26&lt;&gt;"OK",0,PRESIONES!$C$12*((PRESIONES!$M$32-ABERTURAS!$L$67)*MAX(0,MIN($W26,DATOS!$C$23*1/4)-MAX($V26,DATOS!$C$23*0/4))+(PRESIONES!$M$33-ABERTURAS!$L$67)*MAX(0,MIN($W26,DATOS!$C$23*2/4)-MAX($V26,DATOS!$C$23*1/4))+(PRESIONES!$M$34-ABERTURAS!$L$67)*MAX(0,MIN($W26,DATOS!$C$23*3/4)-MAX($V26,DATOS!$C$23*2/4))+(PRESIONES!$M$35-ABERTURAS!$L$67)*MAX(0,MIN($W26,DATOS!$C$23*4/4)-MAX($V26,DATOS!$C$23*3/4))))</f>
        <v>0</v>
      </c>
      <c r="AJ26" s="30" t="n">
        <f aca="false">IF($L26&lt;&gt;"OK",0,PRESIONES!$C$12*((PRESIONES!$D$32-ABERTURAS!$L$60)*MAX(0,MIN($W26,DATOS!$C$23*1/4)-MAX($V26,DATOS!$C$23*0/4))*PRESIONES!$C$18+(PRESIONES!$D$33-ABERTURAS!$L$60)*MAX(0,MIN($W26,DATOS!$C$23*2/4)-MAX($V26,DATOS!$C$23*1/4))*PRESIONES!$C$19+(PRESIONES!$D$34-ABERTURAS!$L$60)*MAX(0,MIN($W26,DATOS!$C$23*3/4)-MAX($V26,DATOS!$C$23*2/4))*PRESIONES!$C$20+(PRESIONES!$D$35-ABERTURAS!$L$60)*MAX(0,MIN($W26,DATOS!$C$23*4/4)-MAX($V26,DATOS!$C$23*3/4))*PRESIONES!$C$21))</f>
        <v>0</v>
      </c>
      <c r="AK26" s="30" t="n">
        <f aca="false">IF($L26&lt;&gt;"OK",0,PRESIONES!$C$12*((PRESIONES!$G$32-ABERTURAS!$L$61)*MAX(0,MIN($W26,DATOS!$C$23*1/4)-MAX($V26,DATOS!$C$23*0/4))*PRESIONES!$C$18+(PRESIONES!$G$33-ABERTURAS!$L$61)*MAX(0,MIN($W26,DATOS!$C$23*2/4)-MAX($V26,DATOS!$C$23*1/4))*PRESIONES!$C$19+(PRESIONES!$G$34-ABERTURAS!$L$61)*MAX(0,MIN($W26,DATOS!$C$23*3/4)-MAX($V26,DATOS!$C$23*2/4))*PRESIONES!$C$20+(PRESIONES!$G$35-ABERTURAS!$L$61)*MAX(0,MIN($W26,DATOS!$C$23*4/4)-MAX($V26,DATOS!$C$23*3/4))*PRESIONES!$C$21))</f>
        <v>0</v>
      </c>
      <c r="AL26" s="30" t="n">
        <f aca="false">IF($L26&lt;&gt;"OK",0,PRESIONES!$C$12*((PRESIONES!$J$32-ABERTURAS!$L$62)*MAX(0,MIN($W26,DATOS!$C$23*1/4)-MAX($V26,DATOS!$C$23*0/4))*PRESIONES!$C$18+(PRESIONES!$J$33-ABERTURAS!$L$62)*MAX(0,MIN($W26,DATOS!$C$23*2/4)-MAX($V26,DATOS!$C$23*1/4))*PRESIONES!$C$19+(PRESIONES!$J$34-ABERTURAS!$L$62)*MAX(0,MIN($W26,DATOS!$C$23*3/4)-MAX($V26,DATOS!$C$23*2/4))*PRESIONES!$C$20+(PRESIONES!$J$35-ABERTURAS!$L$62)*MAX(0,MIN($W26,DATOS!$C$23*4/4)-MAX($V26,DATOS!$C$23*3/4))*PRESIONES!$C$21))</f>
        <v>0</v>
      </c>
      <c r="AM26" s="30" t="n">
        <f aca="false">IF($L26&lt;&gt;"OK",0,PRESIONES!$C$12*((PRESIONES!$M$32-ABERTURAS!$L$63)*MAX(0,MIN($W26,DATOS!$C$23*1/4)-MAX($V26,DATOS!$C$23*0/4))*PRESIONES!$C$18+(PRESIONES!$M$33-ABERTURAS!$L$63)*MAX(0,MIN($W26,DATOS!$C$23*2/4)-MAX($V26,DATOS!$C$23*1/4))*PRESIONES!$C$19+(PRESIONES!$M$34-ABERTURAS!$L$63)*MAX(0,MIN($W26,DATOS!$C$23*3/4)-MAX($V26,DATOS!$C$23*2/4))*PRESIONES!$C$20+(PRESIONES!$M$35-ABERTURAS!$L$63)*MAX(0,MIN($W26,DATOS!$C$23*4/4)-MAX($V26,DATOS!$C$23*3/4))*PRESIONES!$C$21))</f>
        <v>0</v>
      </c>
      <c r="AN26" s="30" t="n">
        <f aca="false">IF($L26&lt;&gt;"OK",0,PRESIONES!$C$12*((PRESIONES!$D$32-ABERTURAS!$L$64)*MAX(0,MIN($W26,DATOS!$C$23*1/4)-MAX($V26,DATOS!$C$23*0/4))*PRESIONES!$C$18+(PRESIONES!$D$33-ABERTURAS!$L$64)*MAX(0,MIN($W26,DATOS!$C$23*2/4)-MAX($V26,DATOS!$C$23*1/4))*PRESIONES!$C$19+(PRESIONES!$D$34-ABERTURAS!$L$64)*MAX(0,MIN($W26,DATOS!$C$23*3/4)-MAX($V26,DATOS!$C$23*2/4))*PRESIONES!$C$20+(PRESIONES!$D$35-ABERTURAS!$L$64)*MAX(0,MIN($W26,DATOS!$C$23*4/4)-MAX($V26,DATOS!$C$23*3/4))*PRESIONES!$C$21))</f>
        <v>0</v>
      </c>
      <c r="AO26" s="30" t="n">
        <f aca="false">IF($L26&lt;&gt;"OK",0,PRESIONES!$C$12*((PRESIONES!$G$32-ABERTURAS!$L$65)*MAX(0,MIN($W26,DATOS!$C$23*1/4)-MAX($V26,DATOS!$C$23*0/4))*PRESIONES!$C$18+(PRESIONES!$G$33-ABERTURAS!$L$65)*MAX(0,MIN($W26,DATOS!$C$23*2/4)-MAX($V26,DATOS!$C$23*1/4))*PRESIONES!$C$19+(PRESIONES!$G$34-ABERTURAS!$L$65)*MAX(0,MIN($W26,DATOS!$C$23*3/4)-MAX($V26,DATOS!$C$23*2/4))*PRESIONES!$C$20+(PRESIONES!$G$35-ABERTURAS!$L$65)*MAX(0,MIN($W26,DATOS!$C$23*4/4)-MAX($V26,DATOS!$C$23*3/4))*PRESIONES!$C$21))</f>
        <v>0</v>
      </c>
      <c r="AP26" s="30" t="n">
        <f aca="false">IF($L26&lt;&gt;"OK",0,PRESIONES!$C$12*((PRESIONES!$J$32-ABERTURAS!$L$66)*MAX(0,MIN($W26,DATOS!$C$23*1/4)-MAX($V26,DATOS!$C$23*0/4))*PRESIONES!$C$18+(PRESIONES!$J$33-ABERTURAS!$L$66)*MAX(0,MIN($W26,DATOS!$C$23*2/4)-MAX($V26,DATOS!$C$23*1/4))*PRESIONES!$C$19+(PRESIONES!$J$34-ABERTURAS!$L$66)*MAX(0,MIN($W26,DATOS!$C$23*3/4)-MAX($V26,DATOS!$C$23*2/4))*PRESIONES!$C$20+(PRESIONES!$J$35-ABERTURAS!$L$66)*MAX(0,MIN($W26,DATOS!$C$23*4/4)-MAX($V26,DATOS!$C$23*3/4))*PRESIONES!$C$21))</f>
        <v>0</v>
      </c>
      <c r="AQ26" s="30" t="n">
        <f aca="false">IF($L26&lt;&gt;"OK",0,PRESIONES!$C$12*((PRESIONES!$M$32-ABERTURAS!$L$67)*MAX(0,MIN($W26,DATOS!$C$23*1/4)-MAX($V26,DATOS!$C$23*0/4))*PRESIONES!$C$18+(PRESIONES!$M$33-ABERTURAS!$L$67)*MAX(0,MIN($W26,DATOS!$C$23*2/4)-MAX($V26,DATOS!$C$23*1/4))*PRESIONES!$C$19+(PRESIONES!$M$34-ABERTURAS!$L$67)*MAX(0,MIN($W26,DATOS!$C$23*3/4)-MAX($V26,DATOS!$C$23*2/4))*PRESIONES!$C$20+(PRESIONES!$M$35-ABERTURAS!$L$67)*MAX(0,MIN($W26,DATOS!$C$23*4/4)-MAX($V26,DATOS!$C$23*3/4))*PRESIONES!$C$21))</f>
        <v>0</v>
      </c>
      <c r="AR26" s="30" t="n">
        <f aca="false">IF($L26&lt;&gt;"OK",0,PRESIONES!$C$12*((PRESIONES!$E$32-ABERTURAS!$L$60)*MAX(0,MIN($W26,DATOS!$C$23*1/4)-MAX($V26,DATOS!$C$23*0/4))+(PRESIONES!$E$33-ABERTURAS!$L$60)*MAX(0,MIN($W26,DATOS!$C$23*2/4)-MAX($V26,DATOS!$C$23*1/4))+(PRESIONES!$E$34-ABERTURAS!$L$60)*MAX(0,MIN($W26,DATOS!$C$23*3/4)-MAX($V26,DATOS!$C$23*2/4))+(PRESIONES!$E$35-ABERTURAS!$L$60)*MAX(0,MIN($W26,DATOS!$C$23*4/4)-MAX($V26,DATOS!$C$23*3/4))))</f>
        <v>0</v>
      </c>
      <c r="AS26" s="30" t="n">
        <f aca="false">IF($L26&lt;&gt;"OK",0,PRESIONES!$C$12*((PRESIONES!$H$32-ABERTURAS!$L$61)*MAX(0,MIN($W26,DATOS!$C$23*1/4)-MAX($V26,DATOS!$C$23*0/4))+(PRESIONES!$H$33-ABERTURAS!$L$61)*MAX(0,MIN($W26,DATOS!$C$23*2/4)-MAX($V26,DATOS!$C$23*1/4))+(PRESIONES!$H$34-ABERTURAS!$L$61)*MAX(0,MIN($W26,DATOS!$C$23*3/4)-MAX($V26,DATOS!$C$23*2/4))+(PRESIONES!$H$35-ABERTURAS!$L$61)*MAX(0,MIN($W26,DATOS!$C$23*4/4)-MAX($V26,DATOS!$C$23*3/4))))</f>
        <v>0</v>
      </c>
      <c r="AT26" s="30" t="n">
        <f aca="false">IF($L26&lt;&gt;"OK",0,PRESIONES!$C$12*((PRESIONES!$K$32-ABERTURAS!$L$62)*MAX(0,MIN($W26,DATOS!$C$23*1/4)-MAX($V26,DATOS!$C$23*0/4))+(PRESIONES!$K$33-ABERTURAS!$L$62)*MAX(0,MIN($W26,DATOS!$C$23*2/4)-MAX($V26,DATOS!$C$23*1/4))+(PRESIONES!$K$34-ABERTURAS!$L$62)*MAX(0,MIN($W26,DATOS!$C$23*3/4)-MAX($V26,DATOS!$C$23*2/4))+(PRESIONES!$K$35-ABERTURAS!$L$62)*MAX(0,MIN($W26,DATOS!$C$23*4/4)-MAX($V26,DATOS!$C$23*3/4))))</f>
        <v>0</v>
      </c>
      <c r="AU26" s="30" t="n">
        <f aca="false">IF($L26&lt;&gt;"OK",0,PRESIONES!$C$12*((PRESIONES!$N$32-ABERTURAS!$L$63)*MAX(0,MIN($W26,DATOS!$C$23*1/4)-MAX($V26,DATOS!$C$23*0/4))+(PRESIONES!$N$33-ABERTURAS!$L$63)*MAX(0,MIN($W26,DATOS!$C$23*2/4)-MAX($V26,DATOS!$C$23*1/4))+(PRESIONES!$N$34-ABERTURAS!$L$63)*MAX(0,MIN($W26,DATOS!$C$23*3/4)-MAX($V26,DATOS!$C$23*2/4))+(PRESIONES!$N$35-ABERTURAS!$L$63)*MAX(0,MIN($W26,DATOS!$C$23*4/4)-MAX($V26,DATOS!$C$23*3/4))))</f>
        <v>0</v>
      </c>
      <c r="AV26" s="30" t="n">
        <f aca="false">IF($L26&lt;&gt;"OK",0,PRESIONES!$C$12*((PRESIONES!$E$32-ABERTURAS!$L$64)*MAX(0,MIN($W26,DATOS!$C$23*1/4)-MAX($V26,DATOS!$C$23*0/4))+(PRESIONES!$E$33-ABERTURAS!$L$64)*MAX(0,MIN($W26,DATOS!$C$23*2/4)-MAX($V26,DATOS!$C$23*1/4))+(PRESIONES!$E$34-ABERTURAS!$L$64)*MAX(0,MIN($W26,DATOS!$C$23*3/4)-MAX($V26,DATOS!$C$23*2/4))+(PRESIONES!$E$35-ABERTURAS!$L$64)*MAX(0,MIN($W26,DATOS!$C$23*4/4)-MAX($V26,DATOS!$C$23*3/4))))</f>
        <v>0</v>
      </c>
      <c r="AW26" s="30" t="n">
        <f aca="false">IF($L26&lt;&gt;"OK",0,PRESIONES!$C$12*((PRESIONES!$H$32-ABERTURAS!$L$65)*MAX(0,MIN($W26,DATOS!$C$23*1/4)-MAX($V26,DATOS!$C$23*0/4))+(PRESIONES!$H$33-ABERTURAS!$L$65)*MAX(0,MIN($W26,DATOS!$C$23*2/4)-MAX($V26,DATOS!$C$23*1/4))+(PRESIONES!$H$34-ABERTURAS!$L$65)*MAX(0,MIN($W26,DATOS!$C$23*3/4)-MAX($V26,DATOS!$C$23*2/4))+(PRESIONES!$H$35-ABERTURAS!$L$65)*MAX(0,MIN($W26,DATOS!$C$23*4/4)-MAX($V26,DATOS!$C$23*3/4))))</f>
        <v>0</v>
      </c>
      <c r="AX26" s="30" t="n">
        <f aca="false">IF($L26&lt;&gt;"OK",0,PRESIONES!$C$12*((PRESIONES!$K$32-ABERTURAS!$L$66)*MAX(0,MIN($W26,DATOS!$C$23*1/4)-MAX($V26,DATOS!$C$23*0/4))+(PRESIONES!$K$33-ABERTURAS!$L$66)*MAX(0,MIN($W26,DATOS!$C$23*2/4)-MAX($V26,DATOS!$C$23*1/4))+(PRESIONES!$K$34-ABERTURAS!$L$66)*MAX(0,MIN($W26,DATOS!$C$23*3/4)-MAX($V26,DATOS!$C$23*2/4))+(PRESIONES!$K$35-ABERTURAS!$L$66)*MAX(0,MIN($W26,DATOS!$C$23*4/4)-MAX($V26,DATOS!$C$23*3/4))))</f>
        <v>0</v>
      </c>
      <c r="AY26" s="30" t="n">
        <f aca="false">IF($L26&lt;&gt;"OK",0,PRESIONES!$C$12*((PRESIONES!$N$32-ABERTURAS!$L$67)*MAX(0,MIN($W26,DATOS!$C$23*1/4)-MAX($V26,DATOS!$C$23*0/4))+(PRESIONES!$N$33-ABERTURAS!$L$67)*MAX(0,MIN($W26,DATOS!$C$23*2/4)-MAX($V26,DATOS!$C$23*1/4))+(PRESIONES!$N$34-ABERTURAS!$L$67)*MAX(0,MIN($W26,DATOS!$C$23*3/4)-MAX($V26,DATOS!$C$23*2/4))+(PRESIONES!$N$35-ABERTURAS!$L$67)*MAX(0,MIN($W26,DATOS!$C$23*4/4)-MAX($V26,DATOS!$C$23*3/4))))</f>
        <v>0</v>
      </c>
      <c r="AZ26" s="30" t="n">
        <f aca="false">IF($L26&lt;&gt;"OK",0,PRESIONES!$C$12*((PRESIONES!$E$32-ABERTURAS!$L$60)*MAX(0,MIN($W26,DATOS!$C$23*1/4)-MAX($V26,DATOS!$C$23*0/4))*PRESIONES!$C$18+(PRESIONES!$E$33-ABERTURAS!$L$60)*MAX(0,MIN($W26,DATOS!$C$23*2/4)-MAX($V26,DATOS!$C$23*1/4))*PRESIONES!$C$19+(PRESIONES!$E$34-ABERTURAS!$L$60)*MAX(0,MIN($W26,DATOS!$C$23*3/4)-MAX($V26,DATOS!$C$23*2/4))*PRESIONES!$C$20+(PRESIONES!$E$35-ABERTURAS!$L$60)*MAX(0,MIN($W26,DATOS!$C$23*4/4)-MAX($V26,DATOS!$C$23*3/4))*PRESIONES!$C$21))</f>
        <v>0</v>
      </c>
      <c r="BA26" s="30" t="n">
        <f aca="false">IF($L26&lt;&gt;"OK",0,PRESIONES!$C$12*((PRESIONES!$H$32-ABERTURAS!$L$61)*MAX(0,MIN($W26,DATOS!$C$23*1/4)-MAX($V26,DATOS!$C$23*0/4))*PRESIONES!$C$18+(PRESIONES!$H$33-ABERTURAS!$L$61)*MAX(0,MIN($W26,DATOS!$C$23*2/4)-MAX($V26,DATOS!$C$23*1/4))*PRESIONES!$C$19+(PRESIONES!$H$34-ABERTURAS!$L$61)*MAX(0,MIN($W26,DATOS!$C$23*3/4)-MAX($V26,DATOS!$C$23*2/4))*PRESIONES!$C$20+(PRESIONES!$H$35-ABERTURAS!$L$61)*MAX(0,MIN($W26,DATOS!$C$23*4/4)-MAX($V26,DATOS!$C$23*3/4))*PRESIONES!$C$21))</f>
        <v>0</v>
      </c>
      <c r="BB26" s="30" t="n">
        <f aca="false">IF($L26&lt;&gt;"OK",0,PRESIONES!$C$12*((PRESIONES!$K$32-ABERTURAS!$L$62)*MAX(0,MIN($W26,DATOS!$C$23*1/4)-MAX($V26,DATOS!$C$23*0/4))*PRESIONES!$C$18+(PRESIONES!$K$33-ABERTURAS!$L$62)*MAX(0,MIN($W26,DATOS!$C$23*2/4)-MAX($V26,DATOS!$C$23*1/4))*PRESIONES!$C$19+(PRESIONES!$K$34-ABERTURAS!$L$62)*MAX(0,MIN($W26,DATOS!$C$23*3/4)-MAX($V26,DATOS!$C$23*2/4))*PRESIONES!$C$20+(PRESIONES!$K$35-ABERTURAS!$L$62)*MAX(0,MIN($W26,DATOS!$C$23*4/4)-MAX($V26,DATOS!$C$23*3/4))*PRESIONES!$C$21))</f>
        <v>0</v>
      </c>
      <c r="BC26" s="30" t="n">
        <f aca="false">IF($L26&lt;&gt;"OK",0,PRESIONES!$C$12*((PRESIONES!$N$32-ABERTURAS!$L$63)*MAX(0,MIN($W26,DATOS!$C$23*1/4)-MAX($V26,DATOS!$C$23*0/4))*PRESIONES!$C$18+(PRESIONES!$N$33-ABERTURAS!$L$63)*MAX(0,MIN($W26,DATOS!$C$23*2/4)-MAX($V26,DATOS!$C$23*1/4))*PRESIONES!$C$19+(PRESIONES!$N$34-ABERTURAS!$L$63)*MAX(0,MIN($W26,DATOS!$C$23*3/4)-MAX($V26,DATOS!$C$23*2/4))*PRESIONES!$C$20+(PRESIONES!$N$35-ABERTURAS!$L$63)*MAX(0,MIN($W26,DATOS!$C$23*4/4)-MAX($V26,DATOS!$C$23*3/4))*PRESIONES!$C$21))</f>
        <v>0</v>
      </c>
      <c r="BD26" s="30" t="n">
        <f aca="false">IF($L26&lt;&gt;"OK",0,PRESIONES!$C$12*((PRESIONES!$E$32-ABERTURAS!$L$64)*MAX(0,MIN($W26,DATOS!$C$23*1/4)-MAX($V26,DATOS!$C$23*0/4))*PRESIONES!$C$18+(PRESIONES!$E$33-ABERTURAS!$L$64)*MAX(0,MIN($W26,DATOS!$C$23*2/4)-MAX($V26,DATOS!$C$23*1/4))*PRESIONES!$C$19+(PRESIONES!$E$34-ABERTURAS!$L$64)*MAX(0,MIN($W26,DATOS!$C$23*3/4)-MAX($V26,DATOS!$C$23*2/4))*PRESIONES!$C$20+(PRESIONES!$E$35-ABERTURAS!$L$64)*MAX(0,MIN($W26,DATOS!$C$23*4/4)-MAX($V26,DATOS!$C$23*3/4))*PRESIONES!$C$21))</f>
        <v>0</v>
      </c>
      <c r="BE26" s="30" t="n">
        <f aca="false">IF($L26&lt;&gt;"OK",0,PRESIONES!$C$12*((PRESIONES!$H$32-ABERTURAS!$L$65)*MAX(0,MIN($W26,DATOS!$C$23*1/4)-MAX($V26,DATOS!$C$23*0/4))*PRESIONES!$C$18+(PRESIONES!$H$33-ABERTURAS!$L$65)*MAX(0,MIN($W26,DATOS!$C$23*2/4)-MAX($V26,DATOS!$C$23*1/4))*PRESIONES!$C$19+(PRESIONES!$H$34-ABERTURAS!$L$65)*MAX(0,MIN($W26,DATOS!$C$23*3/4)-MAX($V26,DATOS!$C$23*2/4))*PRESIONES!$C$20+(PRESIONES!$H$35-ABERTURAS!$L$65)*MAX(0,MIN($W26,DATOS!$C$23*4/4)-MAX($V26,DATOS!$C$23*3/4))*PRESIONES!$C$21))</f>
        <v>0</v>
      </c>
      <c r="BF26" s="30" t="n">
        <f aca="false">IF($L26&lt;&gt;"OK",0,PRESIONES!$C$12*((PRESIONES!$K$32-ABERTURAS!$L$66)*MAX(0,MIN($W26,DATOS!$C$23*1/4)-MAX($V26,DATOS!$C$23*0/4))*PRESIONES!$C$18+(PRESIONES!$K$33-ABERTURAS!$L$66)*MAX(0,MIN($W26,DATOS!$C$23*2/4)-MAX($V26,DATOS!$C$23*1/4))*PRESIONES!$C$19+(PRESIONES!$K$34-ABERTURAS!$L$66)*MAX(0,MIN($W26,DATOS!$C$23*3/4)-MAX($V26,DATOS!$C$23*2/4))*PRESIONES!$C$20+(PRESIONES!$K$35-ABERTURAS!$L$66)*MAX(0,MIN($W26,DATOS!$C$23*4/4)-MAX($V26,DATOS!$C$23*3/4))*PRESIONES!$C$21))</f>
        <v>0</v>
      </c>
      <c r="BG26" s="30" t="n">
        <f aca="false">IF($L26&lt;&gt;"OK",0,PRESIONES!$C$12*((PRESIONES!$N$32-ABERTURAS!$L$67)*MAX(0,MIN($W26,DATOS!$C$23*1/4)-MAX($V26,DATOS!$C$23*0/4))*PRESIONES!$C$18+(PRESIONES!$N$33-ABERTURAS!$L$67)*MAX(0,MIN($W26,DATOS!$C$23*2/4)-MAX($V26,DATOS!$C$23*1/4))*PRESIONES!$C$19+(PRESIONES!$N$34-ABERTURAS!$L$67)*MAX(0,MIN($W26,DATOS!$C$23*3/4)-MAX($V26,DATOS!$C$23*2/4))*PRESIONES!$C$20+(PRESIONES!$N$35-ABERTURAS!$L$67)*MAX(0,MIN($W26,DATOS!$C$23*4/4)-MAX($V26,DATOS!$C$23*3/4))*PRESIONES!$C$21))</f>
        <v>0</v>
      </c>
    </row>
    <row r="27" customFormat="false" ht="15" hidden="false" customHeight="true" outlineLevel="0" collapsed="false">
      <c r="B27" s="27"/>
      <c r="C27" s="17"/>
      <c r="D27" s="27"/>
      <c r="E27" s="17"/>
      <c r="F27" s="49"/>
      <c r="G27" s="49"/>
      <c r="H27" s="49"/>
      <c r="I27" s="49"/>
      <c r="J27" s="49"/>
      <c r="K27" s="49"/>
      <c r="L27" s="20" t="str">
        <f aca="false">IF($D27="","",IF($C27&lt;&gt;"TECHO","PON TECHO",IF(OR($F27="",$G27="",$H27="",$I27=""),"FALTAN a o b",IF($M27&lt;=0,"a₂ DEBE SER &gt; a₁",IF($N27&lt;=0,"b₂ DEBE SER &gt; b₁",IF(OR($V27&lt;-0.001,$W27&gt;DATOS!$C$23+0.001),"SE SALE DEL TECHO","OK"))))))</f>
        <v/>
      </c>
      <c r="M27" s="30" t="n">
        <f aca="false">IF($D27="",0,MAX(0,$G27-$F27))</f>
        <v>0</v>
      </c>
      <c r="N27" s="30" t="n">
        <f aca="false">MAX(0,$W27-$V27)</f>
        <v>0</v>
      </c>
      <c r="O27" s="30" t="n">
        <f aca="false">$M27*$N27</f>
        <v>0</v>
      </c>
      <c r="P27" s="30" t="n">
        <v>0</v>
      </c>
      <c r="Q27" s="30" t="n">
        <v>0</v>
      </c>
      <c r="R27" s="30" t="n">
        <f aca="false">$O27</f>
        <v>0</v>
      </c>
      <c r="S27" s="30" t="n">
        <f aca="false">$O27</f>
        <v>0</v>
      </c>
      <c r="T27" s="50" t="n">
        <f aca="false">IF($D27="",0,DATOS!$C$21)</f>
        <v>0</v>
      </c>
      <c r="U27" s="50" t="n">
        <v>0</v>
      </c>
      <c r="V27" s="50" t="n">
        <f aca="false">IF($D27="",0,(N($H27)+IF($J27="",N($H27),$J27))/2)</f>
        <v>0</v>
      </c>
      <c r="W27" s="50" t="n">
        <f aca="false">IF($D27="",0,(N($I27)+IF($K27="",N($I27),$K27))/2)</f>
        <v>0</v>
      </c>
      <c r="AB27" s="30" t="n">
        <f aca="false">IF($L27&lt;&gt;"OK",0,PRESIONES!$C$12*((PRESIONES!$D$32-ABERTURAS!$L$60)*MAX(0,MIN($W27,DATOS!$C$23*1/4)-MAX($V27,DATOS!$C$23*0/4))+(PRESIONES!$D$33-ABERTURAS!$L$60)*MAX(0,MIN($W27,DATOS!$C$23*2/4)-MAX($V27,DATOS!$C$23*1/4))+(PRESIONES!$D$34-ABERTURAS!$L$60)*MAX(0,MIN($W27,DATOS!$C$23*3/4)-MAX($V27,DATOS!$C$23*2/4))+(PRESIONES!$D$35-ABERTURAS!$L$60)*MAX(0,MIN($W27,DATOS!$C$23*4/4)-MAX($V27,DATOS!$C$23*3/4))))</f>
        <v>0</v>
      </c>
      <c r="AC27" s="30" t="n">
        <f aca="false">IF($L27&lt;&gt;"OK",0,PRESIONES!$C$12*((PRESIONES!$G$32-ABERTURAS!$L$61)*MAX(0,MIN($W27,DATOS!$C$23*1/4)-MAX($V27,DATOS!$C$23*0/4))+(PRESIONES!$G$33-ABERTURAS!$L$61)*MAX(0,MIN($W27,DATOS!$C$23*2/4)-MAX($V27,DATOS!$C$23*1/4))+(PRESIONES!$G$34-ABERTURAS!$L$61)*MAX(0,MIN($W27,DATOS!$C$23*3/4)-MAX($V27,DATOS!$C$23*2/4))+(PRESIONES!$G$35-ABERTURAS!$L$61)*MAX(0,MIN($W27,DATOS!$C$23*4/4)-MAX($V27,DATOS!$C$23*3/4))))</f>
        <v>0</v>
      </c>
      <c r="AD27" s="30" t="n">
        <f aca="false">IF($L27&lt;&gt;"OK",0,PRESIONES!$C$12*((PRESIONES!$J$32-ABERTURAS!$L$62)*MAX(0,MIN($W27,DATOS!$C$23*1/4)-MAX($V27,DATOS!$C$23*0/4))+(PRESIONES!$J$33-ABERTURAS!$L$62)*MAX(0,MIN($W27,DATOS!$C$23*2/4)-MAX($V27,DATOS!$C$23*1/4))+(PRESIONES!$J$34-ABERTURAS!$L$62)*MAX(0,MIN($W27,DATOS!$C$23*3/4)-MAX($V27,DATOS!$C$23*2/4))+(PRESIONES!$J$35-ABERTURAS!$L$62)*MAX(0,MIN($W27,DATOS!$C$23*4/4)-MAX($V27,DATOS!$C$23*3/4))))</f>
        <v>0</v>
      </c>
      <c r="AE27" s="30" t="n">
        <f aca="false">IF($L27&lt;&gt;"OK",0,PRESIONES!$C$12*((PRESIONES!$M$32-ABERTURAS!$L$63)*MAX(0,MIN($W27,DATOS!$C$23*1/4)-MAX($V27,DATOS!$C$23*0/4))+(PRESIONES!$M$33-ABERTURAS!$L$63)*MAX(0,MIN($W27,DATOS!$C$23*2/4)-MAX($V27,DATOS!$C$23*1/4))+(PRESIONES!$M$34-ABERTURAS!$L$63)*MAX(0,MIN($W27,DATOS!$C$23*3/4)-MAX($V27,DATOS!$C$23*2/4))+(PRESIONES!$M$35-ABERTURAS!$L$63)*MAX(0,MIN($W27,DATOS!$C$23*4/4)-MAX($V27,DATOS!$C$23*3/4))))</f>
        <v>0</v>
      </c>
      <c r="AF27" s="30" t="n">
        <f aca="false">IF($L27&lt;&gt;"OK",0,PRESIONES!$C$12*((PRESIONES!$D$32-ABERTURAS!$L$64)*MAX(0,MIN($W27,DATOS!$C$23*1/4)-MAX($V27,DATOS!$C$23*0/4))+(PRESIONES!$D$33-ABERTURAS!$L$64)*MAX(0,MIN($W27,DATOS!$C$23*2/4)-MAX($V27,DATOS!$C$23*1/4))+(PRESIONES!$D$34-ABERTURAS!$L$64)*MAX(0,MIN($W27,DATOS!$C$23*3/4)-MAX($V27,DATOS!$C$23*2/4))+(PRESIONES!$D$35-ABERTURAS!$L$64)*MAX(0,MIN($W27,DATOS!$C$23*4/4)-MAX($V27,DATOS!$C$23*3/4))))</f>
        <v>0</v>
      </c>
      <c r="AG27" s="30" t="n">
        <f aca="false">IF($L27&lt;&gt;"OK",0,PRESIONES!$C$12*((PRESIONES!$G$32-ABERTURAS!$L$65)*MAX(0,MIN($W27,DATOS!$C$23*1/4)-MAX($V27,DATOS!$C$23*0/4))+(PRESIONES!$G$33-ABERTURAS!$L$65)*MAX(0,MIN($W27,DATOS!$C$23*2/4)-MAX($V27,DATOS!$C$23*1/4))+(PRESIONES!$G$34-ABERTURAS!$L$65)*MAX(0,MIN($W27,DATOS!$C$23*3/4)-MAX($V27,DATOS!$C$23*2/4))+(PRESIONES!$G$35-ABERTURAS!$L$65)*MAX(0,MIN($W27,DATOS!$C$23*4/4)-MAX($V27,DATOS!$C$23*3/4))))</f>
        <v>0</v>
      </c>
      <c r="AH27" s="30" t="n">
        <f aca="false">IF($L27&lt;&gt;"OK",0,PRESIONES!$C$12*((PRESIONES!$J$32-ABERTURAS!$L$66)*MAX(0,MIN($W27,DATOS!$C$23*1/4)-MAX($V27,DATOS!$C$23*0/4))+(PRESIONES!$J$33-ABERTURAS!$L$66)*MAX(0,MIN($W27,DATOS!$C$23*2/4)-MAX($V27,DATOS!$C$23*1/4))+(PRESIONES!$J$34-ABERTURAS!$L$66)*MAX(0,MIN($W27,DATOS!$C$23*3/4)-MAX($V27,DATOS!$C$23*2/4))+(PRESIONES!$J$35-ABERTURAS!$L$66)*MAX(0,MIN($W27,DATOS!$C$23*4/4)-MAX($V27,DATOS!$C$23*3/4))))</f>
        <v>0</v>
      </c>
      <c r="AI27" s="30" t="n">
        <f aca="false">IF($L27&lt;&gt;"OK",0,PRESIONES!$C$12*((PRESIONES!$M$32-ABERTURAS!$L$67)*MAX(0,MIN($W27,DATOS!$C$23*1/4)-MAX($V27,DATOS!$C$23*0/4))+(PRESIONES!$M$33-ABERTURAS!$L$67)*MAX(0,MIN($W27,DATOS!$C$23*2/4)-MAX($V27,DATOS!$C$23*1/4))+(PRESIONES!$M$34-ABERTURAS!$L$67)*MAX(0,MIN($W27,DATOS!$C$23*3/4)-MAX($V27,DATOS!$C$23*2/4))+(PRESIONES!$M$35-ABERTURAS!$L$67)*MAX(0,MIN($W27,DATOS!$C$23*4/4)-MAX($V27,DATOS!$C$23*3/4))))</f>
        <v>0</v>
      </c>
      <c r="AJ27" s="30" t="n">
        <f aca="false">IF($L27&lt;&gt;"OK",0,PRESIONES!$C$12*((PRESIONES!$D$32-ABERTURAS!$L$60)*MAX(0,MIN($W27,DATOS!$C$23*1/4)-MAX($V27,DATOS!$C$23*0/4))*PRESIONES!$C$18+(PRESIONES!$D$33-ABERTURAS!$L$60)*MAX(0,MIN($W27,DATOS!$C$23*2/4)-MAX($V27,DATOS!$C$23*1/4))*PRESIONES!$C$19+(PRESIONES!$D$34-ABERTURAS!$L$60)*MAX(0,MIN($W27,DATOS!$C$23*3/4)-MAX($V27,DATOS!$C$23*2/4))*PRESIONES!$C$20+(PRESIONES!$D$35-ABERTURAS!$L$60)*MAX(0,MIN($W27,DATOS!$C$23*4/4)-MAX($V27,DATOS!$C$23*3/4))*PRESIONES!$C$21))</f>
        <v>0</v>
      </c>
      <c r="AK27" s="30" t="n">
        <f aca="false">IF($L27&lt;&gt;"OK",0,PRESIONES!$C$12*((PRESIONES!$G$32-ABERTURAS!$L$61)*MAX(0,MIN($W27,DATOS!$C$23*1/4)-MAX($V27,DATOS!$C$23*0/4))*PRESIONES!$C$18+(PRESIONES!$G$33-ABERTURAS!$L$61)*MAX(0,MIN($W27,DATOS!$C$23*2/4)-MAX($V27,DATOS!$C$23*1/4))*PRESIONES!$C$19+(PRESIONES!$G$34-ABERTURAS!$L$61)*MAX(0,MIN($W27,DATOS!$C$23*3/4)-MAX($V27,DATOS!$C$23*2/4))*PRESIONES!$C$20+(PRESIONES!$G$35-ABERTURAS!$L$61)*MAX(0,MIN($W27,DATOS!$C$23*4/4)-MAX($V27,DATOS!$C$23*3/4))*PRESIONES!$C$21))</f>
        <v>0</v>
      </c>
      <c r="AL27" s="30" t="n">
        <f aca="false">IF($L27&lt;&gt;"OK",0,PRESIONES!$C$12*((PRESIONES!$J$32-ABERTURAS!$L$62)*MAX(0,MIN($W27,DATOS!$C$23*1/4)-MAX($V27,DATOS!$C$23*0/4))*PRESIONES!$C$18+(PRESIONES!$J$33-ABERTURAS!$L$62)*MAX(0,MIN($W27,DATOS!$C$23*2/4)-MAX($V27,DATOS!$C$23*1/4))*PRESIONES!$C$19+(PRESIONES!$J$34-ABERTURAS!$L$62)*MAX(0,MIN($W27,DATOS!$C$23*3/4)-MAX($V27,DATOS!$C$23*2/4))*PRESIONES!$C$20+(PRESIONES!$J$35-ABERTURAS!$L$62)*MAX(0,MIN($W27,DATOS!$C$23*4/4)-MAX($V27,DATOS!$C$23*3/4))*PRESIONES!$C$21))</f>
        <v>0</v>
      </c>
      <c r="AM27" s="30" t="n">
        <f aca="false">IF($L27&lt;&gt;"OK",0,PRESIONES!$C$12*((PRESIONES!$M$32-ABERTURAS!$L$63)*MAX(0,MIN($W27,DATOS!$C$23*1/4)-MAX($V27,DATOS!$C$23*0/4))*PRESIONES!$C$18+(PRESIONES!$M$33-ABERTURAS!$L$63)*MAX(0,MIN($W27,DATOS!$C$23*2/4)-MAX($V27,DATOS!$C$23*1/4))*PRESIONES!$C$19+(PRESIONES!$M$34-ABERTURAS!$L$63)*MAX(0,MIN($W27,DATOS!$C$23*3/4)-MAX($V27,DATOS!$C$23*2/4))*PRESIONES!$C$20+(PRESIONES!$M$35-ABERTURAS!$L$63)*MAX(0,MIN($W27,DATOS!$C$23*4/4)-MAX($V27,DATOS!$C$23*3/4))*PRESIONES!$C$21))</f>
        <v>0</v>
      </c>
      <c r="AN27" s="30" t="n">
        <f aca="false">IF($L27&lt;&gt;"OK",0,PRESIONES!$C$12*((PRESIONES!$D$32-ABERTURAS!$L$64)*MAX(0,MIN($W27,DATOS!$C$23*1/4)-MAX($V27,DATOS!$C$23*0/4))*PRESIONES!$C$18+(PRESIONES!$D$33-ABERTURAS!$L$64)*MAX(0,MIN($W27,DATOS!$C$23*2/4)-MAX($V27,DATOS!$C$23*1/4))*PRESIONES!$C$19+(PRESIONES!$D$34-ABERTURAS!$L$64)*MAX(0,MIN($W27,DATOS!$C$23*3/4)-MAX($V27,DATOS!$C$23*2/4))*PRESIONES!$C$20+(PRESIONES!$D$35-ABERTURAS!$L$64)*MAX(0,MIN($W27,DATOS!$C$23*4/4)-MAX($V27,DATOS!$C$23*3/4))*PRESIONES!$C$21))</f>
        <v>0</v>
      </c>
      <c r="AO27" s="30" t="n">
        <f aca="false">IF($L27&lt;&gt;"OK",0,PRESIONES!$C$12*((PRESIONES!$G$32-ABERTURAS!$L$65)*MAX(0,MIN($W27,DATOS!$C$23*1/4)-MAX($V27,DATOS!$C$23*0/4))*PRESIONES!$C$18+(PRESIONES!$G$33-ABERTURAS!$L$65)*MAX(0,MIN($W27,DATOS!$C$23*2/4)-MAX($V27,DATOS!$C$23*1/4))*PRESIONES!$C$19+(PRESIONES!$G$34-ABERTURAS!$L$65)*MAX(0,MIN($W27,DATOS!$C$23*3/4)-MAX($V27,DATOS!$C$23*2/4))*PRESIONES!$C$20+(PRESIONES!$G$35-ABERTURAS!$L$65)*MAX(0,MIN($W27,DATOS!$C$23*4/4)-MAX($V27,DATOS!$C$23*3/4))*PRESIONES!$C$21))</f>
        <v>0</v>
      </c>
      <c r="AP27" s="30" t="n">
        <f aca="false">IF($L27&lt;&gt;"OK",0,PRESIONES!$C$12*((PRESIONES!$J$32-ABERTURAS!$L$66)*MAX(0,MIN($W27,DATOS!$C$23*1/4)-MAX($V27,DATOS!$C$23*0/4))*PRESIONES!$C$18+(PRESIONES!$J$33-ABERTURAS!$L$66)*MAX(0,MIN($W27,DATOS!$C$23*2/4)-MAX($V27,DATOS!$C$23*1/4))*PRESIONES!$C$19+(PRESIONES!$J$34-ABERTURAS!$L$66)*MAX(0,MIN($W27,DATOS!$C$23*3/4)-MAX($V27,DATOS!$C$23*2/4))*PRESIONES!$C$20+(PRESIONES!$J$35-ABERTURAS!$L$66)*MAX(0,MIN($W27,DATOS!$C$23*4/4)-MAX($V27,DATOS!$C$23*3/4))*PRESIONES!$C$21))</f>
        <v>0</v>
      </c>
      <c r="AQ27" s="30" t="n">
        <f aca="false">IF($L27&lt;&gt;"OK",0,PRESIONES!$C$12*((PRESIONES!$M$32-ABERTURAS!$L$67)*MAX(0,MIN($W27,DATOS!$C$23*1/4)-MAX($V27,DATOS!$C$23*0/4))*PRESIONES!$C$18+(PRESIONES!$M$33-ABERTURAS!$L$67)*MAX(0,MIN($W27,DATOS!$C$23*2/4)-MAX($V27,DATOS!$C$23*1/4))*PRESIONES!$C$19+(PRESIONES!$M$34-ABERTURAS!$L$67)*MAX(0,MIN($W27,DATOS!$C$23*3/4)-MAX($V27,DATOS!$C$23*2/4))*PRESIONES!$C$20+(PRESIONES!$M$35-ABERTURAS!$L$67)*MAX(0,MIN($W27,DATOS!$C$23*4/4)-MAX($V27,DATOS!$C$23*3/4))*PRESIONES!$C$21))</f>
        <v>0</v>
      </c>
      <c r="AR27" s="30" t="n">
        <f aca="false">IF($L27&lt;&gt;"OK",0,PRESIONES!$C$12*((PRESIONES!$E$32-ABERTURAS!$L$60)*MAX(0,MIN($W27,DATOS!$C$23*1/4)-MAX($V27,DATOS!$C$23*0/4))+(PRESIONES!$E$33-ABERTURAS!$L$60)*MAX(0,MIN($W27,DATOS!$C$23*2/4)-MAX($V27,DATOS!$C$23*1/4))+(PRESIONES!$E$34-ABERTURAS!$L$60)*MAX(0,MIN($W27,DATOS!$C$23*3/4)-MAX($V27,DATOS!$C$23*2/4))+(PRESIONES!$E$35-ABERTURAS!$L$60)*MAX(0,MIN($W27,DATOS!$C$23*4/4)-MAX($V27,DATOS!$C$23*3/4))))</f>
        <v>0</v>
      </c>
      <c r="AS27" s="30" t="n">
        <f aca="false">IF($L27&lt;&gt;"OK",0,PRESIONES!$C$12*((PRESIONES!$H$32-ABERTURAS!$L$61)*MAX(0,MIN($W27,DATOS!$C$23*1/4)-MAX($V27,DATOS!$C$23*0/4))+(PRESIONES!$H$33-ABERTURAS!$L$61)*MAX(0,MIN($W27,DATOS!$C$23*2/4)-MAX($V27,DATOS!$C$23*1/4))+(PRESIONES!$H$34-ABERTURAS!$L$61)*MAX(0,MIN($W27,DATOS!$C$23*3/4)-MAX($V27,DATOS!$C$23*2/4))+(PRESIONES!$H$35-ABERTURAS!$L$61)*MAX(0,MIN($W27,DATOS!$C$23*4/4)-MAX($V27,DATOS!$C$23*3/4))))</f>
        <v>0</v>
      </c>
      <c r="AT27" s="30" t="n">
        <f aca="false">IF($L27&lt;&gt;"OK",0,PRESIONES!$C$12*((PRESIONES!$K$32-ABERTURAS!$L$62)*MAX(0,MIN($W27,DATOS!$C$23*1/4)-MAX($V27,DATOS!$C$23*0/4))+(PRESIONES!$K$33-ABERTURAS!$L$62)*MAX(0,MIN($W27,DATOS!$C$23*2/4)-MAX($V27,DATOS!$C$23*1/4))+(PRESIONES!$K$34-ABERTURAS!$L$62)*MAX(0,MIN($W27,DATOS!$C$23*3/4)-MAX($V27,DATOS!$C$23*2/4))+(PRESIONES!$K$35-ABERTURAS!$L$62)*MAX(0,MIN($W27,DATOS!$C$23*4/4)-MAX($V27,DATOS!$C$23*3/4))))</f>
        <v>0</v>
      </c>
      <c r="AU27" s="30" t="n">
        <f aca="false">IF($L27&lt;&gt;"OK",0,PRESIONES!$C$12*((PRESIONES!$N$32-ABERTURAS!$L$63)*MAX(0,MIN($W27,DATOS!$C$23*1/4)-MAX($V27,DATOS!$C$23*0/4))+(PRESIONES!$N$33-ABERTURAS!$L$63)*MAX(0,MIN($W27,DATOS!$C$23*2/4)-MAX($V27,DATOS!$C$23*1/4))+(PRESIONES!$N$34-ABERTURAS!$L$63)*MAX(0,MIN($W27,DATOS!$C$23*3/4)-MAX($V27,DATOS!$C$23*2/4))+(PRESIONES!$N$35-ABERTURAS!$L$63)*MAX(0,MIN($W27,DATOS!$C$23*4/4)-MAX($V27,DATOS!$C$23*3/4))))</f>
        <v>0</v>
      </c>
      <c r="AV27" s="30" t="n">
        <f aca="false">IF($L27&lt;&gt;"OK",0,PRESIONES!$C$12*((PRESIONES!$E$32-ABERTURAS!$L$64)*MAX(0,MIN($W27,DATOS!$C$23*1/4)-MAX($V27,DATOS!$C$23*0/4))+(PRESIONES!$E$33-ABERTURAS!$L$64)*MAX(0,MIN($W27,DATOS!$C$23*2/4)-MAX($V27,DATOS!$C$23*1/4))+(PRESIONES!$E$34-ABERTURAS!$L$64)*MAX(0,MIN($W27,DATOS!$C$23*3/4)-MAX($V27,DATOS!$C$23*2/4))+(PRESIONES!$E$35-ABERTURAS!$L$64)*MAX(0,MIN($W27,DATOS!$C$23*4/4)-MAX($V27,DATOS!$C$23*3/4))))</f>
        <v>0</v>
      </c>
      <c r="AW27" s="30" t="n">
        <f aca="false">IF($L27&lt;&gt;"OK",0,PRESIONES!$C$12*((PRESIONES!$H$32-ABERTURAS!$L$65)*MAX(0,MIN($W27,DATOS!$C$23*1/4)-MAX($V27,DATOS!$C$23*0/4))+(PRESIONES!$H$33-ABERTURAS!$L$65)*MAX(0,MIN($W27,DATOS!$C$23*2/4)-MAX($V27,DATOS!$C$23*1/4))+(PRESIONES!$H$34-ABERTURAS!$L$65)*MAX(0,MIN($W27,DATOS!$C$23*3/4)-MAX($V27,DATOS!$C$23*2/4))+(PRESIONES!$H$35-ABERTURAS!$L$65)*MAX(0,MIN($W27,DATOS!$C$23*4/4)-MAX($V27,DATOS!$C$23*3/4))))</f>
        <v>0</v>
      </c>
      <c r="AX27" s="30" t="n">
        <f aca="false">IF($L27&lt;&gt;"OK",0,PRESIONES!$C$12*((PRESIONES!$K$32-ABERTURAS!$L$66)*MAX(0,MIN($W27,DATOS!$C$23*1/4)-MAX($V27,DATOS!$C$23*0/4))+(PRESIONES!$K$33-ABERTURAS!$L$66)*MAX(0,MIN($W27,DATOS!$C$23*2/4)-MAX($V27,DATOS!$C$23*1/4))+(PRESIONES!$K$34-ABERTURAS!$L$66)*MAX(0,MIN($W27,DATOS!$C$23*3/4)-MAX($V27,DATOS!$C$23*2/4))+(PRESIONES!$K$35-ABERTURAS!$L$66)*MAX(0,MIN($W27,DATOS!$C$23*4/4)-MAX($V27,DATOS!$C$23*3/4))))</f>
        <v>0</v>
      </c>
      <c r="AY27" s="30" t="n">
        <f aca="false">IF($L27&lt;&gt;"OK",0,PRESIONES!$C$12*((PRESIONES!$N$32-ABERTURAS!$L$67)*MAX(0,MIN($W27,DATOS!$C$23*1/4)-MAX($V27,DATOS!$C$23*0/4))+(PRESIONES!$N$33-ABERTURAS!$L$67)*MAX(0,MIN($W27,DATOS!$C$23*2/4)-MAX($V27,DATOS!$C$23*1/4))+(PRESIONES!$N$34-ABERTURAS!$L$67)*MAX(0,MIN($W27,DATOS!$C$23*3/4)-MAX($V27,DATOS!$C$23*2/4))+(PRESIONES!$N$35-ABERTURAS!$L$67)*MAX(0,MIN($W27,DATOS!$C$23*4/4)-MAX($V27,DATOS!$C$23*3/4))))</f>
        <v>0</v>
      </c>
      <c r="AZ27" s="30" t="n">
        <f aca="false">IF($L27&lt;&gt;"OK",0,PRESIONES!$C$12*((PRESIONES!$E$32-ABERTURAS!$L$60)*MAX(0,MIN($W27,DATOS!$C$23*1/4)-MAX($V27,DATOS!$C$23*0/4))*PRESIONES!$C$18+(PRESIONES!$E$33-ABERTURAS!$L$60)*MAX(0,MIN($W27,DATOS!$C$23*2/4)-MAX($V27,DATOS!$C$23*1/4))*PRESIONES!$C$19+(PRESIONES!$E$34-ABERTURAS!$L$60)*MAX(0,MIN($W27,DATOS!$C$23*3/4)-MAX($V27,DATOS!$C$23*2/4))*PRESIONES!$C$20+(PRESIONES!$E$35-ABERTURAS!$L$60)*MAX(0,MIN($W27,DATOS!$C$23*4/4)-MAX($V27,DATOS!$C$23*3/4))*PRESIONES!$C$21))</f>
        <v>0</v>
      </c>
      <c r="BA27" s="30" t="n">
        <f aca="false">IF($L27&lt;&gt;"OK",0,PRESIONES!$C$12*((PRESIONES!$H$32-ABERTURAS!$L$61)*MAX(0,MIN($W27,DATOS!$C$23*1/4)-MAX($V27,DATOS!$C$23*0/4))*PRESIONES!$C$18+(PRESIONES!$H$33-ABERTURAS!$L$61)*MAX(0,MIN($W27,DATOS!$C$23*2/4)-MAX($V27,DATOS!$C$23*1/4))*PRESIONES!$C$19+(PRESIONES!$H$34-ABERTURAS!$L$61)*MAX(0,MIN($W27,DATOS!$C$23*3/4)-MAX($V27,DATOS!$C$23*2/4))*PRESIONES!$C$20+(PRESIONES!$H$35-ABERTURAS!$L$61)*MAX(0,MIN($W27,DATOS!$C$23*4/4)-MAX($V27,DATOS!$C$23*3/4))*PRESIONES!$C$21))</f>
        <v>0</v>
      </c>
      <c r="BB27" s="30" t="n">
        <f aca="false">IF($L27&lt;&gt;"OK",0,PRESIONES!$C$12*((PRESIONES!$K$32-ABERTURAS!$L$62)*MAX(0,MIN($W27,DATOS!$C$23*1/4)-MAX($V27,DATOS!$C$23*0/4))*PRESIONES!$C$18+(PRESIONES!$K$33-ABERTURAS!$L$62)*MAX(0,MIN($W27,DATOS!$C$23*2/4)-MAX($V27,DATOS!$C$23*1/4))*PRESIONES!$C$19+(PRESIONES!$K$34-ABERTURAS!$L$62)*MAX(0,MIN($W27,DATOS!$C$23*3/4)-MAX($V27,DATOS!$C$23*2/4))*PRESIONES!$C$20+(PRESIONES!$K$35-ABERTURAS!$L$62)*MAX(0,MIN($W27,DATOS!$C$23*4/4)-MAX($V27,DATOS!$C$23*3/4))*PRESIONES!$C$21))</f>
        <v>0</v>
      </c>
      <c r="BC27" s="30" t="n">
        <f aca="false">IF($L27&lt;&gt;"OK",0,PRESIONES!$C$12*((PRESIONES!$N$32-ABERTURAS!$L$63)*MAX(0,MIN($W27,DATOS!$C$23*1/4)-MAX($V27,DATOS!$C$23*0/4))*PRESIONES!$C$18+(PRESIONES!$N$33-ABERTURAS!$L$63)*MAX(0,MIN($W27,DATOS!$C$23*2/4)-MAX($V27,DATOS!$C$23*1/4))*PRESIONES!$C$19+(PRESIONES!$N$34-ABERTURAS!$L$63)*MAX(0,MIN($W27,DATOS!$C$23*3/4)-MAX($V27,DATOS!$C$23*2/4))*PRESIONES!$C$20+(PRESIONES!$N$35-ABERTURAS!$L$63)*MAX(0,MIN($W27,DATOS!$C$23*4/4)-MAX($V27,DATOS!$C$23*3/4))*PRESIONES!$C$21))</f>
        <v>0</v>
      </c>
      <c r="BD27" s="30" t="n">
        <f aca="false">IF($L27&lt;&gt;"OK",0,PRESIONES!$C$12*((PRESIONES!$E$32-ABERTURAS!$L$64)*MAX(0,MIN($W27,DATOS!$C$23*1/4)-MAX($V27,DATOS!$C$23*0/4))*PRESIONES!$C$18+(PRESIONES!$E$33-ABERTURAS!$L$64)*MAX(0,MIN($W27,DATOS!$C$23*2/4)-MAX($V27,DATOS!$C$23*1/4))*PRESIONES!$C$19+(PRESIONES!$E$34-ABERTURAS!$L$64)*MAX(0,MIN($W27,DATOS!$C$23*3/4)-MAX($V27,DATOS!$C$23*2/4))*PRESIONES!$C$20+(PRESIONES!$E$35-ABERTURAS!$L$64)*MAX(0,MIN($W27,DATOS!$C$23*4/4)-MAX($V27,DATOS!$C$23*3/4))*PRESIONES!$C$21))</f>
        <v>0</v>
      </c>
      <c r="BE27" s="30" t="n">
        <f aca="false">IF($L27&lt;&gt;"OK",0,PRESIONES!$C$12*((PRESIONES!$H$32-ABERTURAS!$L$65)*MAX(0,MIN($W27,DATOS!$C$23*1/4)-MAX($V27,DATOS!$C$23*0/4))*PRESIONES!$C$18+(PRESIONES!$H$33-ABERTURAS!$L$65)*MAX(0,MIN($W27,DATOS!$C$23*2/4)-MAX($V27,DATOS!$C$23*1/4))*PRESIONES!$C$19+(PRESIONES!$H$34-ABERTURAS!$L$65)*MAX(0,MIN($W27,DATOS!$C$23*3/4)-MAX($V27,DATOS!$C$23*2/4))*PRESIONES!$C$20+(PRESIONES!$H$35-ABERTURAS!$L$65)*MAX(0,MIN($W27,DATOS!$C$23*4/4)-MAX($V27,DATOS!$C$23*3/4))*PRESIONES!$C$21))</f>
        <v>0</v>
      </c>
      <c r="BF27" s="30" t="n">
        <f aca="false">IF($L27&lt;&gt;"OK",0,PRESIONES!$C$12*((PRESIONES!$K$32-ABERTURAS!$L$66)*MAX(0,MIN($W27,DATOS!$C$23*1/4)-MAX($V27,DATOS!$C$23*0/4))*PRESIONES!$C$18+(PRESIONES!$K$33-ABERTURAS!$L$66)*MAX(0,MIN($W27,DATOS!$C$23*2/4)-MAX($V27,DATOS!$C$23*1/4))*PRESIONES!$C$19+(PRESIONES!$K$34-ABERTURAS!$L$66)*MAX(0,MIN($W27,DATOS!$C$23*3/4)-MAX($V27,DATOS!$C$23*2/4))*PRESIONES!$C$20+(PRESIONES!$K$35-ABERTURAS!$L$66)*MAX(0,MIN($W27,DATOS!$C$23*4/4)-MAX($V27,DATOS!$C$23*3/4))*PRESIONES!$C$21))</f>
        <v>0</v>
      </c>
      <c r="BG27" s="30" t="n">
        <f aca="false">IF($L27&lt;&gt;"OK",0,PRESIONES!$C$12*((PRESIONES!$N$32-ABERTURAS!$L$67)*MAX(0,MIN($W27,DATOS!$C$23*1/4)-MAX($V27,DATOS!$C$23*0/4))*PRESIONES!$C$18+(PRESIONES!$N$33-ABERTURAS!$L$67)*MAX(0,MIN($W27,DATOS!$C$23*2/4)-MAX($V27,DATOS!$C$23*1/4))*PRESIONES!$C$19+(PRESIONES!$N$34-ABERTURAS!$L$67)*MAX(0,MIN($W27,DATOS!$C$23*3/4)-MAX($V27,DATOS!$C$23*2/4))*PRESIONES!$C$20+(PRESIONES!$N$35-ABERTURAS!$L$67)*MAX(0,MIN($W27,DATOS!$C$23*4/4)-MAX($V27,DATOS!$C$23*3/4))*PRESIONES!$C$21))</f>
        <v>0</v>
      </c>
    </row>
    <row r="28" customFormat="false" ht="15" hidden="false" customHeight="true" outlineLevel="0" collapsed="false">
      <c r="B28" s="27"/>
      <c r="C28" s="17"/>
      <c r="D28" s="27"/>
      <c r="E28" s="17"/>
      <c r="F28" s="49"/>
      <c r="G28" s="49"/>
      <c r="H28" s="49"/>
      <c r="I28" s="49"/>
      <c r="J28" s="49"/>
      <c r="K28" s="49"/>
      <c r="L28" s="20" t="str">
        <f aca="false">IF($D28="","",IF($C28&lt;&gt;"TECHO","PON TECHO",IF(OR($F28="",$G28="",$H28="",$I28=""),"FALTAN a o b",IF($M28&lt;=0,"a₂ DEBE SER &gt; a₁",IF($N28&lt;=0,"b₂ DEBE SER &gt; b₁",IF(OR($V28&lt;-0.001,$W28&gt;DATOS!$C$23+0.001),"SE SALE DEL TECHO","OK"))))))</f>
        <v/>
      </c>
      <c r="M28" s="30" t="n">
        <f aca="false">IF($D28="",0,MAX(0,$G28-$F28))</f>
        <v>0</v>
      </c>
      <c r="N28" s="30" t="n">
        <f aca="false">MAX(0,$W28-$V28)</f>
        <v>0</v>
      </c>
      <c r="O28" s="30" t="n">
        <f aca="false">$M28*$N28</f>
        <v>0</v>
      </c>
      <c r="P28" s="30" t="n">
        <v>0</v>
      </c>
      <c r="Q28" s="30" t="n">
        <v>0</v>
      </c>
      <c r="R28" s="30" t="n">
        <f aca="false">$O28</f>
        <v>0</v>
      </c>
      <c r="S28" s="30" t="n">
        <f aca="false">$O28</f>
        <v>0</v>
      </c>
      <c r="T28" s="50" t="n">
        <f aca="false">IF($D28="",0,DATOS!$C$21)</f>
        <v>0</v>
      </c>
      <c r="U28" s="50" t="n">
        <v>0</v>
      </c>
      <c r="V28" s="50" t="n">
        <f aca="false">IF($D28="",0,(N($H28)+IF($J28="",N($H28),$J28))/2)</f>
        <v>0</v>
      </c>
      <c r="W28" s="50" t="n">
        <f aca="false">IF($D28="",0,(N($I28)+IF($K28="",N($I28),$K28))/2)</f>
        <v>0</v>
      </c>
      <c r="AB28" s="30" t="n">
        <f aca="false">IF($L28&lt;&gt;"OK",0,PRESIONES!$C$12*((PRESIONES!$D$32-ABERTURAS!$L$60)*MAX(0,MIN($W28,DATOS!$C$23*1/4)-MAX($V28,DATOS!$C$23*0/4))+(PRESIONES!$D$33-ABERTURAS!$L$60)*MAX(0,MIN($W28,DATOS!$C$23*2/4)-MAX($V28,DATOS!$C$23*1/4))+(PRESIONES!$D$34-ABERTURAS!$L$60)*MAX(0,MIN($W28,DATOS!$C$23*3/4)-MAX($V28,DATOS!$C$23*2/4))+(PRESIONES!$D$35-ABERTURAS!$L$60)*MAX(0,MIN($W28,DATOS!$C$23*4/4)-MAX($V28,DATOS!$C$23*3/4))))</f>
        <v>0</v>
      </c>
      <c r="AC28" s="30" t="n">
        <f aca="false">IF($L28&lt;&gt;"OK",0,PRESIONES!$C$12*((PRESIONES!$G$32-ABERTURAS!$L$61)*MAX(0,MIN($W28,DATOS!$C$23*1/4)-MAX($V28,DATOS!$C$23*0/4))+(PRESIONES!$G$33-ABERTURAS!$L$61)*MAX(0,MIN($W28,DATOS!$C$23*2/4)-MAX($V28,DATOS!$C$23*1/4))+(PRESIONES!$G$34-ABERTURAS!$L$61)*MAX(0,MIN($W28,DATOS!$C$23*3/4)-MAX($V28,DATOS!$C$23*2/4))+(PRESIONES!$G$35-ABERTURAS!$L$61)*MAX(0,MIN($W28,DATOS!$C$23*4/4)-MAX($V28,DATOS!$C$23*3/4))))</f>
        <v>0</v>
      </c>
      <c r="AD28" s="30" t="n">
        <f aca="false">IF($L28&lt;&gt;"OK",0,PRESIONES!$C$12*((PRESIONES!$J$32-ABERTURAS!$L$62)*MAX(0,MIN($W28,DATOS!$C$23*1/4)-MAX($V28,DATOS!$C$23*0/4))+(PRESIONES!$J$33-ABERTURAS!$L$62)*MAX(0,MIN($W28,DATOS!$C$23*2/4)-MAX($V28,DATOS!$C$23*1/4))+(PRESIONES!$J$34-ABERTURAS!$L$62)*MAX(0,MIN($W28,DATOS!$C$23*3/4)-MAX($V28,DATOS!$C$23*2/4))+(PRESIONES!$J$35-ABERTURAS!$L$62)*MAX(0,MIN($W28,DATOS!$C$23*4/4)-MAX($V28,DATOS!$C$23*3/4))))</f>
        <v>0</v>
      </c>
      <c r="AE28" s="30" t="n">
        <f aca="false">IF($L28&lt;&gt;"OK",0,PRESIONES!$C$12*((PRESIONES!$M$32-ABERTURAS!$L$63)*MAX(0,MIN($W28,DATOS!$C$23*1/4)-MAX($V28,DATOS!$C$23*0/4))+(PRESIONES!$M$33-ABERTURAS!$L$63)*MAX(0,MIN($W28,DATOS!$C$23*2/4)-MAX($V28,DATOS!$C$23*1/4))+(PRESIONES!$M$34-ABERTURAS!$L$63)*MAX(0,MIN($W28,DATOS!$C$23*3/4)-MAX($V28,DATOS!$C$23*2/4))+(PRESIONES!$M$35-ABERTURAS!$L$63)*MAX(0,MIN($W28,DATOS!$C$23*4/4)-MAX($V28,DATOS!$C$23*3/4))))</f>
        <v>0</v>
      </c>
      <c r="AF28" s="30" t="n">
        <f aca="false">IF($L28&lt;&gt;"OK",0,PRESIONES!$C$12*((PRESIONES!$D$32-ABERTURAS!$L$64)*MAX(0,MIN($W28,DATOS!$C$23*1/4)-MAX($V28,DATOS!$C$23*0/4))+(PRESIONES!$D$33-ABERTURAS!$L$64)*MAX(0,MIN($W28,DATOS!$C$23*2/4)-MAX($V28,DATOS!$C$23*1/4))+(PRESIONES!$D$34-ABERTURAS!$L$64)*MAX(0,MIN($W28,DATOS!$C$23*3/4)-MAX($V28,DATOS!$C$23*2/4))+(PRESIONES!$D$35-ABERTURAS!$L$64)*MAX(0,MIN($W28,DATOS!$C$23*4/4)-MAX($V28,DATOS!$C$23*3/4))))</f>
        <v>0</v>
      </c>
      <c r="AG28" s="30" t="n">
        <f aca="false">IF($L28&lt;&gt;"OK",0,PRESIONES!$C$12*((PRESIONES!$G$32-ABERTURAS!$L$65)*MAX(0,MIN($W28,DATOS!$C$23*1/4)-MAX($V28,DATOS!$C$23*0/4))+(PRESIONES!$G$33-ABERTURAS!$L$65)*MAX(0,MIN($W28,DATOS!$C$23*2/4)-MAX($V28,DATOS!$C$23*1/4))+(PRESIONES!$G$34-ABERTURAS!$L$65)*MAX(0,MIN($W28,DATOS!$C$23*3/4)-MAX($V28,DATOS!$C$23*2/4))+(PRESIONES!$G$35-ABERTURAS!$L$65)*MAX(0,MIN($W28,DATOS!$C$23*4/4)-MAX($V28,DATOS!$C$23*3/4))))</f>
        <v>0</v>
      </c>
      <c r="AH28" s="30" t="n">
        <f aca="false">IF($L28&lt;&gt;"OK",0,PRESIONES!$C$12*((PRESIONES!$J$32-ABERTURAS!$L$66)*MAX(0,MIN($W28,DATOS!$C$23*1/4)-MAX($V28,DATOS!$C$23*0/4))+(PRESIONES!$J$33-ABERTURAS!$L$66)*MAX(0,MIN($W28,DATOS!$C$23*2/4)-MAX($V28,DATOS!$C$23*1/4))+(PRESIONES!$J$34-ABERTURAS!$L$66)*MAX(0,MIN($W28,DATOS!$C$23*3/4)-MAX($V28,DATOS!$C$23*2/4))+(PRESIONES!$J$35-ABERTURAS!$L$66)*MAX(0,MIN($W28,DATOS!$C$23*4/4)-MAX($V28,DATOS!$C$23*3/4))))</f>
        <v>0</v>
      </c>
      <c r="AI28" s="30" t="n">
        <f aca="false">IF($L28&lt;&gt;"OK",0,PRESIONES!$C$12*((PRESIONES!$M$32-ABERTURAS!$L$67)*MAX(0,MIN($W28,DATOS!$C$23*1/4)-MAX($V28,DATOS!$C$23*0/4))+(PRESIONES!$M$33-ABERTURAS!$L$67)*MAX(0,MIN($W28,DATOS!$C$23*2/4)-MAX($V28,DATOS!$C$23*1/4))+(PRESIONES!$M$34-ABERTURAS!$L$67)*MAX(0,MIN($W28,DATOS!$C$23*3/4)-MAX($V28,DATOS!$C$23*2/4))+(PRESIONES!$M$35-ABERTURAS!$L$67)*MAX(0,MIN($W28,DATOS!$C$23*4/4)-MAX($V28,DATOS!$C$23*3/4))))</f>
        <v>0</v>
      </c>
      <c r="AJ28" s="30" t="n">
        <f aca="false">IF($L28&lt;&gt;"OK",0,PRESIONES!$C$12*((PRESIONES!$D$32-ABERTURAS!$L$60)*MAX(0,MIN($W28,DATOS!$C$23*1/4)-MAX($V28,DATOS!$C$23*0/4))*PRESIONES!$C$18+(PRESIONES!$D$33-ABERTURAS!$L$60)*MAX(0,MIN($W28,DATOS!$C$23*2/4)-MAX($V28,DATOS!$C$23*1/4))*PRESIONES!$C$19+(PRESIONES!$D$34-ABERTURAS!$L$60)*MAX(0,MIN($W28,DATOS!$C$23*3/4)-MAX($V28,DATOS!$C$23*2/4))*PRESIONES!$C$20+(PRESIONES!$D$35-ABERTURAS!$L$60)*MAX(0,MIN($W28,DATOS!$C$23*4/4)-MAX($V28,DATOS!$C$23*3/4))*PRESIONES!$C$21))</f>
        <v>0</v>
      </c>
      <c r="AK28" s="30" t="n">
        <f aca="false">IF($L28&lt;&gt;"OK",0,PRESIONES!$C$12*((PRESIONES!$G$32-ABERTURAS!$L$61)*MAX(0,MIN($W28,DATOS!$C$23*1/4)-MAX($V28,DATOS!$C$23*0/4))*PRESIONES!$C$18+(PRESIONES!$G$33-ABERTURAS!$L$61)*MAX(0,MIN($W28,DATOS!$C$23*2/4)-MAX($V28,DATOS!$C$23*1/4))*PRESIONES!$C$19+(PRESIONES!$G$34-ABERTURAS!$L$61)*MAX(0,MIN($W28,DATOS!$C$23*3/4)-MAX($V28,DATOS!$C$23*2/4))*PRESIONES!$C$20+(PRESIONES!$G$35-ABERTURAS!$L$61)*MAX(0,MIN($W28,DATOS!$C$23*4/4)-MAX($V28,DATOS!$C$23*3/4))*PRESIONES!$C$21))</f>
        <v>0</v>
      </c>
      <c r="AL28" s="30" t="n">
        <f aca="false">IF($L28&lt;&gt;"OK",0,PRESIONES!$C$12*((PRESIONES!$J$32-ABERTURAS!$L$62)*MAX(0,MIN($W28,DATOS!$C$23*1/4)-MAX($V28,DATOS!$C$23*0/4))*PRESIONES!$C$18+(PRESIONES!$J$33-ABERTURAS!$L$62)*MAX(0,MIN($W28,DATOS!$C$23*2/4)-MAX($V28,DATOS!$C$23*1/4))*PRESIONES!$C$19+(PRESIONES!$J$34-ABERTURAS!$L$62)*MAX(0,MIN($W28,DATOS!$C$23*3/4)-MAX($V28,DATOS!$C$23*2/4))*PRESIONES!$C$20+(PRESIONES!$J$35-ABERTURAS!$L$62)*MAX(0,MIN($W28,DATOS!$C$23*4/4)-MAX($V28,DATOS!$C$23*3/4))*PRESIONES!$C$21))</f>
        <v>0</v>
      </c>
      <c r="AM28" s="30" t="n">
        <f aca="false">IF($L28&lt;&gt;"OK",0,PRESIONES!$C$12*((PRESIONES!$M$32-ABERTURAS!$L$63)*MAX(0,MIN($W28,DATOS!$C$23*1/4)-MAX($V28,DATOS!$C$23*0/4))*PRESIONES!$C$18+(PRESIONES!$M$33-ABERTURAS!$L$63)*MAX(0,MIN($W28,DATOS!$C$23*2/4)-MAX($V28,DATOS!$C$23*1/4))*PRESIONES!$C$19+(PRESIONES!$M$34-ABERTURAS!$L$63)*MAX(0,MIN($W28,DATOS!$C$23*3/4)-MAX($V28,DATOS!$C$23*2/4))*PRESIONES!$C$20+(PRESIONES!$M$35-ABERTURAS!$L$63)*MAX(0,MIN($W28,DATOS!$C$23*4/4)-MAX($V28,DATOS!$C$23*3/4))*PRESIONES!$C$21))</f>
        <v>0</v>
      </c>
      <c r="AN28" s="30" t="n">
        <f aca="false">IF($L28&lt;&gt;"OK",0,PRESIONES!$C$12*((PRESIONES!$D$32-ABERTURAS!$L$64)*MAX(0,MIN($W28,DATOS!$C$23*1/4)-MAX($V28,DATOS!$C$23*0/4))*PRESIONES!$C$18+(PRESIONES!$D$33-ABERTURAS!$L$64)*MAX(0,MIN($W28,DATOS!$C$23*2/4)-MAX($V28,DATOS!$C$23*1/4))*PRESIONES!$C$19+(PRESIONES!$D$34-ABERTURAS!$L$64)*MAX(0,MIN($W28,DATOS!$C$23*3/4)-MAX($V28,DATOS!$C$23*2/4))*PRESIONES!$C$20+(PRESIONES!$D$35-ABERTURAS!$L$64)*MAX(0,MIN($W28,DATOS!$C$23*4/4)-MAX($V28,DATOS!$C$23*3/4))*PRESIONES!$C$21))</f>
        <v>0</v>
      </c>
      <c r="AO28" s="30" t="n">
        <f aca="false">IF($L28&lt;&gt;"OK",0,PRESIONES!$C$12*((PRESIONES!$G$32-ABERTURAS!$L$65)*MAX(0,MIN($W28,DATOS!$C$23*1/4)-MAX($V28,DATOS!$C$23*0/4))*PRESIONES!$C$18+(PRESIONES!$G$33-ABERTURAS!$L$65)*MAX(0,MIN($W28,DATOS!$C$23*2/4)-MAX($V28,DATOS!$C$23*1/4))*PRESIONES!$C$19+(PRESIONES!$G$34-ABERTURAS!$L$65)*MAX(0,MIN($W28,DATOS!$C$23*3/4)-MAX($V28,DATOS!$C$23*2/4))*PRESIONES!$C$20+(PRESIONES!$G$35-ABERTURAS!$L$65)*MAX(0,MIN($W28,DATOS!$C$23*4/4)-MAX($V28,DATOS!$C$23*3/4))*PRESIONES!$C$21))</f>
        <v>0</v>
      </c>
      <c r="AP28" s="30" t="n">
        <f aca="false">IF($L28&lt;&gt;"OK",0,PRESIONES!$C$12*((PRESIONES!$J$32-ABERTURAS!$L$66)*MAX(0,MIN($W28,DATOS!$C$23*1/4)-MAX($V28,DATOS!$C$23*0/4))*PRESIONES!$C$18+(PRESIONES!$J$33-ABERTURAS!$L$66)*MAX(0,MIN($W28,DATOS!$C$23*2/4)-MAX($V28,DATOS!$C$23*1/4))*PRESIONES!$C$19+(PRESIONES!$J$34-ABERTURAS!$L$66)*MAX(0,MIN($W28,DATOS!$C$23*3/4)-MAX($V28,DATOS!$C$23*2/4))*PRESIONES!$C$20+(PRESIONES!$J$35-ABERTURAS!$L$66)*MAX(0,MIN($W28,DATOS!$C$23*4/4)-MAX($V28,DATOS!$C$23*3/4))*PRESIONES!$C$21))</f>
        <v>0</v>
      </c>
      <c r="AQ28" s="30" t="n">
        <f aca="false">IF($L28&lt;&gt;"OK",0,PRESIONES!$C$12*((PRESIONES!$M$32-ABERTURAS!$L$67)*MAX(0,MIN($W28,DATOS!$C$23*1/4)-MAX($V28,DATOS!$C$23*0/4))*PRESIONES!$C$18+(PRESIONES!$M$33-ABERTURAS!$L$67)*MAX(0,MIN($W28,DATOS!$C$23*2/4)-MAX($V28,DATOS!$C$23*1/4))*PRESIONES!$C$19+(PRESIONES!$M$34-ABERTURAS!$L$67)*MAX(0,MIN($W28,DATOS!$C$23*3/4)-MAX($V28,DATOS!$C$23*2/4))*PRESIONES!$C$20+(PRESIONES!$M$35-ABERTURAS!$L$67)*MAX(0,MIN($W28,DATOS!$C$23*4/4)-MAX($V28,DATOS!$C$23*3/4))*PRESIONES!$C$21))</f>
        <v>0</v>
      </c>
      <c r="AR28" s="30" t="n">
        <f aca="false">IF($L28&lt;&gt;"OK",0,PRESIONES!$C$12*((PRESIONES!$E$32-ABERTURAS!$L$60)*MAX(0,MIN($W28,DATOS!$C$23*1/4)-MAX($V28,DATOS!$C$23*0/4))+(PRESIONES!$E$33-ABERTURAS!$L$60)*MAX(0,MIN($W28,DATOS!$C$23*2/4)-MAX($V28,DATOS!$C$23*1/4))+(PRESIONES!$E$34-ABERTURAS!$L$60)*MAX(0,MIN($W28,DATOS!$C$23*3/4)-MAX($V28,DATOS!$C$23*2/4))+(PRESIONES!$E$35-ABERTURAS!$L$60)*MAX(0,MIN($W28,DATOS!$C$23*4/4)-MAX($V28,DATOS!$C$23*3/4))))</f>
        <v>0</v>
      </c>
      <c r="AS28" s="30" t="n">
        <f aca="false">IF($L28&lt;&gt;"OK",0,PRESIONES!$C$12*((PRESIONES!$H$32-ABERTURAS!$L$61)*MAX(0,MIN($W28,DATOS!$C$23*1/4)-MAX($V28,DATOS!$C$23*0/4))+(PRESIONES!$H$33-ABERTURAS!$L$61)*MAX(0,MIN($W28,DATOS!$C$23*2/4)-MAX($V28,DATOS!$C$23*1/4))+(PRESIONES!$H$34-ABERTURAS!$L$61)*MAX(0,MIN($W28,DATOS!$C$23*3/4)-MAX($V28,DATOS!$C$23*2/4))+(PRESIONES!$H$35-ABERTURAS!$L$61)*MAX(0,MIN($W28,DATOS!$C$23*4/4)-MAX($V28,DATOS!$C$23*3/4))))</f>
        <v>0</v>
      </c>
      <c r="AT28" s="30" t="n">
        <f aca="false">IF($L28&lt;&gt;"OK",0,PRESIONES!$C$12*((PRESIONES!$K$32-ABERTURAS!$L$62)*MAX(0,MIN($W28,DATOS!$C$23*1/4)-MAX($V28,DATOS!$C$23*0/4))+(PRESIONES!$K$33-ABERTURAS!$L$62)*MAX(0,MIN($W28,DATOS!$C$23*2/4)-MAX($V28,DATOS!$C$23*1/4))+(PRESIONES!$K$34-ABERTURAS!$L$62)*MAX(0,MIN($W28,DATOS!$C$23*3/4)-MAX($V28,DATOS!$C$23*2/4))+(PRESIONES!$K$35-ABERTURAS!$L$62)*MAX(0,MIN($W28,DATOS!$C$23*4/4)-MAX($V28,DATOS!$C$23*3/4))))</f>
        <v>0</v>
      </c>
      <c r="AU28" s="30" t="n">
        <f aca="false">IF($L28&lt;&gt;"OK",0,PRESIONES!$C$12*((PRESIONES!$N$32-ABERTURAS!$L$63)*MAX(0,MIN($W28,DATOS!$C$23*1/4)-MAX($V28,DATOS!$C$23*0/4))+(PRESIONES!$N$33-ABERTURAS!$L$63)*MAX(0,MIN($W28,DATOS!$C$23*2/4)-MAX($V28,DATOS!$C$23*1/4))+(PRESIONES!$N$34-ABERTURAS!$L$63)*MAX(0,MIN($W28,DATOS!$C$23*3/4)-MAX($V28,DATOS!$C$23*2/4))+(PRESIONES!$N$35-ABERTURAS!$L$63)*MAX(0,MIN($W28,DATOS!$C$23*4/4)-MAX($V28,DATOS!$C$23*3/4))))</f>
        <v>0</v>
      </c>
      <c r="AV28" s="30" t="n">
        <f aca="false">IF($L28&lt;&gt;"OK",0,PRESIONES!$C$12*((PRESIONES!$E$32-ABERTURAS!$L$64)*MAX(0,MIN($W28,DATOS!$C$23*1/4)-MAX($V28,DATOS!$C$23*0/4))+(PRESIONES!$E$33-ABERTURAS!$L$64)*MAX(0,MIN($W28,DATOS!$C$23*2/4)-MAX($V28,DATOS!$C$23*1/4))+(PRESIONES!$E$34-ABERTURAS!$L$64)*MAX(0,MIN($W28,DATOS!$C$23*3/4)-MAX($V28,DATOS!$C$23*2/4))+(PRESIONES!$E$35-ABERTURAS!$L$64)*MAX(0,MIN($W28,DATOS!$C$23*4/4)-MAX($V28,DATOS!$C$23*3/4))))</f>
        <v>0</v>
      </c>
      <c r="AW28" s="30" t="n">
        <f aca="false">IF($L28&lt;&gt;"OK",0,PRESIONES!$C$12*((PRESIONES!$H$32-ABERTURAS!$L$65)*MAX(0,MIN($W28,DATOS!$C$23*1/4)-MAX($V28,DATOS!$C$23*0/4))+(PRESIONES!$H$33-ABERTURAS!$L$65)*MAX(0,MIN($W28,DATOS!$C$23*2/4)-MAX($V28,DATOS!$C$23*1/4))+(PRESIONES!$H$34-ABERTURAS!$L$65)*MAX(0,MIN($W28,DATOS!$C$23*3/4)-MAX($V28,DATOS!$C$23*2/4))+(PRESIONES!$H$35-ABERTURAS!$L$65)*MAX(0,MIN($W28,DATOS!$C$23*4/4)-MAX($V28,DATOS!$C$23*3/4))))</f>
        <v>0</v>
      </c>
      <c r="AX28" s="30" t="n">
        <f aca="false">IF($L28&lt;&gt;"OK",0,PRESIONES!$C$12*((PRESIONES!$K$32-ABERTURAS!$L$66)*MAX(0,MIN($W28,DATOS!$C$23*1/4)-MAX($V28,DATOS!$C$23*0/4))+(PRESIONES!$K$33-ABERTURAS!$L$66)*MAX(0,MIN($W28,DATOS!$C$23*2/4)-MAX($V28,DATOS!$C$23*1/4))+(PRESIONES!$K$34-ABERTURAS!$L$66)*MAX(0,MIN($W28,DATOS!$C$23*3/4)-MAX($V28,DATOS!$C$23*2/4))+(PRESIONES!$K$35-ABERTURAS!$L$66)*MAX(0,MIN($W28,DATOS!$C$23*4/4)-MAX($V28,DATOS!$C$23*3/4))))</f>
        <v>0</v>
      </c>
      <c r="AY28" s="30" t="n">
        <f aca="false">IF($L28&lt;&gt;"OK",0,PRESIONES!$C$12*((PRESIONES!$N$32-ABERTURAS!$L$67)*MAX(0,MIN($W28,DATOS!$C$23*1/4)-MAX($V28,DATOS!$C$23*0/4))+(PRESIONES!$N$33-ABERTURAS!$L$67)*MAX(0,MIN($W28,DATOS!$C$23*2/4)-MAX($V28,DATOS!$C$23*1/4))+(PRESIONES!$N$34-ABERTURAS!$L$67)*MAX(0,MIN($W28,DATOS!$C$23*3/4)-MAX($V28,DATOS!$C$23*2/4))+(PRESIONES!$N$35-ABERTURAS!$L$67)*MAX(0,MIN($W28,DATOS!$C$23*4/4)-MAX($V28,DATOS!$C$23*3/4))))</f>
        <v>0</v>
      </c>
      <c r="AZ28" s="30" t="n">
        <f aca="false">IF($L28&lt;&gt;"OK",0,PRESIONES!$C$12*((PRESIONES!$E$32-ABERTURAS!$L$60)*MAX(0,MIN($W28,DATOS!$C$23*1/4)-MAX($V28,DATOS!$C$23*0/4))*PRESIONES!$C$18+(PRESIONES!$E$33-ABERTURAS!$L$60)*MAX(0,MIN($W28,DATOS!$C$23*2/4)-MAX($V28,DATOS!$C$23*1/4))*PRESIONES!$C$19+(PRESIONES!$E$34-ABERTURAS!$L$60)*MAX(0,MIN($W28,DATOS!$C$23*3/4)-MAX($V28,DATOS!$C$23*2/4))*PRESIONES!$C$20+(PRESIONES!$E$35-ABERTURAS!$L$60)*MAX(0,MIN($W28,DATOS!$C$23*4/4)-MAX($V28,DATOS!$C$23*3/4))*PRESIONES!$C$21))</f>
        <v>0</v>
      </c>
      <c r="BA28" s="30" t="n">
        <f aca="false">IF($L28&lt;&gt;"OK",0,PRESIONES!$C$12*((PRESIONES!$H$32-ABERTURAS!$L$61)*MAX(0,MIN($W28,DATOS!$C$23*1/4)-MAX($V28,DATOS!$C$23*0/4))*PRESIONES!$C$18+(PRESIONES!$H$33-ABERTURAS!$L$61)*MAX(0,MIN($W28,DATOS!$C$23*2/4)-MAX($V28,DATOS!$C$23*1/4))*PRESIONES!$C$19+(PRESIONES!$H$34-ABERTURAS!$L$61)*MAX(0,MIN($W28,DATOS!$C$23*3/4)-MAX($V28,DATOS!$C$23*2/4))*PRESIONES!$C$20+(PRESIONES!$H$35-ABERTURAS!$L$61)*MAX(0,MIN($W28,DATOS!$C$23*4/4)-MAX($V28,DATOS!$C$23*3/4))*PRESIONES!$C$21))</f>
        <v>0</v>
      </c>
      <c r="BB28" s="30" t="n">
        <f aca="false">IF($L28&lt;&gt;"OK",0,PRESIONES!$C$12*((PRESIONES!$K$32-ABERTURAS!$L$62)*MAX(0,MIN($W28,DATOS!$C$23*1/4)-MAX($V28,DATOS!$C$23*0/4))*PRESIONES!$C$18+(PRESIONES!$K$33-ABERTURAS!$L$62)*MAX(0,MIN($W28,DATOS!$C$23*2/4)-MAX($V28,DATOS!$C$23*1/4))*PRESIONES!$C$19+(PRESIONES!$K$34-ABERTURAS!$L$62)*MAX(0,MIN($W28,DATOS!$C$23*3/4)-MAX($V28,DATOS!$C$23*2/4))*PRESIONES!$C$20+(PRESIONES!$K$35-ABERTURAS!$L$62)*MAX(0,MIN($W28,DATOS!$C$23*4/4)-MAX($V28,DATOS!$C$23*3/4))*PRESIONES!$C$21))</f>
        <v>0</v>
      </c>
      <c r="BC28" s="30" t="n">
        <f aca="false">IF($L28&lt;&gt;"OK",0,PRESIONES!$C$12*((PRESIONES!$N$32-ABERTURAS!$L$63)*MAX(0,MIN($W28,DATOS!$C$23*1/4)-MAX($V28,DATOS!$C$23*0/4))*PRESIONES!$C$18+(PRESIONES!$N$33-ABERTURAS!$L$63)*MAX(0,MIN($W28,DATOS!$C$23*2/4)-MAX($V28,DATOS!$C$23*1/4))*PRESIONES!$C$19+(PRESIONES!$N$34-ABERTURAS!$L$63)*MAX(0,MIN($W28,DATOS!$C$23*3/4)-MAX($V28,DATOS!$C$23*2/4))*PRESIONES!$C$20+(PRESIONES!$N$35-ABERTURAS!$L$63)*MAX(0,MIN($W28,DATOS!$C$23*4/4)-MAX($V28,DATOS!$C$23*3/4))*PRESIONES!$C$21))</f>
        <v>0</v>
      </c>
      <c r="BD28" s="30" t="n">
        <f aca="false">IF($L28&lt;&gt;"OK",0,PRESIONES!$C$12*((PRESIONES!$E$32-ABERTURAS!$L$64)*MAX(0,MIN($W28,DATOS!$C$23*1/4)-MAX($V28,DATOS!$C$23*0/4))*PRESIONES!$C$18+(PRESIONES!$E$33-ABERTURAS!$L$64)*MAX(0,MIN($W28,DATOS!$C$23*2/4)-MAX($V28,DATOS!$C$23*1/4))*PRESIONES!$C$19+(PRESIONES!$E$34-ABERTURAS!$L$64)*MAX(0,MIN($W28,DATOS!$C$23*3/4)-MAX($V28,DATOS!$C$23*2/4))*PRESIONES!$C$20+(PRESIONES!$E$35-ABERTURAS!$L$64)*MAX(0,MIN($W28,DATOS!$C$23*4/4)-MAX($V28,DATOS!$C$23*3/4))*PRESIONES!$C$21))</f>
        <v>0</v>
      </c>
      <c r="BE28" s="30" t="n">
        <f aca="false">IF($L28&lt;&gt;"OK",0,PRESIONES!$C$12*((PRESIONES!$H$32-ABERTURAS!$L$65)*MAX(0,MIN($W28,DATOS!$C$23*1/4)-MAX($V28,DATOS!$C$23*0/4))*PRESIONES!$C$18+(PRESIONES!$H$33-ABERTURAS!$L$65)*MAX(0,MIN($W28,DATOS!$C$23*2/4)-MAX($V28,DATOS!$C$23*1/4))*PRESIONES!$C$19+(PRESIONES!$H$34-ABERTURAS!$L$65)*MAX(0,MIN($W28,DATOS!$C$23*3/4)-MAX($V28,DATOS!$C$23*2/4))*PRESIONES!$C$20+(PRESIONES!$H$35-ABERTURAS!$L$65)*MAX(0,MIN($W28,DATOS!$C$23*4/4)-MAX($V28,DATOS!$C$23*3/4))*PRESIONES!$C$21))</f>
        <v>0</v>
      </c>
      <c r="BF28" s="30" t="n">
        <f aca="false">IF($L28&lt;&gt;"OK",0,PRESIONES!$C$12*((PRESIONES!$K$32-ABERTURAS!$L$66)*MAX(0,MIN($W28,DATOS!$C$23*1/4)-MAX($V28,DATOS!$C$23*0/4))*PRESIONES!$C$18+(PRESIONES!$K$33-ABERTURAS!$L$66)*MAX(0,MIN($W28,DATOS!$C$23*2/4)-MAX($V28,DATOS!$C$23*1/4))*PRESIONES!$C$19+(PRESIONES!$K$34-ABERTURAS!$L$66)*MAX(0,MIN($W28,DATOS!$C$23*3/4)-MAX($V28,DATOS!$C$23*2/4))*PRESIONES!$C$20+(PRESIONES!$K$35-ABERTURAS!$L$66)*MAX(0,MIN($W28,DATOS!$C$23*4/4)-MAX($V28,DATOS!$C$23*3/4))*PRESIONES!$C$21))</f>
        <v>0</v>
      </c>
      <c r="BG28" s="30" t="n">
        <f aca="false">IF($L28&lt;&gt;"OK",0,PRESIONES!$C$12*((PRESIONES!$N$32-ABERTURAS!$L$67)*MAX(0,MIN($W28,DATOS!$C$23*1/4)-MAX($V28,DATOS!$C$23*0/4))*PRESIONES!$C$18+(PRESIONES!$N$33-ABERTURAS!$L$67)*MAX(0,MIN($W28,DATOS!$C$23*2/4)-MAX($V28,DATOS!$C$23*1/4))*PRESIONES!$C$19+(PRESIONES!$N$34-ABERTURAS!$L$67)*MAX(0,MIN($W28,DATOS!$C$23*3/4)-MAX($V28,DATOS!$C$23*2/4))*PRESIONES!$C$20+(PRESIONES!$N$35-ABERTURAS!$L$67)*MAX(0,MIN($W28,DATOS!$C$23*4/4)-MAX($V28,DATOS!$C$23*3/4))*PRESIONES!$C$21))</f>
        <v>0</v>
      </c>
    </row>
    <row r="29" customFormat="false" ht="15" hidden="false" customHeight="true" outlineLevel="0" collapsed="false">
      <c r="B29" s="27"/>
      <c r="C29" s="17"/>
      <c r="D29" s="27"/>
      <c r="E29" s="17"/>
      <c r="F29" s="49"/>
      <c r="G29" s="49"/>
      <c r="H29" s="49"/>
      <c r="I29" s="49"/>
      <c r="J29" s="49"/>
      <c r="K29" s="49"/>
      <c r="L29" s="20" t="str">
        <f aca="false">IF($D29="","",IF($C29&lt;&gt;"TECHO","PON TECHO",IF(OR($F29="",$G29="",$H29="",$I29=""),"FALTAN a o b",IF($M29&lt;=0,"a₂ DEBE SER &gt; a₁",IF($N29&lt;=0,"b₂ DEBE SER &gt; b₁",IF(OR($V29&lt;-0.001,$W29&gt;DATOS!$C$23+0.001),"SE SALE DEL TECHO","OK"))))))</f>
        <v/>
      </c>
      <c r="M29" s="30" t="n">
        <f aca="false">IF($D29="",0,MAX(0,$G29-$F29))</f>
        <v>0</v>
      </c>
      <c r="N29" s="30" t="n">
        <f aca="false">MAX(0,$W29-$V29)</f>
        <v>0</v>
      </c>
      <c r="O29" s="30" t="n">
        <f aca="false">$M29*$N29</f>
        <v>0</v>
      </c>
      <c r="P29" s="30" t="n">
        <v>0</v>
      </c>
      <c r="Q29" s="30" t="n">
        <v>0</v>
      </c>
      <c r="R29" s="30" t="n">
        <f aca="false">$O29</f>
        <v>0</v>
      </c>
      <c r="S29" s="30" t="n">
        <f aca="false">$O29</f>
        <v>0</v>
      </c>
      <c r="T29" s="50" t="n">
        <f aca="false">IF($D29="",0,DATOS!$C$21)</f>
        <v>0</v>
      </c>
      <c r="U29" s="50" t="n">
        <v>0</v>
      </c>
      <c r="V29" s="50" t="n">
        <f aca="false">IF($D29="",0,(N($H29)+IF($J29="",N($H29),$J29))/2)</f>
        <v>0</v>
      </c>
      <c r="W29" s="50" t="n">
        <f aca="false">IF($D29="",0,(N($I29)+IF($K29="",N($I29),$K29))/2)</f>
        <v>0</v>
      </c>
      <c r="AB29" s="30" t="n">
        <f aca="false">IF($L29&lt;&gt;"OK",0,PRESIONES!$C$12*((PRESIONES!$D$32-ABERTURAS!$L$60)*MAX(0,MIN($W29,DATOS!$C$23*1/4)-MAX($V29,DATOS!$C$23*0/4))+(PRESIONES!$D$33-ABERTURAS!$L$60)*MAX(0,MIN($W29,DATOS!$C$23*2/4)-MAX($V29,DATOS!$C$23*1/4))+(PRESIONES!$D$34-ABERTURAS!$L$60)*MAX(0,MIN($W29,DATOS!$C$23*3/4)-MAX($V29,DATOS!$C$23*2/4))+(PRESIONES!$D$35-ABERTURAS!$L$60)*MAX(0,MIN($W29,DATOS!$C$23*4/4)-MAX($V29,DATOS!$C$23*3/4))))</f>
        <v>0</v>
      </c>
      <c r="AC29" s="30" t="n">
        <f aca="false">IF($L29&lt;&gt;"OK",0,PRESIONES!$C$12*((PRESIONES!$G$32-ABERTURAS!$L$61)*MAX(0,MIN($W29,DATOS!$C$23*1/4)-MAX($V29,DATOS!$C$23*0/4))+(PRESIONES!$G$33-ABERTURAS!$L$61)*MAX(0,MIN($W29,DATOS!$C$23*2/4)-MAX($V29,DATOS!$C$23*1/4))+(PRESIONES!$G$34-ABERTURAS!$L$61)*MAX(0,MIN($W29,DATOS!$C$23*3/4)-MAX($V29,DATOS!$C$23*2/4))+(PRESIONES!$G$35-ABERTURAS!$L$61)*MAX(0,MIN($W29,DATOS!$C$23*4/4)-MAX($V29,DATOS!$C$23*3/4))))</f>
        <v>0</v>
      </c>
      <c r="AD29" s="30" t="n">
        <f aca="false">IF($L29&lt;&gt;"OK",0,PRESIONES!$C$12*((PRESIONES!$J$32-ABERTURAS!$L$62)*MAX(0,MIN($W29,DATOS!$C$23*1/4)-MAX($V29,DATOS!$C$23*0/4))+(PRESIONES!$J$33-ABERTURAS!$L$62)*MAX(0,MIN($W29,DATOS!$C$23*2/4)-MAX($V29,DATOS!$C$23*1/4))+(PRESIONES!$J$34-ABERTURAS!$L$62)*MAX(0,MIN($W29,DATOS!$C$23*3/4)-MAX($V29,DATOS!$C$23*2/4))+(PRESIONES!$J$35-ABERTURAS!$L$62)*MAX(0,MIN($W29,DATOS!$C$23*4/4)-MAX($V29,DATOS!$C$23*3/4))))</f>
        <v>0</v>
      </c>
      <c r="AE29" s="30" t="n">
        <f aca="false">IF($L29&lt;&gt;"OK",0,PRESIONES!$C$12*((PRESIONES!$M$32-ABERTURAS!$L$63)*MAX(0,MIN($W29,DATOS!$C$23*1/4)-MAX($V29,DATOS!$C$23*0/4))+(PRESIONES!$M$33-ABERTURAS!$L$63)*MAX(0,MIN($W29,DATOS!$C$23*2/4)-MAX($V29,DATOS!$C$23*1/4))+(PRESIONES!$M$34-ABERTURAS!$L$63)*MAX(0,MIN($W29,DATOS!$C$23*3/4)-MAX($V29,DATOS!$C$23*2/4))+(PRESIONES!$M$35-ABERTURAS!$L$63)*MAX(0,MIN($W29,DATOS!$C$23*4/4)-MAX($V29,DATOS!$C$23*3/4))))</f>
        <v>0</v>
      </c>
      <c r="AF29" s="30" t="n">
        <f aca="false">IF($L29&lt;&gt;"OK",0,PRESIONES!$C$12*((PRESIONES!$D$32-ABERTURAS!$L$64)*MAX(0,MIN($W29,DATOS!$C$23*1/4)-MAX($V29,DATOS!$C$23*0/4))+(PRESIONES!$D$33-ABERTURAS!$L$64)*MAX(0,MIN($W29,DATOS!$C$23*2/4)-MAX($V29,DATOS!$C$23*1/4))+(PRESIONES!$D$34-ABERTURAS!$L$64)*MAX(0,MIN($W29,DATOS!$C$23*3/4)-MAX($V29,DATOS!$C$23*2/4))+(PRESIONES!$D$35-ABERTURAS!$L$64)*MAX(0,MIN($W29,DATOS!$C$23*4/4)-MAX($V29,DATOS!$C$23*3/4))))</f>
        <v>0</v>
      </c>
      <c r="AG29" s="30" t="n">
        <f aca="false">IF($L29&lt;&gt;"OK",0,PRESIONES!$C$12*((PRESIONES!$G$32-ABERTURAS!$L$65)*MAX(0,MIN($W29,DATOS!$C$23*1/4)-MAX($V29,DATOS!$C$23*0/4))+(PRESIONES!$G$33-ABERTURAS!$L$65)*MAX(0,MIN($W29,DATOS!$C$23*2/4)-MAX($V29,DATOS!$C$23*1/4))+(PRESIONES!$G$34-ABERTURAS!$L$65)*MAX(0,MIN($W29,DATOS!$C$23*3/4)-MAX($V29,DATOS!$C$23*2/4))+(PRESIONES!$G$35-ABERTURAS!$L$65)*MAX(0,MIN($W29,DATOS!$C$23*4/4)-MAX($V29,DATOS!$C$23*3/4))))</f>
        <v>0</v>
      </c>
      <c r="AH29" s="30" t="n">
        <f aca="false">IF($L29&lt;&gt;"OK",0,PRESIONES!$C$12*((PRESIONES!$J$32-ABERTURAS!$L$66)*MAX(0,MIN($W29,DATOS!$C$23*1/4)-MAX($V29,DATOS!$C$23*0/4))+(PRESIONES!$J$33-ABERTURAS!$L$66)*MAX(0,MIN($W29,DATOS!$C$23*2/4)-MAX($V29,DATOS!$C$23*1/4))+(PRESIONES!$J$34-ABERTURAS!$L$66)*MAX(0,MIN($W29,DATOS!$C$23*3/4)-MAX($V29,DATOS!$C$23*2/4))+(PRESIONES!$J$35-ABERTURAS!$L$66)*MAX(0,MIN($W29,DATOS!$C$23*4/4)-MAX($V29,DATOS!$C$23*3/4))))</f>
        <v>0</v>
      </c>
      <c r="AI29" s="30" t="n">
        <f aca="false">IF($L29&lt;&gt;"OK",0,PRESIONES!$C$12*((PRESIONES!$M$32-ABERTURAS!$L$67)*MAX(0,MIN($W29,DATOS!$C$23*1/4)-MAX($V29,DATOS!$C$23*0/4))+(PRESIONES!$M$33-ABERTURAS!$L$67)*MAX(0,MIN($W29,DATOS!$C$23*2/4)-MAX($V29,DATOS!$C$23*1/4))+(PRESIONES!$M$34-ABERTURAS!$L$67)*MAX(0,MIN($W29,DATOS!$C$23*3/4)-MAX($V29,DATOS!$C$23*2/4))+(PRESIONES!$M$35-ABERTURAS!$L$67)*MAX(0,MIN($W29,DATOS!$C$23*4/4)-MAX($V29,DATOS!$C$23*3/4))))</f>
        <v>0</v>
      </c>
      <c r="AJ29" s="30" t="n">
        <f aca="false">IF($L29&lt;&gt;"OK",0,PRESIONES!$C$12*((PRESIONES!$D$32-ABERTURAS!$L$60)*MAX(0,MIN($W29,DATOS!$C$23*1/4)-MAX($V29,DATOS!$C$23*0/4))*PRESIONES!$C$18+(PRESIONES!$D$33-ABERTURAS!$L$60)*MAX(0,MIN($W29,DATOS!$C$23*2/4)-MAX($V29,DATOS!$C$23*1/4))*PRESIONES!$C$19+(PRESIONES!$D$34-ABERTURAS!$L$60)*MAX(0,MIN($W29,DATOS!$C$23*3/4)-MAX($V29,DATOS!$C$23*2/4))*PRESIONES!$C$20+(PRESIONES!$D$35-ABERTURAS!$L$60)*MAX(0,MIN($W29,DATOS!$C$23*4/4)-MAX($V29,DATOS!$C$23*3/4))*PRESIONES!$C$21))</f>
        <v>0</v>
      </c>
      <c r="AK29" s="30" t="n">
        <f aca="false">IF($L29&lt;&gt;"OK",0,PRESIONES!$C$12*((PRESIONES!$G$32-ABERTURAS!$L$61)*MAX(0,MIN($W29,DATOS!$C$23*1/4)-MAX($V29,DATOS!$C$23*0/4))*PRESIONES!$C$18+(PRESIONES!$G$33-ABERTURAS!$L$61)*MAX(0,MIN($W29,DATOS!$C$23*2/4)-MAX($V29,DATOS!$C$23*1/4))*PRESIONES!$C$19+(PRESIONES!$G$34-ABERTURAS!$L$61)*MAX(0,MIN($W29,DATOS!$C$23*3/4)-MAX($V29,DATOS!$C$23*2/4))*PRESIONES!$C$20+(PRESIONES!$G$35-ABERTURAS!$L$61)*MAX(0,MIN($W29,DATOS!$C$23*4/4)-MAX($V29,DATOS!$C$23*3/4))*PRESIONES!$C$21))</f>
        <v>0</v>
      </c>
      <c r="AL29" s="30" t="n">
        <f aca="false">IF($L29&lt;&gt;"OK",0,PRESIONES!$C$12*((PRESIONES!$J$32-ABERTURAS!$L$62)*MAX(0,MIN($W29,DATOS!$C$23*1/4)-MAX($V29,DATOS!$C$23*0/4))*PRESIONES!$C$18+(PRESIONES!$J$33-ABERTURAS!$L$62)*MAX(0,MIN($W29,DATOS!$C$23*2/4)-MAX($V29,DATOS!$C$23*1/4))*PRESIONES!$C$19+(PRESIONES!$J$34-ABERTURAS!$L$62)*MAX(0,MIN($W29,DATOS!$C$23*3/4)-MAX($V29,DATOS!$C$23*2/4))*PRESIONES!$C$20+(PRESIONES!$J$35-ABERTURAS!$L$62)*MAX(0,MIN($W29,DATOS!$C$23*4/4)-MAX($V29,DATOS!$C$23*3/4))*PRESIONES!$C$21))</f>
        <v>0</v>
      </c>
      <c r="AM29" s="30" t="n">
        <f aca="false">IF($L29&lt;&gt;"OK",0,PRESIONES!$C$12*((PRESIONES!$M$32-ABERTURAS!$L$63)*MAX(0,MIN($W29,DATOS!$C$23*1/4)-MAX($V29,DATOS!$C$23*0/4))*PRESIONES!$C$18+(PRESIONES!$M$33-ABERTURAS!$L$63)*MAX(0,MIN($W29,DATOS!$C$23*2/4)-MAX($V29,DATOS!$C$23*1/4))*PRESIONES!$C$19+(PRESIONES!$M$34-ABERTURAS!$L$63)*MAX(0,MIN($W29,DATOS!$C$23*3/4)-MAX($V29,DATOS!$C$23*2/4))*PRESIONES!$C$20+(PRESIONES!$M$35-ABERTURAS!$L$63)*MAX(0,MIN($W29,DATOS!$C$23*4/4)-MAX($V29,DATOS!$C$23*3/4))*PRESIONES!$C$21))</f>
        <v>0</v>
      </c>
      <c r="AN29" s="30" t="n">
        <f aca="false">IF($L29&lt;&gt;"OK",0,PRESIONES!$C$12*((PRESIONES!$D$32-ABERTURAS!$L$64)*MAX(0,MIN($W29,DATOS!$C$23*1/4)-MAX($V29,DATOS!$C$23*0/4))*PRESIONES!$C$18+(PRESIONES!$D$33-ABERTURAS!$L$64)*MAX(0,MIN($W29,DATOS!$C$23*2/4)-MAX($V29,DATOS!$C$23*1/4))*PRESIONES!$C$19+(PRESIONES!$D$34-ABERTURAS!$L$64)*MAX(0,MIN($W29,DATOS!$C$23*3/4)-MAX($V29,DATOS!$C$23*2/4))*PRESIONES!$C$20+(PRESIONES!$D$35-ABERTURAS!$L$64)*MAX(0,MIN($W29,DATOS!$C$23*4/4)-MAX($V29,DATOS!$C$23*3/4))*PRESIONES!$C$21))</f>
        <v>0</v>
      </c>
      <c r="AO29" s="30" t="n">
        <f aca="false">IF($L29&lt;&gt;"OK",0,PRESIONES!$C$12*((PRESIONES!$G$32-ABERTURAS!$L$65)*MAX(0,MIN($W29,DATOS!$C$23*1/4)-MAX($V29,DATOS!$C$23*0/4))*PRESIONES!$C$18+(PRESIONES!$G$33-ABERTURAS!$L$65)*MAX(0,MIN($W29,DATOS!$C$23*2/4)-MAX($V29,DATOS!$C$23*1/4))*PRESIONES!$C$19+(PRESIONES!$G$34-ABERTURAS!$L$65)*MAX(0,MIN($W29,DATOS!$C$23*3/4)-MAX($V29,DATOS!$C$23*2/4))*PRESIONES!$C$20+(PRESIONES!$G$35-ABERTURAS!$L$65)*MAX(0,MIN($W29,DATOS!$C$23*4/4)-MAX($V29,DATOS!$C$23*3/4))*PRESIONES!$C$21))</f>
        <v>0</v>
      </c>
      <c r="AP29" s="30" t="n">
        <f aca="false">IF($L29&lt;&gt;"OK",0,PRESIONES!$C$12*((PRESIONES!$J$32-ABERTURAS!$L$66)*MAX(0,MIN($W29,DATOS!$C$23*1/4)-MAX($V29,DATOS!$C$23*0/4))*PRESIONES!$C$18+(PRESIONES!$J$33-ABERTURAS!$L$66)*MAX(0,MIN($W29,DATOS!$C$23*2/4)-MAX($V29,DATOS!$C$23*1/4))*PRESIONES!$C$19+(PRESIONES!$J$34-ABERTURAS!$L$66)*MAX(0,MIN($W29,DATOS!$C$23*3/4)-MAX($V29,DATOS!$C$23*2/4))*PRESIONES!$C$20+(PRESIONES!$J$35-ABERTURAS!$L$66)*MAX(0,MIN($W29,DATOS!$C$23*4/4)-MAX($V29,DATOS!$C$23*3/4))*PRESIONES!$C$21))</f>
        <v>0</v>
      </c>
      <c r="AQ29" s="30" t="n">
        <f aca="false">IF($L29&lt;&gt;"OK",0,PRESIONES!$C$12*((PRESIONES!$M$32-ABERTURAS!$L$67)*MAX(0,MIN($W29,DATOS!$C$23*1/4)-MAX($V29,DATOS!$C$23*0/4))*PRESIONES!$C$18+(PRESIONES!$M$33-ABERTURAS!$L$67)*MAX(0,MIN($W29,DATOS!$C$23*2/4)-MAX($V29,DATOS!$C$23*1/4))*PRESIONES!$C$19+(PRESIONES!$M$34-ABERTURAS!$L$67)*MAX(0,MIN($W29,DATOS!$C$23*3/4)-MAX($V29,DATOS!$C$23*2/4))*PRESIONES!$C$20+(PRESIONES!$M$35-ABERTURAS!$L$67)*MAX(0,MIN($W29,DATOS!$C$23*4/4)-MAX($V29,DATOS!$C$23*3/4))*PRESIONES!$C$21))</f>
        <v>0</v>
      </c>
      <c r="AR29" s="30" t="n">
        <f aca="false">IF($L29&lt;&gt;"OK",0,PRESIONES!$C$12*((PRESIONES!$E$32-ABERTURAS!$L$60)*MAX(0,MIN($W29,DATOS!$C$23*1/4)-MAX($V29,DATOS!$C$23*0/4))+(PRESIONES!$E$33-ABERTURAS!$L$60)*MAX(0,MIN($W29,DATOS!$C$23*2/4)-MAX($V29,DATOS!$C$23*1/4))+(PRESIONES!$E$34-ABERTURAS!$L$60)*MAX(0,MIN($W29,DATOS!$C$23*3/4)-MAX($V29,DATOS!$C$23*2/4))+(PRESIONES!$E$35-ABERTURAS!$L$60)*MAX(0,MIN($W29,DATOS!$C$23*4/4)-MAX($V29,DATOS!$C$23*3/4))))</f>
        <v>0</v>
      </c>
      <c r="AS29" s="30" t="n">
        <f aca="false">IF($L29&lt;&gt;"OK",0,PRESIONES!$C$12*((PRESIONES!$H$32-ABERTURAS!$L$61)*MAX(0,MIN($W29,DATOS!$C$23*1/4)-MAX($V29,DATOS!$C$23*0/4))+(PRESIONES!$H$33-ABERTURAS!$L$61)*MAX(0,MIN($W29,DATOS!$C$23*2/4)-MAX($V29,DATOS!$C$23*1/4))+(PRESIONES!$H$34-ABERTURAS!$L$61)*MAX(0,MIN($W29,DATOS!$C$23*3/4)-MAX($V29,DATOS!$C$23*2/4))+(PRESIONES!$H$35-ABERTURAS!$L$61)*MAX(0,MIN($W29,DATOS!$C$23*4/4)-MAX($V29,DATOS!$C$23*3/4))))</f>
        <v>0</v>
      </c>
      <c r="AT29" s="30" t="n">
        <f aca="false">IF($L29&lt;&gt;"OK",0,PRESIONES!$C$12*((PRESIONES!$K$32-ABERTURAS!$L$62)*MAX(0,MIN($W29,DATOS!$C$23*1/4)-MAX($V29,DATOS!$C$23*0/4))+(PRESIONES!$K$33-ABERTURAS!$L$62)*MAX(0,MIN($W29,DATOS!$C$23*2/4)-MAX($V29,DATOS!$C$23*1/4))+(PRESIONES!$K$34-ABERTURAS!$L$62)*MAX(0,MIN($W29,DATOS!$C$23*3/4)-MAX($V29,DATOS!$C$23*2/4))+(PRESIONES!$K$35-ABERTURAS!$L$62)*MAX(0,MIN($W29,DATOS!$C$23*4/4)-MAX($V29,DATOS!$C$23*3/4))))</f>
        <v>0</v>
      </c>
      <c r="AU29" s="30" t="n">
        <f aca="false">IF($L29&lt;&gt;"OK",0,PRESIONES!$C$12*((PRESIONES!$N$32-ABERTURAS!$L$63)*MAX(0,MIN($W29,DATOS!$C$23*1/4)-MAX($V29,DATOS!$C$23*0/4))+(PRESIONES!$N$33-ABERTURAS!$L$63)*MAX(0,MIN($W29,DATOS!$C$23*2/4)-MAX($V29,DATOS!$C$23*1/4))+(PRESIONES!$N$34-ABERTURAS!$L$63)*MAX(0,MIN($W29,DATOS!$C$23*3/4)-MAX($V29,DATOS!$C$23*2/4))+(PRESIONES!$N$35-ABERTURAS!$L$63)*MAX(0,MIN($W29,DATOS!$C$23*4/4)-MAX($V29,DATOS!$C$23*3/4))))</f>
        <v>0</v>
      </c>
      <c r="AV29" s="30" t="n">
        <f aca="false">IF($L29&lt;&gt;"OK",0,PRESIONES!$C$12*((PRESIONES!$E$32-ABERTURAS!$L$64)*MAX(0,MIN($W29,DATOS!$C$23*1/4)-MAX($V29,DATOS!$C$23*0/4))+(PRESIONES!$E$33-ABERTURAS!$L$64)*MAX(0,MIN($W29,DATOS!$C$23*2/4)-MAX($V29,DATOS!$C$23*1/4))+(PRESIONES!$E$34-ABERTURAS!$L$64)*MAX(0,MIN($W29,DATOS!$C$23*3/4)-MAX($V29,DATOS!$C$23*2/4))+(PRESIONES!$E$35-ABERTURAS!$L$64)*MAX(0,MIN($W29,DATOS!$C$23*4/4)-MAX($V29,DATOS!$C$23*3/4))))</f>
        <v>0</v>
      </c>
      <c r="AW29" s="30" t="n">
        <f aca="false">IF($L29&lt;&gt;"OK",0,PRESIONES!$C$12*((PRESIONES!$H$32-ABERTURAS!$L$65)*MAX(0,MIN($W29,DATOS!$C$23*1/4)-MAX($V29,DATOS!$C$23*0/4))+(PRESIONES!$H$33-ABERTURAS!$L$65)*MAX(0,MIN($W29,DATOS!$C$23*2/4)-MAX($V29,DATOS!$C$23*1/4))+(PRESIONES!$H$34-ABERTURAS!$L$65)*MAX(0,MIN($W29,DATOS!$C$23*3/4)-MAX($V29,DATOS!$C$23*2/4))+(PRESIONES!$H$35-ABERTURAS!$L$65)*MAX(0,MIN($W29,DATOS!$C$23*4/4)-MAX($V29,DATOS!$C$23*3/4))))</f>
        <v>0</v>
      </c>
      <c r="AX29" s="30" t="n">
        <f aca="false">IF($L29&lt;&gt;"OK",0,PRESIONES!$C$12*((PRESIONES!$K$32-ABERTURAS!$L$66)*MAX(0,MIN($W29,DATOS!$C$23*1/4)-MAX($V29,DATOS!$C$23*0/4))+(PRESIONES!$K$33-ABERTURAS!$L$66)*MAX(0,MIN($W29,DATOS!$C$23*2/4)-MAX($V29,DATOS!$C$23*1/4))+(PRESIONES!$K$34-ABERTURAS!$L$66)*MAX(0,MIN($W29,DATOS!$C$23*3/4)-MAX($V29,DATOS!$C$23*2/4))+(PRESIONES!$K$35-ABERTURAS!$L$66)*MAX(0,MIN($W29,DATOS!$C$23*4/4)-MAX($V29,DATOS!$C$23*3/4))))</f>
        <v>0</v>
      </c>
      <c r="AY29" s="30" t="n">
        <f aca="false">IF($L29&lt;&gt;"OK",0,PRESIONES!$C$12*((PRESIONES!$N$32-ABERTURAS!$L$67)*MAX(0,MIN($W29,DATOS!$C$23*1/4)-MAX($V29,DATOS!$C$23*0/4))+(PRESIONES!$N$33-ABERTURAS!$L$67)*MAX(0,MIN($W29,DATOS!$C$23*2/4)-MAX($V29,DATOS!$C$23*1/4))+(PRESIONES!$N$34-ABERTURAS!$L$67)*MAX(0,MIN($W29,DATOS!$C$23*3/4)-MAX($V29,DATOS!$C$23*2/4))+(PRESIONES!$N$35-ABERTURAS!$L$67)*MAX(0,MIN($W29,DATOS!$C$23*4/4)-MAX($V29,DATOS!$C$23*3/4))))</f>
        <v>0</v>
      </c>
      <c r="AZ29" s="30" t="n">
        <f aca="false">IF($L29&lt;&gt;"OK",0,PRESIONES!$C$12*((PRESIONES!$E$32-ABERTURAS!$L$60)*MAX(0,MIN($W29,DATOS!$C$23*1/4)-MAX($V29,DATOS!$C$23*0/4))*PRESIONES!$C$18+(PRESIONES!$E$33-ABERTURAS!$L$60)*MAX(0,MIN($W29,DATOS!$C$23*2/4)-MAX($V29,DATOS!$C$23*1/4))*PRESIONES!$C$19+(PRESIONES!$E$34-ABERTURAS!$L$60)*MAX(0,MIN($W29,DATOS!$C$23*3/4)-MAX($V29,DATOS!$C$23*2/4))*PRESIONES!$C$20+(PRESIONES!$E$35-ABERTURAS!$L$60)*MAX(0,MIN($W29,DATOS!$C$23*4/4)-MAX($V29,DATOS!$C$23*3/4))*PRESIONES!$C$21))</f>
        <v>0</v>
      </c>
      <c r="BA29" s="30" t="n">
        <f aca="false">IF($L29&lt;&gt;"OK",0,PRESIONES!$C$12*((PRESIONES!$H$32-ABERTURAS!$L$61)*MAX(0,MIN($W29,DATOS!$C$23*1/4)-MAX($V29,DATOS!$C$23*0/4))*PRESIONES!$C$18+(PRESIONES!$H$33-ABERTURAS!$L$61)*MAX(0,MIN($W29,DATOS!$C$23*2/4)-MAX($V29,DATOS!$C$23*1/4))*PRESIONES!$C$19+(PRESIONES!$H$34-ABERTURAS!$L$61)*MAX(0,MIN($W29,DATOS!$C$23*3/4)-MAX($V29,DATOS!$C$23*2/4))*PRESIONES!$C$20+(PRESIONES!$H$35-ABERTURAS!$L$61)*MAX(0,MIN($W29,DATOS!$C$23*4/4)-MAX($V29,DATOS!$C$23*3/4))*PRESIONES!$C$21))</f>
        <v>0</v>
      </c>
      <c r="BB29" s="30" t="n">
        <f aca="false">IF($L29&lt;&gt;"OK",0,PRESIONES!$C$12*((PRESIONES!$K$32-ABERTURAS!$L$62)*MAX(0,MIN($W29,DATOS!$C$23*1/4)-MAX($V29,DATOS!$C$23*0/4))*PRESIONES!$C$18+(PRESIONES!$K$33-ABERTURAS!$L$62)*MAX(0,MIN($W29,DATOS!$C$23*2/4)-MAX($V29,DATOS!$C$23*1/4))*PRESIONES!$C$19+(PRESIONES!$K$34-ABERTURAS!$L$62)*MAX(0,MIN($W29,DATOS!$C$23*3/4)-MAX($V29,DATOS!$C$23*2/4))*PRESIONES!$C$20+(PRESIONES!$K$35-ABERTURAS!$L$62)*MAX(0,MIN($W29,DATOS!$C$23*4/4)-MAX($V29,DATOS!$C$23*3/4))*PRESIONES!$C$21))</f>
        <v>0</v>
      </c>
      <c r="BC29" s="30" t="n">
        <f aca="false">IF($L29&lt;&gt;"OK",0,PRESIONES!$C$12*((PRESIONES!$N$32-ABERTURAS!$L$63)*MAX(0,MIN($W29,DATOS!$C$23*1/4)-MAX($V29,DATOS!$C$23*0/4))*PRESIONES!$C$18+(PRESIONES!$N$33-ABERTURAS!$L$63)*MAX(0,MIN($W29,DATOS!$C$23*2/4)-MAX($V29,DATOS!$C$23*1/4))*PRESIONES!$C$19+(PRESIONES!$N$34-ABERTURAS!$L$63)*MAX(0,MIN($W29,DATOS!$C$23*3/4)-MAX($V29,DATOS!$C$23*2/4))*PRESIONES!$C$20+(PRESIONES!$N$35-ABERTURAS!$L$63)*MAX(0,MIN($W29,DATOS!$C$23*4/4)-MAX($V29,DATOS!$C$23*3/4))*PRESIONES!$C$21))</f>
        <v>0</v>
      </c>
      <c r="BD29" s="30" t="n">
        <f aca="false">IF($L29&lt;&gt;"OK",0,PRESIONES!$C$12*((PRESIONES!$E$32-ABERTURAS!$L$64)*MAX(0,MIN($W29,DATOS!$C$23*1/4)-MAX($V29,DATOS!$C$23*0/4))*PRESIONES!$C$18+(PRESIONES!$E$33-ABERTURAS!$L$64)*MAX(0,MIN($W29,DATOS!$C$23*2/4)-MAX($V29,DATOS!$C$23*1/4))*PRESIONES!$C$19+(PRESIONES!$E$34-ABERTURAS!$L$64)*MAX(0,MIN($W29,DATOS!$C$23*3/4)-MAX($V29,DATOS!$C$23*2/4))*PRESIONES!$C$20+(PRESIONES!$E$35-ABERTURAS!$L$64)*MAX(0,MIN($W29,DATOS!$C$23*4/4)-MAX($V29,DATOS!$C$23*3/4))*PRESIONES!$C$21))</f>
        <v>0</v>
      </c>
      <c r="BE29" s="30" t="n">
        <f aca="false">IF($L29&lt;&gt;"OK",0,PRESIONES!$C$12*((PRESIONES!$H$32-ABERTURAS!$L$65)*MAX(0,MIN($W29,DATOS!$C$23*1/4)-MAX($V29,DATOS!$C$23*0/4))*PRESIONES!$C$18+(PRESIONES!$H$33-ABERTURAS!$L$65)*MAX(0,MIN($W29,DATOS!$C$23*2/4)-MAX($V29,DATOS!$C$23*1/4))*PRESIONES!$C$19+(PRESIONES!$H$34-ABERTURAS!$L$65)*MAX(0,MIN($W29,DATOS!$C$23*3/4)-MAX($V29,DATOS!$C$23*2/4))*PRESIONES!$C$20+(PRESIONES!$H$35-ABERTURAS!$L$65)*MAX(0,MIN($W29,DATOS!$C$23*4/4)-MAX($V29,DATOS!$C$23*3/4))*PRESIONES!$C$21))</f>
        <v>0</v>
      </c>
      <c r="BF29" s="30" t="n">
        <f aca="false">IF($L29&lt;&gt;"OK",0,PRESIONES!$C$12*((PRESIONES!$K$32-ABERTURAS!$L$66)*MAX(0,MIN($W29,DATOS!$C$23*1/4)-MAX($V29,DATOS!$C$23*0/4))*PRESIONES!$C$18+(PRESIONES!$K$33-ABERTURAS!$L$66)*MAX(0,MIN($W29,DATOS!$C$23*2/4)-MAX($V29,DATOS!$C$23*1/4))*PRESIONES!$C$19+(PRESIONES!$K$34-ABERTURAS!$L$66)*MAX(0,MIN($W29,DATOS!$C$23*3/4)-MAX($V29,DATOS!$C$23*2/4))*PRESIONES!$C$20+(PRESIONES!$K$35-ABERTURAS!$L$66)*MAX(0,MIN($W29,DATOS!$C$23*4/4)-MAX($V29,DATOS!$C$23*3/4))*PRESIONES!$C$21))</f>
        <v>0</v>
      </c>
      <c r="BG29" s="30" t="n">
        <f aca="false">IF($L29&lt;&gt;"OK",0,PRESIONES!$C$12*((PRESIONES!$N$32-ABERTURAS!$L$67)*MAX(0,MIN($W29,DATOS!$C$23*1/4)-MAX($V29,DATOS!$C$23*0/4))*PRESIONES!$C$18+(PRESIONES!$N$33-ABERTURAS!$L$67)*MAX(0,MIN($W29,DATOS!$C$23*2/4)-MAX($V29,DATOS!$C$23*1/4))*PRESIONES!$C$19+(PRESIONES!$N$34-ABERTURAS!$L$67)*MAX(0,MIN($W29,DATOS!$C$23*3/4)-MAX($V29,DATOS!$C$23*2/4))*PRESIONES!$C$20+(PRESIONES!$N$35-ABERTURAS!$L$67)*MAX(0,MIN($W29,DATOS!$C$23*4/4)-MAX($V29,DATOS!$C$23*3/4))*PRESIONES!$C$21))</f>
        <v>0</v>
      </c>
    </row>
    <row r="30" customFormat="false" ht="15" hidden="false" customHeight="true" outlineLevel="0" collapsed="false">
      <c r="B30" s="27"/>
      <c r="C30" s="17"/>
      <c r="D30" s="27"/>
      <c r="E30" s="17"/>
      <c r="F30" s="49"/>
      <c r="G30" s="49"/>
      <c r="H30" s="49"/>
      <c r="I30" s="49"/>
      <c r="J30" s="49"/>
      <c r="K30" s="49"/>
      <c r="L30" s="20" t="str">
        <f aca="false">IF($D30="","",IF($C30&lt;&gt;"TECHO","PON TECHO",IF(OR($F30="",$G30="",$H30="",$I30=""),"FALTAN a o b",IF($M30&lt;=0,"a₂ DEBE SER &gt; a₁",IF($N30&lt;=0,"b₂ DEBE SER &gt; b₁",IF(OR($V30&lt;-0.001,$W30&gt;DATOS!$C$23+0.001),"SE SALE DEL TECHO","OK"))))))</f>
        <v/>
      </c>
      <c r="M30" s="30" t="n">
        <f aca="false">IF($D30="",0,MAX(0,$G30-$F30))</f>
        <v>0</v>
      </c>
      <c r="N30" s="30" t="n">
        <f aca="false">MAX(0,$W30-$V30)</f>
        <v>0</v>
      </c>
      <c r="O30" s="30" t="n">
        <f aca="false">$M30*$N30</f>
        <v>0</v>
      </c>
      <c r="P30" s="30" t="n">
        <v>0</v>
      </c>
      <c r="Q30" s="30" t="n">
        <v>0</v>
      </c>
      <c r="R30" s="30" t="n">
        <f aca="false">$O30</f>
        <v>0</v>
      </c>
      <c r="S30" s="30" t="n">
        <f aca="false">$O30</f>
        <v>0</v>
      </c>
      <c r="T30" s="50" t="n">
        <f aca="false">IF($D30="",0,DATOS!$C$21)</f>
        <v>0</v>
      </c>
      <c r="U30" s="50" t="n">
        <v>0</v>
      </c>
      <c r="V30" s="50" t="n">
        <f aca="false">IF($D30="",0,(N($H30)+IF($J30="",N($H30),$J30))/2)</f>
        <v>0</v>
      </c>
      <c r="W30" s="50" t="n">
        <f aca="false">IF($D30="",0,(N($I30)+IF($K30="",N($I30),$K30))/2)</f>
        <v>0</v>
      </c>
      <c r="AB30" s="30" t="n">
        <f aca="false">IF($L30&lt;&gt;"OK",0,PRESIONES!$C$12*((PRESIONES!$D$32-ABERTURAS!$L$60)*MAX(0,MIN($W30,DATOS!$C$23*1/4)-MAX($V30,DATOS!$C$23*0/4))+(PRESIONES!$D$33-ABERTURAS!$L$60)*MAX(0,MIN($W30,DATOS!$C$23*2/4)-MAX($V30,DATOS!$C$23*1/4))+(PRESIONES!$D$34-ABERTURAS!$L$60)*MAX(0,MIN($W30,DATOS!$C$23*3/4)-MAX($V30,DATOS!$C$23*2/4))+(PRESIONES!$D$35-ABERTURAS!$L$60)*MAX(0,MIN($W30,DATOS!$C$23*4/4)-MAX($V30,DATOS!$C$23*3/4))))</f>
        <v>0</v>
      </c>
      <c r="AC30" s="30" t="n">
        <f aca="false">IF($L30&lt;&gt;"OK",0,PRESIONES!$C$12*((PRESIONES!$G$32-ABERTURAS!$L$61)*MAX(0,MIN($W30,DATOS!$C$23*1/4)-MAX($V30,DATOS!$C$23*0/4))+(PRESIONES!$G$33-ABERTURAS!$L$61)*MAX(0,MIN($W30,DATOS!$C$23*2/4)-MAX($V30,DATOS!$C$23*1/4))+(PRESIONES!$G$34-ABERTURAS!$L$61)*MAX(0,MIN($W30,DATOS!$C$23*3/4)-MAX($V30,DATOS!$C$23*2/4))+(PRESIONES!$G$35-ABERTURAS!$L$61)*MAX(0,MIN($W30,DATOS!$C$23*4/4)-MAX($V30,DATOS!$C$23*3/4))))</f>
        <v>0</v>
      </c>
      <c r="AD30" s="30" t="n">
        <f aca="false">IF($L30&lt;&gt;"OK",0,PRESIONES!$C$12*((PRESIONES!$J$32-ABERTURAS!$L$62)*MAX(0,MIN($W30,DATOS!$C$23*1/4)-MAX($V30,DATOS!$C$23*0/4))+(PRESIONES!$J$33-ABERTURAS!$L$62)*MAX(0,MIN($W30,DATOS!$C$23*2/4)-MAX($V30,DATOS!$C$23*1/4))+(PRESIONES!$J$34-ABERTURAS!$L$62)*MAX(0,MIN($W30,DATOS!$C$23*3/4)-MAX($V30,DATOS!$C$23*2/4))+(PRESIONES!$J$35-ABERTURAS!$L$62)*MAX(0,MIN($W30,DATOS!$C$23*4/4)-MAX($V30,DATOS!$C$23*3/4))))</f>
        <v>0</v>
      </c>
      <c r="AE30" s="30" t="n">
        <f aca="false">IF($L30&lt;&gt;"OK",0,PRESIONES!$C$12*((PRESIONES!$M$32-ABERTURAS!$L$63)*MAX(0,MIN($W30,DATOS!$C$23*1/4)-MAX($V30,DATOS!$C$23*0/4))+(PRESIONES!$M$33-ABERTURAS!$L$63)*MAX(0,MIN($W30,DATOS!$C$23*2/4)-MAX($V30,DATOS!$C$23*1/4))+(PRESIONES!$M$34-ABERTURAS!$L$63)*MAX(0,MIN($W30,DATOS!$C$23*3/4)-MAX($V30,DATOS!$C$23*2/4))+(PRESIONES!$M$35-ABERTURAS!$L$63)*MAX(0,MIN($W30,DATOS!$C$23*4/4)-MAX($V30,DATOS!$C$23*3/4))))</f>
        <v>0</v>
      </c>
      <c r="AF30" s="30" t="n">
        <f aca="false">IF($L30&lt;&gt;"OK",0,PRESIONES!$C$12*((PRESIONES!$D$32-ABERTURAS!$L$64)*MAX(0,MIN($W30,DATOS!$C$23*1/4)-MAX($V30,DATOS!$C$23*0/4))+(PRESIONES!$D$33-ABERTURAS!$L$64)*MAX(0,MIN($W30,DATOS!$C$23*2/4)-MAX($V30,DATOS!$C$23*1/4))+(PRESIONES!$D$34-ABERTURAS!$L$64)*MAX(0,MIN($W30,DATOS!$C$23*3/4)-MAX($V30,DATOS!$C$23*2/4))+(PRESIONES!$D$35-ABERTURAS!$L$64)*MAX(0,MIN($W30,DATOS!$C$23*4/4)-MAX($V30,DATOS!$C$23*3/4))))</f>
        <v>0</v>
      </c>
      <c r="AG30" s="30" t="n">
        <f aca="false">IF($L30&lt;&gt;"OK",0,PRESIONES!$C$12*((PRESIONES!$G$32-ABERTURAS!$L$65)*MAX(0,MIN($W30,DATOS!$C$23*1/4)-MAX($V30,DATOS!$C$23*0/4))+(PRESIONES!$G$33-ABERTURAS!$L$65)*MAX(0,MIN($W30,DATOS!$C$23*2/4)-MAX($V30,DATOS!$C$23*1/4))+(PRESIONES!$G$34-ABERTURAS!$L$65)*MAX(0,MIN($W30,DATOS!$C$23*3/4)-MAX($V30,DATOS!$C$23*2/4))+(PRESIONES!$G$35-ABERTURAS!$L$65)*MAX(0,MIN($W30,DATOS!$C$23*4/4)-MAX($V30,DATOS!$C$23*3/4))))</f>
        <v>0</v>
      </c>
      <c r="AH30" s="30" t="n">
        <f aca="false">IF($L30&lt;&gt;"OK",0,PRESIONES!$C$12*((PRESIONES!$J$32-ABERTURAS!$L$66)*MAX(0,MIN($W30,DATOS!$C$23*1/4)-MAX($V30,DATOS!$C$23*0/4))+(PRESIONES!$J$33-ABERTURAS!$L$66)*MAX(0,MIN($W30,DATOS!$C$23*2/4)-MAX($V30,DATOS!$C$23*1/4))+(PRESIONES!$J$34-ABERTURAS!$L$66)*MAX(0,MIN($W30,DATOS!$C$23*3/4)-MAX($V30,DATOS!$C$23*2/4))+(PRESIONES!$J$35-ABERTURAS!$L$66)*MAX(0,MIN($W30,DATOS!$C$23*4/4)-MAX($V30,DATOS!$C$23*3/4))))</f>
        <v>0</v>
      </c>
      <c r="AI30" s="30" t="n">
        <f aca="false">IF($L30&lt;&gt;"OK",0,PRESIONES!$C$12*((PRESIONES!$M$32-ABERTURAS!$L$67)*MAX(0,MIN($W30,DATOS!$C$23*1/4)-MAX($V30,DATOS!$C$23*0/4))+(PRESIONES!$M$33-ABERTURAS!$L$67)*MAX(0,MIN($W30,DATOS!$C$23*2/4)-MAX($V30,DATOS!$C$23*1/4))+(PRESIONES!$M$34-ABERTURAS!$L$67)*MAX(0,MIN($W30,DATOS!$C$23*3/4)-MAX($V30,DATOS!$C$23*2/4))+(PRESIONES!$M$35-ABERTURAS!$L$67)*MAX(0,MIN($W30,DATOS!$C$23*4/4)-MAX($V30,DATOS!$C$23*3/4))))</f>
        <v>0</v>
      </c>
      <c r="AJ30" s="30" t="n">
        <f aca="false">IF($L30&lt;&gt;"OK",0,PRESIONES!$C$12*((PRESIONES!$D$32-ABERTURAS!$L$60)*MAX(0,MIN($W30,DATOS!$C$23*1/4)-MAX($V30,DATOS!$C$23*0/4))*PRESIONES!$C$18+(PRESIONES!$D$33-ABERTURAS!$L$60)*MAX(0,MIN($W30,DATOS!$C$23*2/4)-MAX($V30,DATOS!$C$23*1/4))*PRESIONES!$C$19+(PRESIONES!$D$34-ABERTURAS!$L$60)*MAX(0,MIN($W30,DATOS!$C$23*3/4)-MAX($V30,DATOS!$C$23*2/4))*PRESIONES!$C$20+(PRESIONES!$D$35-ABERTURAS!$L$60)*MAX(0,MIN($W30,DATOS!$C$23*4/4)-MAX($V30,DATOS!$C$23*3/4))*PRESIONES!$C$21))</f>
        <v>0</v>
      </c>
      <c r="AK30" s="30" t="n">
        <f aca="false">IF($L30&lt;&gt;"OK",0,PRESIONES!$C$12*((PRESIONES!$G$32-ABERTURAS!$L$61)*MAX(0,MIN($W30,DATOS!$C$23*1/4)-MAX($V30,DATOS!$C$23*0/4))*PRESIONES!$C$18+(PRESIONES!$G$33-ABERTURAS!$L$61)*MAX(0,MIN($W30,DATOS!$C$23*2/4)-MAX($V30,DATOS!$C$23*1/4))*PRESIONES!$C$19+(PRESIONES!$G$34-ABERTURAS!$L$61)*MAX(0,MIN($W30,DATOS!$C$23*3/4)-MAX($V30,DATOS!$C$23*2/4))*PRESIONES!$C$20+(PRESIONES!$G$35-ABERTURAS!$L$61)*MAX(0,MIN($W30,DATOS!$C$23*4/4)-MAX($V30,DATOS!$C$23*3/4))*PRESIONES!$C$21))</f>
        <v>0</v>
      </c>
      <c r="AL30" s="30" t="n">
        <f aca="false">IF($L30&lt;&gt;"OK",0,PRESIONES!$C$12*((PRESIONES!$J$32-ABERTURAS!$L$62)*MAX(0,MIN($W30,DATOS!$C$23*1/4)-MAX($V30,DATOS!$C$23*0/4))*PRESIONES!$C$18+(PRESIONES!$J$33-ABERTURAS!$L$62)*MAX(0,MIN($W30,DATOS!$C$23*2/4)-MAX($V30,DATOS!$C$23*1/4))*PRESIONES!$C$19+(PRESIONES!$J$34-ABERTURAS!$L$62)*MAX(0,MIN($W30,DATOS!$C$23*3/4)-MAX($V30,DATOS!$C$23*2/4))*PRESIONES!$C$20+(PRESIONES!$J$35-ABERTURAS!$L$62)*MAX(0,MIN($W30,DATOS!$C$23*4/4)-MAX($V30,DATOS!$C$23*3/4))*PRESIONES!$C$21))</f>
        <v>0</v>
      </c>
      <c r="AM30" s="30" t="n">
        <f aca="false">IF($L30&lt;&gt;"OK",0,PRESIONES!$C$12*((PRESIONES!$M$32-ABERTURAS!$L$63)*MAX(0,MIN($W30,DATOS!$C$23*1/4)-MAX($V30,DATOS!$C$23*0/4))*PRESIONES!$C$18+(PRESIONES!$M$33-ABERTURAS!$L$63)*MAX(0,MIN($W30,DATOS!$C$23*2/4)-MAX($V30,DATOS!$C$23*1/4))*PRESIONES!$C$19+(PRESIONES!$M$34-ABERTURAS!$L$63)*MAX(0,MIN($W30,DATOS!$C$23*3/4)-MAX($V30,DATOS!$C$23*2/4))*PRESIONES!$C$20+(PRESIONES!$M$35-ABERTURAS!$L$63)*MAX(0,MIN($W30,DATOS!$C$23*4/4)-MAX($V30,DATOS!$C$23*3/4))*PRESIONES!$C$21))</f>
        <v>0</v>
      </c>
      <c r="AN30" s="30" t="n">
        <f aca="false">IF($L30&lt;&gt;"OK",0,PRESIONES!$C$12*((PRESIONES!$D$32-ABERTURAS!$L$64)*MAX(0,MIN($W30,DATOS!$C$23*1/4)-MAX($V30,DATOS!$C$23*0/4))*PRESIONES!$C$18+(PRESIONES!$D$33-ABERTURAS!$L$64)*MAX(0,MIN($W30,DATOS!$C$23*2/4)-MAX($V30,DATOS!$C$23*1/4))*PRESIONES!$C$19+(PRESIONES!$D$34-ABERTURAS!$L$64)*MAX(0,MIN($W30,DATOS!$C$23*3/4)-MAX($V30,DATOS!$C$23*2/4))*PRESIONES!$C$20+(PRESIONES!$D$35-ABERTURAS!$L$64)*MAX(0,MIN($W30,DATOS!$C$23*4/4)-MAX($V30,DATOS!$C$23*3/4))*PRESIONES!$C$21))</f>
        <v>0</v>
      </c>
      <c r="AO30" s="30" t="n">
        <f aca="false">IF($L30&lt;&gt;"OK",0,PRESIONES!$C$12*((PRESIONES!$G$32-ABERTURAS!$L$65)*MAX(0,MIN($W30,DATOS!$C$23*1/4)-MAX($V30,DATOS!$C$23*0/4))*PRESIONES!$C$18+(PRESIONES!$G$33-ABERTURAS!$L$65)*MAX(0,MIN($W30,DATOS!$C$23*2/4)-MAX($V30,DATOS!$C$23*1/4))*PRESIONES!$C$19+(PRESIONES!$G$34-ABERTURAS!$L$65)*MAX(0,MIN($W30,DATOS!$C$23*3/4)-MAX($V30,DATOS!$C$23*2/4))*PRESIONES!$C$20+(PRESIONES!$G$35-ABERTURAS!$L$65)*MAX(0,MIN($W30,DATOS!$C$23*4/4)-MAX($V30,DATOS!$C$23*3/4))*PRESIONES!$C$21))</f>
        <v>0</v>
      </c>
      <c r="AP30" s="30" t="n">
        <f aca="false">IF($L30&lt;&gt;"OK",0,PRESIONES!$C$12*((PRESIONES!$J$32-ABERTURAS!$L$66)*MAX(0,MIN($W30,DATOS!$C$23*1/4)-MAX($V30,DATOS!$C$23*0/4))*PRESIONES!$C$18+(PRESIONES!$J$33-ABERTURAS!$L$66)*MAX(0,MIN($W30,DATOS!$C$23*2/4)-MAX($V30,DATOS!$C$23*1/4))*PRESIONES!$C$19+(PRESIONES!$J$34-ABERTURAS!$L$66)*MAX(0,MIN($W30,DATOS!$C$23*3/4)-MAX($V30,DATOS!$C$23*2/4))*PRESIONES!$C$20+(PRESIONES!$J$35-ABERTURAS!$L$66)*MAX(0,MIN($W30,DATOS!$C$23*4/4)-MAX($V30,DATOS!$C$23*3/4))*PRESIONES!$C$21))</f>
        <v>0</v>
      </c>
      <c r="AQ30" s="30" t="n">
        <f aca="false">IF($L30&lt;&gt;"OK",0,PRESIONES!$C$12*((PRESIONES!$M$32-ABERTURAS!$L$67)*MAX(0,MIN($W30,DATOS!$C$23*1/4)-MAX($V30,DATOS!$C$23*0/4))*PRESIONES!$C$18+(PRESIONES!$M$33-ABERTURAS!$L$67)*MAX(0,MIN($W30,DATOS!$C$23*2/4)-MAX($V30,DATOS!$C$23*1/4))*PRESIONES!$C$19+(PRESIONES!$M$34-ABERTURAS!$L$67)*MAX(0,MIN($W30,DATOS!$C$23*3/4)-MAX($V30,DATOS!$C$23*2/4))*PRESIONES!$C$20+(PRESIONES!$M$35-ABERTURAS!$L$67)*MAX(0,MIN($W30,DATOS!$C$23*4/4)-MAX($V30,DATOS!$C$23*3/4))*PRESIONES!$C$21))</f>
        <v>0</v>
      </c>
      <c r="AR30" s="30" t="n">
        <f aca="false">IF($L30&lt;&gt;"OK",0,PRESIONES!$C$12*((PRESIONES!$E$32-ABERTURAS!$L$60)*MAX(0,MIN($W30,DATOS!$C$23*1/4)-MAX($V30,DATOS!$C$23*0/4))+(PRESIONES!$E$33-ABERTURAS!$L$60)*MAX(0,MIN($W30,DATOS!$C$23*2/4)-MAX($V30,DATOS!$C$23*1/4))+(PRESIONES!$E$34-ABERTURAS!$L$60)*MAX(0,MIN($W30,DATOS!$C$23*3/4)-MAX($V30,DATOS!$C$23*2/4))+(PRESIONES!$E$35-ABERTURAS!$L$60)*MAX(0,MIN($W30,DATOS!$C$23*4/4)-MAX($V30,DATOS!$C$23*3/4))))</f>
        <v>0</v>
      </c>
      <c r="AS30" s="30" t="n">
        <f aca="false">IF($L30&lt;&gt;"OK",0,PRESIONES!$C$12*((PRESIONES!$H$32-ABERTURAS!$L$61)*MAX(0,MIN($W30,DATOS!$C$23*1/4)-MAX($V30,DATOS!$C$23*0/4))+(PRESIONES!$H$33-ABERTURAS!$L$61)*MAX(0,MIN($W30,DATOS!$C$23*2/4)-MAX($V30,DATOS!$C$23*1/4))+(PRESIONES!$H$34-ABERTURAS!$L$61)*MAX(0,MIN($W30,DATOS!$C$23*3/4)-MAX($V30,DATOS!$C$23*2/4))+(PRESIONES!$H$35-ABERTURAS!$L$61)*MAX(0,MIN($W30,DATOS!$C$23*4/4)-MAX($V30,DATOS!$C$23*3/4))))</f>
        <v>0</v>
      </c>
      <c r="AT30" s="30" t="n">
        <f aca="false">IF($L30&lt;&gt;"OK",0,PRESIONES!$C$12*((PRESIONES!$K$32-ABERTURAS!$L$62)*MAX(0,MIN($W30,DATOS!$C$23*1/4)-MAX($V30,DATOS!$C$23*0/4))+(PRESIONES!$K$33-ABERTURAS!$L$62)*MAX(0,MIN($W30,DATOS!$C$23*2/4)-MAX($V30,DATOS!$C$23*1/4))+(PRESIONES!$K$34-ABERTURAS!$L$62)*MAX(0,MIN($W30,DATOS!$C$23*3/4)-MAX($V30,DATOS!$C$23*2/4))+(PRESIONES!$K$35-ABERTURAS!$L$62)*MAX(0,MIN($W30,DATOS!$C$23*4/4)-MAX($V30,DATOS!$C$23*3/4))))</f>
        <v>0</v>
      </c>
      <c r="AU30" s="30" t="n">
        <f aca="false">IF($L30&lt;&gt;"OK",0,PRESIONES!$C$12*((PRESIONES!$N$32-ABERTURAS!$L$63)*MAX(0,MIN($W30,DATOS!$C$23*1/4)-MAX($V30,DATOS!$C$23*0/4))+(PRESIONES!$N$33-ABERTURAS!$L$63)*MAX(0,MIN($W30,DATOS!$C$23*2/4)-MAX($V30,DATOS!$C$23*1/4))+(PRESIONES!$N$34-ABERTURAS!$L$63)*MAX(0,MIN($W30,DATOS!$C$23*3/4)-MAX($V30,DATOS!$C$23*2/4))+(PRESIONES!$N$35-ABERTURAS!$L$63)*MAX(0,MIN($W30,DATOS!$C$23*4/4)-MAX($V30,DATOS!$C$23*3/4))))</f>
        <v>0</v>
      </c>
      <c r="AV30" s="30" t="n">
        <f aca="false">IF($L30&lt;&gt;"OK",0,PRESIONES!$C$12*((PRESIONES!$E$32-ABERTURAS!$L$64)*MAX(0,MIN($W30,DATOS!$C$23*1/4)-MAX($V30,DATOS!$C$23*0/4))+(PRESIONES!$E$33-ABERTURAS!$L$64)*MAX(0,MIN($W30,DATOS!$C$23*2/4)-MAX($V30,DATOS!$C$23*1/4))+(PRESIONES!$E$34-ABERTURAS!$L$64)*MAX(0,MIN($W30,DATOS!$C$23*3/4)-MAX($V30,DATOS!$C$23*2/4))+(PRESIONES!$E$35-ABERTURAS!$L$64)*MAX(0,MIN($W30,DATOS!$C$23*4/4)-MAX($V30,DATOS!$C$23*3/4))))</f>
        <v>0</v>
      </c>
      <c r="AW30" s="30" t="n">
        <f aca="false">IF($L30&lt;&gt;"OK",0,PRESIONES!$C$12*((PRESIONES!$H$32-ABERTURAS!$L$65)*MAX(0,MIN($W30,DATOS!$C$23*1/4)-MAX($V30,DATOS!$C$23*0/4))+(PRESIONES!$H$33-ABERTURAS!$L$65)*MAX(0,MIN($W30,DATOS!$C$23*2/4)-MAX($V30,DATOS!$C$23*1/4))+(PRESIONES!$H$34-ABERTURAS!$L$65)*MAX(0,MIN($W30,DATOS!$C$23*3/4)-MAX($V30,DATOS!$C$23*2/4))+(PRESIONES!$H$35-ABERTURAS!$L$65)*MAX(0,MIN($W30,DATOS!$C$23*4/4)-MAX($V30,DATOS!$C$23*3/4))))</f>
        <v>0</v>
      </c>
      <c r="AX30" s="30" t="n">
        <f aca="false">IF($L30&lt;&gt;"OK",0,PRESIONES!$C$12*((PRESIONES!$K$32-ABERTURAS!$L$66)*MAX(0,MIN($W30,DATOS!$C$23*1/4)-MAX($V30,DATOS!$C$23*0/4))+(PRESIONES!$K$33-ABERTURAS!$L$66)*MAX(0,MIN($W30,DATOS!$C$23*2/4)-MAX($V30,DATOS!$C$23*1/4))+(PRESIONES!$K$34-ABERTURAS!$L$66)*MAX(0,MIN($W30,DATOS!$C$23*3/4)-MAX($V30,DATOS!$C$23*2/4))+(PRESIONES!$K$35-ABERTURAS!$L$66)*MAX(0,MIN($W30,DATOS!$C$23*4/4)-MAX($V30,DATOS!$C$23*3/4))))</f>
        <v>0</v>
      </c>
      <c r="AY30" s="30" t="n">
        <f aca="false">IF($L30&lt;&gt;"OK",0,PRESIONES!$C$12*((PRESIONES!$N$32-ABERTURAS!$L$67)*MAX(0,MIN($W30,DATOS!$C$23*1/4)-MAX($V30,DATOS!$C$23*0/4))+(PRESIONES!$N$33-ABERTURAS!$L$67)*MAX(0,MIN($W30,DATOS!$C$23*2/4)-MAX($V30,DATOS!$C$23*1/4))+(PRESIONES!$N$34-ABERTURAS!$L$67)*MAX(0,MIN($W30,DATOS!$C$23*3/4)-MAX($V30,DATOS!$C$23*2/4))+(PRESIONES!$N$35-ABERTURAS!$L$67)*MAX(0,MIN($W30,DATOS!$C$23*4/4)-MAX($V30,DATOS!$C$23*3/4))))</f>
        <v>0</v>
      </c>
      <c r="AZ30" s="30" t="n">
        <f aca="false">IF($L30&lt;&gt;"OK",0,PRESIONES!$C$12*((PRESIONES!$E$32-ABERTURAS!$L$60)*MAX(0,MIN($W30,DATOS!$C$23*1/4)-MAX($V30,DATOS!$C$23*0/4))*PRESIONES!$C$18+(PRESIONES!$E$33-ABERTURAS!$L$60)*MAX(0,MIN($W30,DATOS!$C$23*2/4)-MAX($V30,DATOS!$C$23*1/4))*PRESIONES!$C$19+(PRESIONES!$E$34-ABERTURAS!$L$60)*MAX(0,MIN($W30,DATOS!$C$23*3/4)-MAX($V30,DATOS!$C$23*2/4))*PRESIONES!$C$20+(PRESIONES!$E$35-ABERTURAS!$L$60)*MAX(0,MIN($W30,DATOS!$C$23*4/4)-MAX($V30,DATOS!$C$23*3/4))*PRESIONES!$C$21))</f>
        <v>0</v>
      </c>
      <c r="BA30" s="30" t="n">
        <f aca="false">IF($L30&lt;&gt;"OK",0,PRESIONES!$C$12*((PRESIONES!$H$32-ABERTURAS!$L$61)*MAX(0,MIN($W30,DATOS!$C$23*1/4)-MAX($V30,DATOS!$C$23*0/4))*PRESIONES!$C$18+(PRESIONES!$H$33-ABERTURAS!$L$61)*MAX(0,MIN($W30,DATOS!$C$23*2/4)-MAX($V30,DATOS!$C$23*1/4))*PRESIONES!$C$19+(PRESIONES!$H$34-ABERTURAS!$L$61)*MAX(0,MIN($W30,DATOS!$C$23*3/4)-MAX($V30,DATOS!$C$23*2/4))*PRESIONES!$C$20+(PRESIONES!$H$35-ABERTURAS!$L$61)*MAX(0,MIN($W30,DATOS!$C$23*4/4)-MAX($V30,DATOS!$C$23*3/4))*PRESIONES!$C$21))</f>
        <v>0</v>
      </c>
      <c r="BB30" s="30" t="n">
        <f aca="false">IF($L30&lt;&gt;"OK",0,PRESIONES!$C$12*((PRESIONES!$K$32-ABERTURAS!$L$62)*MAX(0,MIN($W30,DATOS!$C$23*1/4)-MAX($V30,DATOS!$C$23*0/4))*PRESIONES!$C$18+(PRESIONES!$K$33-ABERTURAS!$L$62)*MAX(0,MIN($W30,DATOS!$C$23*2/4)-MAX($V30,DATOS!$C$23*1/4))*PRESIONES!$C$19+(PRESIONES!$K$34-ABERTURAS!$L$62)*MAX(0,MIN($W30,DATOS!$C$23*3/4)-MAX($V30,DATOS!$C$23*2/4))*PRESIONES!$C$20+(PRESIONES!$K$35-ABERTURAS!$L$62)*MAX(0,MIN($W30,DATOS!$C$23*4/4)-MAX($V30,DATOS!$C$23*3/4))*PRESIONES!$C$21))</f>
        <v>0</v>
      </c>
      <c r="BC30" s="30" t="n">
        <f aca="false">IF($L30&lt;&gt;"OK",0,PRESIONES!$C$12*((PRESIONES!$N$32-ABERTURAS!$L$63)*MAX(0,MIN($W30,DATOS!$C$23*1/4)-MAX($V30,DATOS!$C$23*0/4))*PRESIONES!$C$18+(PRESIONES!$N$33-ABERTURAS!$L$63)*MAX(0,MIN($W30,DATOS!$C$23*2/4)-MAX($V30,DATOS!$C$23*1/4))*PRESIONES!$C$19+(PRESIONES!$N$34-ABERTURAS!$L$63)*MAX(0,MIN($W30,DATOS!$C$23*3/4)-MAX($V30,DATOS!$C$23*2/4))*PRESIONES!$C$20+(PRESIONES!$N$35-ABERTURAS!$L$63)*MAX(0,MIN($W30,DATOS!$C$23*4/4)-MAX($V30,DATOS!$C$23*3/4))*PRESIONES!$C$21))</f>
        <v>0</v>
      </c>
      <c r="BD30" s="30" t="n">
        <f aca="false">IF($L30&lt;&gt;"OK",0,PRESIONES!$C$12*((PRESIONES!$E$32-ABERTURAS!$L$64)*MAX(0,MIN($W30,DATOS!$C$23*1/4)-MAX($V30,DATOS!$C$23*0/4))*PRESIONES!$C$18+(PRESIONES!$E$33-ABERTURAS!$L$64)*MAX(0,MIN($W30,DATOS!$C$23*2/4)-MAX($V30,DATOS!$C$23*1/4))*PRESIONES!$C$19+(PRESIONES!$E$34-ABERTURAS!$L$64)*MAX(0,MIN($W30,DATOS!$C$23*3/4)-MAX($V30,DATOS!$C$23*2/4))*PRESIONES!$C$20+(PRESIONES!$E$35-ABERTURAS!$L$64)*MAX(0,MIN($W30,DATOS!$C$23*4/4)-MAX($V30,DATOS!$C$23*3/4))*PRESIONES!$C$21))</f>
        <v>0</v>
      </c>
      <c r="BE30" s="30" t="n">
        <f aca="false">IF($L30&lt;&gt;"OK",0,PRESIONES!$C$12*((PRESIONES!$H$32-ABERTURAS!$L$65)*MAX(0,MIN($W30,DATOS!$C$23*1/4)-MAX($V30,DATOS!$C$23*0/4))*PRESIONES!$C$18+(PRESIONES!$H$33-ABERTURAS!$L$65)*MAX(0,MIN($W30,DATOS!$C$23*2/4)-MAX($V30,DATOS!$C$23*1/4))*PRESIONES!$C$19+(PRESIONES!$H$34-ABERTURAS!$L$65)*MAX(0,MIN($W30,DATOS!$C$23*3/4)-MAX($V30,DATOS!$C$23*2/4))*PRESIONES!$C$20+(PRESIONES!$H$35-ABERTURAS!$L$65)*MAX(0,MIN($W30,DATOS!$C$23*4/4)-MAX($V30,DATOS!$C$23*3/4))*PRESIONES!$C$21))</f>
        <v>0</v>
      </c>
      <c r="BF30" s="30" t="n">
        <f aca="false">IF($L30&lt;&gt;"OK",0,PRESIONES!$C$12*((PRESIONES!$K$32-ABERTURAS!$L$66)*MAX(0,MIN($W30,DATOS!$C$23*1/4)-MAX($V30,DATOS!$C$23*0/4))*PRESIONES!$C$18+(PRESIONES!$K$33-ABERTURAS!$L$66)*MAX(0,MIN($W30,DATOS!$C$23*2/4)-MAX($V30,DATOS!$C$23*1/4))*PRESIONES!$C$19+(PRESIONES!$K$34-ABERTURAS!$L$66)*MAX(0,MIN($W30,DATOS!$C$23*3/4)-MAX($V30,DATOS!$C$23*2/4))*PRESIONES!$C$20+(PRESIONES!$K$35-ABERTURAS!$L$66)*MAX(0,MIN($W30,DATOS!$C$23*4/4)-MAX($V30,DATOS!$C$23*3/4))*PRESIONES!$C$21))</f>
        <v>0</v>
      </c>
      <c r="BG30" s="30" t="n">
        <f aca="false">IF($L30&lt;&gt;"OK",0,PRESIONES!$C$12*((PRESIONES!$N$32-ABERTURAS!$L$67)*MAX(0,MIN($W30,DATOS!$C$23*1/4)-MAX($V30,DATOS!$C$23*0/4))*PRESIONES!$C$18+(PRESIONES!$N$33-ABERTURAS!$L$67)*MAX(0,MIN($W30,DATOS!$C$23*2/4)-MAX($V30,DATOS!$C$23*1/4))*PRESIONES!$C$19+(PRESIONES!$N$34-ABERTURAS!$L$67)*MAX(0,MIN($W30,DATOS!$C$23*3/4)-MAX($V30,DATOS!$C$23*2/4))*PRESIONES!$C$20+(PRESIONES!$N$35-ABERTURAS!$L$67)*MAX(0,MIN($W30,DATOS!$C$23*4/4)-MAX($V30,DATOS!$C$23*3/4))*PRESIONES!$C$21))</f>
        <v>0</v>
      </c>
    </row>
    <row r="31" customFormat="false" ht="15" hidden="false" customHeight="true" outlineLevel="0" collapsed="false">
      <c r="B31" s="27"/>
      <c r="C31" s="17"/>
      <c r="D31" s="27"/>
      <c r="E31" s="17"/>
      <c r="F31" s="49"/>
      <c r="G31" s="49"/>
      <c r="H31" s="49"/>
      <c r="I31" s="49"/>
      <c r="J31" s="49"/>
      <c r="K31" s="49"/>
      <c r="L31" s="20" t="str">
        <f aca="false">IF($D31="","",IF($C31&lt;&gt;"TECHO","PON TECHO",IF(OR($F31="",$G31="",$H31="",$I31=""),"FALTAN a o b",IF($M31&lt;=0,"a₂ DEBE SER &gt; a₁",IF($N31&lt;=0,"b₂ DEBE SER &gt; b₁",IF(OR($V31&lt;-0.001,$W31&gt;DATOS!$C$23+0.001),"SE SALE DEL TECHO","OK"))))))</f>
        <v/>
      </c>
      <c r="M31" s="30" t="n">
        <f aca="false">IF($D31="",0,MAX(0,$G31-$F31))</f>
        <v>0</v>
      </c>
      <c r="N31" s="30" t="n">
        <f aca="false">MAX(0,$W31-$V31)</f>
        <v>0</v>
      </c>
      <c r="O31" s="30" t="n">
        <f aca="false">$M31*$N31</f>
        <v>0</v>
      </c>
      <c r="P31" s="30" t="n">
        <v>0</v>
      </c>
      <c r="Q31" s="30" t="n">
        <v>0</v>
      </c>
      <c r="R31" s="30" t="n">
        <f aca="false">$O31</f>
        <v>0</v>
      </c>
      <c r="S31" s="30" t="n">
        <f aca="false">$O31</f>
        <v>0</v>
      </c>
      <c r="T31" s="50" t="n">
        <f aca="false">IF($D31="",0,DATOS!$C$21)</f>
        <v>0</v>
      </c>
      <c r="U31" s="50" t="n">
        <v>0</v>
      </c>
      <c r="V31" s="50" t="n">
        <f aca="false">IF($D31="",0,(N($H31)+IF($J31="",N($H31),$J31))/2)</f>
        <v>0</v>
      </c>
      <c r="W31" s="50" t="n">
        <f aca="false">IF($D31="",0,(N($I31)+IF($K31="",N($I31),$K31))/2)</f>
        <v>0</v>
      </c>
      <c r="AB31" s="30" t="n">
        <f aca="false">IF($L31&lt;&gt;"OK",0,PRESIONES!$C$12*((PRESIONES!$D$32-ABERTURAS!$L$60)*MAX(0,MIN($W31,DATOS!$C$23*1/4)-MAX($V31,DATOS!$C$23*0/4))+(PRESIONES!$D$33-ABERTURAS!$L$60)*MAX(0,MIN($W31,DATOS!$C$23*2/4)-MAX($V31,DATOS!$C$23*1/4))+(PRESIONES!$D$34-ABERTURAS!$L$60)*MAX(0,MIN($W31,DATOS!$C$23*3/4)-MAX($V31,DATOS!$C$23*2/4))+(PRESIONES!$D$35-ABERTURAS!$L$60)*MAX(0,MIN($W31,DATOS!$C$23*4/4)-MAX($V31,DATOS!$C$23*3/4))))</f>
        <v>0</v>
      </c>
      <c r="AC31" s="30" t="n">
        <f aca="false">IF($L31&lt;&gt;"OK",0,PRESIONES!$C$12*((PRESIONES!$G$32-ABERTURAS!$L$61)*MAX(0,MIN($W31,DATOS!$C$23*1/4)-MAX($V31,DATOS!$C$23*0/4))+(PRESIONES!$G$33-ABERTURAS!$L$61)*MAX(0,MIN($W31,DATOS!$C$23*2/4)-MAX($V31,DATOS!$C$23*1/4))+(PRESIONES!$G$34-ABERTURAS!$L$61)*MAX(0,MIN($W31,DATOS!$C$23*3/4)-MAX($V31,DATOS!$C$23*2/4))+(PRESIONES!$G$35-ABERTURAS!$L$61)*MAX(0,MIN($W31,DATOS!$C$23*4/4)-MAX($V31,DATOS!$C$23*3/4))))</f>
        <v>0</v>
      </c>
      <c r="AD31" s="30" t="n">
        <f aca="false">IF($L31&lt;&gt;"OK",0,PRESIONES!$C$12*((PRESIONES!$J$32-ABERTURAS!$L$62)*MAX(0,MIN($W31,DATOS!$C$23*1/4)-MAX($V31,DATOS!$C$23*0/4))+(PRESIONES!$J$33-ABERTURAS!$L$62)*MAX(0,MIN($W31,DATOS!$C$23*2/4)-MAX($V31,DATOS!$C$23*1/4))+(PRESIONES!$J$34-ABERTURAS!$L$62)*MAX(0,MIN($W31,DATOS!$C$23*3/4)-MAX($V31,DATOS!$C$23*2/4))+(PRESIONES!$J$35-ABERTURAS!$L$62)*MAX(0,MIN($W31,DATOS!$C$23*4/4)-MAX($V31,DATOS!$C$23*3/4))))</f>
        <v>0</v>
      </c>
      <c r="AE31" s="30" t="n">
        <f aca="false">IF($L31&lt;&gt;"OK",0,PRESIONES!$C$12*((PRESIONES!$M$32-ABERTURAS!$L$63)*MAX(0,MIN($W31,DATOS!$C$23*1/4)-MAX($V31,DATOS!$C$23*0/4))+(PRESIONES!$M$33-ABERTURAS!$L$63)*MAX(0,MIN($W31,DATOS!$C$23*2/4)-MAX($V31,DATOS!$C$23*1/4))+(PRESIONES!$M$34-ABERTURAS!$L$63)*MAX(0,MIN($W31,DATOS!$C$23*3/4)-MAX($V31,DATOS!$C$23*2/4))+(PRESIONES!$M$35-ABERTURAS!$L$63)*MAX(0,MIN($W31,DATOS!$C$23*4/4)-MAX($V31,DATOS!$C$23*3/4))))</f>
        <v>0</v>
      </c>
      <c r="AF31" s="30" t="n">
        <f aca="false">IF($L31&lt;&gt;"OK",0,PRESIONES!$C$12*((PRESIONES!$D$32-ABERTURAS!$L$64)*MAX(0,MIN($W31,DATOS!$C$23*1/4)-MAX($V31,DATOS!$C$23*0/4))+(PRESIONES!$D$33-ABERTURAS!$L$64)*MAX(0,MIN($W31,DATOS!$C$23*2/4)-MAX($V31,DATOS!$C$23*1/4))+(PRESIONES!$D$34-ABERTURAS!$L$64)*MAX(0,MIN($W31,DATOS!$C$23*3/4)-MAX($V31,DATOS!$C$23*2/4))+(PRESIONES!$D$35-ABERTURAS!$L$64)*MAX(0,MIN($W31,DATOS!$C$23*4/4)-MAX($V31,DATOS!$C$23*3/4))))</f>
        <v>0</v>
      </c>
      <c r="AG31" s="30" t="n">
        <f aca="false">IF($L31&lt;&gt;"OK",0,PRESIONES!$C$12*((PRESIONES!$G$32-ABERTURAS!$L$65)*MAX(0,MIN($W31,DATOS!$C$23*1/4)-MAX($V31,DATOS!$C$23*0/4))+(PRESIONES!$G$33-ABERTURAS!$L$65)*MAX(0,MIN($W31,DATOS!$C$23*2/4)-MAX($V31,DATOS!$C$23*1/4))+(PRESIONES!$G$34-ABERTURAS!$L$65)*MAX(0,MIN($W31,DATOS!$C$23*3/4)-MAX($V31,DATOS!$C$23*2/4))+(PRESIONES!$G$35-ABERTURAS!$L$65)*MAX(0,MIN($W31,DATOS!$C$23*4/4)-MAX($V31,DATOS!$C$23*3/4))))</f>
        <v>0</v>
      </c>
      <c r="AH31" s="30" t="n">
        <f aca="false">IF($L31&lt;&gt;"OK",0,PRESIONES!$C$12*((PRESIONES!$J$32-ABERTURAS!$L$66)*MAX(0,MIN($W31,DATOS!$C$23*1/4)-MAX($V31,DATOS!$C$23*0/4))+(PRESIONES!$J$33-ABERTURAS!$L$66)*MAX(0,MIN($W31,DATOS!$C$23*2/4)-MAX($V31,DATOS!$C$23*1/4))+(PRESIONES!$J$34-ABERTURAS!$L$66)*MAX(0,MIN($W31,DATOS!$C$23*3/4)-MAX($V31,DATOS!$C$23*2/4))+(PRESIONES!$J$35-ABERTURAS!$L$66)*MAX(0,MIN($W31,DATOS!$C$23*4/4)-MAX($V31,DATOS!$C$23*3/4))))</f>
        <v>0</v>
      </c>
      <c r="AI31" s="30" t="n">
        <f aca="false">IF($L31&lt;&gt;"OK",0,PRESIONES!$C$12*((PRESIONES!$M$32-ABERTURAS!$L$67)*MAX(0,MIN($W31,DATOS!$C$23*1/4)-MAX($V31,DATOS!$C$23*0/4))+(PRESIONES!$M$33-ABERTURAS!$L$67)*MAX(0,MIN($W31,DATOS!$C$23*2/4)-MAX($V31,DATOS!$C$23*1/4))+(PRESIONES!$M$34-ABERTURAS!$L$67)*MAX(0,MIN($W31,DATOS!$C$23*3/4)-MAX($V31,DATOS!$C$23*2/4))+(PRESIONES!$M$35-ABERTURAS!$L$67)*MAX(0,MIN($W31,DATOS!$C$23*4/4)-MAX($V31,DATOS!$C$23*3/4))))</f>
        <v>0</v>
      </c>
      <c r="AJ31" s="30" t="n">
        <f aca="false">IF($L31&lt;&gt;"OK",0,PRESIONES!$C$12*((PRESIONES!$D$32-ABERTURAS!$L$60)*MAX(0,MIN($W31,DATOS!$C$23*1/4)-MAX($V31,DATOS!$C$23*0/4))*PRESIONES!$C$18+(PRESIONES!$D$33-ABERTURAS!$L$60)*MAX(0,MIN($W31,DATOS!$C$23*2/4)-MAX($V31,DATOS!$C$23*1/4))*PRESIONES!$C$19+(PRESIONES!$D$34-ABERTURAS!$L$60)*MAX(0,MIN($W31,DATOS!$C$23*3/4)-MAX($V31,DATOS!$C$23*2/4))*PRESIONES!$C$20+(PRESIONES!$D$35-ABERTURAS!$L$60)*MAX(0,MIN($W31,DATOS!$C$23*4/4)-MAX($V31,DATOS!$C$23*3/4))*PRESIONES!$C$21))</f>
        <v>0</v>
      </c>
      <c r="AK31" s="30" t="n">
        <f aca="false">IF($L31&lt;&gt;"OK",0,PRESIONES!$C$12*((PRESIONES!$G$32-ABERTURAS!$L$61)*MAX(0,MIN($W31,DATOS!$C$23*1/4)-MAX($V31,DATOS!$C$23*0/4))*PRESIONES!$C$18+(PRESIONES!$G$33-ABERTURAS!$L$61)*MAX(0,MIN($W31,DATOS!$C$23*2/4)-MAX($V31,DATOS!$C$23*1/4))*PRESIONES!$C$19+(PRESIONES!$G$34-ABERTURAS!$L$61)*MAX(0,MIN($W31,DATOS!$C$23*3/4)-MAX($V31,DATOS!$C$23*2/4))*PRESIONES!$C$20+(PRESIONES!$G$35-ABERTURAS!$L$61)*MAX(0,MIN($W31,DATOS!$C$23*4/4)-MAX($V31,DATOS!$C$23*3/4))*PRESIONES!$C$21))</f>
        <v>0</v>
      </c>
      <c r="AL31" s="30" t="n">
        <f aca="false">IF($L31&lt;&gt;"OK",0,PRESIONES!$C$12*((PRESIONES!$J$32-ABERTURAS!$L$62)*MAX(0,MIN($W31,DATOS!$C$23*1/4)-MAX($V31,DATOS!$C$23*0/4))*PRESIONES!$C$18+(PRESIONES!$J$33-ABERTURAS!$L$62)*MAX(0,MIN($W31,DATOS!$C$23*2/4)-MAX($V31,DATOS!$C$23*1/4))*PRESIONES!$C$19+(PRESIONES!$J$34-ABERTURAS!$L$62)*MAX(0,MIN($W31,DATOS!$C$23*3/4)-MAX($V31,DATOS!$C$23*2/4))*PRESIONES!$C$20+(PRESIONES!$J$35-ABERTURAS!$L$62)*MAX(0,MIN($W31,DATOS!$C$23*4/4)-MAX($V31,DATOS!$C$23*3/4))*PRESIONES!$C$21))</f>
        <v>0</v>
      </c>
      <c r="AM31" s="30" t="n">
        <f aca="false">IF($L31&lt;&gt;"OK",0,PRESIONES!$C$12*((PRESIONES!$M$32-ABERTURAS!$L$63)*MAX(0,MIN($W31,DATOS!$C$23*1/4)-MAX($V31,DATOS!$C$23*0/4))*PRESIONES!$C$18+(PRESIONES!$M$33-ABERTURAS!$L$63)*MAX(0,MIN($W31,DATOS!$C$23*2/4)-MAX($V31,DATOS!$C$23*1/4))*PRESIONES!$C$19+(PRESIONES!$M$34-ABERTURAS!$L$63)*MAX(0,MIN($W31,DATOS!$C$23*3/4)-MAX($V31,DATOS!$C$23*2/4))*PRESIONES!$C$20+(PRESIONES!$M$35-ABERTURAS!$L$63)*MAX(0,MIN($W31,DATOS!$C$23*4/4)-MAX($V31,DATOS!$C$23*3/4))*PRESIONES!$C$21))</f>
        <v>0</v>
      </c>
      <c r="AN31" s="30" t="n">
        <f aca="false">IF($L31&lt;&gt;"OK",0,PRESIONES!$C$12*((PRESIONES!$D$32-ABERTURAS!$L$64)*MAX(0,MIN($W31,DATOS!$C$23*1/4)-MAX($V31,DATOS!$C$23*0/4))*PRESIONES!$C$18+(PRESIONES!$D$33-ABERTURAS!$L$64)*MAX(0,MIN($W31,DATOS!$C$23*2/4)-MAX($V31,DATOS!$C$23*1/4))*PRESIONES!$C$19+(PRESIONES!$D$34-ABERTURAS!$L$64)*MAX(0,MIN($W31,DATOS!$C$23*3/4)-MAX($V31,DATOS!$C$23*2/4))*PRESIONES!$C$20+(PRESIONES!$D$35-ABERTURAS!$L$64)*MAX(0,MIN($W31,DATOS!$C$23*4/4)-MAX($V31,DATOS!$C$23*3/4))*PRESIONES!$C$21))</f>
        <v>0</v>
      </c>
      <c r="AO31" s="30" t="n">
        <f aca="false">IF($L31&lt;&gt;"OK",0,PRESIONES!$C$12*((PRESIONES!$G$32-ABERTURAS!$L$65)*MAX(0,MIN($W31,DATOS!$C$23*1/4)-MAX($V31,DATOS!$C$23*0/4))*PRESIONES!$C$18+(PRESIONES!$G$33-ABERTURAS!$L$65)*MAX(0,MIN($W31,DATOS!$C$23*2/4)-MAX($V31,DATOS!$C$23*1/4))*PRESIONES!$C$19+(PRESIONES!$G$34-ABERTURAS!$L$65)*MAX(0,MIN($W31,DATOS!$C$23*3/4)-MAX($V31,DATOS!$C$23*2/4))*PRESIONES!$C$20+(PRESIONES!$G$35-ABERTURAS!$L$65)*MAX(0,MIN($W31,DATOS!$C$23*4/4)-MAX($V31,DATOS!$C$23*3/4))*PRESIONES!$C$21))</f>
        <v>0</v>
      </c>
      <c r="AP31" s="30" t="n">
        <f aca="false">IF($L31&lt;&gt;"OK",0,PRESIONES!$C$12*((PRESIONES!$J$32-ABERTURAS!$L$66)*MAX(0,MIN($W31,DATOS!$C$23*1/4)-MAX($V31,DATOS!$C$23*0/4))*PRESIONES!$C$18+(PRESIONES!$J$33-ABERTURAS!$L$66)*MAX(0,MIN($W31,DATOS!$C$23*2/4)-MAX($V31,DATOS!$C$23*1/4))*PRESIONES!$C$19+(PRESIONES!$J$34-ABERTURAS!$L$66)*MAX(0,MIN($W31,DATOS!$C$23*3/4)-MAX($V31,DATOS!$C$23*2/4))*PRESIONES!$C$20+(PRESIONES!$J$35-ABERTURAS!$L$66)*MAX(0,MIN($W31,DATOS!$C$23*4/4)-MAX($V31,DATOS!$C$23*3/4))*PRESIONES!$C$21))</f>
        <v>0</v>
      </c>
      <c r="AQ31" s="30" t="n">
        <f aca="false">IF($L31&lt;&gt;"OK",0,PRESIONES!$C$12*((PRESIONES!$M$32-ABERTURAS!$L$67)*MAX(0,MIN($W31,DATOS!$C$23*1/4)-MAX($V31,DATOS!$C$23*0/4))*PRESIONES!$C$18+(PRESIONES!$M$33-ABERTURAS!$L$67)*MAX(0,MIN($W31,DATOS!$C$23*2/4)-MAX($V31,DATOS!$C$23*1/4))*PRESIONES!$C$19+(PRESIONES!$M$34-ABERTURAS!$L$67)*MAX(0,MIN($W31,DATOS!$C$23*3/4)-MAX($V31,DATOS!$C$23*2/4))*PRESIONES!$C$20+(PRESIONES!$M$35-ABERTURAS!$L$67)*MAX(0,MIN($W31,DATOS!$C$23*4/4)-MAX($V31,DATOS!$C$23*3/4))*PRESIONES!$C$21))</f>
        <v>0</v>
      </c>
      <c r="AR31" s="30" t="n">
        <f aca="false">IF($L31&lt;&gt;"OK",0,PRESIONES!$C$12*((PRESIONES!$E$32-ABERTURAS!$L$60)*MAX(0,MIN($W31,DATOS!$C$23*1/4)-MAX($V31,DATOS!$C$23*0/4))+(PRESIONES!$E$33-ABERTURAS!$L$60)*MAX(0,MIN($W31,DATOS!$C$23*2/4)-MAX($V31,DATOS!$C$23*1/4))+(PRESIONES!$E$34-ABERTURAS!$L$60)*MAX(0,MIN($W31,DATOS!$C$23*3/4)-MAX($V31,DATOS!$C$23*2/4))+(PRESIONES!$E$35-ABERTURAS!$L$60)*MAX(0,MIN($W31,DATOS!$C$23*4/4)-MAX($V31,DATOS!$C$23*3/4))))</f>
        <v>0</v>
      </c>
      <c r="AS31" s="30" t="n">
        <f aca="false">IF($L31&lt;&gt;"OK",0,PRESIONES!$C$12*((PRESIONES!$H$32-ABERTURAS!$L$61)*MAX(0,MIN($W31,DATOS!$C$23*1/4)-MAX($V31,DATOS!$C$23*0/4))+(PRESIONES!$H$33-ABERTURAS!$L$61)*MAX(0,MIN($W31,DATOS!$C$23*2/4)-MAX($V31,DATOS!$C$23*1/4))+(PRESIONES!$H$34-ABERTURAS!$L$61)*MAX(0,MIN($W31,DATOS!$C$23*3/4)-MAX($V31,DATOS!$C$23*2/4))+(PRESIONES!$H$35-ABERTURAS!$L$61)*MAX(0,MIN($W31,DATOS!$C$23*4/4)-MAX($V31,DATOS!$C$23*3/4))))</f>
        <v>0</v>
      </c>
      <c r="AT31" s="30" t="n">
        <f aca="false">IF($L31&lt;&gt;"OK",0,PRESIONES!$C$12*((PRESIONES!$K$32-ABERTURAS!$L$62)*MAX(0,MIN($W31,DATOS!$C$23*1/4)-MAX($V31,DATOS!$C$23*0/4))+(PRESIONES!$K$33-ABERTURAS!$L$62)*MAX(0,MIN($W31,DATOS!$C$23*2/4)-MAX($V31,DATOS!$C$23*1/4))+(PRESIONES!$K$34-ABERTURAS!$L$62)*MAX(0,MIN($W31,DATOS!$C$23*3/4)-MAX($V31,DATOS!$C$23*2/4))+(PRESIONES!$K$35-ABERTURAS!$L$62)*MAX(0,MIN($W31,DATOS!$C$23*4/4)-MAX($V31,DATOS!$C$23*3/4))))</f>
        <v>0</v>
      </c>
      <c r="AU31" s="30" t="n">
        <f aca="false">IF($L31&lt;&gt;"OK",0,PRESIONES!$C$12*((PRESIONES!$N$32-ABERTURAS!$L$63)*MAX(0,MIN($W31,DATOS!$C$23*1/4)-MAX($V31,DATOS!$C$23*0/4))+(PRESIONES!$N$33-ABERTURAS!$L$63)*MAX(0,MIN($W31,DATOS!$C$23*2/4)-MAX($V31,DATOS!$C$23*1/4))+(PRESIONES!$N$34-ABERTURAS!$L$63)*MAX(0,MIN($W31,DATOS!$C$23*3/4)-MAX($V31,DATOS!$C$23*2/4))+(PRESIONES!$N$35-ABERTURAS!$L$63)*MAX(0,MIN($W31,DATOS!$C$23*4/4)-MAX($V31,DATOS!$C$23*3/4))))</f>
        <v>0</v>
      </c>
      <c r="AV31" s="30" t="n">
        <f aca="false">IF($L31&lt;&gt;"OK",0,PRESIONES!$C$12*((PRESIONES!$E$32-ABERTURAS!$L$64)*MAX(0,MIN($W31,DATOS!$C$23*1/4)-MAX($V31,DATOS!$C$23*0/4))+(PRESIONES!$E$33-ABERTURAS!$L$64)*MAX(0,MIN($W31,DATOS!$C$23*2/4)-MAX($V31,DATOS!$C$23*1/4))+(PRESIONES!$E$34-ABERTURAS!$L$64)*MAX(0,MIN($W31,DATOS!$C$23*3/4)-MAX($V31,DATOS!$C$23*2/4))+(PRESIONES!$E$35-ABERTURAS!$L$64)*MAX(0,MIN($W31,DATOS!$C$23*4/4)-MAX($V31,DATOS!$C$23*3/4))))</f>
        <v>0</v>
      </c>
      <c r="AW31" s="30" t="n">
        <f aca="false">IF($L31&lt;&gt;"OK",0,PRESIONES!$C$12*((PRESIONES!$H$32-ABERTURAS!$L$65)*MAX(0,MIN($W31,DATOS!$C$23*1/4)-MAX($V31,DATOS!$C$23*0/4))+(PRESIONES!$H$33-ABERTURAS!$L$65)*MAX(0,MIN($W31,DATOS!$C$23*2/4)-MAX($V31,DATOS!$C$23*1/4))+(PRESIONES!$H$34-ABERTURAS!$L$65)*MAX(0,MIN($W31,DATOS!$C$23*3/4)-MAX($V31,DATOS!$C$23*2/4))+(PRESIONES!$H$35-ABERTURAS!$L$65)*MAX(0,MIN($W31,DATOS!$C$23*4/4)-MAX($V31,DATOS!$C$23*3/4))))</f>
        <v>0</v>
      </c>
      <c r="AX31" s="30" t="n">
        <f aca="false">IF($L31&lt;&gt;"OK",0,PRESIONES!$C$12*((PRESIONES!$K$32-ABERTURAS!$L$66)*MAX(0,MIN($W31,DATOS!$C$23*1/4)-MAX($V31,DATOS!$C$23*0/4))+(PRESIONES!$K$33-ABERTURAS!$L$66)*MAX(0,MIN($W31,DATOS!$C$23*2/4)-MAX($V31,DATOS!$C$23*1/4))+(PRESIONES!$K$34-ABERTURAS!$L$66)*MAX(0,MIN($W31,DATOS!$C$23*3/4)-MAX($V31,DATOS!$C$23*2/4))+(PRESIONES!$K$35-ABERTURAS!$L$66)*MAX(0,MIN($W31,DATOS!$C$23*4/4)-MAX($V31,DATOS!$C$23*3/4))))</f>
        <v>0</v>
      </c>
      <c r="AY31" s="30" t="n">
        <f aca="false">IF($L31&lt;&gt;"OK",0,PRESIONES!$C$12*((PRESIONES!$N$32-ABERTURAS!$L$67)*MAX(0,MIN($W31,DATOS!$C$23*1/4)-MAX($V31,DATOS!$C$23*0/4))+(PRESIONES!$N$33-ABERTURAS!$L$67)*MAX(0,MIN($W31,DATOS!$C$23*2/4)-MAX($V31,DATOS!$C$23*1/4))+(PRESIONES!$N$34-ABERTURAS!$L$67)*MAX(0,MIN($W31,DATOS!$C$23*3/4)-MAX($V31,DATOS!$C$23*2/4))+(PRESIONES!$N$35-ABERTURAS!$L$67)*MAX(0,MIN($W31,DATOS!$C$23*4/4)-MAX($V31,DATOS!$C$23*3/4))))</f>
        <v>0</v>
      </c>
      <c r="AZ31" s="30" t="n">
        <f aca="false">IF($L31&lt;&gt;"OK",0,PRESIONES!$C$12*((PRESIONES!$E$32-ABERTURAS!$L$60)*MAX(0,MIN($W31,DATOS!$C$23*1/4)-MAX($V31,DATOS!$C$23*0/4))*PRESIONES!$C$18+(PRESIONES!$E$33-ABERTURAS!$L$60)*MAX(0,MIN($W31,DATOS!$C$23*2/4)-MAX($V31,DATOS!$C$23*1/4))*PRESIONES!$C$19+(PRESIONES!$E$34-ABERTURAS!$L$60)*MAX(0,MIN($W31,DATOS!$C$23*3/4)-MAX($V31,DATOS!$C$23*2/4))*PRESIONES!$C$20+(PRESIONES!$E$35-ABERTURAS!$L$60)*MAX(0,MIN($W31,DATOS!$C$23*4/4)-MAX($V31,DATOS!$C$23*3/4))*PRESIONES!$C$21))</f>
        <v>0</v>
      </c>
      <c r="BA31" s="30" t="n">
        <f aca="false">IF($L31&lt;&gt;"OK",0,PRESIONES!$C$12*((PRESIONES!$H$32-ABERTURAS!$L$61)*MAX(0,MIN($W31,DATOS!$C$23*1/4)-MAX($V31,DATOS!$C$23*0/4))*PRESIONES!$C$18+(PRESIONES!$H$33-ABERTURAS!$L$61)*MAX(0,MIN($W31,DATOS!$C$23*2/4)-MAX($V31,DATOS!$C$23*1/4))*PRESIONES!$C$19+(PRESIONES!$H$34-ABERTURAS!$L$61)*MAX(0,MIN($W31,DATOS!$C$23*3/4)-MAX($V31,DATOS!$C$23*2/4))*PRESIONES!$C$20+(PRESIONES!$H$35-ABERTURAS!$L$61)*MAX(0,MIN($W31,DATOS!$C$23*4/4)-MAX($V31,DATOS!$C$23*3/4))*PRESIONES!$C$21))</f>
        <v>0</v>
      </c>
      <c r="BB31" s="30" t="n">
        <f aca="false">IF($L31&lt;&gt;"OK",0,PRESIONES!$C$12*((PRESIONES!$K$32-ABERTURAS!$L$62)*MAX(0,MIN($W31,DATOS!$C$23*1/4)-MAX($V31,DATOS!$C$23*0/4))*PRESIONES!$C$18+(PRESIONES!$K$33-ABERTURAS!$L$62)*MAX(0,MIN($W31,DATOS!$C$23*2/4)-MAX($V31,DATOS!$C$23*1/4))*PRESIONES!$C$19+(PRESIONES!$K$34-ABERTURAS!$L$62)*MAX(0,MIN($W31,DATOS!$C$23*3/4)-MAX($V31,DATOS!$C$23*2/4))*PRESIONES!$C$20+(PRESIONES!$K$35-ABERTURAS!$L$62)*MAX(0,MIN($W31,DATOS!$C$23*4/4)-MAX($V31,DATOS!$C$23*3/4))*PRESIONES!$C$21))</f>
        <v>0</v>
      </c>
      <c r="BC31" s="30" t="n">
        <f aca="false">IF($L31&lt;&gt;"OK",0,PRESIONES!$C$12*((PRESIONES!$N$32-ABERTURAS!$L$63)*MAX(0,MIN($W31,DATOS!$C$23*1/4)-MAX($V31,DATOS!$C$23*0/4))*PRESIONES!$C$18+(PRESIONES!$N$33-ABERTURAS!$L$63)*MAX(0,MIN($W31,DATOS!$C$23*2/4)-MAX($V31,DATOS!$C$23*1/4))*PRESIONES!$C$19+(PRESIONES!$N$34-ABERTURAS!$L$63)*MAX(0,MIN($W31,DATOS!$C$23*3/4)-MAX($V31,DATOS!$C$23*2/4))*PRESIONES!$C$20+(PRESIONES!$N$35-ABERTURAS!$L$63)*MAX(0,MIN($W31,DATOS!$C$23*4/4)-MAX($V31,DATOS!$C$23*3/4))*PRESIONES!$C$21))</f>
        <v>0</v>
      </c>
      <c r="BD31" s="30" t="n">
        <f aca="false">IF($L31&lt;&gt;"OK",0,PRESIONES!$C$12*((PRESIONES!$E$32-ABERTURAS!$L$64)*MAX(0,MIN($W31,DATOS!$C$23*1/4)-MAX($V31,DATOS!$C$23*0/4))*PRESIONES!$C$18+(PRESIONES!$E$33-ABERTURAS!$L$64)*MAX(0,MIN($W31,DATOS!$C$23*2/4)-MAX($V31,DATOS!$C$23*1/4))*PRESIONES!$C$19+(PRESIONES!$E$34-ABERTURAS!$L$64)*MAX(0,MIN($W31,DATOS!$C$23*3/4)-MAX($V31,DATOS!$C$23*2/4))*PRESIONES!$C$20+(PRESIONES!$E$35-ABERTURAS!$L$64)*MAX(0,MIN($W31,DATOS!$C$23*4/4)-MAX($V31,DATOS!$C$23*3/4))*PRESIONES!$C$21))</f>
        <v>0</v>
      </c>
      <c r="BE31" s="30" t="n">
        <f aca="false">IF($L31&lt;&gt;"OK",0,PRESIONES!$C$12*((PRESIONES!$H$32-ABERTURAS!$L$65)*MAX(0,MIN($W31,DATOS!$C$23*1/4)-MAX($V31,DATOS!$C$23*0/4))*PRESIONES!$C$18+(PRESIONES!$H$33-ABERTURAS!$L$65)*MAX(0,MIN($W31,DATOS!$C$23*2/4)-MAX($V31,DATOS!$C$23*1/4))*PRESIONES!$C$19+(PRESIONES!$H$34-ABERTURAS!$L$65)*MAX(0,MIN($W31,DATOS!$C$23*3/4)-MAX($V31,DATOS!$C$23*2/4))*PRESIONES!$C$20+(PRESIONES!$H$35-ABERTURAS!$L$65)*MAX(0,MIN($W31,DATOS!$C$23*4/4)-MAX($V31,DATOS!$C$23*3/4))*PRESIONES!$C$21))</f>
        <v>0</v>
      </c>
      <c r="BF31" s="30" t="n">
        <f aca="false">IF($L31&lt;&gt;"OK",0,PRESIONES!$C$12*((PRESIONES!$K$32-ABERTURAS!$L$66)*MAX(0,MIN($W31,DATOS!$C$23*1/4)-MAX($V31,DATOS!$C$23*0/4))*PRESIONES!$C$18+(PRESIONES!$K$33-ABERTURAS!$L$66)*MAX(0,MIN($W31,DATOS!$C$23*2/4)-MAX($V31,DATOS!$C$23*1/4))*PRESIONES!$C$19+(PRESIONES!$K$34-ABERTURAS!$L$66)*MAX(0,MIN($W31,DATOS!$C$23*3/4)-MAX($V31,DATOS!$C$23*2/4))*PRESIONES!$C$20+(PRESIONES!$K$35-ABERTURAS!$L$66)*MAX(0,MIN($W31,DATOS!$C$23*4/4)-MAX($V31,DATOS!$C$23*3/4))*PRESIONES!$C$21))</f>
        <v>0</v>
      </c>
      <c r="BG31" s="30" t="n">
        <f aca="false">IF($L31&lt;&gt;"OK",0,PRESIONES!$C$12*((PRESIONES!$N$32-ABERTURAS!$L$67)*MAX(0,MIN($W31,DATOS!$C$23*1/4)-MAX($V31,DATOS!$C$23*0/4))*PRESIONES!$C$18+(PRESIONES!$N$33-ABERTURAS!$L$67)*MAX(0,MIN($W31,DATOS!$C$23*2/4)-MAX($V31,DATOS!$C$23*1/4))*PRESIONES!$C$19+(PRESIONES!$N$34-ABERTURAS!$L$67)*MAX(0,MIN($W31,DATOS!$C$23*3/4)-MAX($V31,DATOS!$C$23*2/4))*PRESIONES!$C$20+(PRESIONES!$N$35-ABERTURAS!$L$67)*MAX(0,MIN($W31,DATOS!$C$23*4/4)-MAX($V31,DATOS!$C$23*3/4))*PRESIONES!$C$21))</f>
        <v>0</v>
      </c>
    </row>
    <row r="32" customFormat="false" ht="15" hidden="false" customHeight="true" outlineLevel="0" collapsed="false">
      <c r="B32" s="27"/>
      <c r="C32" s="17"/>
      <c r="D32" s="27"/>
      <c r="E32" s="17"/>
      <c r="F32" s="49"/>
      <c r="G32" s="49"/>
      <c r="H32" s="49"/>
      <c r="I32" s="49"/>
      <c r="J32" s="49"/>
      <c r="K32" s="49"/>
      <c r="L32" s="20" t="str">
        <f aca="false">IF($D32="","",IF($C32&lt;&gt;"TECHO","PON TECHO",IF(OR($F32="",$G32="",$H32="",$I32=""),"FALTAN a o b",IF($M32&lt;=0,"a₂ DEBE SER &gt; a₁",IF($N32&lt;=0,"b₂ DEBE SER &gt; b₁",IF(OR($V32&lt;-0.001,$W32&gt;DATOS!$C$23+0.001),"SE SALE DEL TECHO","OK"))))))</f>
        <v/>
      </c>
      <c r="M32" s="30" t="n">
        <f aca="false">IF($D32="",0,MAX(0,$G32-$F32))</f>
        <v>0</v>
      </c>
      <c r="N32" s="30" t="n">
        <f aca="false">MAX(0,$W32-$V32)</f>
        <v>0</v>
      </c>
      <c r="O32" s="30" t="n">
        <f aca="false">$M32*$N32</f>
        <v>0</v>
      </c>
      <c r="P32" s="30" t="n">
        <v>0</v>
      </c>
      <c r="Q32" s="30" t="n">
        <v>0</v>
      </c>
      <c r="R32" s="30" t="n">
        <f aca="false">$O32</f>
        <v>0</v>
      </c>
      <c r="S32" s="30" t="n">
        <f aca="false">$O32</f>
        <v>0</v>
      </c>
      <c r="T32" s="50" t="n">
        <f aca="false">IF($D32="",0,DATOS!$C$21)</f>
        <v>0</v>
      </c>
      <c r="U32" s="50" t="n">
        <v>0</v>
      </c>
      <c r="V32" s="50" t="n">
        <f aca="false">IF($D32="",0,(N($H32)+IF($J32="",N($H32),$J32))/2)</f>
        <v>0</v>
      </c>
      <c r="W32" s="50" t="n">
        <f aca="false">IF($D32="",0,(N($I32)+IF($K32="",N($I32),$K32))/2)</f>
        <v>0</v>
      </c>
      <c r="AB32" s="30" t="n">
        <f aca="false">IF($L32&lt;&gt;"OK",0,PRESIONES!$C$12*((PRESIONES!$D$32-ABERTURAS!$L$60)*MAX(0,MIN($W32,DATOS!$C$23*1/4)-MAX($V32,DATOS!$C$23*0/4))+(PRESIONES!$D$33-ABERTURAS!$L$60)*MAX(0,MIN($W32,DATOS!$C$23*2/4)-MAX($V32,DATOS!$C$23*1/4))+(PRESIONES!$D$34-ABERTURAS!$L$60)*MAX(0,MIN($W32,DATOS!$C$23*3/4)-MAX($V32,DATOS!$C$23*2/4))+(PRESIONES!$D$35-ABERTURAS!$L$60)*MAX(0,MIN($W32,DATOS!$C$23*4/4)-MAX($V32,DATOS!$C$23*3/4))))</f>
        <v>0</v>
      </c>
      <c r="AC32" s="30" t="n">
        <f aca="false">IF($L32&lt;&gt;"OK",0,PRESIONES!$C$12*((PRESIONES!$G$32-ABERTURAS!$L$61)*MAX(0,MIN($W32,DATOS!$C$23*1/4)-MAX($V32,DATOS!$C$23*0/4))+(PRESIONES!$G$33-ABERTURAS!$L$61)*MAX(0,MIN($W32,DATOS!$C$23*2/4)-MAX($V32,DATOS!$C$23*1/4))+(PRESIONES!$G$34-ABERTURAS!$L$61)*MAX(0,MIN($W32,DATOS!$C$23*3/4)-MAX($V32,DATOS!$C$23*2/4))+(PRESIONES!$G$35-ABERTURAS!$L$61)*MAX(0,MIN($W32,DATOS!$C$23*4/4)-MAX($V32,DATOS!$C$23*3/4))))</f>
        <v>0</v>
      </c>
      <c r="AD32" s="30" t="n">
        <f aca="false">IF($L32&lt;&gt;"OK",0,PRESIONES!$C$12*((PRESIONES!$J$32-ABERTURAS!$L$62)*MAX(0,MIN($W32,DATOS!$C$23*1/4)-MAX($V32,DATOS!$C$23*0/4))+(PRESIONES!$J$33-ABERTURAS!$L$62)*MAX(0,MIN($W32,DATOS!$C$23*2/4)-MAX($V32,DATOS!$C$23*1/4))+(PRESIONES!$J$34-ABERTURAS!$L$62)*MAX(0,MIN($W32,DATOS!$C$23*3/4)-MAX($V32,DATOS!$C$23*2/4))+(PRESIONES!$J$35-ABERTURAS!$L$62)*MAX(0,MIN($W32,DATOS!$C$23*4/4)-MAX($V32,DATOS!$C$23*3/4))))</f>
        <v>0</v>
      </c>
      <c r="AE32" s="30" t="n">
        <f aca="false">IF($L32&lt;&gt;"OK",0,PRESIONES!$C$12*((PRESIONES!$M$32-ABERTURAS!$L$63)*MAX(0,MIN($W32,DATOS!$C$23*1/4)-MAX($V32,DATOS!$C$23*0/4))+(PRESIONES!$M$33-ABERTURAS!$L$63)*MAX(0,MIN($W32,DATOS!$C$23*2/4)-MAX($V32,DATOS!$C$23*1/4))+(PRESIONES!$M$34-ABERTURAS!$L$63)*MAX(0,MIN($W32,DATOS!$C$23*3/4)-MAX($V32,DATOS!$C$23*2/4))+(PRESIONES!$M$35-ABERTURAS!$L$63)*MAX(0,MIN($W32,DATOS!$C$23*4/4)-MAX($V32,DATOS!$C$23*3/4))))</f>
        <v>0</v>
      </c>
      <c r="AF32" s="30" t="n">
        <f aca="false">IF($L32&lt;&gt;"OK",0,PRESIONES!$C$12*((PRESIONES!$D$32-ABERTURAS!$L$64)*MAX(0,MIN($W32,DATOS!$C$23*1/4)-MAX($V32,DATOS!$C$23*0/4))+(PRESIONES!$D$33-ABERTURAS!$L$64)*MAX(0,MIN($W32,DATOS!$C$23*2/4)-MAX($V32,DATOS!$C$23*1/4))+(PRESIONES!$D$34-ABERTURAS!$L$64)*MAX(0,MIN($W32,DATOS!$C$23*3/4)-MAX($V32,DATOS!$C$23*2/4))+(PRESIONES!$D$35-ABERTURAS!$L$64)*MAX(0,MIN($W32,DATOS!$C$23*4/4)-MAX($V32,DATOS!$C$23*3/4))))</f>
        <v>0</v>
      </c>
      <c r="AG32" s="30" t="n">
        <f aca="false">IF($L32&lt;&gt;"OK",0,PRESIONES!$C$12*((PRESIONES!$G$32-ABERTURAS!$L$65)*MAX(0,MIN($W32,DATOS!$C$23*1/4)-MAX($V32,DATOS!$C$23*0/4))+(PRESIONES!$G$33-ABERTURAS!$L$65)*MAX(0,MIN($W32,DATOS!$C$23*2/4)-MAX($V32,DATOS!$C$23*1/4))+(PRESIONES!$G$34-ABERTURAS!$L$65)*MAX(0,MIN($W32,DATOS!$C$23*3/4)-MAX($V32,DATOS!$C$23*2/4))+(PRESIONES!$G$35-ABERTURAS!$L$65)*MAX(0,MIN($W32,DATOS!$C$23*4/4)-MAX($V32,DATOS!$C$23*3/4))))</f>
        <v>0</v>
      </c>
      <c r="AH32" s="30" t="n">
        <f aca="false">IF($L32&lt;&gt;"OK",0,PRESIONES!$C$12*((PRESIONES!$J$32-ABERTURAS!$L$66)*MAX(0,MIN($W32,DATOS!$C$23*1/4)-MAX($V32,DATOS!$C$23*0/4))+(PRESIONES!$J$33-ABERTURAS!$L$66)*MAX(0,MIN($W32,DATOS!$C$23*2/4)-MAX($V32,DATOS!$C$23*1/4))+(PRESIONES!$J$34-ABERTURAS!$L$66)*MAX(0,MIN($W32,DATOS!$C$23*3/4)-MAX($V32,DATOS!$C$23*2/4))+(PRESIONES!$J$35-ABERTURAS!$L$66)*MAX(0,MIN($W32,DATOS!$C$23*4/4)-MAX($V32,DATOS!$C$23*3/4))))</f>
        <v>0</v>
      </c>
      <c r="AI32" s="30" t="n">
        <f aca="false">IF($L32&lt;&gt;"OK",0,PRESIONES!$C$12*((PRESIONES!$M$32-ABERTURAS!$L$67)*MAX(0,MIN($W32,DATOS!$C$23*1/4)-MAX($V32,DATOS!$C$23*0/4))+(PRESIONES!$M$33-ABERTURAS!$L$67)*MAX(0,MIN($W32,DATOS!$C$23*2/4)-MAX($V32,DATOS!$C$23*1/4))+(PRESIONES!$M$34-ABERTURAS!$L$67)*MAX(0,MIN($W32,DATOS!$C$23*3/4)-MAX($V32,DATOS!$C$23*2/4))+(PRESIONES!$M$35-ABERTURAS!$L$67)*MAX(0,MIN($W32,DATOS!$C$23*4/4)-MAX($V32,DATOS!$C$23*3/4))))</f>
        <v>0</v>
      </c>
      <c r="AJ32" s="30" t="n">
        <f aca="false">IF($L32&lt;&gt;"OK",0,PRESIONES!$C$12*((PRESIONES!$D$32-ABERTURAS!$L$60)*MAX(0,MIN($W32,DATOS!$C$23*1/4)-MAX($V32,DATOS!$C$23*0/4))*PRESIONES!$C$18+(PRESIONES!$D$33-ABERTURAS!$L$60)*MAX(0,MIN($W32,DATOS!$C$23*2/4)-MAX($V32,DATOS!$C$23*1/4))*PRESIONES!$C$19+(PRESIONES!$D$34-ABERTURAS!$L$60)*MAX(0,MIN($W32,DATOS!$C$23*3/4)-MAX($V32,DATOS!$C$23*2/4))*PRESIONES!$C$20+(PRESIONES!$D$35-ABERTURAS!$L$60)*MAX(0,MIN($W32,DATOS!$C$23*4/4)-MAX($V32,DATOS!$C$23*3/4))*PRESIONES!$C$21))</f>
        <v>0</v>
      </c>
      <c r="AK32" s="30" t="n">
        <f aca="false">IF($L32&lt;&gt;"OK",0,PRESIONES!$C$12*((PRESIONES!$G$32-ABERTURAS!$L$61)*MAX(0,MIN($W32,DATOS!$C$23*1/4)-MAX($V32,DATOS!$C$23*0/4))*PRESIONES!$C$18+(PRESIONES!$G$33-ABERTURAS!$L$61)*MAX(0,MIN($W32,DATOS!$C$23*2/4)-MAX($V32,DATOS!$C$23*1/4))*PRESIONES!$C$19+(PRESIONES!$G$34-ABERTURAS!$L$61)*MAX(0,MIN($W32,DATOS!$C$23*3/4)-MAX($V32,DATOS!$C$23*2/4))*PRESIONES!$C$20+(PRESIONES!$G$35-ABERTURAS!$L$61)*MAX(0,MIN($W32,DATOS!$C$23*4/4)-MAX($V32,DATOS!$C$23*3/4))*PRESIONES!$C$21))</f>
        <v>0</v>
      </c>
      <c r="AL32" s="30" t="n">
        <f aca="false">IF($L32&lt;&gt;"OK",0,PRESIONES!$C$12*((PRESIONES!$J$32-ABERTURAS!$L$62)*MAX(0,MIN($W32,DATOS!$C$23*1/4)-MAX($V32,DATOS!$C$23*0/4))*PRESIONES!$C$18+(PRESIONES!$J$33-ABERTURAS!$L$62)*MAX(0,MIN($W32,DATOS!$C$23*2/4)-MAX($V32,DATOS!$C$23*1/4))*PRESIONES!$C$19+(PRESIONES!$J$34-ABERTURAS!$L$62)*MAX(0,MIN($W32,DATOS!$C$23*3/4)-MAX($V32,DATOS!$C$23*2/4))*PRESIONES!$C$20+(PRESIONES!$J$35-ABERTURAS!$L$62)*MAX(0,MIN($W32,DATOS!$C$23*4/4)-MAX($V32,DATOS!$C$23*3/4))*PRESIONES!$C$21))</f>
        <v>0</v>
      </c>
      <c r="AM32" s="30" t="n">
        <f aca="false">IF($L32&lt;&gt;"OK",0,PRESIONES!$C$12*((PRESIONES!$M$32-ABERTURAS!$L$63)*MAX(0,MIN($W32,DATOS!$C$23*1/4)-MAX($V32,DATOS!$C$23*0/4))*PRESIONES!$C$18+(PRESIONES!$M$33-ABERTURAS!$L$63)*MAX(0,MIN($W32,DATOS!$C$23*2/4)-MAX($V32,DATOS!$C$23*1/4))*PRESIONES!$C$19+(PRESIONES!$M$34-ABERTURAS!$L$63)*MAX(0,MIN($W32,DATOS!$C$23*3/4)-MAX($V32,DATOS!$C$23*2/4))*PRESIONES!$C$20+(PRESIONES!$M$35-ABERTURAS!$L$63)*MAX(0,MIN($W32,DATOS!$C$23*4/4)-MAX($V32,DATOS!$C$23*3/4))*PRESIONES!$C$21))</f>
        <v>0</v>
      </c>
      <c r="AN32" s="30" t="n">
        <f aca="false">IF($L32&lt;&gt;"OK",0,PRESIONES!$C$12*((PRESIONES!$D$32-ABERTURAS!$L$64)*MAX(0,MIN($W32,DATOS!$C$23*1/4)-MAX($V32,DATOS!$C$23*0/4))*PRESIONES!$C$18+(PRESIONES!$D$33-ABERTURAS!$L$64)*MAX(0,MIN($W32,DATOS!$C$23*2/4)-MAX($V32,DATOS!$C$23*1/4))*PRESIONES!$C$19+(PRESIONES!$D$34-ABERTURAS!$L$64)*MAX(0,MIN($W32,DATOS!$C$23*3/4)-MAX($V32,DATOS!$C$23*2/4))*PRESIONES!$C$20+(PRESIONES!$D$35-ABERTURAS!$L$64)*MAX(0,MIN($W32,DATOS!$C$23*4/4)-MAX($V32,DATOS!$C$23*3/4))*PRESIONES!$C$21))</f>
        <v>0</v>
      </c>
      <c r="AO32" s="30" t="n">
        <f aca="false">IF($L32&lt;&gt;"OK",0,PRESIONES!$C$12*((PRESIONES!$G$32-ABERTURAS!$L$65)*MAX(0,MIN($W32,DATOS!$C$23*1/4)-MAX($V32,DATOS!$C$23*0/4))*PRESIONES!$C$18+(PRESIONES!$G$33-ABERTURAS!$L$65)*MAX(0,MIN($W32,DATOS!$C$23*2/4)-MAX($V32,DATOS!$C$23*1/4))*PRESIONES!$C$19+(PRESIONES!$G$34-ABERTURAS!$L$65)*MAX(0,MIN($W32,DATOS!$C$23*3/4)-MAX($V32,DATOS!$C$23*2/4))*PRESIONES!$C$20+(PRESIONES!$G$35-ABERTURAS!$L$65)*MAX(0,MIN($W32,DATOS!$C$23*4/4)-MAX($V32,DATOS!$C$23*3/4))*PRESIONES!$C$21))</f>
        <v>0</v>
      </c>
      <c r="AP32" s="30" t="n">
        <f aca="false">IF($L32&lt;&gt;"OK",0,PRESIONES!$C$12*((PRESIONES!$J$32-ABERTURAS!$L$66)*MAX(0,MIN($W32,DATOS!$C$23*1/4)-MAX($V32,DATOS!$C$23*0/4))*PRESIONES!$C$18+(PRESIONES!$J$33-ABERTURAS!$L$66)*MAX(0,MIN($W32,DATOS!$C$23*2/4)-MAX($V32,DATOS!$C$23*1/4))*PRESIONES!$C$19+(PRESIONES!$J$34-ABERTURAS!$L$66)*MAX(0,MIN($W32,DATOS!$C$23*3/4)-MAX($V32,DATOS!$C$23*2/4))*PRESIONES!$C$20+(PRESIONES!$J$35-ABERTURAS!$L$66)*MAX(0,MIN($W32,DATOS!$C$23*4/4)-MAX($V32,DATOS!$C$23*3/4))*PRESIONES!$C$21))</f>
        <v>0</v>
      </c>
      <c r="AQ32" s="30" t="n">
        <f aca="false">IF($L32&lt;&gt;"OK",0,PRESIONES!$C$12*((PRESIONES!$M$32-ABERTURAS!$L$67)*MAX(0,MIN($W32,DATOS!$C$23*1/4)-MAX($V32,DATOS!$C$23*0/4))*PRESIONES!$C$18+(PRESIONES!$M$33-ABERTURAS!$L$67)*MAX(0,MIN($W32,DATOS!$C$23*2/4)-MAX($V32,DATOS!$C$23*1/4))*PRESIONES!$C$19+(PRESIONES!$M$34-ABERTURAS!$L$67)*MAX(0,MIN($W32,DATOS!$C$23*3/4)-MAX($V32,DATOS!$C$23*2/4))*PRESIONES!$C$20+(PRESIONES!$M$35-ABERTURAS!$L$67)*MAX(0,MIN($W32,DATOS!$C$23*4/4)-MAX($V32,DATOS!$C$23*3/4))*PRESIONES!$C$21))</f>
        <v>0</v>
      </c>
      <c r="AR32" s="30" t="n">
        <f aca="false">IF($L32&lt;&gt;"OK",0,PRESIONES!$C$12*((PRESIONES!$E$32-ABERTURAS!$L$60)*MAX(0,MIN($W32,DATOS!$C$23*1/4)-MAX($V32,DATOS!$C$23*0/4))+(PRESIONES!$E$33-ABERTURAS!$L$60)*MAX(0,MIN($W32,DATOS!$C$23*2/4)-MAX($V32,DATOS!$C$23*1/4))+(PRESIONES!$E$34-ABERTURAS!$L$60)*MAX(0,MIN($W32,DATOS!$C$23*3/4)-MAX($V32,DATOS!$C$23*2/4))+(PRESIONES!$E$35-ABERTURAS!$L$60)*MAX(0,MIN($W32,DATOS!$C$23*4/4)-MAX($V32,DATOS!$C$23*3/4))))</f>
        <v>0</v>
      </c>
      <c r="AS32" s="30" t="n">
        <f aca="false">IF($L32&lt;&gt;"OK",0,PRESIONES!$C$12*((PRESIONES!$H$32-ABERTURAS!$L$61)*MAX(0,MIN($W32,DATOS!$C$23*1/4)-MAX($V32,DATOS!$C$23*0/4))+(PRESIONES!$H$33-ABERTURAS!$L$61)*MAX(0,MIN($W32,DATOS!$C$23*2/4)-MAX($V32,DATOS!$C$23*1/4))+(PRESIONES!$H$34-ABERTURAS!$L$61)*MAX(0,MIN($W32,DATOS!$C$23*3/4)-MAX($V32,DATOS!$C$23*2/4))+(PRESIONES!$H$35-ABERTURAS!$L$61)*MAX(0,MIN($W32,DATOS!$C$23*4/4)-MAX($V32,DATOS!$C$23*3/4))))</f>
        <v>0</v>
      </c>
      <c r="AT32" s="30" t="n">
        <f aca="false">IF($L32&lt;&gt;"OK",0,PRESIONES!$C$12*((PRESIONES!$K$32-ABERTURAS!$L$62)*MAX(0,MIN($W32,DATOS!$C$23*1/4)-MAX($V32,DATOS!$C$23*0/4))+(PRESIONES!$K$33-ABERTURAS!$L$62)*MAX(0,MIN($W32,DATOS!$C$23*2/4)-MAX($V32,DATOS!$C$23*1/4))+(PRESIONES!$K$34-ABERTURAS!$L$62)*MAX(0,MIN($W32,DATOS!$C$23*3/4)-MAX($V32,DATOS!$C$23*2/4))+(PRESIONES!$K$35-ABERTURAS!$L$62)*MAX(0,MIN($W32,DATOS!$C$23*4/4)-MAX($V32,DATOS!$C$23*3/4))))</f>
        <v>0</v>
      </c>
      <c r="AU32" s="30" t="n">
        <f aca="false">IF($L32&lt;&gt;"OK",0,PRESIONES!$C$12*((PRESIONES!$N$32-ABERTURAS!$L$63)*MAX(0,MIN($W32,DATOS!$C$23*1/4)-MAX($V32,DATOS!$C$23*0/4))+(PRESIONES!$N$33-ABERTURAS!$L$63)*MAX(0,MIN($W32,DATOS!$C$23*2/4)-MAX($V32,DATOS!$C$23*1/4))+(PRESIONES!$N$34-ABERTURAS!$L$63)*MAX(0,MIN($W32,DATOS!$C$23*3/4)-MAX($V32,DATOS!$C$23*2/4))+(PRESIONES!$N$35-ABERTURAS!$L$63)*MAX(0,MIN($W32,DATOS!$C$23*4/4)-MAX($V32,DATOS!$C$23*3/4))))</f>
        <v>0</v>
      </c>
      <c r="AV32" s="30" t="n">
        <f aca="false">IF($L32&lt;&gt;"OK",0,PRESIONES!$C$12*((PRESIONES!$E$32-ABERTURAS!$L$64)*MAX(0,MIN($W32,DATOS!$C$23*1/4)-MAX($V32,DATOS!$C$23*0/4))+(PRESIONES!$E$33-ABERTURAS!$L$64)*MAX(0,MIN($W32,DATOS!$C$23*2/4)-MAX($V32,DATOS!$C$23*1/4))+(PRESIONES!$E$34-ABERTURAS!$L$64)*MAX(0,MIN($W32,DATOS!$C$23*3/4)-MAX($V32,DATOS!$C$23*2/4))+(PRESIONES!$E$35-ABERTURAS!$L$64)*MAX(0,MIN($W32,DATOS!$C$23*4/4)-MAX($V32,DATOS!$C$23*3/4))))</f>
        <v>0</v>
      </c>
      <c r="AW32" s="30" t="n">
        <f aca="false">IF($L32&lt;&gt;"OK",0,PRESIONES!$C$12*((PRESIONES!$H$32-ABERTURAS!$L$65)*MAX(0,MIN($W32,DATOS!$C$23*1/4)-MAX($V32,DATOS!$C$23*0/4))+(PRESIONES!$H$33-ABERTURAS!$L$65)*MAX(0,MIN($W32,DATOS!$C$23*2/4)-MAX($V32,DATOS!$C$23*1/4))+(PRESIONES!$H$34-ABERTURAS!$L$65)*MAX(0,MIN($W32,DATOS!$C$23*3/4)-MAX($V32,DATOS!$C$23*2/4))+(PRESIONES!$H$35-ABERTURAS!$L$65)*MAX(0,MIN($W32,DATOS!$C$23*4/4)-MAX($V32,DATOS!$C$23*3/4))))</f>
        <v>0</v>
      </c>
      <c r="AX32" s="30" t="n">
        <f aca="false">IF($L32&lt;&gt;"OK",0,PRESIONES!$C$12*((PRESIONES!$K$32-ABERTURAS!$L$66)*MAX(0,MIN($W32,DATOS!$C$23*1/4)-MAX($V32,DATOS!$C$23*0/4))+(PRESIONES!$K$33-ABERTURAS!$L$66)*MAX(0,MIN($W32,DATOS!$C$23*2/4)-MAX($V32,DATOS!$C$23*1/4))+(PRESIONES!$K$34-ABERTURAS!$L$66)*MAX(0,MIN($W32,DATOS!$C$23*3/4)-MAX($V32,DATOS!$C$23*2/4))+(PRESIONES!$K$35-ABERTURAS!$L$66)*MAX(0,MIN($W32,DATOS!$C$23*4/4)-MAX($V32,DATOS!$C$23*3/4))))</f>
        <v>0</v>
      </c>
      <c r="AY32" s="30" t="n">
        <f aca="false">IF($L32&lt;&gt;"OK",0,PRESIONES!$C$12*((PRESIONES!$N$32-ABERTURAS!$L$67)*MAX(0,MIN($W32,DATOS!$C$23*1/4)-MAX($V32,DATOS!$C$23*0/4))+(PRESIONES!$N$33-ABERTURAS!$L$67)*MAX(0,MIN($W32,DATOS!$C$23*2/4)-MAX($V32,DATOS!$C$23*1/4))+(PRESIONES!$N$34-ABERTURAS!$L$67)*MAX(0,MIN($W32,DATOS!$C$23*3/4)-MAX($V32,DATOS!$C$23*2/4))+(PRESIONES!$N$35-ABERTURAS!$L$67)*MAX(0,MIN($W32,DATOS!$C$23*4/4)-MAX($V32,DATOS!$C$23*3/4))))</f>
        <v>0</v>
      </c>
      <c r="AZ32" s="30" t="n">
        <f aca="false">IF($L32&lt;&gt;"OK",0,PRESIONES!$C$12*((PRESIONES!$E$32-ABERTURAS!$L$60)*MAX(0,MIN($W32,DATOS!$C$23*1/4)-MAX($V32,DATOS!$C$23*0/4))*PRESIONES!$C$18+(PRESIONES!$E$33-ABERTURAS!$L$60)*MAX(0,MIN($W32,DATOS!$C$23*2/4)-MAX($V32,DATOS!$C$23*1/4))*PRESIONES!$C$19+(PRESIONES!$E$34-ABERTURAS!$L$60)*MAX(0,MIN($W32,DATOS!$C$23*3/4)-MAX($V32,DATOS!$C$23*2/4))*PRESIONES!$C$20+(PRESIONES!$E$35-ABERTURAS!$L$60)*MAX(0,MIN($W32,DATOS!$C$23*4/4)-MAX($V32,DATOS!$C$23*3/4))*PRESIONES!$C$21))</f>
        <v>0</v>
      </c>
      <c r="BA32" s="30" t="n">
        <f aca="false">IF($L32&lt;&gt;"OK",0,PRESIONES!$C$12*((PRESIONES!$H$32-ABERTURAS!$L$61)*MAX(0,MIN($W32,DATOS!$C$23*1/4)-MAX($V32,DATOS!$C$23*0/4))*PRESIONES!$C$18+(PRESIONES!$H$33-ABERTURAS!$L$61)*MAX(0,MIN($W32,DATOS!$C$23*2/4)-MAX($V32,DATOS!$C$23*1/4))*PRESIONES!$C$19+(PRESIONES!$H$34-ABERTURAS!$L$61)*MAX(0,MIN($W32,DATOS!$C$23*3/4)-MAX($V32,DATOS!$C$23*2/4))*PRESIONES!$C$20+(PRESIONES!$H$35-ABERTURAS!$L$61)*MAX(0,MIN($W32,DATOS!$C$23*4/4)-MAX($V32,DATOS!$C$23*3/4))*PRESIONES!$C$21))</f>
        <v>0</v>
      </c>
      <c r="BB32" s="30" t="n">
        <f aca="false">IF($L32&lt;&gt;"OK",0,PRESIONES!$C$12*((PRESIONES!$K$32-ABERTURAS!$L$62)*MAX(0,MIN($W32,DATOS!$C$23*1/4)-MAX($V32,DATOS!$C$23*0/4))*PRESIONES!$C$18+(PRESIONES!$K$33-ABERTURAS!$L$62)*MAX(0,MIN($W32,DATOS!$C$23*2/4)-MAX($V32,DATOS!$C$23*1/4))*PRESIONES!$C$19+(PRESIONES!$K$34-ABERTURAS!$L$62)*MAX(0,MIN($W32,DATOS!$C$23*3/4)-MAX($V32,DATOS!$C$23*2/4))*PRESIONES!$C$20+(PRESIONES!$K$35-ABERTURAS!$L$62)*MAX(0,MIN($W32,DATOS!$C$23*4/4)-MAX($V32,DATOS!$C$23*3/4))*PRESIONES!$C$21))</f>
        <v>0</v>
      </c>
      <c r="BC32" s="30" t="n">
        <f aca="false">IF($L32&lt;&gt;"OK",0,PRESIONES!$C$12*((PRESIONES!$N$32-ABERTURAS!$L$63)*MAX(0,MIN($W32,DATOS!$C$23*1/4)-MAX($V32,DATOS!$C$23*0/4))*PRESIONES!$C$18+(PRESIONES!$N$33-ABERTURAS!$L$63)*MAX(0,MIN($W32,DATOS!$C$23*2/4)-MAX($V32,DATOS!$C$23*1/4))*PRESIONES!$C$19+(PRESIONES!$N$34-ABERTURAS!$L$63)*MAX(0,MIN($W32,DATOS!$C$23*3/4)-MAX($V32,DATOS!$C$23*2/4))*PRESIONES!$C$20+(PRESIONES!$N$35-ABERTURAS!$L$63)*MAX(0,MIN($W32,DATOS!$C$23*4/4)-MAX($V32,DATOS!$C$23*3/4))*PRESIONES!$C$21))</f>
        <v>0</v>
      </c>
      <c r="BD32" s="30" t="n">
        <f aca="false">IF($L32&lt;&gt;"OK",0,PRESIONES!$C$12*((PRESIONES!$E$32-ABERTURAS!$L$64)*MAX(0,MIN($W32,DATOS!$C$23*1/4)-MAX($V32,DATOS!$C$23*0/4))*PRESIONES!$C$18+(PRESIONES!$E$33-ABERTURAS!$L$64)*MAX(0,MIN($W32,DATOS!$C$23*2/4)-MAX($V32,DATOS!$C$23*1/4))*PRESIONES!$C$19+(PRESIONES!$E$34-ABERTURAS!$L$64)*MAX(0,MIN($W32,DATOS!$C$23*3/4)-MAX($V32,DATOS!$C$23*2/4))*PRESIONES!$C$20+(PRESIONES!$E$35-ABERTURAS!$L$64)*MAX(0,MIN($W32,DATOS!$C$23*4/4)-MAX($V32,DATOS!$C$23*3/4))*PRESIONES!$C$21))</f>
        <v>0</v>
      </c>
      <c r="BE32" s="30" t="n">
        <f aca="false">IF($L32&lt;&gt;"OK",0,PRESIONES!$C$12*((PRESIONES!$H$32-ABERTURAS!$L$65)*MAX(0,MIN($W32,DATOS!$C$23*1/4)-MAX($V32,DATOS!$C$23*0/4))*PRESIONES!$C$18+(PRESIONES!$H$33-ABERTURAS!$L$65)*MAX(0,MIN($W32,DATOS!$C$23*2/4)-MAX($V32,DATOS!$C$23*1/4))*PRESIONES!$C$19+(PRESIONES!$H$34-ABERTURAS!$L$65)*MAX(0,MIN($W32,DATOS!$C$23*3/4)-MAX($V32,DATOS!$C$23*2/4))*PRESIONES!$C$20+(PRESIONES!$H$35-ABERTURAS!$L$65)*MAX(0,MIN($W32,DATOS!$C$23*4/4)-MAX($V32,DATOS!$C$23*3/4))*PRESIONES!$C$21))</f>
        <v>0</v>
      </c>
      <c r="BF32" s="30" t="n">
        <f aca="false">IF($L32&lt;&gt;"OK",0,PRESIONES!$C$12*((PRESIONES!$K$32-ABERTURAS!$L$66)*MAX(0,MIN($W32,DATOS!$C$23*1/4)-MAX($V32,DATOS!$C$23*0/4))*PRESIONES!$C$18+(PRESIONES!$K$33-ABERTURAS!$L$66)*MAX(0,MIN($W32,DATOS!$C$23*2/4)-MAX($V32,DATOS!$C$23*1/4))*PRESIONES!$C$19+(PRESIONES!$K$34-ABERTURAS!$L$66)*MAX(0,MIN($W32,DATOS!$C$23*3/4)-MAX($V32,DATOS!$C$23*2/4))*PRESIONES!$C$20+(PRESIONES!$K$35-ABERTURAS!$L$66)*MAX(0,MIN($W32,DATOS!$C$23*4/4)-MAX($V32,DATOS!$C$23*3/4))*PRESIONES!$C$21))</f>
        <v>0</v>
      </c>
      <c r="BG32" s="30" t="n">
        <f aca="false">IF($L32&lt;&gt;"OK",0,PRESIONES!$C$12*((PRESIONES!$N$32-ABERTURAS!$L$67)*MAX(0,MIN($W32,DATOS!$C$23*1/4)-MAX($V32,DATOS!$C$23*0/4))*PRESIONES!$C$18+(PRESIONES!$N$33-ABERTURAS!$L$67)*MAX(0,MIN($W32,DATOS!$C$23*2/4)-MAX($V32,DATOS!$C$23*1/4))*PRESIONES!$C$19+(PRESIONES!$N$34-ABERTURAS!$L$67)*MAX(0,MIN($W32,DATOS!$C$23*3/4)-MAX($V32,DATOS!$C$23*2/4))*PRESIONES!$C$20+(PRESIONES!$N$35-ABERTURAS!$L$67)*MAX(0,MIN($W32,DATOS!$C$23*4/4)-MAX($V32,DATOS!$C$23*3/4))*PRESIONES!$C$21))</f>
        <v>0</v>
      </c>
    </row>
    <row r="33" customFormat="false" ht="15" hidden="false" customHeight="true" outlineLevel="0" collapsed="false">
      <c r="B33" s="27"/>
      <c r="C33" s="17"/>
      <c r="D33" s="27"/>
      <c r="E33" s="17"/>
      <c r="F33" s="49"/>
      <c r="G33" s="49"/>
      <c r="H33" s="49"/>
      <c r="I33" s="49"/>
      <c r="J33" s="49"/>
      <c r="K33" s="49"/>
      <c r="L33" s="20" t="str">
        <f aca="false">IF($D33="","",IF($C33&lt;&gt;"TECHO","PON TECHO",IF(OR($F33="",$G33="",$H33="",$I33=""),"FALTAN a o b",IF($M33&lt;=0,"a₂ DEBE SER &gt; a₁",IF($N33&lt;=0,"b₂ DEBE SER &gt; b₁",IF(OR($V33&lt;-0.001,$W33&gt;DATOS!$C$23+0.001),"SE SALE DEL TECHO","OK"))))))</f>
        <v/>
      </c>
      <c r="M33" s="30" t="n">
        <f aca="false">IF($D33="",0,MAX(0,$G33-$F33))</f>
        <v>0</v>
      </c>
      <c r="N33" s="30" t="n">
        <f aca="false">MAX(0,$W33-$V33)</f>
        <v>0</v>
      </c>
      <c r="O33" s="30" t="n">
        <f aca="false">$M33*$N33</f>
        <v>0</v>
      </c>
      <c r="P33" s="30" t="n">
        <v>0</v>
      </c>
      <c r="Q33" s="30" t="n">
        <v>0</v>
      </c>
      <c r="R33" s="30" t="n">
        <f aca="false">$O33</f>
        <v>0</v>
      </c>
      <c r="S33" s="30" t="n">
        <f aca="false">$O33</f>
        <v>0</v>
      </c>
      <c r="T33" s="50" t="n">
        <f aca="false">IF($D33="",0,DATOS!$C$21)</f>
        <v>0</v>
      </c>
      <c r="U33" s="50" t="n">
        <v>0</v>
      </c>
      <c r="V33" s="50" t="n">
        <f aca="false">IF($D33="",0,(N($H33)+IF($J33="",N($H33),$J33))/2)</f>
        <v>0</v>
      </c>
      <c r="W33" s="50" t="n">
        <f aca="false">IF($D33="",0,(N($I33)+IF($K33="",N($I33),$K33))/2)</f>
        <v>0</v>
      </c>
      <c r="AB33" s="30" t="n">
        <f aca="false">IF($L33&lt;&gt;"OK",0,PRESIONES!$C$12*((PRESIONES!$D$32-ABERTURAS!$L$60)*MAX(0,MIN($W33,DATOS!$C$23*1/4)-MAX($V33,DATOS!$C$23*0/4))+(PRESIONES!$D$33-ABERTURAS!$L$60)*MAX(0,MIN($W33,DATOS!$C$23*2/4)-MAX($V33,DATOS!$C$23*1/4))+(PRESIONES!$D$34-ABERTURAS!$L$60)*MAX(0,MIN($W33,DATOS!$C$23*3/4)-MAX($V33,DATOS!$C$23*2/4))+(PRESIONES!$D$35-ABERTURAS!$L$60)*MAX(0,MIN($W33,DATOS!$C$23*4/4)-MAX($V33,DATOS!$C$23*3/4))))</f>
        <v>0</v>
      </c>
      <c r="AC33" s="30" t="n">
        <f aca="false">IF($L33&lt;&gt;"OK",0,PRESIONES!$C$12*((PRESIONES!$G$32-ABERTURAS!$L$61)*MAX(0,MIN($W33,DATOS!$C$23*1/4)-MAX($V33,DATOS!$C$23*0/4))+(PRESIONES!$G$33-ABERTURAS!$L$61)*MAX(0,MIN($W33,DATOS!$C$23*2/4)-MAX($V33,DATOS!$C$23*1/4))+(PRESIONES!$G$34-ABERTURAS!$L$61)*MAX(0,MIN($W33,DATOS!$C$23*3/4)-MAX($V33,DATOS!$C$23*2/4))+(PRESIONES!$G$35-ABERTURAS!$L$61)*MAX(0,MIN($W33,DATOS!$C$23*4/4)-MAX($V33,DATOS!$C$23*3/4))))</f>
        <v>0</v>
      </c>
      <c r="AD33" s="30" t="n">
        <f aca="false">IF($L33&lt;&gt;"OK",0,PRESIONES!$C$12*((PRESIONES!$J$32-ABERTURAS!$L$62)*MAX(0,MIN($W33,DATOS!$C$23*1/4)-MAX($V33,DATOS!$C$23*0/4))+(PRESIONES!$J$33-ABERTURAS!$L$62)*MAX(0,MIN($W33,DATOS!$C$23*2/4)-MAX($V33,DATOS!$C$23*1/4))+(PRESIONES!$J$34-ABERTURAS!$L$62)*MAX(0,MIN($W33,DATOS!$C$23*3/4)-MAX($V33,DATOS!$C$23*2/4))+(PRESIONES!$J$35-ABERTURAS!$L$62)*MAX(0,MIN($W33,DATOS!$C$23*4/4)-MAX($V33,DATOS!$C$23*3/4))))</f>
        <v>0</v>
      </c>
      <c r="AE33" s="30" t="n">
        <f aca="false">IF($L33&lt;&gt;"OK",0,PRESIONES!$C$12*((PRESIONES!$M$32-ABERTURAS!$L$63)*MAX(0,MIN($W33,DATOS!$C$23*1/4)-MAX($V33,DATOS!$C$23*0/4))+(PRESIONES!$M$33-ABERTURAS!$L$63)*MAX(0,MIN($W33,DATOS!$C$23*2/4)-MAX($V33,DATOS!$C$23*1/4))+(PRESIONES!$M$34-ABERTURAS!$L$63)*MAX(0,MIN($W33,DATOS!$C$23*3/4)-MAX($V33,DATOS!$C$23*2/4))+(PRESIONES!$M$35-ABERTURAS!$L$63)*MAX(0,MIN($W33,DATOS!$C$23*4/4)-MAX($V33,DATOS!$C$23*3/4))))</f>
        <v>0</v>
      </c>
      <c r="AF33" s="30" t="n">
        <f aca="false">IF($L33&lt;&gt;"OK",0,PRESIONES!$C$12*((PRESIONES!$D$32-ABERTURAS!$L$64)*MAX(0,MIN($W33,DATOS!$C$23*1/4)-MAX($V33,DATOS!$C$23*0/4))+(PRESIONES!$D$33-ABERTURAS!$L$64)*MAX(0,MIN($W33,DATOS!$C$23*2/4)-MAX($V33,DATOS!$C$23*1/4))+(PRESIONES!$D$34-ABERTURAS!$L$64)*MAX(0,MIN($W33,DATOS!$C$23*3/4)-MAX($V33,DATOS!$C$23*2/4))+(PRESIONES!$D$35-ABERTURAS!$L$64)*MAX(0,MIN($W33,DATOS!$C$23*4/4)-MAX($V33,DATOS!$C$23*3/4))))</f>
        <v>0</v>
      </c>
      <c r="AG33" s="30" t="n">
        <f aca="false">IF($L33&lt;&gt;"OK",0,PRESIONES!$C$12*((PRESIONES!$G$32-ABERTURAS!$L$65)*MAX(0,MIN($W33,DATOS!$C$23*1/4)-MAX($V33,DATOS!$C$23*0/4))+(PRESIONES!$G$33-ABERTURAS!$L$65)*MAX(0,MIN($W33,DATOS!$C$23*2/4)-MAX($V33,DATOS!$C$23*1/4))+(PRESIONES!$G$34-ABERTURAS!$L$65)*MAX(0,MIN($W33,DATOS!$C$23*3/4)-MAX($V33,DATOS!$C$23*2/4))+(PRESIONES!$G$35-ABERTURAS!$L$65)*MAX(0,MIN($W33,DATOS!$C$23*4/4)-MAX($V33,DATOS!$C$23*3/4))))</f>
        <v>0</v>
      </c>
      <c r="AH33" s="30" t="n">
        <f aca="false">IF($L33&lt;&gt;"OK",0,PRESIONES!$C$12*((PRESIONES!$J$32-ABERTURAS!$L$66)*MAX(0,MIN($W33,DATOS!$C$23*1/4)-MAX($V33,DATOS!$C$23*0/4))+(PRESIONES!$J$33-ABERTURAS!$L$66)*MAX(0,MIN($W33,DATOS!$C$23*2/4)-MAX($V33,DATOS!$C$23*1/4))+(PRESIONES!$J$34-ABERTURAS!$L$66)*MAX(0,MIN($W33,DATOS!$C$23*3/4)-MAX($V33,DATOS!$C$23*2/4))+(PRESIONES!$J$35-ABERTURAS!$L$66)*MAX(0,MIN($W33,DATOS!$C$23*4/4)-MAX($V33,DATOS!$C$23*3/4))))</f>
        <v>0</v>
      </c>
      <c r="AI33" s="30" t="n">
        <f aca="false">IF($L33&lt;&gt;"OK",0,PRESIONES!$C$12*((PRESIONES!$M$32-ABERTURAS!$L$67)*MAX(0,MIN($W33,DATOS!$C$23*1/4)-MAX($V33,DATOS!$C$23*0/4))+(PRESIONES!$M$33-ABERTURAS!$L$67)*MAX(0,MIN($W33,DATOS!$C$23*2/4)-MAX($V33,DATOS!$C$23*1/4))+(PRESIONES!$M$34-ABERTURAS!$L$67)*MAX(0,MIN($W33,DATOS!$C$23*3/4)-MAX($V33,DATOS!$C$23*2/4))+(PRESIONES!$M$35-ABERTURAS!$L$67)*MAX(0,MIN($W33,DATOS!$C$23*4/4)-MAX($V33,DATOS!$C$23*3/4))))</f>
        <v>0</v>
      </c>
      <c r="AJ33" s="30" t="n">
        <f aca="false">IF($L33&lt;&gt;"OK",0,PRESIONES!$C$12*((PRESIONES!$D$32-ABERTURAS!$L$60)*MAX(0,MIN($W33,DATOS!$C$23*1/4)-MAX($V33,DATOS!$C$23*0/4))*PRESIONES!$C$18+(PRESIONES!$D$33-ABERTURAS!$L$60)*MAX(0,MIN($W33,DATOS!$C$23*2/4)-MAX($V33,DATOS!$C$23*1/4))*PRESIONES!$C$19+(PRESIONES!$D$34-ABERTURAS!$L$60)*MAX(0,MIN($W33,DATOS!$C$23*3/4)-MAX($V33,DATOS!$C$23*2/4))*PRESIONES!$C$20+(PRESIONES!$D$35-ABERTURAS!$L$60)*MAX(0,MIN($W33,DATOS!$C$23*4/4)-MAX($V33,DATOS!$C$23*3/4))*PRESIONES!$C$21))</f>
        <v>0</v>
      </c>
      <c r="AK33" s="30" t="n">
        <f aca="false">IF($L33&lt;&gt;"OK",0,PRESIONES!$C$12*((PRESIONES!$G$32-ABERTURAS!$L$61)*MAX(0,MIN($W33,DATOS!$C$23*1/4)-MAX($V33,DATOS!$C$23*0/4))*PRESIONES!$C$18+(PRESIONES!$G$33-ABERTURAS!$L$61)*MAX(0,MIN($W33,DATOS!$C$23*2/4)-MAX($V33,DATOS!$C$23*1/4))*PRESIONES!$C$19+(PRESIONES!$G$34-ABERTURAS!$L$61)*MAX(0,MIN($W33,DATOS!$C$23*3/4)-MAX($V33,DATOS!$C$23*2/4))*PRESIONES!$C$20+(PRESIONES!$G$35-ABERTURAS!$L$61)*MAX(0,MIN($W33,DATOS!$C$23*4/4)-MAX($V33,DATOS!$C$23*3/4))*PRESIONES!$C$21))</f>
        <v>0</v>
      </c>
      <c r="AL33" s="30" t="n">
        <f aca="false">IF($L33&lt;&gt;"OK",0,PRESIONES!$C$12*((PRESIONES!$J$32-ABERTURAS!$L$62)*MAX(0,MIN($W33,DATOS!$C$23*1/4)-MAX($V33,DATOS!$C$23*0/4))*PRESIONES!$C$18+(PRESIONES!$J$33-ABERTURAS!$L$62)*MAX(0,MIN($W33,DATOS!$C$23*2/4)-MAX($V33,DATOS!$C$23*1/4))*PRESIONES!$C$19+(PRESIONES!$J$34-ABERTURAS!$L$62)*MAX(0,MIN($W33,DATOS!$C$23*3/4)-MAX($V33,DATOS!$C$23*2/4))*PRESIONES!$C$20+(PRESIONES!$J$35-ABERTURAS!$L$62)*MAX(0,MIN($W33,DATOS!$C$23*4/4)-MAX($V33,DATOS!$C$23*3/4))*PRESIONES!$C$21))</f>
        <v>0</v>
      </c>
      <c r="AM33" s="30" t="n">
        <f aca="false">IF($L33&lt;&gt;"OK",0,PRESIONES!$C$12*((PRESIONES!$M$32-ABERTURAS!$L$63)*MAX(0,MIN($W33,DATOS!$C$23*1/4)-MAX($V33,DATOS!$C$23*0/4))*PRESIONES!$C$18+(PRESIONES!$M$33-ABERTURAS!$L$63)*MAX(0,MIN($W33,DATOS!$C$23*2/4)-MAX($V33,DATOS!$C$23*1/4))*PRESIONES!$C$19+(PRESIONES!$M$34-ABERTURAS!$L$63)*MAX(0,MIN($W33,DATOS!$C$23*3/4)-MAX($V33,DATOS!$C$23*2/4))*PRESIONES!$C$20+(PRESIONES!$M$35-ABERTURAS!$L$63)*MAX(0,MIN($W33,DATOS!$C$23*4/4)-MAX($V33,DATOS!$C$23*3/4))*PRESIONES!$C$21))</f>
        <v>0</v>
      </c>
      <c r="AN33" s="30" t="n">
        <f aca="false">IF($L33&lt;&gt;"OK",0,PRESIONES!$C$12*((PRESIONES!$D$32-ABERTURAS!$L$64)*MAX(0,MIN($W33,DATOS!$C$23*1/4)-MAX($V33,DATOS!$C$23*0/4))*PRESIONES!$C$18+(PRESIONES!$D$33-ABERTURAS!$L$64)*MAX(0,MIN($W33,DATOS!$C$23*2/4)-MAX($V33,DATOS!$C$23*1/4))*PRESIONES!$C$19+(PRESIONES!$D$34-ABERTURAS!$L$64)*MAX(0,MIN($W33,DATOS!$C$23*3/4)-MAX($V33,DATOS!$C$23*2/4))*PRESIONES!$C$20+(PRESIONES!$D$35-ABERTURAS!$L$64)*MAX(0,MIN($W33,DATOS!$C$23*4/4)-MAX($V33,DATOS!$C$23*3/4))*PRESIONES!$C$21))</f>
        <v>0</v>
      </c>
      <c r="AO33" s="30" t="n">
        <f aca="false">IF($L33&lt;&gt;"OK",0,PRESIONES!$C$12*((PRESIONES!$G$32-ABERTURAS!$L$65)*MAX(0,MIN($W33,DATOS!$C$23*1/4)-MAX($V33,DATOS!$C$23*0/4))*PRESIONES!$C$18+(PRESIONES!$G$33-ABERTURAS!$L$65)*MAX(0,MIN($W33,DATOS!$C$23*2/4)-MAX($V33,DATOS!$C$23*1/4))*PRESIONES!$C$19+(PRESIONES!$G$34-ABERTURAS!$L$65)*MAX(0,MIN($W33,DATOS!$C$23*3/4)-MAX($V33,DATOS!$C$23*2/4))*PRESIONES!$C$20+(PRESIONES!$G$35-ABERTURAS!$L$65)*MAX(0,MIN($W33,DATOS!$C$23*4/4)-MAX($V33,DATOS!$C$23*3/4))*PRESIONES!$C$21))</f>
        <v>0</v>
      </c>
      <c r="AP33" s="30" t="n">
        <f aca="false">IF($L33&lt;&gt;"OK",0,PRESIONES!$C$12*((PRESIONES!$J$32-ABERTURAS!$L$66)*MAX(0,MIN($W33,DATOS!$C$23*1/4)-MAX($V33,DATOS!$C$23*0/4))*PRESIONES!$C$18+(PRESIONES!$J$33-ABERTURAS!$L$66)*MAX(0,MIN($W33,DATOS!$C$23*2/4)-MAX($V33,DATOS!$C$23*1/4))*PRESIONES!$C$19+(PRESIONES!$J$34-ABERTURAS!$L$66)*MAX(0,MIN($W33,DATOS!$C$23*3/4)-MAX($V33,DATOS!$C$23*2/4))*PRESIONES!$C$20+(PRESIONES!$J$35-ABERTURAS!$L$66)*MAX(0,MIN($W33,DATOS!$C$23*4/4)-MAX($V33,DATOS!$C$23*3/4))*PRESIONES!$C$21))</f>
        <v>0</v>
      </c>
      <c r="AQ33" s="30" t="n">
        <f aca="false">IF($L33&lt;&gt;"OK",0,PRESIONES!$C$12*((PRESIONES!$M$32-ABERTURAS!$L$67)*MAX(0,MIN($W33,DATOS!$C$23*1/4)-MAX($V33,DATOS!$C$23*0/4))*PRESIONES!$C$18+(PRESIONES!$M$33-ABERTURAS!$L$67)*MAX(0,MIN($W33,DATOS!$C$23*2/4)-MAX($V33,DATOS!$C$23*1/4))*PRESIONES!$C$19+(PRESIONES!$M$34-ABERTURAS!$L$67)*MAX(0,MIN($W33,DATOS!$C$23*3/4)-MAX($V33,DATOS!$C$23*2/4))*PRESIONES!$C$20+(PRESIONES!$M$35-ABERTURAS!$L$67)*MAX(0,MIN($W33,DATOS!$C$23*4/4)-MAX($V33,DATOS!$C$23*3/4))*PRESIONES!$C$21))</f>
        <v>0</v>
      </c>
      <c r="AR33" s="30" t="n">
        <f aca="false">IF($L33&lt;&gt;"OK",0,PRESIONES!$C$12*((PRESIONES!$E$32-ABERTURAS!$L$60)*MAX(0,MIN($W33,DATOS!$C$23*1/4)-MAX($V33,DATOS!$C$23*0/4))+(PRESIONES!$E$33-ABERTURAS!$L$60)*MAX(0,MIN($W33,DATOS!$C$23*2/4)-MAX($V33,DATOS!$C$23*1/4))+(PRESIONES!$E$34-ABERTURAS!$L$60)*MAX(0,MIN($W33,DATOS!$C$23*3/4)-MAX($V33,DATOS!$C$23*2/4))+(PRESIONES!$E$35-ABERTURAS!$L$60)*MAX(0,MIN($W33,DATOS!$C$23*4/4)-MAX($V33,DATOS!$C$23*3/4))))</f>
        <v>0</v>
      </c>
      <c r="AS33" s="30" t="n">
        <f aca="false">IF($L33&lt;&gt;"OK",0,PRESIONES!$C$12*((PRESIONES!$H$32-ABERTURAS!$L$61)*MAX(0,MIN($W33,DATOS!$C$23*1/4)-MAX($V33,DATOS!$C$23*0/4))+(PRESIONES!$H$33-ABERTURAS!$L$61)*MAX(0,MIN($W33,DATOS!$C$23*2/4)-MAX($V33,DATOS!$C$23*1/4))+(PRESIONES!$H$34-ABERTURAS!$L$61)*MAX(0,MIN($W33,DATOS!$C$23*3/4)-MAX($V33,DATOS!$C$23*2/4))+(PRESIONES!$H$35-ABERTURAS!$L$61)*MAX(0,MIN($W33,DATOS!$C$23*4/4)-MAX($V33,DATOS!$C$23*3/4))))</f>
        <v>0</v>
      </c>
      <c r="AT33" s="30" t="n">
        <f aca="false">IF($L33&lt;&gt;"OK",0,PRESIONES!$C$12*((PRESIONES!$K$32-ABERTURAS!$L$62)*MAX(0,MIN($W33,DATOS!$C$23*1/4)-MAX($V33,DATOS!$C$23*0/4))+(PRESIONES!$K$33-ABERTURAS!$L$62)*MAX(0,MIN($W33,DATOS!$C$23*2/4)-MAX($V33,DATOS!$C$23*1/4))+(PRESIONES!$K$34-ABERTURAS!$L$62)*MAX(0,MIN($W33,DATOS!$C$23*3/4)-MAX($V33,DATOS!$C$23*2/4))+(PRESIONES!$K$35-ABERTURAS!$L$62)*MAX(0,MIN($W33,DATOS!$C$23*4/4)-MAX($V33,DATOS!$C$23*3/4))))</f>
        <v>0</v>
      </c>
      <c r="AU33" s="30" t="n">
        <f aca="false">IF($L33&lt;&gt;"OK",0,PRESIONES!$C$12*((PRESIONES!$N$32-ABERTURAS!$L$63)*MAX(0,MIN($W33,DATOS!$C$23*1/4)-MAX($V33,DATOS!$C$23*0/4))+(PRESIONES!$N$33-ABERTURAS!$L$63)*MAX(0,MIN($W33,DATOS!$C$23*2/4)-MAX($V33,DATOS!$C$23*1/4))+(PRESIONES!$N$34-ABERTURAS!$L$63)*MAX(0,MIN($W33,DATOS!$C$23*3/4)-MAX($V33,DATOS!$C$23*2/4))+(PRESIONES!$N$35-ABERTURAS!$L$63)*MAX(0,MIN($W33,DATOS!$C$23*4/4)-MAX($V33,DATOS!$C$23*3/4))))</f>
        <v>0</v>
      </c>
      <c r="AV33" s="30" t="n">
        <f aca="false">IF($L33&lt;&gt;"OK",0,PRESIONES!$C$12*((PRESIONES!$E$32-ABERTURAS!$L$64)*MAX(0,MIN($W33,DATOS!$C$23*1/4)-MAX($V33,DATOS!$C$23*0/4))+(PRESIONES!$E$33-ABERTURAS!$L$64)*MAX(0,MIN($W33,DATOS!$C$23*2/4)-MAX($V33,DATOS!$C$23*1/4))+(PRESIONES!$E$34-ABERTURAS!$L$64)*MAX(0,MIN($W33,DATOS!$C$23*3/4)-MAX($V33,DATOS!$C$23*2/4))+(PRESIONES!$E$35-ABERTURAS!$L$64)*MAX(0,MIN($W33,DATOS!$C$23*4/4)-MAX($V33,DATOS!$C$23*3/4))))</f>
        <v>0</v>
      </c>
      <c r="AW33" s="30" t="n">
        <f aca="false">IF($L33&lt;&gt;"OK",0,PRESIONES!$C$12*((PRESIONES!$H$32-ABERTURAS!$L$65)*MAX(0,MIN($W33,DATOS!$C$23*1/4)-MAX($V33,DATOS!$C$23*0/4))+(PRESIONES!$H$33-ABERTURAS!$L$65)*MAX(0,MIN($W33,DATOS!$C$23*2/4)-MAX($V33,DATOS!$C$23*1/4))+(PRESIONES!$H$34-ABERTURAS!$L$65)*MAX(0,MIN($W33,DATOS!$C$23*3/4)-MAX($V33,DATOS!$C$23*2/4))+(PRESIONES!$H$35-ABERTURAS!$L$65)*MAX(0,MIN($W33,DATOS!$C$23*4/4)-MAX($V33,DATOS!$C$23*3/4))))</f>
        <v>0</v>
      </c>
      <c r="AX33" s="30" t="n">
        <f aca="false">IF($L33&lt;&gt;"OK",0,PRESIONES!$C$12*((PRESIONES!$K$32-ABERTURAS!$L$66)*MAX(0,MIN($W33,DATOS!$C$23*1/4)-MAX($V33,DATOS!$C$23*0/4))+(PRESIONES!$K$33-ABERTURAS!$L$66)*MAX(0,MIN($W33,DATOS!$C$23*2/4)-MAX($V33,DATOS!$C$23*1/4))+(PRESIONES!$K$34-ABERTURAS!$L$66)*MAX(0,MIN($W33,DATOS!$C$23*3/4)-MAX($V33,DATOS!$C$23*2/4))+(PRESIONES!$K$35-ABERTURAS!$L$66)*MAX(0,MIN($W33,DATOS!$C$23*4/4)-MAX($V33,DATOS!$C$23*3/4))))</f>
        <v>0</v>
      </c>
      <c r="AY33" s="30" t="n">
        <f aca="false">IF($L33&lt;&gt;"OK",0,PRESIONES!$C$12*((PRESIONES!$N$32-ABERTURAS!$L$67)*MAX(0,MIN($W33,DATOS!$C$23*1/4)-MAX($V33,DATOS!$C$23*0/4))+(PRESIONES!$N$33-ABERTURAS!$L$67)*MAX(0,MIN($W33,DATOS!$C$23*2/4)-MAX($V33,DATOS!$C$23*1/4))+(PRESIONES!$N$34-ABERTURAS!$L$67)*MAX(0,MIN($W33,DATOS!$C$23*3/4)-MAX($V33,DATOS!$C$23*2/4))+(PRESIONES!$N$35-ABERTURAS!$L$67)*MAX(0,MIN($W33,DATOS!$C$23*4/4)-MAX($V33,DATOS!$C$23*3/4))))</f>
        <v>0</v>
      </c>
      <c r="AZ33" s="30" t="n">
        <f aca="false">IF($L33&lt;&gt;"OK",0,PRESIONES!$C$12*((PRESIONES!$E$32-ABERTURAS!$L$60)*MAX(0,MIN($W33,DATOS!$C$23*1/4)-MAX($V33,DATOS!$C$23*0/4))*PRESIONES!$C$18+(PRESIONES!$E$33-ABERTURAS!$L$60)*MAX(0,MIN($W33,DATOS!$C$23*2/4)-MAX($V33,DATOS!$C$23*1/4))*PRESIONES!$C$19+(PRESIONES!$E$34-ABERTURAS!$L$60)*MAX(0,MIN($W33,DATOS!$C$23*3/4)-MAX($V33,DATOS!$C$23*2/4))*PRESIONES!$C$20+(PRESIONES!$E$35-ABERTURAS!$L$60)*MAX(0,MIN($W33,DATOS!$C$23*4/4)-MAX($V33,DATOS!$C$23*3/4))*PRESIONES!$C$21))</f>
        <v>0</v>
      </c>
      <c r="BA33" s="30" t="n">
        <f aca="false">IF($L33&lt;&gt;"OK",0,PRESIONES!$C$12*((PRESIONES!$H$32-ABERTURAS!$L$61)*MAX(0,MIN($W33,DATOS!$C$23*1/4)-MAX($V33,DATOS!$C$23*0/4))*PRESIONES!$C$18+(PRESIONES!$H$33-ABERTURAS!$L$61)*MAX(0,MIN($W33,DATOS!$C$23*2/4)-MAX($V33,DATOS!$C$23*1/4))*PRESIONES!$C$19+(PRESIONES!$H$34-ABERTURAS!$L$61)*MAX(0,MIN($W33,DATOS!$C$23*3/4)-MAX($V33,DATOS!$C$23*2/4))*PRESIONES!$C$20+(PRESIONES!$H$35-ABERTURAS!$L$61)*MAX(0,MIN($W33,DATOS!$C$23*4/4)-MAX($V33,DATOS!$C$23*3/4))*PRESIONES!$C$21))</f>
        <v>0</v>
      </c>
      <c r="BB33" s="30" t="n">
        <f aca="false">IF($L33&lt;&gt;"OK",0,PRESIONES!$C$12*((PRESIONES!$K$32-ABERTURAS!$L$62)*MAX(0,MIN($W33,DATOS!$C$23*1/4)-MAX($V33,DATOS!$C$23*0/4))*PRESIONES!$C$18+(PRESIONES!$K$33-ABERTURAS!$L$62)*MAX(0,MIN($W33,DATOS!$C$23*2/4)-MAX($V33,DATOS!$C$23*1/4))*PRESIONES!$C$19+(PRESIONES!$K$34-ABERTURAS!$L$62)*MAX(0,MIN($W33,DATOS!$C$23*3/4)-MAX($V33,DATOS!$C$23*2/4))*PRESIONES!$C$20+(PRESIONES!$K$35-ABERTURAS!$L$62)*MAX(0,MIN($W33,DATOS!$C$23*4/4)-MAX($V33,DATOS!$C$23*3/4))*PRESIONES!$C$21))</f>
        <v>0</v>
      </c>
      <c r="BC33" s="30" t="n">
        <f aca="false">IF($L33&lt;&gt;"OK",0,PRESIONES!$C$12*((PRESIONES!$N$32-ABERTURAS!$L$63)*MAX(0,MIN($W33,DATOS!$C$23*1/4)-MAX($V33,DATOS!$C$23*0/4))*PRESIONES!$C$18+(PRESIONES!$N$33-ABERTURAS!$L$63)*MAX(0,MIN($W33,DATOS!$C$23*2/4)-MAX($V33,DATOS!$C$23*1/4))*PRESIONES!$C$19+(PRESIONES!$N$34-ABERTURAS!$L$63)*MAX(0,MIN($W33,DATOS!$C$23*3/4)-MAX($V33,DATOS!$C$23*2/4))*PRESIONES!$C$20+(PRESIONES!$N$35-ABERTURAS!$L$63)*MAX(0,MIN($W33,DATOS!$C$23*4/4)-MAX($V33,DATOS!$C$23*3/4))*PRESIONES!$C$21))</f>
        <v>0</v>
      </c>
      <c r="BD33" s="30" t="n">
        <f aca="false">IF($L33&lt;&gt;"OK",0,PRESIONES!$C$12*((PRESIONES!$E$32-ABERTURAS!$L$64)*MAX(0,MIN($W33,DATOS!$C$23*1/4)-MAX($V33,DATOS!$C$23*0/4))*PRESIONES!$C$18+(PRESIONES!$E$33-ABERTURAS!$L$64)*MAX(0,MIN($W33,DATOS!$C$23*2/4)-MAX($V33,DATOS!$C$23*1/4))*PRESIONES!$C$19+(PRESIONES!$E$34-ABERTURAS!$L$64)*MAX(0,MIN($W33,DATOS!$C$23*3/4)-MAX($V33,DATOS!$C$23*2/4))*PRESIONES!$C$20+(PRESIONES!$E$35-ABERTURAS!$L$64)*MAX(0,MIN($W33,DATOS!$C$23*4/4)-MAX($V33,DATOS!$C$23*3/4))*PRESIONES!$C$21))</f>
        <v>0</v>
      </c>
      <c r="BE33" s="30" t="n">
        <f aca="false">IF($L33&lt;&gt;"OK",0,PRESIONES!$C$12*((PRESIONES!$H$32-ABERTURAS!$L$65)*MAX(0,MIN($W33,DATOS!$C$23*1/4)-MAX($V33,DATOS!$C$23*0/4))*PRESIONES!$C$18+(PRESIONES!$H$33-ABERTURAS!$L$65)*MAX(0,MIN($W33,DATOS!$C$23*2/4)-MAX($V33,DATOS!$C$23*1/4))*PRESIONES!$C$19+(PRESIONES!$H$34-ABERTURAS!$L$65)*MAX(0,MIN($W33,DATOS!$C$23*3/4)-MAX($V33,DATOS!$C$23*2/4))*PRESIONES!$C$20+(PRESIONES!$H$35-ABERTURAS!$L$65)*MAX(0,MIN($W33,DATOS!$C$23*4/4)-MAX($V33,DATOS!$C$23*3/4))*PRESIONES!$C$21))</f>
        <v>0</v>
      </c>
      <c r="BF33" s="30" t="n">
        <f aca="false">IF($L33&lt;&gt;"OK",0,PRESIONES!$C$12*((PRESIONES!$K$32-ABERTURAS!$L$66)*MAX(0,MIN($W33,DATOS!$C$23*1/4)-MAX($V33,DATOS!$C$23*0/4))*PRESIONES!$C$18+(PRESIONES!$K$33-ABERTURAS!$L$66)*MAX(0,MIN($W33,DATOS!$C$23*2/4)-MAX($V33,DATOS!$C$23*1/4))*PRESIONES!$C$19+(PRESIONES!$K$34-ABERTURAS!$L$66)*MAX(0,MIN($W33,DATOS!$C$23*3/4)-MAX($V33,DATOS!$C$23*2/4))*PRESIONES!$C$20+(PRESIONES!$K$35-ABERTURAS!$L$66)*MAX(0,MIN($W33,DATOS!$C$23*4/4)-MAX($V33,DATOS!$C$23*3/4))*PRESIONES!$C$21))</f>
        <v>0</v>
      </c>
      <c r="BG33" s="30" t="n">
        <f aca="false">IF($L33&lt;&gt;"OK",0,PRESIONES!$C$12*((PRESIONES!$N$32-ABERTURAS!$L$67)*MAX(0,MIN($W33,DATOS!$C$23*1/4)-MAX($V33,DATOS!$C$23*0/4))*PRESIONES!$C$18+(PRESIONES!$N$33-ABERTURAS!$L$67)*MAX(0,MIN($W33,DATOS!$C$23*2/4)-MAX($V33,DATOS!$C$23*1/4))*PRESIONES!$C$19+(PRESIONES!$N$34-ABERTURAS!$L$67)*MAX(0,MIN($W33,DATOS!$C$23*3/4)-MAX($V33,DATOS!$C$23*2/4))*PRESIONES!$C$20+(PRESIONES!$N$35-ABERTURAS!$L$67)*MAX(0,MIN($W33,DATOS!$C$23*4/4)-MAX($V33,DATOS!$C$23*3/4))*PRESIONES!$C$21))</f>
        <v>0</v>
      </c>
    </row>
    <row r="34" customFormat="false" ht="15" hidden="false" customHeight="true" outlineLevel="0" collapsed="false">
      <c r="B34" s="27"/>
      <c r="C34" s="17"/>
      <c r="D34" s="27"/>
      <c r="E34" s="17"/>
      <c r="F34" s="49"/>
      <c r="G34" s="49"/>
      <c r="H34" s="49"/>
      <c r="I34" s="49"/>
      <c r="J34" s="49"/>
      <c r="K34" s="49"/>
      <c r="L34" s="20" t="str">
        <f aca="false">IF($D34="","",IF($C34&lt;&gt;"TECHO","PON TECHO",IF(OR($F34="",$G34="",$H34="",$I34=""),"FALTAN a o b",IF($M34&lt;=0,"a₂ DEBE SER &gt; a₁",IF($N34&lt;=0,"b₂ DEBE SER &gt; b₁",IF(OR($V34&lt;-0.001,$W34&gt;DATOS!$C$23+0.001),"SE SALE DEL TECHO","OK"))))))</f>
        <v/>
      </c>
      <c r="M34" s="30" t="n">
        <f aca="false">IF($D34="",0,MAX(0,$G34-$F34))</f>
        <v>0</v>
      </c>
      <c r="N34" s="30" t="n">
        <f aca="false">MAX(0,$W34-$V34)</f>
        <v>0</v>
      </c>
      <c r="O34" s="30" t="n">
        <f aca="false">$M34*$N34</f>
        <v>0</v>
      </c>
      <c r="P34" s="30" t="n">
        <v>0</v>
      </c>
      <c r="Q34" s="30" t="n">
        <v>0</v>
      </c>
      <c r="R34" s="30" t="n">
        <f aca="false">$O34</f>
        <v>0</v>
      </c>
      <c r="S34" s="30" t="n">
        <f aca="false">$O34</f>
        <v>0</v>
      </c>
      <c r="T34" s="50" t="n">
        <f aca="false">IF($D34="",0,DATOS!$C$21)</f>
        <v>0</v>
      </c>
      <c r="U34" s="50" t="n">
        <v>0</v>
      </c>
      <c r="V34" s="50" t="n">
        <f aca="false">IF($D34="",0,(N($H34)+IF($J34="",N($H34),$J34))/2)</f>
        <v>0</v>
      </c>
      <c r="W34" s="50" t="n">
        <f aca="false">IF($D34="",0,(N($I34)+IF($K34="",N($I34),$K34))/2)</f>
        <v>0</v>
      </c>
      <c r="AB34" s="30" t="n">
        <f aca="false">IF($L34&lt;&gt;"OK",0,PRESIONES!$C$12*((PRESIONES!$D$32-ABERTURAS!$L$60)*MAX(0,MIN($W34,DATOS!$C$23*1/4)-MAX($V34,DATOS!$C$23*0/4))+(PRESIONES!$D$33-ABERTURAS!$L$60)*MAX(0,MIN($W34,DATOS!$C$23*2/4)-MAX($V34,DATOS!$C$23*1/4))+(PRESIONES!$D$34-ABERTURAS!$L$60)*MAX(0,MIN($W34,DATOS!$C$23*3/4)-MAX($V34,DATOS!$C$23*2/4))+(PRESIONES!$D$35-ABERTURAS!$L$60)*MAX(0,MIN($W34,DATOS!$C$23*4/4)-MAX($V34,DATOS!$C$23*3/4))))</f>
        <v>0</v>
      </c>
      <c r="AC34" s="30" t="n">
        <f aca="false">IF($L34&lt;&gt;"OK",0,PRESIONES!$C$12*((PRESIONES!$G$32-ABERTURAS!$L$61)*MAX(0,MIN($W34,DATOS!$C$23*1/4)-MAX($V34,DATOS!$C$23*0/4))+(PRESIONES!$G$33-ABERTURAS!$L$61)*MAX(0,MIN($W34,DATOS!$C$23*2/4)-MAX($V34,DATOS!$C$23*1/4))+(PRESIONES!$G$34-ABERTURAS!$L$61)*MAX(0,MIN($W34,DATOS!$C$23*3/4)-MAX($V34,DATOS!$C$23*2/4))+(PRESIONES!$G$35-ABERTURAS!$L$61)*MAX(0,MIN($W34,DATOS!$C$23*4/4)-MAX($V34,DATOS!$C$23*3/4))))</f>
        <v>0</v>
      </c>
      <c r="AD34" s="30" t="n">
        <f aca="false">IF($L34&lt;&gt;"OK",0,PRESIONES!$C$12*((PRESIONES!$J$32-ABERTURAS!$L$62)*MAX(0,MIN($W34,DATOS!$C$23*1/4)-MAX($V34,DATOS!$C$23*0/4))+(PRESIONES!$J$33-ABERTURAS!$L$62)*MAX(0,MIN($W34,DATOS!$C$23*2/4)-MAX($V34,DATOS!$C$23*1/4))+(PRESIONES!$J$34-ABERTURAS!$L$62)*MAX(0,MIN($W34,DATOS!$C$23*3/4)-MAX($V34,DATOS!$C$23*2/4))+(PRESIONES!$J$35-ABERTURAS!$L$62)*MAX(0,MIN($W34,DATOS!$C$23*4/4)-MAX($V34,DATOS!$C$23*3/4))))</f>
        <v>0</v>
      </c>
      <c r="AE34" s="30" t="n">
        <f aca="false">IF($L34&lt;&gt;"OK",0,PRESIONES!$C$12*((PRESIONES!$M$32-ABERTURAS!$L$63)*MAX(0,MIN($W34,DATOS!$C$23*1/4)-MAX($V34,DATOS!$C$23*0/4))+(PRESIONES!$M$33-ABERTURAS!$L$63)*MAX(0,MIN($W34,DATOS!$C$23*2/4)-MAX($V34,DATOS!$C$23*1/4))+(PRESIONES!$M$34-ABERTURAS!$L$63)*MAX(0,MIN($W34,DATOS!$C$23*3/4)-MAX($V34,DATOS!$C$23*2/4))+(PRESIONES!$M$35-ABERTURAS!$L$63)*MAX(0,MIN($W34,DATOS!$C$23*4/4)-MAX($V34,DATOS!$C$23*3/4))))</f>
        <v>0</v>
      </c>
      <c r="AF34" s="30" t="n">
        <f aca="false">IF($L34&lt;&gt;"OK",0,PRESIONES!$C$12*((PRESIONES!$D$32-ABERTURAS!$L$64)*MAX(0,MIN($W34,DATOS!$C$23*1/4)-MAX($V34,DATOS!$C$23*0/4))+(PRESIONES!$D$33-ABERTURAS!$L$64)*MAX(0,MIN($W34,DATOS!$C$23*2/4)-MAX($V34,DATOS!$C$23*1/4))+(PRESIONES!$D$34-ABERTURAS!$L$64)*MAX(0,MIN($W34,DATOS!$C$23*3/4)-MAX($V34,DATOS!$C$23*2/4))+(PRESIONES!$D$35-ABERTURAS!$L$64)*MAX(0,MIN($W34,DATOS!$C$23*4/4)-MAX($V34,DATOS!$C$23*3/4))))</f>
        <v>0</v>
      </c>
      <c r="AG34" s="30" t="n">
        <f aca="false">IF($L34&lt;&gt;"OK",0,PRESIONES!$C$12*((PRESIONES!$G$32-ABERTURAS!$L$65)*MAX(0,MIN($W34,DATOS!$C$23*1/4)-MAX($V34,DATOS!$C$23*0/4))+(PRESIONES!$G$33-ABERTURAS!$L$65)*MAX(0,MIN($W34,DATOS!$C$23*2/4)-MAX($V34,DATOS!$C$23*1/4))+(PRESIONES!$G$34-ABERTURAS!$L$65)*MAX(0,MIN($W34,DATOS!$C$23*3/4)-MAX($V34,DATOS!$C$23*2/4))+(PRESIONES!$G$35-ABERTURAS!$L$65)*MAX(0,MIN($W34,DATOS!$C$23*4/4)-MAX($V34,DATOS!$C$23*3/4))))</f>
        <v>0</v>
      </c>
      <c r="AH34" s="30" t="n">
        <f aca="false">IF($L34&lt;&gt;"OK",0,PRESIONES!$C$12*((PRESIONES!$J$32-ABERTURAS!$L$66)*MAX(0,MIN($W34,DATOS!$C$23*1/4)-MAX($V34,DATOS!$C$23*0/4))+(PRESIONES!$J$33-ABERTURAS!$L$66)*MAX(0,MIN($W34,DATOS!$C$23*2/4)-MAX($V34,DATOS!$C$23*1/4))+(PRESIONES!$J$34-ABERTURAS!$L$66)*MAX(0,MIN($W34,DATOS!$C$23*3/4)-MAX($V34,DATOS!$C$23*2/4))+(PRESIONES!$J$35-ABERTURAS!$L$66)*MAX(0,MIN($W34,DATOS!$C$23*4/4)-MAX($V34,DATOS!$C$23*3/4))))</f>
        <v>0</v>
      </c>
      <c r="AI34" s="30" t="n">
        <f aca="false">IF($L34&lt;&gt;"OK",0,PRESIONES!$C$12*((PRESIONES!$M$32-ABERTURAS!$L$67)*MAX(0,MIN($W34,DATOS!$C$23*1/4)-MAX($V34,DATOS!$C$23*0/4))+(PRESIONES!$M$33-ABERTURAS!$L$67)*MAX(0,MIN($W34,DATOS!$C$23*2/4)-MAX($V34,DATOS!$C$23*1/4))+(PRESIONES!$M$34-ABERTURAS!$L$67)*MAX(0,MIN($W34,DATOS!$C$23*3/4)-MAX($V34,DATOS!$C$23*2/4))+(PRESIONES!$M$35-ABERTURAS!$L$67)*MAX(0,MIN($W34,DATOS!$C$23*4/4)-MAX($V34,DATOS!$C$23*3/4))))</f>
        <v>0</v>
      </c>
      <c r="AJ34" s="30" t="n">
        <f aca="false">IF($L34&lt;&gt;"OK",0,PRESIONES!$C$12*((PRESIONES!$D$32-ABERTURAS!$L$60)*MAX(0,MIN($W34,DATOS!$C$23*1/4)-MAX($V34,DATOS!$C$23*0/4))*PRESIONES!$C$18+(PRESIONES!$D$33-ABERTURAS!$L$60)*MAX(0,MIN($W34,DATOS!$C$23*2/4)-MAX($V34,DATOS!$C$23*1/4))*PRESIONES!$C$19+(PRESIONES!$D$34-ABERTURAS!$L$60)*MAX(0,MIN($W34,DATOS!$C$23*3/4)-MAX($V34,DATOS!$C$23*2/4))*PRESIONES!$C$20+(PRESIONES!$D$35-ABERTURAS!$L$60)*MAX(0,MIN($W34,DATOS!$C$23*4/4)-MAX($V34,DATOS!$C$23*3/4))*PRESIONES!$C$21))</f>
        <v>0</v>
      </c>
      <c r="AK34" s="30" t="n">
        <f aca="false">IF($L34&lt;&gt;"OK",0,PRESIONES!$C$12*((PRESIONES!$G$32-ABERTURAS!$L$61)*MAX(0,MIN($W34,DATOS!$C$23*1/4)-MAX($V34,DATOS!$C$23*0/4))*PRESIONES!$C$18+(PRESIONES!$G$33-ABERTURAS!$L$61)*MAX(0,MIN($W34,DATOS!$C$23*2/4)-MAX($V34,DATOS!$C$23*1/4))*PRESIONES!$C$19+(PRESIONES!$G$34-ABERTURAS!$L$61)*MAX(0,MIN($W34,DATOS!$C$23*3/4)-MAX($V34,DATOS!$C$23*2/4))*PRESIONES!$C$20+(PRESIONES!$G$35-ABERTURAS!$L$61)*MAX(0,MIN($W34,DATOS!$C$23*4/4)-MAX($V34,DATOS!$C$23*3/4))*PRESIONES!$C$21))</f>
        <v>0</v>
      </c>
      <c r="AL34" s="30" t="n">
        <f aca="false">IF($L34&lt;&gt;"OK",0,PRESIONES!$C$12*((PRESIONES!$J$32-ABERTURAS!$L$62)*MAX(0,MIN($W34,DATOS!$C$23*1/4)-MAX($V34,DATOS!$C$23*0/4))*PRESIONES!$C$18+(PRESIONES!$J$33-ABERTURAS!$L$62)*MAX(0,MIN($W34,DATOS!$C$23*2/4)-MAX($V34,DATOS!$C$23*1/4))*PRESIONES!$C$19+(PRESIONES!$J$34-ABERTURAS!$L$62)*MAX(0,MIN($W34,DATOS!$C$23*3/4)-MAX($V34,DATOS!$C$23*2/4))*PRESIONES!$C$20+(PRESIONES!$J$35-ABERTURAS!$L$62)*MAX(0,MIN($W34,DATOS!$C$23*4/4)-MAX($V34,DATOS!$C$23*3/4))*PRESIONES!$C$21))</f>
        <v>0</v>
      </c>
      <c r="AM34" s="30" t="n">
        <f aca="false">IF($L34&lt;&gt;"OK",0,PRESIONES!$C$12*((PRESIONES!$M$32-ABERTURAS!$L$63)*MAX(0,MIN($W34,DATOS!$C$23*1/4)-MAX($V34,DATOS!$C$23*0/4))*PRESIONES!$C$18+(PRESIONES!$M$33-ABERTURAS!$L$63)*MAX(0,MIN($W34,DATOS!$C$23*2/4)-MAX($V34,DATOS!$C$23*1/4))*PRESIONES!$C$19+(PRESIONES!$M$34-ABERTURAS!$L$63)*MAX(0,MIN($W34,DATOS!$C$23*3/4)-MAX($V34,DATOS!$C$23*2/4))*PRESIONES!$C$20+(PRESIONES!$M$35-ABERTURAS!$L$63)*MAX(0,MIN($W34,DATOS!$C$23*4/4)-MAX($V34,DATOS!$C$23*3/4))*PRESIONES!$C$21))</f>
        <v>0</v>
      </c>
      <c r="AN34" s="30" t="n">
        <f aca="false">IF($L34&lt;&gt;"OK",0,PRESIONES!$C$12*((PRESIONES!$D$32-ABERTURAS!$L$64)*MAX(0,MIN($W34,DATOS!$C$23*1/4)-MAX($V34,DATOS!$C$23*0/4))*PRESIONES!$C$18+(PRESIONES!$D$33-ABERTURAS!$L$64)*MAX(0,MIN($W34,DATOS!$C$23*2/4)-MAX($V34,DATOS!$C$23*1/4))*PRESIONES!$C$19+(PRESIONES!$D$34-ABERTURAS!$L$64)*MAX(0,MIN($W34,DATOS!$C$23*3/4)-MAX($V34,DATOS!$C$23*2/4))*PRESIONES!$C$20+(PRESIONES!$D$35-ABERTURAS!$L$64)*MAX(0,MIN($W34,DATOS!$C$23*4/4)-MAX($V34,DATOS!$C$23*3/4))*PRESIONES!$C$21))</f>
        <v>0</v>
      </c>
      <c r="AO34" s="30" t="n">
        <f aca="false">IF($L34&lt;&gt;"OK",0,PRESIONES!$C$12*((PRESIONES!$G$32-ABERTURAS!$L$65)*MAX(0,MIN($W34,DATOS!$C$23*1/4)-MAX($V34,DATOS!$C$23*0/4))*PRESIONES!$C$18+(PRESIONES!$G$33-ABERTURAS!$L$65)*MAX(0,MIN($W34,DATOS!$C$23*2/4)-MAX($V34,DATOS!$C$23*1/4))*PRESIONES!$C$19+(PRESIONES!$G$34-ABERTURAS!$L$65)*MAX(0,MIN($W34,DATOS!$C$23*3/4)-MAX($V34,DATOS!$C$23*2/4))*PRESIONES!$C$20+(PRESIONES!$G$35-ABERTURAS!$L$65)*MAX(0,MIN($W34,DATOS!$C$23*4/4)-MAX($V34,DATOS!$C$23*3/4))*PRESIONES!$C$21))</f>
        <v>0</v>
      </c>
      <c r="AP34" s="30" t="n">
        <f aca="false">IF($L34&lt;&gt;"OK",0,PRESIONES!$C$12*((PRESIONES!$J$32-ABERTURAS!$L$66)*MAX(0,MIN($W34,DATOS!$C$23*1/4)-MAX($V34,DATOS!$C$23*0/4))*PRESIONES!$C$18+(PRESIONES!$J$33-ABERTURAS!$L$66)*MAX(0,MIN($W34,DATOS!$C$23*2/4)-MAX($V34,DATOS!$C$23*1/4))*PRESIONES!$C$19+(PRESIONES!$J$34-ABERTURAS!$L$66)*MAX(0,MIN($W34,DATOS!$C$23*3/4)-MAX($V34,DATOS!$C$23*2/4))*PRESIONES!$C$20+(PRESIONES!$J$35-ABERTURAS!$L$66)*MAX(0,MIN($W34,DATOS!$C$23*4/4)-MAX($V34,DATOS!$C$23*3/4))*PRESIONES!$C$21))</f>
        <v>0</v>
      </c>
      <c r="AQ34" s="30" t="n">
        <f aca="false">IF($L34&lt;&gt;"OK",0,PRESIONES!$C$12*((PRESIONES!$M$32-ABERTURAS!$L$67)*MAX(0,MIN($W34,DATOS!$C$23*1/4)-MAX($V34,DATOS!$C$23*0/4))*PRESIONES!$C$18+(PRESIONES!$M$33-ABERTURAS!$L$67)*MAX(0,MIN($W34,DATOS!$C$23*2/4)-MAX($V34,DATOS!$C$23*1/4))*PRESIONES!$C$19+(PRESIONES!$M$34-ABERTURAS!$L$67)*MAX(0,MIN($W34,DATOS!$C$23*3/4)-MAX($V34,DATOS!$C$23*2/4))*PRESIONES!$C$20+(PRESIONES!$M$35-ABERTURAS!$L$67)*MAX(0,MIN($W34,DATOS!$C$23*4/4)-MAX($V34,DATOS!$C$23*3/4))*PRESIONES!$C$21))</f>
        <v>0</v>
      </c>
      <c r="AR34" s="30" t="n">
        <f aca="false">IF($L34&lt;&gt;"OK",0,PRESIONES!$C$12*((PRESIONES!$E$32-ABERTURAS!$L$60)*MAX(0,MIN($W34,DATOS!$C$23*1/4)-MAX($V34,DATOS!$C$23*0/4))+(PRESIONES!$E$33-ABERTURAS!$L$60)*MAX(0,MIN($W34,DATOS!$C$23*2/4)-MAX($V34,DATOS!$C$23*1/4))+(PRESIONES!$E$34-ABERTURAS!$L$60)*MAX(0,MIN($W34,DATOS!$C$23*3/4)-MAX($V34,DATOS!$C$23*2/4))+(PRESIONES!$E$35-ABERTURAS!$L$60)*MAX(0,MIN($W34,DATOS!$C$23*4/4)-MAX($V34,DATOS!$C$23*3/4))))</f>
        <v>0</v>
      </c>
      <c r="AS34" s="30" t="n">
        <f aca="false">IF($L34&lt;&gt;"OK",0,PRESIONES!$C$12*((PRESIONES!$H$32-ABERTURAS!$L$61)*MAX(0,MIN($W34,DATOS!$C$23*1/4)-MAX($V34,DATOS!$C$23*0/4))+(PRESIONES!$H$33-ABERTURAS!$L$61)*MAX(0,MIN($W34,DATOS!$C$23*2/4)-MAX($V34,DATOS!$C$23*1/4))+(PRESIONES!$H$34-ABERTURAS!$L$61)*MAX(0,MIN($W34,DATOS!$C$23*3/4)-MAX($V34,DATOS!$C$23*2/4))+(PRESIONES!$H$35-ABERTURAS!$L$61)*MAX(0,MIN($W34,DATOS!$C$23*4/4)-MAX($V34,DATOS!$C$23*3/4))))</f>
        <v>0</v>
      </c>
      <c r="AT34" s="30" t="n">
        <f aca="false">IF($L34&lt;&gt;"OK",0,PRESIONES!$C$12*((PRESIONES!$K$32-ABERTURAS!$L$62)*MAX(0,MIN($W34,DATOS!$C$23*1/4)-MAX($V34,DATOS!$C$23*0/4))+(PRESIONES!$K$33-ABERTURAS!$L$62)*MAX(0,MIN($W34,DATOS!$C$23*2/4)-MAX($V34,DATOS!$C$23*1/4))+(PRESIONES!$K$34-ABERTURAS!$L$62)*MAX(0,MIN($W34,DATOS!$C$23*3/4)-MAX($V34,DATOS!$C$23*2/4))+(PRESIONES!$K$35-ABERTURAS!$L$62)*MAX(0,MIN($W34,DATOS!$C$23*4/4)-MAX($V34,DATOS!$C$23*3/4))))</f>
        <v>0</v>
      </c>
      <c r="AU34" s="30" t="n">
        <f aca="false">IF($L34&lt;&gt;"OK",0,PRESIONES!$C$12*((PRESIONES!$N$32-ABERTURAS!$L$63)*MAX(0,MIN($W34,DATOS!$C$23*1/4)-MAX($V34,DATOS!$C$23*0/4))+(PRESIONES!$N$33-ABERTURAS!$L$63)*MAX(0,MIN($W34,DATOS!$C$23*2/4)-MAX($V34,DATOS!$C$23*1/4))+(PRESIONES!$N$34-ABERTURAS!$L$63)*MAX(0,MIN($W34,DATOS!$C$23*3/4)-MAX($V34,DATOS!$C$23*2/4))+(PRESIONES!$N$35-ABERTURAS!$L$63)*MAX(0,MIN($W34,DATOS!$C$23*4/4)-MAX($V34,DATOS!$C$23*3/4))))</f>
        <v>0</v>
      </c>
      <c r="AV34" s="30" t="n">
        <f aca="false">IF($L34&lt;&gt;"OK",0,PRESIONES!$C$12*((PRESIONES!$E$32-ABERTURAS!$L$64)*MAX(0,MIN($W34,DATOS!$C$23*1/4)-MAX($V34,DATOS!$C$23*0/4))+(PRESIONES!$E$33-ABERTURAS!$L$64)*MAX(0,MIN($W34,DATOS!$C$23*2/4)-MAX($V34,DATOS!$C$23*1/4))+(PRESIONES!$E$34-ABERTURAS!$L$64)*MAX(0,MIN($W34,DATOS!$C$23*3/4)-MAX($V34,DATOS!$C$23*2/4))+(PRESIONES!$E$35-ABERTURAS!$L$64)*MAX(0,MIN($W34,DATOS!$C$23*4/4)-MAX($V34,DATOS!$C$23*3/4))))</f>
        <v>0</v>
      </c>
      <c r="AW34" s="30" t="n">
        <f aca="false">IF($L34&lt;&gt;"OK",0,PRESIONES!$C$12*((PRESIONES!$H$32-ABERTURAS!$L$65)*MAX(0,MIN($W34,DATOS!$C$23*1/4)-MAX($V34,DATOS!$C$23*0/4))+(PRESIONES!$H$33-ABERTURAS!$L$65)*MAX(0,MIN($W34,DATOS!$C$23*2/4)-MAX($V34,DATOS!$C$23*1/4))+(PRESIONES!$H$34-ABERTURAS!$L$65)*MAX(0,MIN($W34,DATOS!$C$23*3/4)-MAX($V34,DATOS!$C$23*2/4))+(PRESIONES!$H$35-ABERTURAS!$L$65)*MAX(0,MIN($W34,DATOS!$C$23*4/4)-MAX($V34,DATOS!$C$23*3/4))))</f>
        <v>0</v>
      </c>
      <c r="AX34" s="30" t="n">
        <f aca="false">IF($L34&lt;&gt;"OK",0,PRESIONES!$C$12*((PRESIONES!$K$32-ABERTURAS!$L$66)*MAX(0,MIN($W34,DATOS!$C$23*1/4)-MAX($V34,DATOS!$C$23*0/4))+(PRESIONES!$K$33-ABERTURAS!$L$66)*MAX(0,MIN($W34,DATOS!$C$23*2/4)-MAX($V34,DATOS!$C$23*1/4))+(PRESIONES!$K$34-ABERTURAS!$L$66)*MAX(0,MIN($W34,DATOS!$C$23*3/4)-MAX($V34,DATOS!$C$23*2/4))+(PRESIONES!$K$35-ABERTURAS!$L$66)*MAX(0,MIN($W34,DATOS!$C$23*4/4)-MAX($V34,DATOS!$C$23*3/4))))</f>
        <v>0</v>
      </c>
      <c r="AY34" s="30" t="n">
        <f aca="false">IF($L34&lt;&gt;"OK",0,PRESIONES!$C$12*((PRESIONES!$N$32-ABERTURAS!$L$67)*MAX(0,MIN($W34,DATOS!$C$23*1/4)-MAX($V34,DATOS!$C$23*0/4))+(PRESIONES!$N$33-ABERTURAS!$L$67)*MAX(0,MIN($W34,DATOS!$C$23*2/4)-MAX($V34,DATOS!$C$23*1/4))+(PRESIONES!$N$34-ABERTURAS!$L$67)*MAX(0,MIN($W34,DATOS!$C$23*3/4)-MAX($V34,DATOS!$C$23*2/4))+(PRESIONES!$N$35-ABERTURAS!$L$67)*MAX(0,MIN($W34,DATOS!$C$23*4/4)-MAX($V34,DATOS!$C$23*3/4))))</f>
        <v>0</v>
      </c>
      <c r="AZ34" s="30" t="n">
        <f aca="false">IF($L34&lt;&gt;"OK",0,PRESIONES!$C$12*((PRESIONES!$E$32-ABERTURAS!$L$60)*MAX(0,MIN($W34,DATOS!$C$23*1/4)-MAX($V34,DATOS!$C$23*0/4))*PRESIONES!$C$18+(PRESIONES!$E$33-ABERTURAS!$L$60)*MAX(0,MIN($W34,DATOS!$C$23*2/4)-MAX($V34,DATOS!$C$23*1/4))*PRESIONES!$C$19+(PRESIONES!$E$34-ABERTURAS!$L$60)*MAX(0,MIN($W34,DATOS!$C$23*3/4)-MAX($V34,DATOS!$C$23*2/4))*PRESIONES!$C$20+(PRESIONES!$E$35-ABERTURAS!$L$60)*MAX(0,MIN($W34,DATOS!$C$23*4/4)-MAX($V34,DATOS!$C$23*3/4))*PRESIONES!$C$21))</f>
        <v>0</v>
      </c>
      <c r="BA34" s="30" t="n">
        <f aca="false">IF($L34&lt;&gt;"OK",0,PRESIONES!$C$12*((PRESIONES!$H$32-ABERTURAS!$L$61)*MAX(0,MIN($W34,DATOS!$C$23*1/4)-MAX($V34,DATOS!$C$23*0/4))*PRESIONES!$C$18+(PRESIONES!$H$33-ABERTURAS!$L$61)*MAX(0,MIN($W34,DATOS!$C$23*2/4)-MAX($V34,DATOS!$C$23*1/4))*PRESIONES!$C$19+(PRESIONES!$H$34-ABERTURAS!$L$61)*MAX(0,MIN($W34,DATOS!$C$23*3/4)-MAX($V34,DATOS!$C$23*2/4))*PRESIONES!$C$20+(PRESIONES!$H$35-ABERTURAS!$L$61)*MAX(0,MIN($W34,DATOS!$C$23*4/4)-MAX($V34,DATOS!$C$23*3/4))*PRESIONES!$C$21))</f>
        <v>0</v>
      </c>
      <c r="BB34" s="30" t="n">
        <f aca="false">IF($L34&lt;&gt;"OK",0,PRESIONES!$C$12*((PRESIONES!$K$32-ABERTURAS!$L$62)*MAX(0,MIN($W34,DATOS!$C$23*1/4)-MAX($V34,DATOS!$C$23*0/4))*PRESIONES!$C$18+(PRESIONES!$K$33-ABERTURAS!$L$62)*MAX(0,MIN($W34,DATOS!$C$23*2/4)-MAX($V34,DATOS!$C$23*1/4))*PRESIONES!$C$19+(PRESIONES!$K$34-ABERTURAS!$L$62)*MAX(0,MIN($W34,DATOS!$C$23*3/4)-MAX($V34,DATOS!$C$23*2/4))*PRESIONES!$C$20+(PRESIONES!$K$35-ABERTURAS!$L$62)*MAX(0,MIN($W34,DATOS!$C$23*4/4)-MAX($V34,DATOS!$C$23*3/4))*PRESIONES!$C$21))</f>
        <v>0</v>
      </c>
      <c r="BC34" s="30" t="n">
        <f aca="false">IF($L34&lt;&gt;"OK",0,PRESIONES!$C$12*((PRESIONES!$N$32-ABERTURAS!$L$63)*MAX(0,MIN($W34,DATOS!$C$23*1/4)-MAX($V34,DATOS!$C$23*0/4))*PRESIONES!$C$18+(PRESIONES!$N$33-ABERTURAS!$L$63)*MAX(0,MIN($W34,DATOS!$C$23*2/4)-MAX($V34,DATOS!$C$23*1/4))*PRESIONES!$C$19+(PRESIONES!$N$34-ABERTURAS!$L$63)*MAX(0,MIN($W34,DATOS!$C$23*3/4)-MAX($V34,DATOS!$C$23*2/4))*PRESIONES!$C$20+(PRESIONES!$N$35-ABERTURAS!$L$63)*MAX(0,MIN($W34,DATOS!$C$23*4/4)-MAX($V34,DATOS!$C$23*3/4))*PRESIONES!$C$21))</f>
        <v>0</v>
      </c>
      <c r="BD34" s="30" t="n">
        <f aca="false">IF($L34&lt;&gt;"OK",0,PRESIONES!$C$12*((PRESIONES!$E$32-ABERTURAS!$L$64)*MAX(0,MIN($W34,DATOS!$C$23*1/4)-MAX($V34,DATOS!$C$23*0/4))*PRESIONES!$C$18+(PRESIONES!$E$33-ABERTURAS!$L$64)*MAX(0,MIN($W34,DATOS!$C$23*2/4)-MAX($V34,DATOS!$C$23*1/4))*PRESIONES!$C$19+(PRESIONES!$E$34-ABERTURAS!$L$64)*MAX(0,MIN($W34,DATOS!$C$23*3/4)-MAX($V34,DATOS!$C$23*2/4))*PRESIONES!$C$20+(PRESIONES!$E$35-ABERTURAS!$L$64)*MAX(0,MIN($W34,DATOS!$C$23*4/4)-MAX($V34,DATOS!$C$23*3/4))*PRESIONES!$C$21))</f>
        <v>0</v>
      </c>
      <c r="BE34" s="30" t="n">
        <f aca="false">IF($L34&lt;&gt;"OK",0,PRESIONES!$C$12*((PRESIONES!$H$32-ABERTURAS!$L$65)*MAX(0,MIN($W34,DATOS!$C$23*1/4)-MAX($V34,DATOS!$C$23*0/4))*PRESIONES!$C$18+(PRESIONES!$H$33-ABERTURAS!$L$65)*MAX(0,MIN($W34,DATOS!$C$23*2/4)-MAX($V34,DATOS!$C$23*1/4))*PRESIONES!$C$19+(PRESIONES!$H$34-ABERTURAS!$L$65)*MAX(0,MIN($W34,DATOS!$C$23*3/4)-MAX($V34,DATOS!$C$23*2/4))*PRESIONES!$C$20+(PRESIONES!$H$35-ABERTURAS!$L$65)*MAX(0,MIN($W34,DATOS!$C$23*4/4)-MAX($V34,DATOS!$C$23*3/4))*PRESIONES!$C$21))</f>
        <v>0</v>
      </c>
      <c r="BF34" s="30" t="n">
        <f aca="false">IF($L34&lt;&gt;"OK",0,PRESIONES!$C$12*((PRESIONES!$K$32-ABERTURAS!$L$66)*MAX(0,MIN($W34,DATOS!$C$23*1/4)-MAX($V34,DATOS!$C$23*0/4))*PRESIONES!$C$18+(PRESIONES!$K$33-ABERTURAS!$L$66)*MAX(0,MIN($W34,DATOS!$C$23*2/4)-MAX($V34,DATOS!$C$23*1/4))*PRESIONES!$C$19+(PRESIONES!$K$34-ABERTURAS!$L$66)*MAX(0,MIN($W34,DATOS!$C$23*3/4)-MAX($V34,DATOS!$C$23*2/4))*PRESIONES!$C$20+(PRESIONES!$K$35-ABERTURAS!$L$66)*MAX(0,MIN($W34,DATOS!$C$23*4/4)-MAX($V34,DATOS!$C$23*3/4))*PRESIONES!$C$21))</f>
        <v>0</v>
      </c>
      <c r="BG34" s="30" t="n">
        <f aca="false">IF($L34&lt;&gt;"OK",0,PRESIONES!$C$12*((PRESIONES!$N$32-ABERTURAS!$L$67)*MAX(0,MIN($W34,DATOS!$C$23*1/4)-MAX($V34,DATOS!$C$23*0/4))*PRESIONES!$C$18+(PRESIONES!$N$33-ABERTURAS!$L$67)*MAX(0,MIN($W34,DATOS!$C$23*2/4)-MAX($V34,DATOS!$C$23*1/4))*PRESIONES!$C$19+(PRESIONES!$N$34-ABERTURAS!$L$67)*MAX(0,MIN($W34,DATOS!$C$23*3/4)-MAX($V34,DATOS!$C$23*2/4))*PRESIONES!$C$20+(PRESIONES!$N$35-ABERTURAS!$L$67)*MAX(0,MIN($W34,DATOS!$C$23*4/4)-MAX($V34,DATOS!$C$23*3/4))*PRESIONES!$C$21))</f>
        <v>0</v>
      </c>
    </row>
    <row r="35" customFormat="false" ht="15" hidden="false" customHeight="true" outlineLevel="0" collapsed="false">
      <c r="B35" s="27"/>
      <c r="C35" s="17"/>
      <c r="D35" s="27"/>
      <c r="E35" s="17"/>
      <c r="F35" s="49"/>
      <c r="G35" s="49"/>
      <c r="H35" s="49"/>
      <c r="I35" s="49"/>
      <c r="J35" s="49"/>
      <c r="K35" s="49"/>
      <c r="L35" s="20" t="str">
        <f aca="false">IF($D35="","",IF($C35&lt;&gt;"TECHO","PON TECHO",IF(OR($F35="",$G35="",$H35="",$I35=""),"FALTAN a o b",IF($M35&lt;=0,"a₂ DEBE SER &gt; a₁",IF($N35&lt;=0,"b₂ DEBE SER &gt; b₁",IF(OR($V35&lt;-0.001,$W35&gt;DATOS!$C$23+0.001),"SE SALE DEL TECHO","OK"))))))</f>
        <v/>
      </c>
      <c r="M35" s="30" t="n">
        <f aca="false">IF($D35="",0,MAX(0,$G35-$F35))</f>
        <v>0</v>
      </c>
      <c r="N35" s="30" t="n">
        <f aca="false">MAX(0,$W35-$V35)</f>
        <v>0</v>
      </c>
      <c r="O35" s="30" t="n">
        <f aca="false">$M35*$N35</f>
        <v>0</v>
      </c>
      <c r="P35" s="30" t="n">
        <v>0</v>
      </c>
      <c r="Q35" s="30" t="n">
        <v>0</v>
      </c>
      <c r="R35" s="30" t="n">
        <f aca="false">$O35</f>
        <v>0</v>
      </c>
      <c r="S35" s="30" t="n">
        <f aca="false">$O35</f>
        <v>0</v>
      </c>
      <c r="T35" s="50" t="n">
        <f aca="false">IF($D35="",0,DATOS!$C$21)</f>
        <v>0</v>
      </c>
      <c r="U35" s="50" t="n">
        <v>0</v>
      </c>
      <c r="V35" s="50" t="n">
        <f aca="false">IF($D35="",0,(N($H35)+IF($J35="",N($H35),$J35))/2)</f>
        <v>0</v>
      </c>
      <c r="W35" s="50" t="n">
        <f aca="false">IF($D35="",0,(N($I35)+IF($K35="",N($I35),$K35))/2)</f>
        <v>0</v>
      </c>
      <c r="AB35" s="30" t="n">
        <f aca="false">IF($L35&lt;&gt;"OK",0,PRESIONES!$C$12*((PRESIONES!$D$32-ABERTURAS!$L$60)*MAX(0,MIN($W35,DATOS!$C$23*1/4)-MAX($V35,DATOS!$C$23*0/4))+(PRESIONES!$D$33-ABERTURAS!$L$60)*MAX(0,MIN($W35,DATOS!$C$23*2/4)-MAX($V35,DATOS!$C$23*1/4))+(PRESIONES!$D$34-ABERTURAS!$L$60)*MAX(0,MIN($W35,DATOS!$C$23*3/4)-MAX($V35,DATOS!$C$23*2/4))+(PRESIONES!$D$35-ABERTURAS!$L$60)*MAX(0,MIN($W35,DATOS!$C$23*4/4)-MAX($V35,DATOS!$C$23*3/4))))</f>
        <v>0</v>
      </c>
      <c r="AC35" s="30" t="n">
        <f aca="false">IF($L35&lt;&gt;"OK",0,PRESIONES!$C$12*((PRESIONES!$G$32-ABERTURAS!$L$61)*MAX(0,MIN($W35,DATOS!$C$23*1/4)-MAX($V35,DATOS!$C$23*0/4))+(PRESIONES!$G$33-ABERTURAS!$L$61)*MAX(0,MIN($W35,DATOS!$C$23*2/4)-MAX($V35,DATOS!$C$23*1/4))+(PRESIONES!$G$34-ABERTURAS!$L$61)*MAX(0,MIN($W35,DATOS!$C$23*3/4)-MAX($V35,DATOS!$C$23*2/4))+(PRESIONES!$G$35-ABERTURAS!$L$61)*MAX(0,MIN($W35,DATOS!$C$23*4/4)-MAX($V35,DATOS!$C$23*3/4))))</f>
        <v>0</v>
      </c>
      <c r="AD35" s="30" t="n">
        <f aca="false">IF($L35&lt;&gt;"OK",0,PRESIONES!$C$12*((PRESIONES!$J$32-ABERTURAS!$L$62)*MAX(0,MIN($W35,DATOS!$C$23*1/4)-MAX($V35,DATOS!$C$23*0/4))+(PRESIONES!$J$33-ABERTURAS!$L$62)*MAX(0,MIN($W35,DATOS!$C$23*2/4)-MAX($V35,DATOS!$C$23*1/4))+(PRESIONES!$J$34-ABERTURAS!$L$62)*MAX(0,MIN($W35,DATOS!$C$23*3/4)-MAX($V35,DATOS!$C$23*2/4))+(PRESIONES!$J$35-ABERTURAS!$L$62)*MAX(0,MIN($W35,DATOS!$C$23*4/4)-MAX($V35,DATOS!$C$23*3/4))))</f>
        <v>0</v>
      </c>
      <c r="AE35" s="30" t="n">
        <f aca="false">IF($L35&lt;&gt;"OK",0,PRESIONES!$C$12*((PRESIONES!$M$32-ABERTURAS!$L$63)*MAX(0,MIN($W35,DATOS!$C$23*1/4)-MAX($V35,DATOS!$C$23*0/4))+(PRESIONES!$M$33-ABERTURAS!$L$63)*MAX(0,MIN($W35,DATOS!$C$23*2/4)-MAX($V35,DATOS!$C$23*1/4))+(PRESIONES!$M$34-ABERTURAS!$L$63)*MAX(0,MIN($W35,DATOS!$C$23*3/4)-MAX($V35,DATOS!$C$23*2/4))+(PRESIONES!$M$35-ABERTURAS!$L$63)*MAX(0,MIN($W35,DATOS!$C$23*4/4)-MAX($V35,DATOS!$C$23*3/4))))</f>
        <v>0</v>
      </c>
      <c r="AF35" s="30" t="n">
        <f aca="false">IF($L35&lt;&gt;"OK",0,PRESIONES!$C$12*((PRESIONES!$D$32-ABERTURAS!$L$64)*MAX(0,MIN($W35,DATOS!$C$23*1/4)-MAX($V35,DATOS!$C$23*0/4))+(PRESIONES!$D$33-ABERTURAS!$L$64)*MAX(0,MIN($W35,DATOS!$C$23*2/4)-MAX($V35,DATOS!$C$23*1/4))+(PRESIONES!$D$34-ABERTURAS!$L$64)*MAX(0,MIN($W35,DATOS!$C$23*3/4)-MAX($V35,DATOS!$C$23*2/4))+(PRESIONES!$D$35-ABERTURAS!$L$64)*MAX(0,MIN($W35,DATOS!$C$23*4/4)-MAX($V35,DATOS!$C$23*3/4))))</f>
        <v>0</v>
      </c>
      <c r="AG35" s="30" t="n">
        <f aca="false">IF($L35&lt;&gt;"OK",0,PRESIONES!$C$12*((PRESIONES!$G$32-ABERTURAS!$L$65)*MAX(0,MIN($W35,DATOS!$C$23*1/4)-MAX($V35,DATOS!$C$23*0/4))+(PRESIONES!$G$33-ABERTURAS!$L$65)*MAX(0,MIN($W35,DATOS!$C$23*2/4)-MAX($V35,DATOS!$C$23*1/4))+(PRESIONES!$G$34-ABERTURAS!$L$65)*MAX(0,MIN($W35,DATOS!$C$23*3/4)-MAX($V35,DATOS!$C$23*2/4))+(PRESIONES!$G$35-ABERTURAS!$L$65)*MAX(0,MIN($W35,DATOS!$C$23*4/4)-MAX($V35,DATOS!$C$23*3/4))))</f>
        <v>0</v>
      </c>
      <c r="AH35" s="30" t="n">
        <f aca="false">IF($L35&lt;&gt;"OK",0,PRESIONES!$C$12*((PRESIONES!$J$32-ABERTURAS!$L$66)*MAX(0,MIN($W35,DATOS!$C$23*1/4)-MAX($V35,DATOS!$C$23*0/4))+(PRESIONES!$J$33-ABERTURAS!$L$66)*MAX(0,MIN($W35,DATOS!$C$23*2/4)-MAX($V35,DATOS!$C$23*1/4))+(PRESIONES!$J$34-ABERTURAS!$L$66)*MAX(0,MIN($W35,DATOS!$C$23*3/4)-MAX($V35,DATOS!$C$23*2/4))+(PRESIONES!$J$35-ABERTURAS!$L$66)*MAX(0,MIN($W35,DATOS!$C$23*4/4)-MAX($V35,DATOS!$C$23*3/4))))</f>
        <v>0</v>
      </c>
      <c r="AI35" s="30" t="n">
        <f aca="false">IF($L35&lt;&gt;"OK",0,PRESIONES!$C$12*((PRESIONES!$M$32-ABERTURAS!$L$67)*MAX(0,MIN($W35,DATOS!$C$23*1/4)-MAX($V35,DATOS!$C$23*0/4))+(PRESIONES!$M$33-ABERTURAS!$L$67)*MAX(0,MIN($W35,DATOS!$C$23*2/4)-MAX($V35,DATOS!$C$23*1/4))+(PRESIONES!$M$34-ABERTURAS!$L$67)*MAX(0,MIN($W35,DATOS!$C$23*3/4)-MAX($V35,DATOS!$C$23*2/4))+(PRESIONES!$M$35-ABERTURAS!$L$67)*MAX(0,MIN($W35,DATOS!$C$23*4/4)-MAX($V35,DATOS!$C$23*3/4))))</f>
        <v>0</v>
      </c>
      <c r="AJ35" s="30" t="n">
        <f aca="false">IF($L35&lt;&gt;"OK",0,PRESIONES!$C$12*((PRESIONES!$D$32-ABERTURAS!$L$60)*MAX(0,MIN($W35,DATOS!$C$23*1/4)-MAX($V35,DATOS!$C$23*0/4))*PRESIONES!$C$18+(PRESIONES!$D$33-ABERTURAS!$L$60)*MAX(0,MIN($W35,DATOS!$C$23*2/4)-MAX($V35,DATOS!$C$23*1/4))*PRESIONES!$C$19+(PRESIONES!$D$34-ABERTURAS!$L$60)*MAX(0,MIN($W35,DATOS!$C$23*3/4)-MAX($V35,DATOS!$C$23*2/4))*PRESIONES!$C$20+(PRESIONES!$D$35-ABERTURAS!$L$60)*MAX(0,MIN($W35,DATOS!$C$23*4/4)-MAX($V35,DATOS!$C$23*3/4))*PRESIONES!$C$21))</f>
        <v>0</v>
      </c>
      <c r="AK35" s="30" t="n">
        <f aca="false">IF($L35&lt;&gt;"OK",0,PRESIONES!$C$12*((PRESIONES!$G$32-ABERTURAS!$L$61)*MAX(0,MIN($W35,DATOS!$C$23*1/4)-MAX($V35,DATOS!$C$23*0/4))*PRESIONES!$C$18+(PRESIONES!$G$33-ABERTURAS!$L$61)*MAX(0,MIN($W35,DATOS!$C$23*2/4)-MAX($V35,DATOS!$C$23*1/4))*PRESIONES!$C$19+(PRESIONES!$G$34-ABERTURAS!$L$61)*MAX(0,MIN($W35,DATOS!$C$23*3/4)-MAX($V35,DATOS!$C$23*2/4))*PRESIONES!$C$20+(PRESIONES!$G$35-ABERTURAS!$L$61)*MAX(0,MIN($W35,DATOS!$C$23*4/4)-MAX($V35,DATOS!$C$23*3/4))*PRESIONES!$C$21))</f>
        <v>0</v>
      </c>
      <c r="AL35" s="30" t="n">
        <f aca="false">IF($L35&lt;&gt;"OK",0,PRESIONES!$C$12*((PRESIONES!$J$32-ABERTURAS!$L$62)*MAX(0,MIN($W35,DATOS!$C$23*1/4)-MAX($V35,DATOS!$C$23*0/4))*PRESIONES!$C$18+(PRESIONES!$J$33-ABERTURAS!$L$62)*MAX(0,MIN($W35,DATOS!$C$23*2/4)-MAX($V35,DATOS!$C$23*1/4))*PRESIONES!$C$19+(PRESIONES!$J$34-ABERTURAS!$L$62)*MAX(0,MIN($W35,DATOS!$C$23*3/4)-MAX($V35,DATOS!$C$23*2/4))*PRESIONES!$C$20+(PRESIONES!$J$35-ABERTURAS!$L$62)*MAX(0,MIN($W35,DATOS!$C$23*4/4)-MAX($V35,DATOS!$C$23*3/4))*PRESIONES!$C$21))</f>
        <v>0</v>
      </c>
      <c r="AM35" s="30" t="n">
        <f aca="false">IF($L35&lt;&gt;"OK",0,PRESIONES!$C$12*((PRESIONES!$M$32-ABERTURAS!$L$63)*MAX(0,MIN($W35,DATOS!$C$23*1/4)-MAX($V35,DATOS!$C$23*0/4))*PRESIONES!$C$18+(PRESIONES!$M$33-ABERTURAS!$L$63)*MAX(0,MIN($W35,DATOS!$C$23*2/4)-MAX($V35,DATOS!$C$23*1/4))*PRESIONES!$C$19+(PRESIONES!$M$34-ABERTURAS!$L$63)*MAX(0,MIN($W35,DATOS!$C$23*3/4)-MAX($V35,DATOS!$C$23*2/4))*PRESIONES!$C$20+(PRESIONES!$M$35-ABERTURAS!$L$63)*MAX(0,MIN($W35,DATOS!$C$23*4/4)-MAX($V35,DATOS!$C$23*3/4))*PRESIONES!$C$21))</f>
        <v>0</v>
      </c>
      <c r="AN35" s="30" t="n">
        <f aca="false">IF($L35&lt;&gt;"OK",0,PRESIONES!$C$12*((PRESIONES!$D$32-ABERTURAS!$L$64)*MAX(0,MIN($W35,DATOS!$C$23*1/4)-MAX($V35,DATOS!$C$23*0/4))*PRESIONES!$C$18+(PRESIONES!$D$33-ABERTURAS!$L$64)*MAX(0,MIN($W35,DATOS!$C$23*2/4)-MAX($V35,DATOS!$C$23*1/4))*PRESIONES!$C$19+(PRESIONES!$D$34-ABERTURAS!$L$64)*MAX(0,MIN($W35,DATOS!$C$23*3/4)-MAX($V35,DATOS!$C$23*2/4))*PRESIONES!$C$20+(PRESIONES!$D$35-ABERTURAS!$L$64)*MAX(0,MIN($W35,DATOS!$C$23*4/4)-MAX($V35,DATOS!$C$23*3/4))*PRESIONES!$C$21))</f>
        <v>0</v>
      </c>
      <c r="AO35" s="30" t="n">
        <f aca="false">IF($L35&lt;&gt;"OK",0,PRESIONES!$C$12*((PRESIONES!$G$32-ABERTURAS!$L$65)*MAX(0,MIN($W35,DATOS!$C$23*1/4)-MAX($V35,DATOS!$C$23*0/4))*PRESIONES!$C$18+(PRESIONES!$G$33-ABERTURAS!$L$65)*MAX(0,MIN($W35,DATOS!$C$23*2/4)-MAX($V35,DATOS!$C$23*1/4))*PRESIONES!$C$19+(PRESIONES!$G$34-ABERTURAS!$L$65)*MAX(0,MIN($W35,DATOS!$C$23*3/4)-MAX($V35,DATOS!$C$23*2/4))*PRESIONES!$C$20+(PRESIONES!$G$35-ABERTURAS!$L$65)*MAX(0,MIN($W35,DATOS!$C$23*4/4)-MAX($V35,DATOS!$C$23*3/4))*PRESIONES!$C$21))</f>
        <v>0</v>
      </c>
      <c r="AP35" s="30" t="n">
        <f aca="false">IF($L35&lt;&gt;"OK",0,PRESIONES!$C$12*((PRESIONES!$J$32-ABERTURAS!$L$66)*MAX(0,MIN($W35,DATOS!$C$23*1/4)-MAX($V35,DATOS!$C$23*0/4))*PRESIONES!$C$18+(PRESIONES!$J$33-ABERTURAS!$L$66)*MAX(0,MIN($W35,DATOS!$C$23*2/4)-MAX($V35,DATOS!$C$23*1/4))*PRESIONES!$C$19+(PRESIONES!$J$34-ABERTURAS!$L$66)*MAX(0,MIN($W35,DATOS!$C$23*3/4)-MAX($V35,DATOS!$C$23*2/4))*PRESIONES!$C$20+(PRESIONES!$J$35-ABERTURAS!$L$66)*MAX(0,MIN($W35,DATOS!$C$23*4/4)-MAX($V35,DATOS!$C$23*3/4))*PRESIONES!$C$21))</f>
        <v>0</v>
      </c>
      <c r="AQ35" s="30" t="n">
        <f aca="false">IF($L35&lt;&gt;"OK",0,PRESIONES!$C$12*((PRESIONES!$M$32-ABERTURAS!$L$67)*MAX(0,MIN($W35,DATOS!$C$23*1/4)-MAX($V35,DATOS!$C$23*0/4))*PRESIONES!$C$18+(PRESIONES!$M$33-ABERTURAS!$L$67)*MAX(0,MIN($W35,DATOS!$C$23*2/4)-MAX($V35,DATOS!$C$23*1/4))*PRESIONES!$C$19+(PRESIONES!$M$34-ABERTURAS!$L$67)*MAX(0,MIN($W35,DATOS!$C$23*3/4)-MAX($V35,DATOS!$C$23*2/4))*PRESIONES!$C$20+(PRESIONES!$M$35-ABERTURAS!$L$67)*MAX(0,MIN($W35,DATOS!$C$23*4/4)-MAX($V35,DATOS!$C$23*3/4))*PRESIONES!$C$21))</f>
        <v>0</v>
      </c>
      <c r="AR35" s="30" t="n">
        <f aca="false">IF($L35&lt;&gt;"OK",0,PRESIONES!$C$12*((PRESIONES!$E$32-ABERTURAS!$L$60)*MAX(0,MIN($W35,DATOS!$C$23*1/4)-MAX($V35,DATOS!$C$23*0/4))+(PRESIONES!$E$33-ABERTURAS!$L$60)*MAX(0,MIN($W35,DATOS!$C$23*2/4)-MAX($V35,DATOS!$C$23*1/4))+(PRESIONES!$E$34-ABERTURAS!$L$60)*MAX(0,MIN($W35,DATOS!$C$23*3/4)-MAX($V35,DATOS!$C$23*2/4))+(PRESIONES!$E$35-ABERTURAS!$L$60)*MAX(0,MIN($W35,DATOS!$C$23*4/4)-MAX($V35,DATOS!$C$23*3/4))))</f>
        <v>0</v>
      </c>
      <c r="AS35" s="30" t="n">
        <f aca="false">IF($L35&lt;&gt;"OK",0,PRESIONES!$C$12*((PRESIONES!$H$32-ABERTURAS!$L$61)*MAX(0,MIN($W35,DATOS!$C$23*1/4)-MAX($V35,DATOS!$C$23*0/4))+(PRESIONES!$H$33-ABERTURAS!$L$61)*MAX(0,MIN($W35,DATOS!$C$23*2/4)-MAX($V35,DATOS!$C$23*1/4))+(PRESIONES!$H$34-ABERTURAS!$L$61)*MAX(0,MIN($W35,DATOS!$C$23*3/4)-MAX($V35,DATOS!$C$23*2/4))+(PRESIONES!$H$35-ABERTURAS!$L$61)*MAX(0,MIN($W35,DATOS!$C$23*4/4)-MAX($V35,DATOS!$C$23*3/4))))</f>
        <v>0</v>
      </c>
      <c r="AT35" s="30" t="n">
        <f aca="false">IF($L35&lt;&gt;"OK",0,PRESIONES!$C$12*((PRESIONES!$K$32-ABERTURAS!$L$62)*MAX(0,MIN($W35,DATOS!$C$23*1/4)-MAX($V35,DATOS!$C$23*0/4))+(PRESIONES!$K$33-ABERTURAS!$L$62)*MAX(0,MIN($W35,DATOS!$C$23*2/4)-MAX($V35,DATOS!$C$23*1/4))+(PRESIONES!$K$34-ABERTURAS!$L$62)*MAX(0,MIN($W35,DATOS!$C$23*3/4)-MAX($V35,DATOS!$C$23*2/4))+(PRESIONES!$K$35-ABERTURAS!$L$62)*MAX(0,MIN($W35,DATOS!$C$23*4/4)-MAX($V35,DATOS!$C$23*3/4))))</f>
        <v>0</v>
      </c>
      <c r="AU35" s="30" t="n">
        <f aca="false">IF($L35&lt;&gt;"OK",0,PRESIONES!$C$12*((PRESIONES!$N$32-ABERTURAS!$L$63)*MAX(0,MIN($W35,DATOS!$C$23*1/4)-MAX($V35,DATOS!$C$23*0/4))+(PRESIONES!$N$33-ABERTURAS!$L$63)*MAX(0,MIN($W35,DATOS!$C$23*2/4)-MAX($V35,DATOS!$C$23*1/4))+(PRESIONES!$N$34-ABERTURAS!$L$63)*MAX(0,MIN($W35,DATOS!$C$23*3/4)-MAX($V35,DATOS!$C$23*2/4))+(PRESIONES!$N$35-ABERTURAS!$L$63)*MAX(0,MIN($W35,DATOS!$C$23*4/4)-MAX($V35,DATOS!$C$23*3/4))))</f>
        <v>0</v>
      </c>
      <c r="AV35" s="30" t="n">
        <f aca="false">IF($L35&lt;&gt;"OK",0,PRESIONES!$C$12*((PRESIONES!$E$32-ABERTURAS!$L$64)*MAX(0,MIN($W35,DATOS!$C$23*1/4)-MAX($V35,DATOS!$C$23*0/4))+(PRESIONES!$E$33-ABERTURAS!$L$64)*MAX(0,MIN($W35,DATOS!$C$23*2/4)-MAX($V35,DATOS!$C$23*1/4))+(PRESIONES!$E$34-ABERTURAS!$L$64)*MAX(0,MIN($W35,DATOS!$C$23*3/4)-MAX($V35,DATOS!$C$23*2/4))+(PRESIONES!$E$35-ABERTURAS!$L$64)*MAX(0,MIN($W35,DATOS!$C$23*4/4)-MAX($V35,DATOS!$C$23*3/4))))</f>
        <v>0</v>
      </c>
      <c r="AW35" s="30" t="n">
        <f aca="false">IF($L35&lt;&gt;"OK",0,PRESIONES!$C$12*((PRESIONES!$H$32-ABERTURAS!$L$65)*MAX(0,MIN($W35,DATOS!$C$23*1/4)-MAX($V35,DATOS!$C$23*0/4))+(PRESIONES!$H$33-ABERTURAS!$L$65)*MAX(0,MIN($W35,DATOS!$C$23*2/4)-MAX($V35,DATOS!$C$23*1/4))+(PRESIONES!$H$34-ABERTURAS!$L$65)*MAX(0,MIN($W35,DATOS!$C$23*3/4)-MAX($V35,DATOS!$C$23*2/4))+(PRESIONES!$H$35-ABERTURAS!$L$65)*MAX(0,MIN($W35,DATOS!$C$23*4/4)-MAX($V35,DATOS!$C$23*3/4))))</f>
        <v>0</v>
      </c>
      <c r="AX35" s="30" t="n">
        <f aca="false">IF($L35&lt;&gt;"OK",0,PRESIONES!$C$12*((PRESIONES!$K$32-ABERTURAS!$L$66)*MAX(0,MIN($W35,DATOS!$C$23*1/4)-MAX($V35,DATOS!$C$23*0/4))+(PRESIONES!$K$33-ABERTURAS!$L$66)*MAX(0,MIN($W35,DATOS!$C$23*2/4)-MAX($V35,DATOS!$C$23*1/4))+(PRESIONES!$K$34-ABERTURAS!$L$66)*MAX(0,MIN($W35,DATOS!$C$23*3/4)-MAX($V35,DATOS!$C$23*2/4))+(PRESIONES!$K$35-ABERTURAS!$L$66)*MAX(0,MIN($W35,DATOS!$C$23*4/4)-MAX($V35,DATOS!$C$23*3/4))))</f>
        <v>0</v>
      </c>
      <c r="AY35" s="30" t="n">
        <f aca="false">IF($L35&lt;&gt;"OK",0,PRESIONES!$C$12*((PRESIONES!$N$32-ABERTURAS!$L$67)*MAX(0,MIN($W35,DATOS!$C$23*1/4)-MAX($V35,DATOS!$C$23*0/4))+(PRESIONES!$N$33-ABERTURAS!$L$67)*MAX(0,MIN($W35,DATOS!$C$23*2/4)-MAX($V35,DATOS!$C$23*1/4))+(PRESIONES!$N$34-ABERTURAS!$L$67)*MAX(0,MIN($W35,DATOS!$C$23*3/4)-MAX($V35,DATOS!$C$23*2/4))+(PRESIONES!$N$35-ABERTURAS!$L$67)*MAX(0,MIN($W35,DATOS!$C$23*4/4)-MAX($V35,DATOS!$C$23*3/4))))</f>
        <v>0</v>
      </c>
      <c r="AZ35" s="30" t="n">
        <f aca="false">IF($L35&lt;&gt;"OK",0,PRESIONES!$C$12*((PRESIONES!$E$32-ABERTURAS!$L$60)*MAX(0,MIN($W35,DATOS!$C$23*1/4)-MAX($V35,DATOS!$C$23*0/4))*PRESIONES!$C$18+(PRESIONES!$E$33-ABERTURAS!$L$60)*MAX(0,MIN($W35,DATOS!$C$23*2/4)-MAX($V35,DATOS!$C$23*1/4))*PRESIONES!$C$19+(PRESIONES!$E$34-ABERTURAS!$L$60)*MAX(0,MIN($W35,DATOS!$C$23*3/4)-MAX($V35,DATOS!$C$23*2/4))*PRESIONES!$C$20+(PRESIONES!$E$35-ABERTURAS!$L$60)*MAX(0,MIN($W35,DATOS!$C$23*4/4)-MAX($V35,DATOS!$C$23*3/4))*PRESIONES!$C$21))</f>
        <v>0</v>
      </c>
      <c r="BA35" s="30" t="n">
        <f aca="false">IF($L35&lt;&gt;"OK",0,PRESIONES!$C$12*((PRESIONES!$H$32-ABERTURAS!$L$61)*MAX(0,MIN($W35,DATOS!$C$23*1/4)-MAX($V35,DATOS!$C$23*0/4))*PRESIONES!$C$18+(PRESIONES!$H$33-ABERTURAS!$L$61)*MAX(0,MIN($W35,DATOS!$C$23*2/4)-MAX($V35,DATOS!$C$23*1/4))*PRESIONES!$C$19+(PRESIONES!$H$34-ABERTURAS!$L$61)*MAX(0,MIN($W35,DATOS!$C$23*3/4)-MAX($V35,DATOS!$C$23*2/4))*PRESIONES!$C$20+(PRESIONES!$H$35-ABERTURAS!$L$61)*MAX(0,MIN($W35,DATOS!$C$23*4/4)-MAX($V35,DATOS!$C$23*3/4))*PRESIONES!$C$21))</f>
        <v>0</v>
      </c>
      <c r="BB35" s="30" t="n">
        <f aca="false">IF($L35&lt;&gt;"OK",0,PRESIONES!$C$12*((PRESIONES!$K$32-ABERTURAS!$L$62)*MAX(0,MIN($W35,DATOS!$C$23*1/4)-MAX($V35,DATOS!$C$23*0/4))*PRESIONES!$C$18+(PRESIONES!$K$33-ABERTURAS!$L$62)*MAX(0,MIN($W35,DATOS!$C$23*2/4)-MAX($V35,DATOS!$C$23*1/4))*PRESIONES!$C$19+(PRESIONES!$K$34-ABERTURAS!$L$62)*MAX(0,MIN($W35,DATOS!$C$23*3/4)-MAX($V35,DATOS!$C$23*2/4))*PRESIONES!$C$20+(PRESIONES!$K$35-ABERTURAS!$L$62)*MAX(0,MIN($W35,DATOS!$C$23*4/4)-MAX($V35,DATOS!$C$23*3/4))*PRESIONES!$C$21))</f>
        <v>0</v>
      </c>
      <c r="BC35" s="30" t="n">
        <f aca="false">IF($L35&lt;&gt;"OK",0,PRESIONES!$C$12*((PRESIONES!$N$32-ABERTURAS!$L$63)*MAX(0,MIN($W35,DATOS!$C$23*1/4)-MAX($V35,DATOS!$C$23*0/4))*PRESIONES!$C$18+(PRESIONES!$N$33-ABERTURAS!$L$63)*MAX(0,MIN($W35,DATOS!$C$23*2/4)-MAX($V35,DATOS!$C$23*1/4))*PRESIONES!$C$19+(PRESIONES!$N$34-ABERTURAS!$L$63)*MAX(0,MIN($W35,DATOS!$C$23*3/4)-MAX($V35,DATOS!$C$23*2/4))*PRESIONES!$C$20+(PRESIONES!$N$35-ABERTURAS!$L$63)*MAX(0,MIN($W35,DATOS!$C$23*4/4)-MAX($V35,DATOS!$C$23*3/4))*PRESIONES!$C$21))</f>
        <v>0</v>
      </c>
      <c r="BD35" s="30" t="n">
        <f aca="false">IF($L35&lt;&gt;"OK",0,PRESIONES!$C$12*((PRESIONES!$E$32-ABERTURAS!$L$64)*MAX(0,MIN($W35,DATOS!$C$23*1/4)-MAX($V35,DATOS!$C$23*0/4))*PRESIONES!$C$18+(PRESIONES!$E$33-ABERTURAS!$L$64)*MAX(0,MIN($W35,DATOS!$C$23*2/4)-MAX($V35,DATOS!$C$23*1/4))*PRESIONES!$C$19+(PRESIONES!$E$34-ABERTURAS!$L$64)*MAX(0,MIN($W35,DATOS!$C$23*3/4)-MAX($V35,DATOS!$C$23*2/4))*PRESIONES!$C$20+(PRESIONES!$E$35-ABERTURAS!$L$64)*MAX(0,MIN($W35,DATOS!$C$23*4/4)-MAX($V35,DATOS!$C$23*3/4))*PRESIONES!$C$21))</f>
        <v>0</v>
      </c>
      <c r="BE35" s="30" t="n">
        <f aca="false">IF($L35&lt;&gt;"OK",0,PRESIONES!$C$12*((PRESIONES!$H$32-ABERTURAS!$L$65)*MAX(0,MIN($W35,DATOS!$C$23*1/4)-MAX($V35,DATOS!$C$23*0/4))*PRESIONES!$C$18+(PRESIONES!$H$33-ABERTURAS!$L$65)*MAX(0,MIN($W35,DATOS!$C$23*2/4)-MAX($V35,DATOS!$C$23*1/4))*PRESIONES!$C$19+(PRESIONES!$H$34-ABERTURAS!$L$65)*MAX(0,MIN($W35,DATOS!$C$23*3/4)-MAX($V35,DATOS!$C$23*2/4))*PRESIONES!$C$20+(PRESIONES!$H$35-ABERTURAS!$L$65)*MAX(0,MIN($W35,DATOS!$C$23*4/4)-MAX($V35,DATOS!$C$23*3/4))*PRESIONES!$C$21))</f>
        <v>0</v>
      </c>
      <c r="BF35" s="30" t="n">
        <f aca="false">IF($L35&lt;&gt;"OK",0,PRESIONES!$C$12*((PRESIONES!$K$32-ABERTURAS!$L$66)*MAX(0,MIN($W35,DATOS!$C$23*1/4)-MAX($V35,DATOS!$C$23*0/4))*PRESIONES!$C$18+(PRESIONES!$K$33-ABERTURAS!$L$66)*MAX(0,MIN($W35,DATOS!$C$23*2/4)-MAX($V35,DATOS!$C$23*1/4))*PRESIONES!$C$19+(PRESIONES!$K$34-ABERTURAS!$L$66)*MAX(0,MIN($W35,DATOS!$C$23*3/4)-MAX($V35,DATOS!$C$23*2/4))*PRESIONES!$C$20+(PRESIONES!$K$35-ABERTURAS!$L$66)*MAX(0,MIN($W35,DATOS!$C$23*4/4)-MAX($V35,DATOS!$C$23*3/4))*PRESIONES!$C$21))</f>
        <v>0</v>
      </c>
      <c r="BG35" s="30" t="n">
        <f aca="false">IF($L35&lt;&gt;"OK",0,PRESIONES!$C$12*((PRESIONES!$N$32-ABERTURAS!$L$67)*MAX(0,MIN($W35,DATOS!$C$23*1/4)-MAX($V35,DATOS!$C$23*0/4))*PRESIONES!$C$18+(PRESIONES!$N$33-ABERTURAS!$L$67)*MAX(0,MIN($W35,DATOS!$C$23*2/4)-MAX($V35,DATOS!$C$23*1/4))*PRESIONES!$C$19+(PRESIONES!$N$34-ABERTURAS!$L$67)*MAX(0,MIN($W35,DATOS!$C$23*3/4)-MAX($V35,DATOS!$C$23*2/4))*PRESIONES!$C$20+(PRESIONES!$N$35-ABERTURAS!$L$67)*MAX(0,MIN($W35,DATOS!$C$23*4/4)-MAX($V35,DATOS!$C$23*3/4))*PRESIONES!$C$21))</f>
        <v>0</v>
      </c>
    </row>
    <row r="36" customFormat="false" ht="15" hidden="false" customHeight="true" outlineLevel="0" collapsed="false">
      <c r="B36" s="27"/>
      <c r="C36" s="17"/>
      <c r="D36" s="27"/>
      <c r="E36" s="17"/>
      <c r="F36" s="49"/>
      <c r="G36" s="49"/>
      <c r="H36" s="49"/>
      <c r="I36" s="49"/>
      <c r="J36" s="49"/>
      <c r="K36" s="49"/>
      <c r="L36" s="20" t="str">
        <f aca="false">IF($D36="","",IF($C36&lt;&gt;"TECHO","PON TECHO",IF(OR($F36="",$G36="",$H36="",$I36=""),"FALTAN a o b",IF($M36&lt;=0,"a₂ DEBE SER &gt; a₁",IF($N36&lt;=0,"b₂ DEBE SER &gt; b₁",IF(OR($V36&lt;-0.001,$W36&gt;DATOS!$C$23+0.001),"SE SALE DEL TECHO","OK"))))))</f>
        <v/>
      </c>
      <c r="M36" s="30" t="n">
        <f aca="false">IF($D36="",0,MAX(0,$G36-$F36))</f>
        <v>0</v>
      </c>
      <c r="N36" s="30" t="n">
        <f aca="false">MAX(0,$W36-$V36)</f>
        <v>0</v>
      </c>
      <c r="O36" s="30" t="n">
        <f aca="false">$M36*$N36</f>
        <v>0</v>
      </c>
      <c r="P36" s="30" t="n">
        <v>0</v>
      </c>
      <c r="Q36" s="30" t="n">
        <v>0</v>
      </c>
      <c r="R36" s="30" t="n">
        <f aca="false">$O36</f>
        <v>0</v>
      </c>
      <c r="S36" s="30" t="n">
        <f aca="false">$O36</f>
        <v>0</v>
      </c>
      <c r="T36" s="50" t="n">
        <f aca="false">IF($D36="",0,DATOS!$C$21)</f>
        <v>0</v>
      </c>
      <c r="U36" s="50" t="n">
        <v>0</v>
      </c>
      <c r="V36" s="50" t="n">
        <f aca="false">IF($D36="",0,(N($H36)+IF($J36="",N($H36),$J36))/2)</f>
        <v>0</v>
      </c>
      <c r="W36" s="50" t="n">
        <f aca="false">IF($D36="",0,(N($I36)+IF($K36="",N($I36),$K36))/2)</f>
        <v>0</v>
      </c>
      <c r="AB36" s="30" t="n">
        <f aca="false">IF($L36&lt;&gt;"OK",0,PRESIONES!$C$12*((PRESIONES!$D$32-ABERTURAS!$L$60)*MAX(0,MIN($W36,DATOS!$C$23*1/4)-MAX($V36,DATOS!$C$23*0/4))+(PRESIONES!$D$33-ABERTURAS!$L$60)*MAX(0,MIN($W36,DATOS!$C$23*2/4)-MAX($V36,DATOS!$C$23*1/4))+(PRESIONES!$D$34-ABERTURAS!$L$60)*MAX(0,MIN($W36,DATOS!$C$23*3/4)-MAX($V36,DATOS!$C$23*2/4))+(PRESIONES!$D$35-ABERTURAS!$L$60)*MAX(0,MIN($W36,DATOS!$C$23*4/4)-MAX($V36,DATOS!$C$23*3/4))))</f>
        <v>0</v>
      </c>
      <c r="AC36" s="30" t="n">
        <f aca="false">IF($L36&lt;&gt;"OK",0,PRESIONES!$C$12*((PRESIONES!$G$32-ABERTURAS!$L$61)*MAX(0,MIN($W36,DATOS!$C$23*1/4)-MAX($V36,DATOS!$C$23*0/4))+(PRESIONES!$G$33-ABERTURAS!$L$61)*MAX(0,MIN($W36,DATOS!$C$23*2/4)-MAX($V36,DATOS!$C$23*1/4))+(PRESIONES!$G$34-ABERTURAS!$L$61)*MAX(0,MIN($W36,DATOS!$C$23*3/4)-MAX($V36,DATOS!$C$23*2/4))+(PRESIONES!$G$35-ABERTURAS!$L$61)*MAX(0,MIN($W36,DATOS!$C$23*4/4)-MAX($V36,DATOS!$C$23*3/4))))</f>
        <v>0</v>
      </c>
      <c r="AD36" s="30" t="n">
        <f aca="false">IF($L36&lt;&gt;"OK",0,PRESIONES!$C$12*((PRESIONES!$J$32-ABERTURAS!$L$62)*MAX(0,MIN($W36,DATOS!$C$23*1/4)-MAX($V36,DATOS!$C$23*0/4))+(PRESIONES!$J$33-ABERTURAS!$L$62)*MAX(0,MIN($W36,DATOS!$C$23*2/4)-MAX($V36,DATOS!$C$23*1/4))+(PRESIONES!$J$34-ABERTURAS!$L$62)*MAX(0,MIN($W36,DATOS!$C$23*3/4)-MAX($V36,DATOS!$C$23*2/4))+(PRESIONES!$J$35-ABERTURAS!$L$62)*MAX(0,MIN($W36,DATOS!$C$23*4/4)-MAX($V36,DATOS!$C$23*3/4))))</f>
        <v>0</v>
      </c>
      <c r="AE36" s="30" t="n">
        <f aca="false">IF($L36&lt;&gt;"OK",0,PRESIONES!$C$12*((PRESIONES!$M$32-ABERTURAS!$L$63)*MAX(0,MIN($W36,DATOS!$C$23*1/4)-MAX($V36,DATOS!$C$23*0/4))+(PRESIONES!$M$33-ABERTURAS!$L$63)*MAX(0,MIN($W36,DATOS!$C$23*2/4)-MAX($V36,DATOS!$C$23*1/4))+(PRESIONES!$M$34-ABERTURAS!$L$63)*MAX(0,MIN($W36,DATOS!$C$23*3/4)-MAX($V36,DATOS!$C$23*2/4))+(PRESIONES!$M$35-ABERTURAS!$L$63)*MAX(0,MIN($W36,DATOS!$C$23*4/4)-MAX($V36,DATOS!$C$23*3/4))))</f>
        <v>0</v>
      </c>
      <c r="AF36" s="30" t="n">
        <f aca="false">IF($L36&lt;&gt;"OK",0,PRESIONES!$C$12*((PRESIONES!$D$32-ABERTURAS!$L$64)*MAX(0,MIN($W36,DATOS!$C$23*1/4)-MAX($V36,DATOS!$C$23*0/4))+(PRESIONES!$D$33-ABERTURAS!$L$64)*MAX(0,MIN($W36,DATOS!$C$23*2/4)-MAX($V36,DATOS!$C$23*1/4))+(PRESIONES!$D$34-ABERTURAS!$L$64)*MAX(0,MIN($W36,DATOS!$C$23*3/4)-MAX($V36,DATOS!$C$23*2/4))+(PRESIONES!$D$35-ABERTURAS!$L$64)*MAX(0,MIN($W36,DATOS!$C$23*4/4)-MAX($V36,DATOS!$C$23*3/4))))</f>
        <v>0</v>
      </c>
      <c r="AG36" s="30" t="n">
        <f aca="false">IF($L36&lt;&gt;"OK",0,PRESIONES!$C$12*((PRESIONES!$G$32-ABERTURAS!$L$65)*MAX(0,MIN($W36,DATOS!$C$23*1/4)-MAX($V36,DATOS!$C$23*0/4))+(PRESIONES!$G$33-ABERTURAS!$L$65)*MAX(0,MIN($W36,DATOS!$C$23*2/4)-MAX($V36,DATOS!$C$23*1/4))+(PRESIONES!$G$34-ABERTURAS!$L$65)*MAX(0,MIN($W36,DATOS!$C$23*3/4)-MAX($V36,DATOS!$C$23*2/4))+(PRESIONES!$G$35-ABERTURAS!$L$65)*MAX(0,MIN($W36,DATOS!$C$23*4/4)-MAX($V36,DATOS!$C$23*3/4))))</f>
        <v>0</v>
      </c>
      <c r="AH36" s="30" t="n">
        <f aca="false">IF($L36&lt;&gt;"OK",0,PRESIONES!$C$12*((PRESIONES!$J$32-ABERTURAS!$L$66)*MAX(0,MIN($W36,DATOS!$C$23*1/4)-MAX($V36,DATOS!$C$23*0/4))+(PRESIONES!$J$33-ABERTURAS!$L$66)*MAX(0,MIN($W36,DATOS!$C$23*2/4)-MAX($V36,DATOS!$C$23*1/4))+(PRESIONES!$J$34-ABERTURAS!$L$66)*MAX(0,MIN($W36,DATOS!$C$23*3/4)-MAX($V36,DATOS!$C$23*2/4))+(PRESIONES!$J$35-ABERTURAS!$L$66)*MAX(0,MIN($W36,DATOS!$C$23*4/4)-MAX($V36,DATOS!$C$23*3/4))))</f>
        <v>0</v>
      </c>
      <c r="AI36" s="30" t="n">
        <f aca="false">IF($L36&lt;&gt;"OK",0,PRESIONES!$C$12*((PRESIONES!$M$32-ABERTURAS!$L$67)*MAX(0,MIN($W36,DATOS!$C$23*1/4)-MAX($V36,DATOS!$C$23*0/4))+(PRESIONES!$M$33-ABERTURAS!$L$67)*MAX(0,MIN($W36,DATOS!$C$23*2/4)-MAX($V36,DATOS!$C$23*1/4))+(PRESIONES!$M$34-ABERTURAS!$L$67)*MAX(0,MIN($W36,DATOS!$C$23*3/4)-MAX($V36,DATOS!$C$23*2/4))+(PRESIONES!$M$35-ABERTURAS!$L$67)*MAX(0,MIN($W36,DATOS!$C$23*4/4)-MAX($V36,DATOS!$C$23*3/4))))</f>
        <v>0</v>
      </c>
      <c r="AJ36" s="30" t="n">
        <f aca="false">IF($L36&lt;&gt;"OK",0,PRESIONES!$C$12*((PRESIONES!$D$32-ABERTURAS!$L$60)*MAX(0,MIN($W36,DATOS!$C$23*1/4)-MAX($V36,DATOS!$C$23*0/4))*PRESIONES!$C$18+(PRESIONES!$D$33-ABERTURAS!$L$60)*MAX(0,MIN($W36,DATOS!$C$23*2/4)-MAX($V36,DATOS!$C$23*1/4))*PRESIONES!$C$19+(PRESIONES!$D$34-ABERTURAS!$L$60)*MAX(0,MIN($W36,DATOS!$C$23*3/4)-MAX($V36,DATOS!$C$23*2/4))*PRESIONES!$C$20+(PRESIONES!$D$35-ABERTURAS!$L$60)*MAX(0,MIN($W36,DATOS!$C$23*4/4)-MAX($V36,DATOS!$C$23*3/4))*PRESIONES!$C$21))</f>
        <v>0</v>
      </c>
      <c r="AK36" s="30" t="n">
        <f aca="false">IF($L36&lt;&gt;"OK",0,PRESIONES!$C$12*((PRESIONES!$G$32-ABERTURAS!$L$61)*MAX(0,MIN($W36,DATOS!$C$23*1/4)-MAX($V36,DATOS!$C$23*0/4))*PRESIONES!$C$18+(PRESIONES!$G$33-ABERTURAS!$L$61)*MAX(0,MIN($W36,DATOS!$C$23*2/4)-MAX($V36,DATOS!$C$23*1/4))*PRESIONES!$C$19+(PRESIONES!$G$34-ABERTURAS!$L$61)*MAX(0,MIN($W36,DATOS!$C$23*3/4)-MAX($V36,DATOS!$C$23*2/4))*PRESIONES!$C$20+(PRESIONES!$G$35-ABERTURAS!$L$61)*MAX(0,MIN($W36,DATOS!$C$23*4/4)-MAX($V36,DATOS!$C$23*3/4))*PRESIONES!$C$21))</f>
        <v>0</v>
      </c>
      <c r="AL36" s="30" t="n">
        <f aca="false">IF($L36&lt;&gt;"OK",0,PRESIONES!$C$12*((PRESIONES!$J$32-ABERTURAS!$L$62)*MAX(0,MIN($W36,DATOS!$C$23*1/4)-MAX($V36,DATOS!$C$23*0/4))*PRESIONES!$C$18+(PRESIONES!$J$33-ABERTURAS!$L$62)*MAX(0,MIN($W36,DATOS!$C$23*2/4)-MAX($V36,DATOS!$C$23*1/4))*PRESIONES!$C$19+(PRESIONES!$J$34-ABERTURAS!$L$62)*MAX(0,MIN($W36,DATOS!$C$23*3/4)-MAX($V36,DATOS!$C$23*2/4))*PRESIONES!$C$20+(PRESIONES!$J$35-ABERTURAS!$L$62)*MAX(0,MIN($W36,DATOS!$C$23*4/4)-MAX($V36,DATOS!$C$23*3/4))*PRESIONES!$C$21))</f>
        <v>0</v>
      </c>
      <c r="AM36" s="30" t="n">
        <f aca="false">IF($L36&lt;&gt;"OK",0,PRESIONES!$C$12*((PRESIONES!$M$32-ABERTURAS!$L$63)*MAX(0,MIN($W36,DATOS!$C$23*1/4)-MAX($V36,DATOS!$C$23*0/4))*PRESIONES!$C$18+(PRESIONES!$M$33-ABERTURAS!$L$63)*MAX(0,MIN($W36,DATOS!$C$23*2/4)-MAX($V36,DATOS!$C$23*1/4))*PRESIONES!$C$19+(PRESIONES!$M$34-ABERTURAS!$L$63)*MAX(0,MIN($W36,DATOS!$C$23*3/4)-MAX($V36,DATOS!$C$23*2/4))*PRESIONES!$C$20+(PRESIONES!$M$35-ABERTURAS!$L$63)*MAX(0,MIN($W36,DATOS!$C$23*4/4)-MAX($V36,DATOS!$C$23*3/4))*PRESIONES!$C$21))</f>
        <v>0</v>
      </c>
      <c r="AN36" s="30" t="n">
        <f aca="false">IF($L36&lt;&gt;"OK",0,PRESIONES!$C$12*((PRESIONES!$D$32-ABERTURAS!$L$64)*MAX(0,MIN($W36,DATOS!$C$23*1/4)-MAX($V36,DATOS!$C$23*0/4))*PRESIONES!$C$18+(PRESIONES!$D$33-ABERTURAS!$L$64)*MAX(0,MIN($W36,DATOS!$C$23*2/4)-MAX($V36,DATOS!$C$23*1/4))*PRESIONES!$C$19+(PRESIONES!$D$34-ABERTURAS!$L$64)*MAX(0,MIN($W36,DATOS!$C$23*3/4)-MAX($V36,DATOS!$C$23*2/4))*PRESIONES!$C$20+(PRESIONES!$D$35-ABERTURAS!$L$64)*MAX(0,MIN($W36,DATOS!$C$23*4/4)-MAX($V36,DATOS!$C$23*3/4))*PRESIONES!$C$21))</f>
        <v>0</v>
      </c>
      <c r="AO36" s="30" t="n">
        <f aca="false">IF($L36&lt;&gt;"OK",0,PRESIONES!$C$12*((PRESIONES!$G$32-ABERTURAS!$L$65)*MAX(0,MIN($W36,DATOS!$C$23*1/4)-MAX($V36,DATOS!$C$23*0/4))*PRESIONES!$C$18+(PRESIONES!$G$33-ABERTURAS!$L$65)*MAX(0,MIN($W36,DATOS!$C$23*2/4)-MAX($V36,DATOS!$C$23*1/4))*PRESIONES!$C$19+(PRESIONES!$G$34-ABERTURAS!$L$65)*MAX(0,MIN($W36,DATOS!$C$23*3/4)-MAX($V36,DATOS!$C$23*2/4))*PRESIONES!$C$20+(PRESIONES!$G$35-ABERTURAS!$L$65)*MAX(0,MIN($W36,DATOS!$C$23*4/4)-MAX($V36,DATOS!$C$23*3/4))*PRESIONES!$C$21))</f>
        <v>0</v>
      </c>
      <c r="AP36" s="30" t="n">
        <f aca="false">IF($L36&lt;&gt;"OK",0,PRESIONES!$C$12*((PRESIONES!$J$32-ABERTURAS!$L$66)*MAX(0,MIN($W36,DATOS!$C$23*1/4)-MAX($V36,DATOS!$C$23*0/4))*PRESIONES!$C$18+(PRESIONES!$J$33-ABERTURAS!$L$66)*MAX(0,MIN($W36,DATOS!$C$23*2/4)-MAX($V36,DATOS!$C$23*1/4))*PRESIONES!$C$19+(PRESIONES!$J$34-ABERTURAS!$L$66)*MAX(0,MIN($W36,DATOS!$C$23*3/4)-MAX($V36,DATOS!$C$23*2/4))*PRESIONES!$C$20+(PRESIONES!$J$35-ABERTURAS!$L$66)*MAX(0,MIN($W36,DATOS!$C$23*4/4)-MAX($V36,DATOS!$C$23*3/4))*PRESIONES!$C$21))</f>
        <v>0</v>
      </c>
      <c r="AQ36" s="30" t="n">
        <f aca="false">IF($L36&lt;&gt;"OK",0,PRESIONES!$C$12*((PRESIONES!$M$32-ABERTURAS!$L$67)*MAX(0,MIN($W36,DATOS!$C$23*1/4)-MAX($V36,DATOS!$C$23*0/4))*PRESIONES!$C$18+(PRESIONES!$M$33-ABERTURAS!$L$67)*MAX(0,MIN($W36,DATOS!$C$23*2/4)-MAX($V36,DATOS!$C$23*1/4))*PRESIONES!$C$19+(PRESIONES!$M$34-ABERTURAS!$L$67)*MAX(0,MIN($W36,DATOS!$C$23*3/4)-MAX($V36,DATOS!$C$23*2/4))*PRESIONES!$C$20+(PRESIONES!$M$35-ABERTURAS!$L$67)*MAX(0,MIN($W36,DATOS!$C$23*4/4)-MAX($V36,DATOS!$C$23*3/4))*PRESIONES!$C$21))</f>
        <v>0</v>
      </c>
      <c r="AR36" s="30" t="n">
        <f aca="false">IF($L36&lt;&gt;"OK",0,PRESIONES!$C$12*((PRESIONES!$E$32-ABERTURAS!$L$60)*MAX(0,MIN($W36,DATOS!$C$23*1/4)-MAX($V36,DATOS!$C$23*0/4))+(PRESIONES!$E$33-ABERTURAS!$L$60)*MAX(0,MIN($W36,DATOS!$C$23*2/4)-MAX($V36,DATOS!$C$23*1/4))+(PRESIONES!$E$34-ABERTURAS!$L$60)*MAX(0,MIN($W36,DATOS!$C$23*3/4)-MAX($V36,DATOS!$C$23*2/4))+(PRESIONES!$E$35-ABERTURAS!$L$60)*MAX(0,MIN($W36,DATOS!$C$23*4/4)-MAX($V36,DATOS!$C$23*3/4))))</f>
        <v>0</v>
      </c>
      <c r="AS36" s="30" t="n">
        <f aca="false">IF($L36&lt;&gt;"OK",0,PRESIONES!$C$12*((PRESIONES!$H$32-ABERTURAS!$L$61)*MAX(0,MIN($W36,DATOS!$C$23*1/4)-MAX($V36,DATOS!$C$23*0/4))+(PRESIONES!$H$33-ABERTURAS!$L$61)*MAX(0,MIN($W36,DATOS!$C$23*2/4)-MAX($V36,DATOS!$C$23*1/4))+(PRESIONES!$H$34-ABERTURAS!$L$61)*MAX(0,MIN($W36,DATOS!$C$23*3/4)-MAX($V36,DATOS!$C$23*2/4))+(PRESIONES!$H$35-ABERTURAS!$L$61)*MAX(0,MIN($W36,DATOS!$C$23*4/4)-MAX($V36,DATOS!$C$23*3/4))))</f>
        <v>0</v>
      </c>
      <c r="AT36" s="30" t="n">
        <f aca="false">IF($L36&lt;&gt;"OK",0,PRESIONES!$C$12*((PRESIONES!$K$32-ABERTURAS!$L$62)*MAX(0,MIN($W36,DATOS!$C$23*1/4)-MAX($V36,DATOS!$C$23*0/4))+(PRESIONES!$K$33-ABERTURAS!$L$62)*MAX(0,MIN($W36,DATOS!$C$23*2/4)-MAX($V36,DATOS!$C$23*1/4))+(PRESIONES!$K$34-ABERTURAS!$L$62)*MAX(0,MIN($W36,DATOS!$C$23*3/4)-MAX($V36,DATOS!$C$23*2/4))+(PRESIONES!$K$35-ABERTURAS!$L$62)*MAX(0,MIN($W36,DATOS!$C$23*4/4)-MAX($V36,DATOS!$C$23*3/4))))</f>
        <v>0</v>
      </c>
      <c r="AU36" s="30" t="n">
        <f aca="false">IF($L36&lt;&gt;"OK",0,PRESIONES!$C$12*((PRESIONES!$N$32-ABERTURAS!$L$63)*MAX(0,MIN($W36,DATOS!$C$23*1/4)-MAX($V36,DATOS!$C$23*0/4))+(PRESIONES!$N$33-ABERTURAS!$L$63)*MAX(0,MIN($W36,DATOS!$C$23*2/4)-MAX($V36,DATOS!$C$23*1/4))+(PRESIONES!$N$34-ABERTURAS!$L$63)*MAX(0,MIN($W36,DATOS!$C$23*3/4)-MAX($V36,DATOS!$C$23*2/4))+(PRESIONES!$N$35-ABERTURAS!$L$63)*MAX(0,MIN($W36,DATOS!$C$23*4/4)-MAX($V36,DATOS!$C$23*3/4))))</f>
        <v>0</v>
      </c>
      <c r="AV36" s="30" t="n">
        <f aca="false">IF($L36&lt;&gt;"OK",0,PRESIONES!$C$12*((PRESIONES!$E$32-ABERTURAS!$L$64)*MAX(0,MIN($W36,DATOS!$C$23*1/4)-MAX($V36,DATOS!$C$23*0/4))+(PRESIONES!$E$33-ABERTURAS!$L$64)*MAX(0,MIN($W36,DATOS!$C$23*2/4)-MAX($V36,DATOS!$C$23*1/4))+(PRESIONES!$E$34-ABERTURAS!$L$64)*MAX(0,MIN($W36,DATOS!$C$23*3/4)-MAX($V36,DATOS!$C$23*2/4))+(PRESIONES!$E$35-ABERTURAS!$L$64)*MAX(0,MIN($W36,DATOS!$C$23*4/4)-MAX($V36,DATOS!$C$23*3/4))))</f>
        <v>0</v>
      </c>
      <c r="AW36" s="30" t="n">
        <f aca="false">IF($L36&lt;&gt;"OK",0,PRESIONES!$C$12*((PRESIONES!$H$32-ABERTURAS!$L$65)*MAX(0,MIN($W36,DATOS!$C$23*1/4)-MAX($V36,DATOS!$C$23*0/4))+(PRESIONES!$H$33-ABERTURAS!$L$65)*MAX(0,MIN($W36,DATOS!$C$23*2/4)-MAX($V36,DATOS!$C$23*1/4))+(PRESIONES!$H$34-ABERTURAS!$L$65)*MAX(0,MIN($W36,DATOS!$C$23*3/4)-MAX($V36,DATOS!$C$23*2/4))+(PRESIONES!$H$35-ABERTURAS!$L$65)*MAX(0,MIN($W36,DATOS!$C$23*4/4)-MAX($V36,DATOS!$C$23*3/4))))</f>
        <v>0</v>
      </c>
      <c r="AX36" s="30" t="n">
        <f aca="false">IF($L36&lt;&gt;"OK",0,PRESIONES!$C$12*((PRESIONES!$K$32-ABERTURAS!$L$66)*MAX(0,MIN($W36,DATOS!$C$23*1/4)-MAX($V36,DATOS!$C$23*0/4))+(PRESIONES!$K$33-ABERTURAS!$L$66)*MAX(0,MIN($W36,DATOS!$C$23*2/4)-MAX($V36,DATOS!$C$23*1/4))+(PRESIONES!$K$34-ABERTURAS!$L$66)*MAX(0,MIN($W36,DATOS!$C$23*3/4)-MAX($V36,DATOS!$C$23*2/4))+(PRESIONES!$K$35-ABERTURAS!$L$66)*MAX(0,MIN($W36,DATOS!$C$23*4/4)-MAX($V36,DATOS!$C$23*3/4))))</f>
        <v>0</v>
      </c>
      <c r="AY36" s="30" t="n">
        <f aca="false">IF($L36&lt;&gt;"OK",0,PRESIONES!$C$12*((PRESIONES!$N$32-ABERTURAS!$L$67)*MAX(0,MIN($W36,DATOS!$C$23*1/4)-MAX($V36,DATOS!$C$23*0/4))+(PRESIONES!$N$33-ABERTURAS!$L$67)*MAX(0,MIN($W36,DATOS!$C$23*2/4)-MAX($V36,DATOS!$C$23*1/4))+(PRESIONES!$N$34-ABERTURAS!$L$67)*MAX(0,MIN($W36,DATOS!$C$23*3/4)-MAX($V36,DATOS!$C$23*2/4))+(PRESIONES!$N$35-ABERTURAS!$L$67)*MAX(0,MIN($W36,DATOS!$C$23*4/4)-MAX($V36,DATOS!$C$23*3/4))))</f>
        <v>0</v>
      </c>
      <c r="AZ36" s="30" t="n">
        <f aca="false">IF($L36&lt;&gt;"OK",0,PRESIONES!$C$12*((PRESIONES!$E$32-ABERTURAS!$L$60)*MAX(0,MIN($W36,DATOS!$C$23*1/4)-MAX($V36,DATOS!$C$23*0/4))*PRESIONES!$C$18+(PRESIONES!$E$33-ABERTURAS!$L$60)*MAX(0,MIN($W36,DATOS!$C$23*2/4)-MAX($V36,DATOS!$C$23*1/4))*PRESIONES!$C$19+(PRESIONES!$E$34-ABERTURAS!$L$60)*MAX(0,MIN($W36,DATOS!$C$23*3/4)-MAX($V36,DATOS!$C$23*2/4))*PRESIONES!$C$20+(PRESIONES!$E$35-ABERTURAS!$L$60)*MAX(0,MIN($W36,DATOS!$C$23*4/4)-MAX($V36,DATOS!$C$23*3/4))*PRESIONES!$C$21))</f>
        <v>0</v>
      </c>
      <c r="BA36" s="30" t="n">
        <f aca="false">IF($L36&lt;&gt;"OK",0,PRESIONES!$C$12*((PRESIONES!$H$32-ABERTURAS!$L$61)*MAX(0,MIN($W36,DATOS!$C$23*1/4)-MAX($V36,DATOS!$C$23*0/4))*PRESIONES!$C$18+(PRESIONES!$H$33-ABERTURAS!$L$61)*MAX(0,MIN($W36,DATOS!$C$23*2/4)-MAX($V36,DATOS!$C$23*1/4))*PRESIONES!$C$19+(PRESIONES!$H$34-ABERTURAS!$L$61)*MAX(0,MIN($W36,DATOS!$C$23*3/4)-MAX($V36,DATOS!$C$23*2/4))*PRESIONES!$C$20+(PRESIONES!$H$35-ABERTURAS!$L$61)*MAX(0,MIN($W36,DATOS!$C$23*4/4)-MAX($V36,DATOS!$C$23*3/4))*PRESIONES!$C$21))</f>
        <v>0</v>
      </c>
      <c r="BB36" s="30" t="n">
        <f aca="false">IF($L36&lt;&gt;"OK",0,PRESIONES!$C$12*((PRESIONES!$K$32-ABERTURAS!$L$62)*MAX(0,MIN($W36,DATOS!$C$23*1/4)-MAX($V36,DATOS!$C$23*0/4))*PRESIONES!$C$18+(PRESIONES!$K$33-ABERTURAS!$L$62)*MAX(0,MIN($W36,DATOS!$C$23*2/4)-MAX($V36,DATOS!$C$23*1/4))*PRESIONES!$C$19+(PRESIONES!$K$34-ABERTURAS!$L$62)*MAX(0,MIN($W36,DATOS!$C$23*3/4)-MAX($V36,DATOS!$C$23*2/4))*PRESIONES!$C$20+(PRESIONES!$K$35-ABERTURAS!$L$62)*MAX(0,MIN($W36,DATOS!$C$23*4/4)-MAX($V36,DATOS!$C$23*3/4))*PRESIONES!$C$21))</f>
        <v>0</v>
      </c>
      <c r="BC36" s="30" t="n">
        <f aca="false">IF($L36&lt;&gt;"OK",0,PRESIONES!$C$12*((PRESIONES!$N$32-ABERTURAS!$L$63)*MAX(0,MIN($W36,DATOS!$C$23*1/4)-MAX($V36,DATOS!$C$23*0/4))*PRESIONES!$C$18+(PRESIONES!$N$33-ABERTURAS!$L$63)*MAX(0,MIN($W36,DATOS!$C$23*2/4)-MAX($V36,DATOS!$C$23*1/4))*PRESIONES!$C$19+(PRESIONES!$N$34-ABERTURAS!$L$63)*MAX(0,MIN($W36,DATOS!$C$23*3/4)-MAX($V36,DATOS!$C$23*2/4))*PRESIONES!$C$20+(PRESIONES!$N$35-ABERTURAS!$L$63)*MAX(0,MIN($W36,DATOS!$C$23*4/4)-MAX($V36,DATOS!$C$23*3/4))*PRESIONES!$C$21))</f>
        <v>0</v>
      </c>
      <c r="BD36" s="30" t="n">
        <f aca="false">IF($L36&lt;&gt;"OK",0,PRESIONES!$C$12*((PRESIONES!$E$32-ABERTURAS!$L$64)*MAX(0,MIN($W36,DATOS!$C$23*1/4)-MAX($V36,DATOS!$C$23*0/4))*PRESIONES!$C$18+(PRESIONES!$E$33-ABERTURAS!$L$64)*MAX(0,MIN($W36,DATOS!$C$23*2/4)-MAX($V36,DATOS!$C$23*1/4))*PRESIONES!$C$19+(PRESIONES!$E$34-ABERTURAS!$L$64)*MAX(0,MIN($W36,DATOS!$C$23*3/4)-MAX($V36,DATOS!$C$23*2/4))*PRESIONES!$C$20+(PRESIONES!$E$35-ABERTURAS!$L$64)*MAX(0,MIN($W36,DATOS!$C$23*4/4)-MAX($V36,DATOS!$C$23*3/4))*PRESIONES!$C$21))</f>
        <v>0</v>
      </c>
      <c r="BE36" s="30" t="n">
        <f aca="false">IF($L36&lt;&gt;"OK",0,PRESIONES!$C$12*((PRESIONES!$H$32-ABERTURAS!$L$65)*MAX(0,MIN($W36,DATOS!$C$23*1/4)-MAX($V36,DATOS!$C$23*0/4))*PRESIONES!$C$18+(PRESIONES!$H$33-ABERTURAS!$L$65)*MAX(0,MIN($W36,DATOS!$C$23*2/4)-MAX($V36,DATOS!$C$23*1/4))*PRESIONES!$C$19+(PRESIONES!$H$34-ABERTURAS!$L$65)*MAX(0,MIN($W36,DATOS!$C$23*3/4)-MAX($V36,DATOS!$C$23*2/4))*PRESIONES!$C$20+(PRESIONES!$H$35-ABERTURAS!$L$65)*MAX(0,MIN($W36,DATOS!$C$23*4/4)-MAX($V36,DATOS!$C$23*3/4))*PRESIONES!$C$21))</f>
        <v>0</v>
      </c>
      <c r="BF36" s="30" t="n">
        <f aca="false">IF($L36&lt;&gt;"OK",0,PRESIONES!$C$12*((PRESIONES!$K$32-ABERTURAS!$L$66)*MAX(0,MIN($W36,DATOS!$C$23*1/4)-MAX($V36,DATOS!$C$23*0/4))*PRESIONES!$C$18+(PRESIONES!$K$33-ABERTURAS!$L$66)*MAX(0,MIN($W36,DATOS!$C$23*2/4)-MAX($V36,DATOS!$C$23*1/4))*PRESIONES!$C$19+(PRESIONES!$K$34-ABERTURAS!$L$66)*MAX(0,MIN($W36,DATOS!$C$23*3/4)-MAX($V36,DATOS!$C$23*2/4))*PRESIONES!$C$20+(PRESIONES!$K$35-ABERTURAS!$L$66)*MAX(0,MIN($W36,DATOS!$C$23*4/4)-MAX($V36,DATOS!$C$23*3/4))*PRESIONES!$C$21))</f>
        <v>0</v>
      </c>
      <c r="BG36" s="30" t="n">
        <f aca="false">IF($L36&lt;&gt;"OK",0,PRESIONES!$C$12*((PRESIONES!$N$32-ABERTURAS!$L$67)*MAX(0,MIN($W36,DATOS!$C$23*1/4)-MAX($V36,DATOS!$C$23*0/4))*PRESIONES!$C$18+(PRESIONES!$N$33-ABERTURAS!$L$67)*MAX(0,MIN($W36,DATOS!$C$23*2/4)-MAX($V36,DATOS!$C$23*1/4))*PRESIONES!$C$19+(PRESIONES!$N$34-ABERTURAS!$L$67)*MAX(0,MIN($W36,DATOS!$C$23*3/4)-MAX($V36,DATOS!$C$23*2/4))*PRESIONES!$C$20+(PRESIONES!$N$35-ABERTURAS!$L$67)*MAX(0,MIN($W36,DATOS!$C$23*4/4)-MAX($V36,DATOS!$C$23*3/4))*PRESIONES!$C$21))</f>
        <v>0</v>
      </c>
    </row>
    <row r="37" customFormat="false" ht="15" hidden="false" customHeight="true" outlineLevel="0" collapsed="false">
      <c r="B37" s="27"/>
      <c r="C37" s="17"/>
      <c r="D37" s="27"/>
      <c r="E37" s="17"/>
      <c r="F37" s="49"/>
      <c r="G37" s="49"/>
      <c r="H37" s="49"/>
      <c r="I37" s="49"/>
      <c r="J37" s="49"/>
      <c r="K37" s="49"/>
      <c r="L37" s="20" t="str">
        <f aca="false">IF($D37="","",IF($C37&lt;&gt;"TECHO","PON TECHO",IF(OR($F37="",$G37="",$H37="",$I37=""),"FALTAN a o b",IF($M37&lt;=0,"a₂ DEBE SER &gt; a₁",IF($N37&lt;=0,"b₂ DEBE SER &gt; b₁",IF(OR($V37&lt;-0.001,$W37&gt;DATOS!$C$23+0.001),"SE SALE DEL TECHO","OK"))))))</f>
        <v/>
      </c>
      <c r="M37" s="30" t="n">
        <f aca="false">IF($D37="",0,MAX(0,$G37-$F37))</f>
        <v>0</v>
      </c>
      <c r="N37" s="30" t="n">
        <f aca="false">MAX(0,$W37-$V37)</f>
        <v>0</v>
      </c>
      <c r="O37" s="30" t="n">
        <f aca="false">$M37*$N37</f>
        <v>0</v>
      </c>
      <c r="P37" s="30" t="n">
        <v>0</v>
      </c>
      <c r="Q37" s="30" t="n">
        <v>0</v>
      </c>
      <c r="R37" s="30" t="n">
        <f aca="false">$O37</f>
        <v>0</v>
      </c>
      <c r="S37" s="30" t="n">
        <f aca="false">$O37</f>
        <v>0</v>
      </c>
      <c r="T37" s="50" t="n">
        <f aca="false">IF($D37="",0,DATOS!$C$21)</f>
        <v>0</v>
      </c>
      <c r="U37" s="50" t="n">
        <v>0</v>
      </c>
      <c r="V37" s="50" t="n">
        <f aca="false">IF($D37="",0,(N($H37)+IF($J37="",N($H37),$J37))/2)</f>
        <v>0</v>
      </c>
      <c r="W37" s="50" t="n">
        <f aca="false">IF($D37="",0,(N($I37)+IF($K37="",N($I37),$K37))/2)</f>
        <v>0</v>
      </c>
      <c r="AB37" s="30" t="n">
        <f aca="false">IF($L37&lt;&gt;"OK",0,PRESIONES!$C$12*((PRESIONES!$D$32-ABERTURAS!$L$60)*MAX(0,MIN($W37,DATOS!$C$23*1/4)-MAX($V37,DATOS!$C$23*0/4))+(PRESIONES!$D$33-ABERTURAS!$L$60)*MAX(0,MIN($W37,DATOS!$C$23*2/4)-MAX($V37,DATOS!$C$23*1/4))+(PRESIONES!$D$34-ABERTURAS!$L$60)*MAX(0,MIN($W37,DATOS!$C$23*3/4)-MAX($V37,DATOS!$C$23*2/4))+(PRESIONES!$D$35-ABERTURAS!$L$60)*MAX(0,MIN($W37,DATOS!$C$23*4/4)-MAX($V37,DATOS!$C$23*3/4))))</f>
        <v>0</v>
      </c>
      <c r="AC37" s="30" t="n">
        <f aca="false">IF($L37&lt;&gt;"OK",0,PRESIONES!$C$12*((PRESIONES!$G$32-ABERTURAS!$L$61)*MAX(0,MIN($W37,DATOS!$C$23*1/4)-MAX($V37,DATOS!$C$23*0/4))+(PRESIONES!$G$33-ABERTURAS!$L$61)*MAX(0,MIN($W37,DATOS!$C$23*2/4)-MAX($V37,DATOS!$C$23*1/4))+(PRESIONES!$G$34-ABERTURAS!$L$61)*MAX(0,MIN($W37,DATOS!$C$23*3/4)-MAX($V37,DATOS!$C$23*2/4))+(PRESIONES!$G$35-ABERTURAS!$L$61)*MAX(0,MIN($W37,DATOS!$C$23*4/4)-MAX($V37,DATOS!$C$23*3/4))))</f>
        <v>0</v>
      </c>
      <c r="AD37" s="30" t="n">
        <f aca="false">IF($L37&lt;&gt;"OK",0,PRESIONES!$C$12*((PRESIONES!$J$32-ABERTURAS!$L$62)*MAX(0,MIN($W37,DATOS!$C$23*1/4)-MAX($V37,DATOS!$C$23*0/4))+(PRESIONES!$J$33-ABERTURAS!$L$62)*MAX(0,MIN($W37,DATOS!$C$23*2/4)-MAX($V37,DATOS!$C$23*1/4))+(PRESIONES!$J$34-ABERTURAS!$L$62)*MAX(0,MIN($W37,DATOS!$C$23*3/4)-MAX($V37,DATOS!$C$23*2/4))+(PRESIONES!$J$35-ABERTURAS!$L$62)*MAX(0,MIN($W37,DATOS!$C$23*4/4)-MAX($V37,DATOS!$C$23*3/4))))</f>
        <v>0</v>
      </c>
      <c r="AE37" s="30" t="n">
        <f aca="false">IF($L37&lt;&gt;"OK",0,PRESIONES!$C$12*((PRESIONES!$M$32-ABERTURAS!$L$63)*MAX(0,MIN($W37,DATOS!$C$23*1/4)-MAX($V37,DATOS!$C$23*0/4))+(PRESIONES!$M$33-ABERTURAS!$L$63)*MAX(0,MIN($W37,DATOS!$C$23*2/4)-MAX($V37,DATOS!$C$23*1/4))+(PRESIONES!$M$34-ABERTURAS!$L$63)*MAX(0,MIN($W37,DATOS!$C$23*3/4)-MAX($V37,DATOS!$C$23*2/4))+(PRESIONES!$M$35-ABERTURAS!$L$63)*MAX(0,MIN($W37,DATOS!$C$23*4/4)-MAX($V37,DATOS!$C$23*3/4))))</f>
        <v>0</v>
      </c>
      <c r="AF37" s="30" t="n">
        <f aca="false">IF($L37&lt;&gt;"OK",0,PRESIONES!$C$12*((PRESIONES!$D$32-ABERTURAS!$L$64)*MAX(0,MIN($W37,DATOS!$C$23*1/4)-MAX($V37,DATOS!$C$23*0/4))+(PRESIONES!$D$33-ABERTURAS!$L$64)*MAX(0,MIN($W37,DATOS!$C$23*2/4)-MAX($V37,DATOS!$C$23*1/4))+(PRESIONES!$D$34-ABERTURAS!$L$64)*MAX(0,MIN($W37,DATOS!$C$23*3/4)-MAX($V37,DATOS!$C$23*2/4))+(PRESIONES!$D$35-ABERTURAS!$L$64)*MAX(0,MIN($W37,DATOS!$C$23*4/4)-MAX($V37,DATOS!$C$23*3/4))))</f>
        <v>0</v>
      </c>
      <c r="AG37" s="30" t="n">
        <f aca="false">IF($L37&lt;&gt;"OK",0,PRESIONES!$C$12*((PRESIONES!$G$32-ABERTURAS!$L$65)*MAX(0,MIN($W37,DATOS!$C$23*1/4)-MAX($V37,DATOS!$C$23*0/4))+(PRESIONES!$G$33-ABERTURAS!$L$65)*MAX(0,MIN($W37,DATOS!$C$23*2/4)-MAX($V37,DATOS!$C$23*1/4))+(PRESIONES!$G$34-ABERTURAS!$L$65)*MAX(0,MIN($W37,DATOS!$C$23*3/4)-MAX($V37,DATOS!$C$23*2/4))+(PRESIONES!$G$35-ABERTURAS!$L$65)*MAX(0,MIN($W37,DATOS!$C$23*4/4)-MAX($V37,DATOS!$C$23*3/4))))</f>
        <v>0</v>
      </c>
      <c r="AH37" s="30" t="n">
        <f aca="false">IF($L37&lt;&gt;"OK",0,PRESIONES!$C$12*((PRESIONES!$J$32-ABERTURAS!$L$66)*MAX(0,MIN($W37,DATOS!$C$23*1/4)-MAX($V37,DATOS!$C$23*0/4))+(PRESIONES!$J$33-ABERTURAS!$L$66)*MAX(0,MIN($W37,DATOS!$C$23*2/4)-MAX($V37,DATOS!$C$23*1/4))+(PRESIONES!$J$34-ABERTURAS!$L$66)*MAX(0,MIN($W37,DATOS!$C$23*3/4)-MAX($V37,DATOS!$C$23*2/4))+(PRESIONES!$J$35-ABERTURAS!$L$66)*MAX(0,MIN($W37,DATOS!$C$23*4/4)-MAX($V37,DATOS!$C$23*3/4))))</f>
        <v>0</v>
      </c>
      <c r="AI37" s="30" t="n">
        <f aca="false">IF($L37&lt;&gt;"OK",0,PRESIONES!$C$12*((PRESIONES!$M$32-ABERTURAS!$L$67)*MAX(0,MIN($W37,DATOS!$C$23*1/4)-MAX($V37,DATOS!$C$23*0/4))+(PRESIONES!$M$33-ABERTURAS!$L$67)*MAX(0,MIN($W37,DATOS!$C$23*2/4)-MAX($V37,DATOS!$C$23*1/4))+(PRESIONES!$M$34-ABERTURAS!$L$67)*MAX(0,MIN($W37,DATOS!$C$23*3/4)-MAX($V37,DATOS!$C$23*2/4))+(PRESIONES!$M$35-ABERTURAS!$L$67)*MAX(0,MIN($W37,DATOS!$C$23*4/4)-MAX($V37,DATOS!$C$23*3/4))))</f>
        <v>0</v>
      </c>
      <c r="AJ37" s="30" t="n">
        <f aca="false">IF($L37&lt;&gt;"OK",0,PRESIONES!$C$12*((PRESIONES!$D$32-ABERTURAS!$L$60)*MAX(0,MIN($W37,DATOS!$C$23*1/4)-MAX($V37,DATOS!$C$23*0/4))*PRESIONES!$C$18+(PRESIONES!$D$33-ABERTURAS!$L$60)*MAX(0,MIN($W37,DATOS!$C$23*2/4)-MAX($V37,DATOS!$C$23*1/4))*PRESIONES!$C$19+(PRESIONES!$D$34-ABERTURAS!$L$60)*MAX(0,MIN($W37,DATOS!$C$23*3/4)-MAX($V37,DATOS!$C$23*2/4))*PRESIONES!$C$20+(PRESIONES!$D$35-ABERTURAS!$L$60)*MAX(0,MIN($W37,DATOS!$C$23*4/4)-MAX($V37,DATOS!$C$23*3/4))*PRESIONES!$C$21))</f>
        <v>0</v>
      </c>
      <c r="AK37" s="30" t="n">
        <f aca="false">IF($L37&lt;&gt;"OK",0,PRESIONES!$C$12*((PRESIONES!$G$32-ABERTURAS!$L$61)*MAX(0,MIN($W37,DATOS!$C$23*1/4)-MAX($V37,DATOS!$C$23*0/4))*PRESIONES!$C$18+(PRESIONES!$G$33-ABERTURAS!$L$61)*MAX(0,MIN($W37,DATOS!$C$23*2/4)-MAX($V37,DATOS!$C$23*1/4))*PRESIONES!$C$19+(PRESIONES!$G$34-ABERTURAS!$L$61)*MAX(0,MIN($W37,DATOS!$C$23*3/4)-MAX($V37,DATOS!$C$23*2/4))*PRESIONES!$C$20+(PRESIONES!$G$35-ABERTURAS!$L$61)*MAX(0,MIN($W37,DATOS!$C$23*4/4)-MAX($V37,DATOS!$C$23*3/4))*PRESIONES!$C$21))</f>
        <v>0</v>
      </c>
      <c r="AL37" s="30" t="n">
        <f aca="false">IF($L37&lt;&gt;"OK",0,PRESIONES!$C$12*((PRESIONES!$J$32-ABERTURAS!$L$62)*MAX(0,MIN($W37,DATOS!$C$23*1/4)-MAX($V37,DATOS!$C$23*0/4))*PRESIONES!$C$18+(PRESIONES!$J$33-ABERTURAS!$L$62)*MAX(0,MIN($W37,DATOS!$C$23*2/4)-MAX($V37,DATOS!$C$23*1/4))*PRESIONES!$C$19+(PRESIONES!$J$34-ABERTURAS!$L$62)*MAX(0,MIN($W37,DATOS!$C$23*3/4)-MAX($V37,DATOS!$C$23*2/4))*PRESIONES!$C$20+(PRESIONES!$J$35-ABERTURAS!$L$62)*MAX(0,MIN($W37,DATOS!$C$23*4/4)-MAX($V37,DATOS!$C$23*3/4))*PRESIONES!$C$21))</f>
        <v>0</v>
      </c>
      <c r="AM37" s="30" t="n">
        <f aca="false">IF($L37&lt;&gt;"OK",0,PRESIONES!$C$12*((PRESIONES!$M$32-ABERTURAS!$L$63)*MAX(0,MIN($W37,DATOS!$C$23*1/4)-MAX($V37,DATOS!$C$23*0/4))*PRESIONES!$C$18+(PRESIONES!$M$33-ABERTURAS!$L$63)*MAX(0,MIN($W37,DATOS!$C$23*2/4)-MAX($V37,DATOS!$C$23*1/4))*PRESIONES!$C$19+(PRESIONES!$M$34-ABERTURAS!$L$63)*MAX(0,MIN($W37,DATOS!$C$23*3/4)-MAX($V37,DATOS!$C$23*2/4))*PRESIONES!$C$20+(PRESIONES!$M$35-ABERTURAS!$L$63)*MAX(0,MIN($W37,DATOS!$C$23*4/4)-MAX($V37,DATOS!$C$23*3/4))*PRESIONES!$C$21))</f>
        <v>0</v>
      </c>
      <c r="AN37" s="30" t="n">
        <f aca="false">IF($L37&lt;&gt;"OK",0,PRESIONES!$C$12*((PRESIONES!$D$32-ABERTURAS!$L$64)*MAX(0,MIN($W37,DATOS!$C$23*1/4)-MAX($V37,DATOS!$C$23*0/4))*PRESIONES!$C$18+(PRESIONES!$D$33-ABERTURAS!$L$64)*MAX(0,MIN($W37,DATOS!$C$23*2/4)-MAX($V37,DATOS!$C$23*1/4))*PRESIONES!$C$19+(PRESIONES!$D$34-ABERTURAS!$L$64)*MAX(0,MIN($W37,DATOS!$C$23*3/4)-MAX($V37,DATOS!$C$23*2/4))*PRESIONES!$C$20+(PRESIONES!$D$35-ABERTURAS!$L$64)*MAX(0,MIN($W37,DATOS!$C$23*4/4)-MAX($V37,DATOS!$C$23*3/4))*PRESIONES!$C$21))</f>
        <v>0</v>
      </c>
      <c r="AO37" s="30" t="n">
        <f aca="false">IF($L37&lt;&gt;"OK",0,PRESIONES!$C$12*((PRESIONES!$G$32-ABERTURAS!$L$65)*MAX(0,MIN($W37,DATOS!$C$23*1/4)-MAX($V37,DATOS!$C$23*0/4))*PRESIONES!$C$18+(PRESIONES!$G$33-ABERTURAS!$L$65)*MAX(0,MIN($W37,DATOS!$C$23*2/4)-MAX($V37,DATOS!$C$23*1/4))*PRESIONES!$C$19+(PRESIONES!$G$34-ABERTURAS!$L$65)*MAX(0,MIN($W37,DATOS!$C$23*3/4)-MAX($V37,DATOS!$C$23*2/4))*PRESIONES!$C$20+(PRESIONES!$G$35-ABERTURAS!$L$65)*MAX(0,MIN($W37,DATOS!$C$23*4/4)-MAX($V37,DATOS!$C$23*3/4))*PRESIONES!$C$21))</f>
        <v>0</v>
      </c>
      <c r="AP37" s="30" t="n">
        <f aca="false">IF($L37&lt;&gt;"OK",0,PRESIONES!$C$12*((PRESIONES!$J$32-ABERTURAS!$L$66)*MAX(0,MIN($W37,DATOS!$C$23*1/4)-MAX($V37,DATOS!$C$23*0/4))*PRESIONES!$C$18+(PRESIONES!$J$33-ABERTURAS!$L$66)*MAX(0,MIN($W37,DATOS!$C$23*2/4)-MAX($V37,DATOS!$C$23*1/4))*PRESIONES!$C$19+(PRESIONES!$J$34-ABERTURAS!$L$66)*MAX(0,MIN($W37,DATOS!$C$23*3/4)-MAX($V37,DATOS!$C$23*2/4))*PRESIONES!$C$20+(PRESIONES!$J$35-ABERTURAS!$L$66)*MAX(0,MIN($W37,DATOS!$C$23*4/4)-MAX($V37,DATOS!$C$23*3/4))*PRESIONES!$C$21))</f>
        <v>0</v>
      </c>
      <c r="AQ37" s="30" t="n">
        <f aca="false">IF($L37&lt;&gt;"OK",0,PRESIONES!$C$12*((PRESIONES!$M$32-ABERTURAS!$L$67)*MAX(0,MIN($W37,DATOS!$C$23*1/4)-MAX($V37,DATOS!$C$23*0/4))*PRESIONES!$C$18+(PRESIONES!$M$33-ABERTURAS!$L$67)*MAX(0,MIN($W37,DATOS!$C$23*2/4)-MAX($V37,DATOS!$C$23*1/4))*PRESIONES!$C$19+(PRESIONES!$M$34-ABERTURAS!$L$67)*MAX(0,MIN($W37,DATOS!$C$23*3/4)-MAX($V37,DATOS!$C$23*2/4))*PRESIONES!$C$20+(PRESIONES!$M$35-ABERTURAS!$L$67)*MAX(0,MIN($W37,DATOS!$C$23*4/4)-MAX($V37,DATOS!$C$23*3/4))*PRESIONES!$C$21))</f>
        <v>0</v>
      </c>
      <c r="AR37" s="30" t="n">
        <f aca="false">IF($L37&lt;&gt;"OK",0,PRESIONES!$C$12*((PRESIONES!$E$32-ABERTURAS!$L$60)*MAX(0,MIN($W37,DATOS!$C$23*1/4)-MAX($V37,DATOS!$C$23*0/4))+(PRESIONES!$E$33-ABERTURAS!$L$60)*MAX(0,MIN($W37,DATOS!$C$23*2/4)-MAX($V37,DATOS!$C$23*1/4))+(PRESIONES!$E$34-ABERTURAS!$L$60)*MAX(0,MIN($W37,DATOS!$C$23*3/4)-MAX($V37,DATOS!$C$23*2/4))+(PRESIONES!$E$35-ABERTURAS!$L$60)*MAX(0,MIN($W37,DATOS!$C$23*4/4)-MAX($V37,DATOS!$C$23*3/4))))</f>
        <v>0</v>
      </c>
      <c r="AS37" s="30" t="n">
        <f aca="false">IF($L37&lt;&gt;"OK",0,PRESIONES!$C$12*((PRESIONES!$H$32-ABERTURAS!$L$61)*MAX(0,MIN($W37,DATOS!$C$23*1/4)-MAX($V37,DATOS!$C$23*0/4))+(PRESIONES!$H$33-ABERTURAS!$L$61)*MAX(0,MIN($W37,DATOS!$C$23*2/4)-MAX($V37,DATOS!$C$23*1/4))+(PRESIONES!$H$34-ABERTURAS!$L$61)*MAX(0,MIN($W37,DATOS!$C$23*3/4)-MAX($V37,DATOS!$C$23*2/4))+(PRESIONES!$H$35-ABERTURAS!$L$61)*MAX(0,MIN($W37,DATOS!$C$23*4/4)-MAX($V37,DATOS!$C$23*3/4))))</f>
        <v>0</v>
      </c>
      <c r="AT37" s="30" t="n">
        <f aca="false">IF($L37&lt;&gt;"OK",0,PRESIONES!$C$12*((PRESIONES!$K$32-ABERTURAS!$L$62)*MAX(0,MIN($W37,DATOS!$C$23*1/4)-MAX($V37,DATOS!$C$23*0/4))+(PRESIONES!$K$33-ABERTURAS!$L$62)*MAX(0,MIN($W37,DATOS!$C$23*2/4)-MAX($V37,DATOS!$C$23*1/4))+(PRESIONES!$K$34-ABERTURAS!$L$62)*MAX(0,MIN($W37,DATOS!$C$23*3/4)-MAX($V37,DATOS!$C$23*2/4))+(PRESIONES!$K$35-ABERTURAS!$L$62)*MAX(0,MIN($W37,DATOS!$C$23*4/4)-MAX($V37,DATOS!$C$23*3/4))))</f>
        <v>0</v>
      </c>
      <c r="AU37" s="30" t="n">
        <f aca="false">IF($L37&lt;&gt;"OK",0,PRESIONES!$C$12*((PRESIONES!$N$32-ABERTURAS!$L$63)*MAX(0,MIN($W37,DATOS!$C$23*1/4)-MAX($V37,DATOS!$C$23*0/4))+(PRESIONES!$N$33-ABERTURAS!$L$63)*MAX(0,MIN($W37,DATOS!$C$23*2/4)-MAX($V37,DATOS!$C$23*1/4))+(PRESIONES!$N$34-ABERTURAS!$L$63)*MAX(0,MIN($W37,DATOS!$C$23*3/4)-MAX($V37,DATOS!$C$23*2/4))+(PRESIONES!$N$35-ABERTURAS!$L$63)*MAX(0,MIN($W37,DATOS!$C$23*4/4)-MAX($V37,DATOS!$C$23*3/4))))</f>
        <v>0</v>
      </c>
      <c r="AV37" s="30" t="n">
        <f aca="false">IF($L37&lt;&gt;"OK",0,PRESIONES!$C$12*((PRESIONES!$E$32-ABERTURAS!$L$64)*MAX(0,MIN($W37,DATOS!$C$23*1/4)-MAX($V37,DATOS!$C$23*0/4))+(PRESIONES!$E$33-ABERTURAS!$L$64)*MAX(0,MIN($W37,DATOS!$C$23*2/4)-MAX($V37,DATOS!$C$23*1/4))+(PRESIONES!$E$34-ABERTURAS!$L$64)*MAX(0,MIN($W37,DATOS!$C$23*3/4)-MAX($V37,DATOS!$C$23*2/4))+(PRESIONES!$E$35-ABERTURAS!$L$64)*MAX(0,MIN($W37,DATOS!$C$23*4/4)-MAX($V37,DATOS!$C$23*3/4))))</f>
        <v>0</v>
      </c>
      <c r="AW37" s="30" t="n">
        <f aca="false">IF($L37&lt;&gt;"OK",0,PRESIONES!$C$12*((PRESIONES!$H$32-ABERTURAS!$L$65)*MAX(0,MIN($W37,DATOS!$C$23*1/4)-MAX($V37,DATOS!$C$23*0/4))+(PRESIONES!$H$33-ABERTURAS!$L$65)*MAX(0,MIN($W37,DATOS!$C$23*2/4)-MAX($V37,DATOS!$C$23*1/4))+(PRESIONES!$H$34-ABERTURAS!$L$65)*MAX(0,MIN($W37,DATOS!$C$23*3/4)-MAX($V37,DATOS!$C$23*2/4))+(PRESIONES!$H$35-ABERTURAS!$L$65)*MAX(0,MIN($W37,DATOS!$C$23*4/4)-MAX($V37,DATOS!$C$23*3/4))))</f>
        <v>0</v>
      </c>
      <c r="AX37" s="30" t="n">
        <f aca="false">IF($L37&lt;&gt;"OK",0,PRESIONES!$C$12*((PRESIONES!$K$32-ABERTURAS!$L$66)*MAX(0,MIN($W37,DATOS!$C$23*1/4)-MAX($V37,DATOS!$C$23*0/4))+(PRESIONES!$K$33-ABERTURAS!$L$66)*MAX(0,MIN($W37,DATOS!$C$23*2/4)-MAX($V37,DATOS!$C$23*1/4))+(PRESIONES!$K$34-ABERTURAS!$L$66)*MAX(0,MIN($W37,DATOS!$C$23*3/4)-MAX($V37,DATOS!$C$23*2/4))+(PRESIONES!$K$35-ABERTURAS!$L$66)*MAX(0,MIN($W37,DATOS!$C$23*4/4)-MAX($V37,DATOS!$C$23*3/4))))</f>
        <v>0</v>
      </c>
      <c r="AY37" s="30" t="n">
        <f aca="false">IF($L37&lt;&gt;"OK",0,PRESIONES!$C$12*((PRESIONES!$N$32-ABERTURAS!$L$67)*MAX(0,MIN($W37,DATOS!$C$23*1/4)-MAX($V37,DATOS!$C$23*0/4))+(PRESIONES!$N$33-ABERTURAS!$L$67)*MAX(0,MIN($W37,DATOS!$C$23*2/4)-MAX($V37,DATOS!$C$23*1/4))+(PRESIONES!$N$34-ABERTURAS!$L$67)*MAX(0,MIN($W37,DATOS!$C$23*3/4)-MAX($V37,DATOS!$C$23*2/4))+(PRESIONES!$N$35-ABERTURAS!$L$67)*MAX(0,MIN($W37,DATOS!$C$23*4/4)-MAX($V37,DATOS!$C$23*3/4))))</f>
        <v>0</v>
      </c>
      <c r="AZ37" s="30" t="n">
        <f aca="false">IF($L37&lt;&gt;"OK",0,PRESIONES!$C$12*((PRESIONES!$E$32-ABERTURAS!$L$60)*MAX(0,MIN($W37,DATOS!$C$23*1/4)-MAX($V37,DATOS!$C$23*0/4))*PRESIONES!$C$18+(PRESIONES!$E$33-ABERTURAS!$L$60)*MAX(0,MIN($W37,DATOS!$C$23*2/4)-MAX($V37,DATOS!$C$23*1/4))*PRESIONES!$C$19+(PRESIONES!$E$34-ABERTURAS!$L$60)*MAX(0,MIN($W37,DATOS!$C$23*3/4)-MAX($V37,DATOS!$C$23*2/4))*PRESIONES!$C$20+(PRESIONES!$E$35-ABERTURAS!$L$60)*MAX(0,MIN($W37,DATOS!$C$23*4/4)-MAX($V37,DATOS!$C$23*3/4))*PRESIONES!$C$21))</f>
        <v>0</v>
      </c>
      <c r="BA37" s="30" t="n">
        <f aca="false">IF($L37&lt;&gt;"OK",0,PRESIONES!$C$12*((PRESIONES!$H$32-ABERTURAS!$L$61)*MAX(0,MIN($W37,DATOS!$C$23*1/4)-MAX($V37,DATOS!$C$23*0/4))*PRESIONES!$C$18+(PRESIONES!$H$33-ABERTURAS!$L$61)*MAX(0,MIN($W37,DATOS!$C$23*2/4)-MAX($V37,DATOS!$C$23*1/4))*PRESIONES!$C$19+(PRESIONES!$H$34-ABERTURAS!$L$61)*MAX(0,MIN($W37,DATOS!$C$23*3/4)-MAX($V37,DATOS!$C$23*2/4))*PRESIONES!$C$20+(PRESIONES!$H$35-ABERTURAS!$L$61)*MAX(0,MIN($W37,DATOS!$C$23*4/4)-MAX($V37,DATOS!$C$23*3/4))*PRESIONES!$C$21))</f>
        <v>0</v>
      </c>
      <c r="BB37" s="30" t="n">
        <f aca="false">IF($L37&lt;&gt;"OK",0,PRESIONES!$C$12*((PRESIONES!$K$32-ABERTURAS!$L$62)*MAX(0,MIN($W37,DATOS!$C$23*1/4)-MAX($V37,DATOS!$C$23*0/4))*PRESIONES!$C$18+(PRESIONES!$K$33-ABERTURAS!$L$62)*MAX(0,MIN($W37,DATOS!$C$23*2/4)-MAX($V37,DATOS!$C$23*1/4))*PRESIONES!$C$19+(PRESIONES!$K$34-ABERTURAS!$L$62)*MAX(0,MIN($W37,DATOS!$C$23*3/4)-MAX($V37,DATOS!$C$23*2/4))*PRESIONES!$C$20+(PRESIONES!$K$35-ABERTURAS!$L$62)*MAX(0,MIN($W37,DATOS!$C$23*4/4)-MAX($V37,DATOS!$C$23*3/4))*PRESIONES!$C$21))</f>
        <v>0</v>
      </c>
      <c r="BC37" s="30" t="n">
        <f aca="false">IF($L37&lt;&gt;"OK",0,PRESIONES!$C$12*((PRESIONES!$N$32-ABERTURAS!$L$63)*MAX(0,MIN($W37,DATOS!$C$23*1/4)-MAX($V37,DATOS!$C$23*0/4))*PRESIONES!$C$18+(PRESIONES!$N$33-ABERTURAS!$L$63)*MAX(0,MIN($W37,DATOS!$C$23*2/4)-MAX($V37,DATOS!$C$23*1/4))*PRESIONES!$C$19+(PRESIONES!$N$34-ABERTURAS!$L$63)*MAX(0,MIN($W37,DATOS!$C$23*3/4)-MAX($V37,DATOS!$C$23*2/4))*PRESIONES!$C$20+(PRESIONES!$N$35-ABERTURAS!$L$63)*MAX(0,MIN($W37,DATOS!$C$23*4/4)-MAX($V37,DATOS!$C$23*3/4))*PRESIONES!$C$21))</f>
        <v>0</v>
      </c>
      <c r="BD37" s="30" t="n">
        <f aca="false">IF($L37&lt;&gt;"OK",0,PRESIONES!$C$12*((PRESIONES!$E$32-ABERTURAS!$L$64)*MAX(0,MIN($W37,DATOS!$C$23*1/4)-MAX($V37,DATOS!$C$23*0/4))*PRESIONES!$C$18+(PRESIONES!$E$33-ABERTURAS!$L$64)*MAX(0,MIN($W37,DATOS!$C$23*2/4)-MAX($V37,DATOS!$C$23*1/4))*PRESIONES!$C$19+(PRESIONES!$E$34-ABERTURAS!$L$64)*MAX(0,MIN($W37,DATOS!$C$23*3/4)-MAX($V37,DATOS!$C$23*2/4))*PRESIONES!$C$20+(PRESIONES!$E$35-ABERTURAS!$L$64)*MAX(0,MIN($W37,DATOS!$C$23*4/4)-MAX($V37,DATOS!$C$23*3/4))*PRESIONES!$C$21))</f>
        <v>0</v>
      </c>
      <c r="BE37" s="30" t="n">
        <f aca="false">IF($L37&lt;&gt;"OK",0,PRESIONES!$C$12*((PRESIONES!$H$32-ABERTURAS!$L$65)*MAX(0,MIN($W37,DATOS!$C$23*1/4)-MAX($V37,DATOS!$C$23*0/4))*PRESIONES!$C$18+(PRESIONES!$H$33-ABERTURAS!$L$65)*MAX(0,MIN($W37,DATOS!$C$23*2/4)-MAX($V37,DATOS!$C$23*1/4))*PRESIONES!$C$19+(PRESIONES!$H$34-ABERTURAS!$L$65)*MAX(0,MIN($W37,DATOS!$C$23*3/4)-MAX($V37,DATOS!$C$23*2/4))*PRESIONES!$C$20+(PRESIONES!$H$35-ABERTURAS!$L$65)*MAX(0,MIN($W37,DATOS!$C$23*4/4)-MAX($V37,DATOS!$C$23*3/4))*PRESIONES!$C$21))</f>
        <v>0</v>
      </c>
      <c r="BF37" s="30" t="n">
        <f aca="false">IF($L37&lt;&gt;"OK",0,PRESIONES!$C$12*((PRESIONES!$K$32-ABERTURAS!$L$66)*MAX(0,MIN($W37,DATOS!$C$23*1/4)-MAX($V37,DATOS!$C$23*0/4))*PRESIONES!$C$18+(PRESIONES!$K$33-ABERTURAS!$L$66)*MAX(0,MIN($W37,DATOS!$C$23*2/4)-MAX($V37,DATOS!$C$23*1/4))*PRESIONES!$C$19+(PRESIONES!$K$34-ABERTURAS!$L$66)*MAX(0,MIN($W37,DATOS!$C$23*3/4)-MAX($V37,DATOS!$C$23*2/4))*PRESIONES!$C$20+(PRESIONES!$K$35-ABERTURAS!$L$66)*MAX(0,MIN($W37,DATOS!$C$23*4/4)-MAX($V37,DATOS!$C$23*3/4))*PRESIONES!$C$21))</f>
        <v>0</v>
      </c>
      <c r="BG37" s="30" t="n">
        <f aca="false">IF($L37&lt;&gt;"OK",0,PRESIONES!$C$12*((PRESIONES!$N$32-ABERTURAS!$L$67)*MAX(0,MIN($W37,DATOS!$C$23*1/4)-MAX($V37,DATOS!$C$23*0/4))*PRESIONES!$C$18+(PRESIONES!$N$33-ABERTURAS!$L$67)*MAX(0,MIN($W37,DATOS!$C$23*2/4)-MAX($V37,DATOS!$C$23*1/4))*PRESIONES!$C$19+(PRESIONES!$N$34-ABERTURAS!$L$67)*MAX(0,MIN($W37,DATOS!$C$23*3/4)-MAX($V37,DATOS!$C$23*2/4))*PRESIONES!$C$20+(PRESIONES!$N$35-ABERTURAS!$L$67)*MAX(0,MIN($W37,DATOS!$C$23*4/4)-MAX($V37,DATOS!$C$23*3/4))*PRESIONES!$C$21))</f>
        <v>0</v>
      </c>
    </row>
    <row r="38" customFormat="false" ht="15" hidden="false" customHeight="true" outlineLevel="0" collapsed="false">
      <c r="B38" s="27"/>
      <c r="C38" s="17"/>
      <c r="D38" s="27"/>
      <c r="E38" s="17"/>
      <c r="F38" s="49"/>
      <c r="G38" s="49"/>
      <c r="H38" s="49"/>
      <c r="I38" s="49"/>
      <c r="J38" s="49"/>
      <c r="K38" s="49"/>
      <c r="L38" s="20" t="str">
        <f aca="false">IF($D38="","",IF($C38&lt;&gt;"TECHO","PON TECHO",IF(OR($F38="",$G38="",$H38="",$I38=""),"FALTAN a o b",IF($M38&lt;=0,"a₂ DEBE SER &gt; a₁",IF($N38&lt;=0,"b₂ DEBE SER &gt; b₁",IF(OR($V38&lt;-0.001,$W38&gt;DATOS!$C$23+0.001),"SE SALE DEL TECHO","OK"))))))</f>
        <v/>
      </c>
      <c r="M38" s="30" t="n">
        <f aca="false">IF($D38="",0,MAX(0,$G38-$F38))</f>
        <v>0</v>
      </c>
      <c r="N38" s="30" t="n">
        <f aca="false">MAX(0,$W38-$V38)</f>
        <v>0</v>
      </c>
      <c r="O38" s="30" t="n">
        <f aca="false">$M38*$N38</f>
        <v>0</v>
      </c>
      <c r="P38" s="30" t="n">
        <v>0</v>
      </c>
      <c r="Q38" s="30" t="n">
        <v>0</v>
      </c>
      <c r="R38" s="30" t="n">
        <f aca="false">$O38</f>
        <v>0</v>
      </c>
      <c r="S38" s="30" t="n">
        <f aca="false">$O38</f>
        <v>0</v>
      </c>
      <c r="T38" s="50" t="n">
        <f aca="false">IF($D38="",0,DATOS!$C$21)</f>
        <v>0</v>
      </c>
      <c r="U38" s="50" t="n">
        <v>0</v>
      </c>
      <c r="V38" s="50" t="n">
        <f aca="false">IF($D38="",0,(N($H38)+IF($J38="",N($H38),$J38))/2)</f>
        <v>0</v>
      </c>
      <c r="W38" s="50" t="n">
        <f aca="false">IF($D38="",0,(N($I38)+IF($K38="",N($I38),$K38))/2)</f>
        <v>0</v>
      </c>
      <c r="AB38" s="30" t="n">
        <f aca="false">IF($L38&lt;&gt;"OK",0,PRESIONES!$C$12*((PRESIONES!$D$32-ABERTURAS!$L$60)*MAX(0,MIN($W38,DATOS!$C$23*1/4)-MAX($V38,DATOS!$C$23*0/4))+(PRESIONES!$D$33-ABERTURAS!$L$60)*MAX(0,MIN($W38,DATOS!$C$23*2/4)-MAX($V38,DATOS!$C$23*1/4))+(PRESIONES!$D$34-ABERTURAS!$L$60)*MAX(0,MIN($W38,DATOS!$C$23*3/4)-MAX($V38,DATOS!$C$23*2/4))+(PRESIONES!$D$35-ABERTURAS!$L$60)*MAX(0,MIN($W38,DATOS!$C$23*4/4)-MAX($V38,DATOS!$C$23*3/4))))</f>
        <v>0</v>
      </c>
      <c r="AC38" s="30" t="n">
        <f aca="false">IF($L38&lt;&gt;"OK",0,PRESIONES!$C$12*((PRESIONES!$G$32-ABERTURAS!$L$61)*MAX(0,MIN($W38,DATOS!$C$23*1/4)-MAX($V38,DATOS!$C$23*0/4))+(PRESIONES!$G$33-ABERTURAS!$L$61)*MAX(0,MIN($W38,DATOS!$C$23*2/4)-MAX($V38,DATOS!$C$23*1/4))+(PRESIONES!$G$34-ABERTURAS!$L$61)*MAX(0,MIN($W38,DATOS!$C$23*3/4)-MAX($V38,DATOS!$C$23*2/4))+(PRESIONES!$G$35-ABERTURAS!$L$61)*MAX(0,MIN($W38,DATOS!$C$23*4/4)-MAX($V38,DATOS!$C$23*3/4))))</f>
        <v>0</v>
      </c>
      <c r="AD38" s="30" t="n">
        <f aca="false">IF($L38&lt;&gt;"OK",0,PRESIONES!$C$12*((PRESIONES!$J$32-ABERTURAS!$L$62)*MAX(0,MIN($W38,DATOS!$C$23*1/4)-MAX($V38,DATOS!$C$23*0/4))+(PRESIONES!$J$33-ABERTURAS!$L$62)*MAX(0,MIN($W38,DATOS!$C$23*2/4)-MAX($V38,DATOS!$C$23*1/4))+(PRESIONES!$J$34-ABERTURAS!$L$62)*MAX(0,MIN($W38,DATOS!$C$23*3/4)-MAX($V38,DATOS!$C$23*2/4))+(PRESIONES!$J$35-ABERTURAS!$L$62)*MAX(0,MIN($W38,DATOS!$C$23*4/4)-MAX($V38,DATOS!$C$23*3/4))))</f>
        <v>0</v>
      </c>
      <c r="AE38" s="30" t="n">
        <f aca="false">IF($L38&lt;&gt;"OK",0,PRESIONES!$C$12*((PRESIONES!$M$32-ABERTURAS!$L$63)*MAX(0,MIN($W38,DATOS!$C$23*1/4)-MAX($V38,DATOS!$C$23*0/4))+(PRESIONES!$M$33-ABERTURAS!$L$63)*MAX(0,MIN($W38,DATOS!$C$23*2/4)-MAX($V38,DATOS!$C$23*1/4))+(PRESIONES!$M$34-ABERTURAS!$L$63)*MAX(0,MIN($W38,DATOS!$C$23*3/4)-MAX($V38,DATOS!$C$23*2/4))+(PRESIONES!$M$35-ABERTURAS!$L$63)*MAX(0,MIN($W38,DATOS!$C$23*4/4)-MAX($V38,DATOS!$C$23*3/4))))</f>
        <v>0</v>
      </c>
      <c r="AF38" s="30" t="n">
        <f aca="false">IF($L38&lt;&gt;"OK",0,PRESIONES!$C$12*((PRESIONES!$D$32-ABERTURAS!$L$64)*MAX(0,MIN($W38,DATOS!$C$23*1/4)-MAX($V38,DATOS!$C$23*0/4))+(PRESIONES!$D$33-ABERTURAS!$L$64)*MAX(0,MIN($W38,DATOS!$C$23*2/4)-MAX($V38,DATOS!$C$23*1/4))+(PRESIONES!$D$34-ABERTURAS!$L$64)*MAX(0,MIN($W38,DATOS!$C$23*3/4)-MAX($V38,DATOS!$C$23*2/4))+(PRESIONES!$D$35-ABERTURAS!$L$64)*MAX(0,MIN($W38,DATOS!$C$23*4/4)-MAX($V38,DATOS!$C$23*3/4))))</f>
        <v>0</v>
      </c>
      <c r="AG38" s="30" t="n">
        <f aca="false">IF($L38&lt;&gt;"OK",0,PRESIONES!$C$12*((PRESIONES!$G$32-ABERTURAS!$L$65)*MAX(0,MIN($W38,DATOS!$C$23*1/4)-MAX($V38,DATOS!$C$23*0/4))+(PRESIONES!$G$33-ABERTURAS!$L$65)*MAX(0,MIN($W38,DATOS!$C$23*2/4)-MAX($V38,DATOS!$C$23*1/4))+(PRESIONES!$G$34-ABERTURAS!$L$65)*MAX(0,MIN($W38,DATOS!$C$23*3/4)-MAX($V38,DATOS!$C$23*2/4))+(PRESIONES!$G$35-ABERTURAS!$L$65)*MAX(0,MIN($W38,DATOS!$C$23*4/4)-MAX($V38,DATOS!$C$23*3/4))))</f>
        <v>0</v>
      </c>
      <c r="AH38" s="30" t="n">
        <f aca="false">IF($L38&lt;&gt;"OK",0,PRESIONES!$C$12*((PRESIONES!$J$32-ABERTURAS!$L$66)*MAX(0,MIN($W38,DATOS!$C$23*1/4)-MAX($V38,DATOS!$C$23*0/4))+(PRESIONES!$J$33-ABERTURAS!$L$66)*MAX(0,MIN($W38,DATOS!$C$23*2/4)-MAX($V38,DATOS!$C$23*1/4))+(PRESIONES!$J$34-ABERTURAS!$L$66)*MAX(0,MIN($W38,DATOS!$C$23*3/4)-MAX($V38,DATOS!$C$23*2/4))+(PRESIONES!$J$35-ABERTURAS!$L$66)*MAX(0,MIN($W38,DATOS!$C$23*4/4)-MAX($V38,DATOS!$C$23*3/4))))</f>
        <v>0</v>
      </c>
      <c r="AI38" s="30" t="n">
        <f aca="false">IF($L38&lt;&gt;"OK",0,PRESIONES!$C$12*((PRESIONES!$M$32-ABERTURAS!$L$67)*MAX(0,MIN($W38,DATOS!$C$23*1/4)-MAX($V38,DATOS!$C$23*0/4))+(PRESIONES!$M$33-ABERTURAS!$L$67)*MAX(0,MIN($W38,DATOS!$C$23*2/4)-MAX($V38,DATOS!$C$23*1/4))+(PRESIONES!$M$34-ABERTURAS!$L$67)*MAX(0,MIN($W38,DATOS!$C$23*3/4)-MAX($V38,DATOS!$C$23*2/4))+(PRESIONES!$M$35-ABERTURAS!$L$67)*MAX(0,MIN($W38,DATOS!$C$23*4/4)-MAX($V38,DATOS!$C$23*3/4))))</f>
        <v>0</v>
      </c>
      <c r="AJ38" s="30" t="n">
        <f aca="false">IF($L38&lt;&gt;"OK",0,PRESIONES!$C$12*((PRESIONES!$D$32-ABERTURAS!$L$60)*MAX(0,MIN($W38,DATOS!$C$23*1/4)-MAX($V38,DATOS!$C$23*0/4))*PRESIONES!$C$18+(PRESIONES!$D$33-ABERTURAS!$L$60)*MAX(0,MIN($W38,DATOS!$C$23*2/4)-MAX($V38,DATOS!$C$23*1/4))*PRESIONES!$C$19+(PRESIONES!$D$34-ABERTURAS!$L$60)*MAX(0,MIN($W38,DATOS!$C$23*3/4)-MAX($V38,DATOS!$C$23*2/4))*PRESIONES!$C$20+(PRESIONES!$D$35-ABERTURAS!$L$60)*MAX(0,MIN($W38,DATOS!$C$23*4/4)-MAX($V38,DATOS!$C$23*3/4))*PRESIONES!$C$21))</f>
        <v>0</v>
      </c>
      <c r="AK38" s="30" t="n">
        <f aca="false">IF($L38&lt;&gt;"OK",0,PRESIONES!$C$12*((PRESIONES!$G$32-ABERTURAS!$L$61)*MAX(0,MIN($W38,DATOS!$C$23*1/4)-MAX($V38,DATOS!$C$23*0/4))*PRESIONES!$C$18+(PRESIONES!$G$33-ABERTURAS!$L$61)*MAX(0,MIN($W38,DATOS!$C$23*2/4)-MAX($V38,DATOS!$C$23*1/4))*PRESIONES!$C$19+(PRESIONES!$G$34-ABERTURAS!$L$61)*MAX(0,MIN($W38,DATOS!$C$23*3/4)-MAX($V38,DATOS!$C$23*2/4))*PRESIONES!$C$20+(PRESIONES!$G$35-ABERTURAS!$L$61)*MAX(0,MIN($W38,DATOS!$C$23*4/4)-MAX($V38,DATOS!$C$23*3/4))*PRESIONES!$C$21))</f>
        <v>0</v>
      </c>
      <c r="AL38" s="30" t="n">
        <f aca="false">IF($L38&lt;&gt;"OK",0,PRESIONES!$C$12*((PRESIONES!$J$32-ABERTURAS!$L$62)*MAX(0,MIN($W38,DATOS!$C$23*1/4)-MAX($V38,DATOS!$C$23*0/4))*PRESIONES!$C$18+(PRESIONES!$J$33-ABERTURAS!$L$62)*MAX(0,MIN($W38,DATOS!$C$23*2/4)-MAX($V38,DATOS!$C$23*1/4))*PRESIONES!$C$19+(PRESIONES!$J$34-ABERTURAS!$L$62)*MAX(0,MIN($W38,DATOS!$C$23*3/4)-MAX($V38,DATOS!$C$23*2/4))*PRESIONES!$C$20+(PRESIONES!$J$35-ABERTURAS!$L$62)*MAX(0,MIN($W38,DATOS!$C$23*4/4)-MAX($V38,DATOS!$C$23*3/4))*PRESIONES!$C$21))</f>
        <v>0</v>
      </c>
      <c r="AM38" s="30" t="n">
        <f aca="false">IF($L38&lt;&gt;"OK",0,PRESIONES!$C$12*((PRESIONES!$M$32-ABERTURAS!$L$63)*MAX(0,MIN($W38,DATOS!$C$23*1/4)-MAX($V38,DATOS!$C$23*0/4))*PRESIONES!$C$18+(PRESIONES!$M$33-ABERTURAS!$L$63)*MAX(0,MIN($W38,DATOS!$C$23*2/4)-MAX($V38,DATOS!$C$23*1/4))*PRESIONES!$C$19+(PRESIONES!$M$34-ABERTURAS!$L$63)*MAX(0,MIN($W38,DATOS!$C$23*3/4)-MAX($V38,DATOS!$C$23*2/4))*PRESIONES!$C$20+(PRESIONES!$M$35-ABERTURAS!$L$63)*MAX(0,MIN($W38,DATOS!$C$23*4/4)-MAX($V38,DATOS!$C$23*3/4))*PRESIONES!$C$21))</f>
        <v>0</v>
      </c>
      <c r="AN38" s="30" t="n">
        <f aca="false">IF($L38&lt;&gt;"OK",0,PRESIONES!$C$12*((PRESIONES!$D$32-ABERTURAS!$L$64)*MAX(0,MIN($W38,DATOS!$C$23*1/4)-MAX($V38,DATOS!$C$23*0/4))*PRESIONES!$C$18+(PRESIONES!$D$33-ABERTURAS!$L$64)*MAX(0,MIN($W38,DATOS!$C$23*2/4)-MAX($V38,DATOS!$C$23*1/4))*PRESIONES!$C$19+(PRESIONES!$D$34-ABERTURAS!$L$64)*MAX(0,MIN($W38,DATOS!$C$23*3/4)-MAX($V38,DATOS!$C$23*2/4))*PRESIONES!$C$20+(PRESIONES!$D$35-ABERTURAS!$L$64)*MAX(0,MIN($W38,DATOS!$C$23*4/4)-MAX($V38,DATOS!$C$23*3/4))*PRESIONES!$C$21))</f>
        <v>0</v>
      </c>
      <c r="AO38" s="30" t="n">
        <f aca="false">IF($L38&lt;&gt;"OK",0,PRESIONES!$C$12*((PRESIONES!$G$32-ABERTURAS!$L$65)*MAX(0,MIN($W38,DATOS!$C$23*1/4)-MAX($V38,DATOS!$C$23*0/4))*PRESIONES!$C$18+(PRESIONES!$G$33-ABERTURAS!$L$65)*MAX(0,MIN($W38,DATOS!$C$23*2/4)-MAX($V38,DATOS!$C$23*1/4))*PRESIONES!$C$19+(PRESIONES!$G$34-ABERTURAS!$L$65)*MAX(0,MIN($W38,DATOS!$C$23*3/4)-MAX($V38,DATOS!$C$23*2/4))*PRESIONES!$C$20+(PRESIONES!$G$35-ABERTURAS!$L$65)*MAX(0,MIN($W38,DATOS!$C$23*4/4)-MAX($V38,DATOS!$C$23*3/4))*PRESIONES!$C$21))</f>
        <v>0</v>
      </c>
      <c r="AP38" s="30" t="n">
        <f aca="false">IF($L38&lt;&gt;"OK",0,PRESIONES!$C$12*((PRESIONES!$J$32-ABERTURAS!$L$66)*MAX(0,MIN($W38,DATOS!$C$23*1/4)-MAX($V38,DATOS!$C$23*0/4))*PRESIONES!$C$18+(PRESIONES!$J$33-ABERTURAS!$L$66)*MAX(0,MIN($W38,DATOS!$C$23*2/4)-MAX($V38,DATOS!$C$23*1/4))*PRESIONES!$C$19+(PRESIONES!$J$34-ABERTURAS!$L$66)*MAX(0,MIN($W38,DATOS!$C$23*3/4)-MAX($V38,DATOS!$C$23*2/4))*PRESIONES!$C$20+(PRESIONES!$J$35-ABERTURAS!$L$66)*MAX(0,MIN($W38,DATOS!$C$23*4/4)-MAX($V38,DATOS!$C$23*3/4))*PRESIONES!$C$21))</f>
        <v>0</v>
      </c>
      <c r="AQ38" s="30" t="n">
        <f aca="false">IF($L38&lt;&gt;"OK",0,PRESIONES!$C$12*((PRESIONES!$M$32-ABERTURAS!$L$67)*MAX(0,MIN($W38,DATOS!$C$23*1/4)-MAX($V38,DATOS!$C$23*0/4))*PRESIONES!$C$18+(PRESIONES!$M$33-ABERTURAS!$L$67)*MAX(0,MIN($W38,DATOS!$C$23*2/4)-MAX($V38,DATOS!$C$23*1/4))*PRESIONES!$C$19+(PRESIONES!$M$34-ABERTURAS!$L$67)*MAX(0,MIN($W38,DATOS!$C$23*3/4)-MAX($V38,DATOS!$C$23*2/4))*PRESIONES!$C$20+(PRESIONES!$M$35-ABERTURAS!$L$67)*MAX(0,MIN($W38,DATOS!$C$23*4/4)-MAX($V38,DATOS!$C$23*3/4))*PRESIONES!$C$21))</f>
        <v>0</v>
      </c>
      <c r="AR38" s="30" t="n">
        <f aca="false">IF($L38&lt;&gt;"OK",0,PRESIONES!$C$12*((PRESIONES!$E$32-ABERTURAS!$L$60)*MAX(0,MIN($W38,DATOS!$C$23*1/4)-MAX($V38,DATOS!$C$23*0/4))+(PRESIONES!$E$33-ABERTURAS!$L$60)*MAX(0,MIN($W38,DATOS!$C$23*2/4)-MAX($V38,DATOS!$C$23*1/4))+(PRESIONES!$E$34-ABERTURAS!$L$60)*MAX(0,MIN($W38,DATOS!$C$23*3/4)-MAX($V38,DATOS!$C$23*2/4))+(PRESIONES!$E$35-ABERTURAS!$L$60)*MAX(0,MIN($W38,DATOS!$C$23*4/4)-MAX($V38,DATOS!$C$23*3/4))))</f>
        <v>0</v>
      </c>
      <c r="AS38" s="30" t="n">
        <f aca="false">IF($L38&lt;&gt;"OK",0,PRESIONES!$C$12*((PRESIONES!$H$32-ABERTURAS!$L$61)*MAX(0,MIN($W38,DATOS!$C$23*1/4)-MAX($V38,DATOS!$C$23*0/4))+(PRESIONES!$H$33-ABERTURAS!$L$61)*MAX(0,MIN($W38,DATOS!$C$23*2/4)-MAX($V38,DATOS!$C$23*1/4))+(PRESIONES!$H$34-ABERTURAS!$L$61)*MAX(0,MIN($W38,DATOS!$C$23*3/4)-MAX($V38,DATOS!$C$23*2/4))+(PRESIONES!$H$35-ABERTURAS!$L$61)*MAX(0,MIN($W38,DATOS!$C$23*4/4)-MAX($V38,DATOS!$C$23*3/4))))</f>
        <v>0</v>
      </c>
      <c r="AT38" s="30" t="n">
        <f aca="false">IF($L38&lt;&gt;"OK",0,PRESIONES!$C$12*((PRESIONES!$K$32-ABERTURAS!$L$62)*MAX(0,MIN($W38,DATOS!$C$23*1/4)-MAX($V38,DATOS!$C$23*0/4))+(PRESIONES!$K$33-ABERTURAS!$L$62)*MAX(0,MIN($W38,DATOS!$C$23*2/4)-MAX($V38,DATOS!$C$23*1/4))+(PRESIONES!$K$34-ABERTURAS!$L$62)*MAX(0,MIN($W38,DATOS!$C$23*3/4)-MAX($V38,DATOS!$C$23*2/4))+(PRESIONES!$K$35-ABERTURAS!$L$62)*MAX(0,MIN($W38,DATOS!$C$23*4/4)-MAX($V38,DATOS!$C$23*3/4))))</f>
        <v>0</v>
      </c>
      <c r="AU38" s="30" t="n">
        <f aca="false">IF($L38&lt;&gt;"OK",0,PRESIONES!$C$12*((PRESIONES!$N$32-ABERTURAS!$L$63)*MAX(0,MIN($W38,DATOS!$C$23*1/4)-MAX($V38,DATOS!$C$23*0/4))+(PRESIONES!$N$33-ABERTURAS!$L$63)*MAX(0,MIN($W38,DATOS!$C$23*2/4)-MAX($V38,DATOS!$C$23*1/4))+(PRESIONES!$N$34-ABERTURAS!$L$63)*MAX(0,MIN($W38,DATOS!$C$23*3/4)-MAX($V38,DATOS!$C$23*2/4))+(PRESIONES!$N$35-ABERTURAS!$L$63)*MAX(0,MIN($W38,DATOS!$C$23*4/4)-MAX($V38,DATOS!$C$23*3/4))))</f>
        <v>0</v>
      </c>
      <c r="AV38" s="30" t="n">
        <f aca="false">IF($L38&lt;&gt;"OK",0,PRESIONES!$C$12*((PRESIONES!$E$32-ABERTURAS!$L$64)*MAX(0,MIN($W38,DATOS!$C$23*1/4)-MAX($V38,DATOS!$C$23*0/4))+(PRESIONES!$E$33-ABERTURAS!$L$64)*MAX(0,MIN($W38,DATOS!$C$23*2/4)-MAX($V38,DATOS!$C$23*1/4))+(PRESIONES!$E$34-ABERTURAS!$L$64)*MAX(0,MIN($W38,DATOS!$C$23*3/4)-MAX($V38,DATOS!$C$23*2/4))+(PRESIONES!$E$35-ABERTURAS!$L$64)*MAX(0,MIN($W38,DATOS!$C$23*4/4)-MAX($V38,DATOS!$C$23*3/4))))</f>
        <v>0</v>
      </c>
      <c r="AW38" s="30" t="n">
        <f aca="false">IF($L38&lt;&gt;"OK",0,PRESIONES!$C$12*((PRESIONES!$H$32-ABERTURAS!$L$65)*MAX(0,MIN($W38,DATOS!$C$23*1/4)-MAX($V38,DATOS!$C$23*0/4))+(PRESIONES!$H$33-ABERTURAS!$L$65)*MAX(0,MIN($W38,DATOS!$C$23*2/4)-MAX($V38,DATOS!$C$23*1/4))+(PRESIONES!$H$34-ABERTURAS!$L$65)*MAX(0,MIN($W38,DATOS!$C$23*3/4)-MAX($V38,DATOS!$C$23*2/4))+(PRESIONES!$H$35-ABERTURAS!$L$65)*MAX(0,MIN($W38,DATOS!$C$23*4/4)-MAX($V38,DATOS!$C$23*3/4))))</f>
        <v>0</v>
      </c>
      <c r="AX38" s="30" t="n">
        <f aca="false">IF($L38&lt;&gt;"OK",0,PRESIONES!$C$12*((PRESIONES!$K$32-ABERTURAS!$L$66)*MAX(0,MIN($W38,DATOS!$C$23*1/4)-MAX($V38,DATOS!$C$23*0/4))+(PRESIONES!$K$33-ABERTURAS!$L$66)*MAX(0,MIN($W38,DATOS!$C$23*2/4)-MAX($V38,DATOS!$C$23*1/4))+(PRESIONES!$K$34-ABERTURAS!$L$66)*MAX(0,MIN($W38,DATOS!$C$23*3/4)-MAX($V38,DATOS!$C$23*2/4))+(PRESIONES!$K$35-ABERTURAS!$L$66)*MAX(0,MIN($W38,DATOS!$C$23*4/4)-MAX($V38,DATOS!$C$23*3/4))))</f>
        <v>0</v>
      </c>
      <c r="AY38" s="30" t="n">
        <f aca="false">IF($L38&lt;&gt;"OK",0,PRESIONES!$C$12*((PRESIONES!$N$32-ABERTURAS!$L$67)*MAX(0,MIN($W38,DATOS!$C$23*1/4)-MAX($V38,DATOS!$C$23*0/4))+(PRESIONES!$N$33-ABERTURAS!$L$67)*MAX(0,MIN($W38,DATOS!$C$23*2/4)-MAX($V38,DATOS!$C$23*1/4))+(PRESIONES!$N$34-ABERTURAS!$L$67)*MAX(0,MIN($W38,DATOS!$C$23*3/4)-MAX($V38,DATOS!$C$23*2/4))+(PRESIONES!$N$35-ABERTURAS!$L$67)*MAX(0,MIN($W38,DATOS!$C$23*4/4)-MAX($V38,DATOS!$C$23*3/4))))</f>
        <v>0</v>
      </c>
      <c r="AZ38" s="30" t="n">
        <f aca="false">IF($L38&lt;&gt;"OK",0,PRESIONES!$C$12*((PRESIONES!$E$32-ABERTURAS!$L$60)*MAX(0,MIN($W38,DATOS!$C$23*1/4)-MAX($V38,DATOS!$C$23*0/4))*PRESIONES!$C$18+(PRESIONES!$E$33-ABERTURAS!$L$60)*MAX(0,MIN($W38,DATOS!$C$23*2/4)-MAX($V38,DATOS!$C$23*1/4))*PRESIONES!$C$19+(PRESIONES!$E$34-ABERTURAS!$L$60)*MAX(0,MIN($W38,DATOS!$C$23*3/4)-MAX($V38,DATOS!$C$23*2/4))*PRESIONES!$C$20+(PRESIONES!$E$35-ABERTURAS!$L$60)*MAX(0,MIN($W38,DATOS!$C$23*4/4)-MAX($V38,DATOS!$C$23*3/4))*PRESIONES!$C$21))</f>
        <v>0</v>
      </c>
      <c r="BA38" s="30" t="n">
        <f aca="false">IF($L38&lt;&gt;"OK",0,PRESIONES!$C$12*((PRESIONES!$H$32-ABERTURAS!$L$61)*MAX(0,MIN($W38,DATOS!$C$23*1/4)-MAX($V38,DATOS!$C$23*0/4))*PRESIONES!$C$18+(PRESIONES!$H$33-ABERTURAS!$L$61)*MAX(0,MIN($W38,DATOS!$C$23*2/4)-MAX($V38,DATOS!$C$23*1/4))*PRESIONES!$C$19+(PRESIONES!$H$34-ABERTURAS!$L$61)*MAX(0,MIN($W38,DATOS!$C$23*3/4)-MAX($V38,DATOS!$C$23*2/4))*PRESIONES!$C$20+(PRESIONES!$H$35-ABERTURAS!$L$61)*MAX(0,MIN($W38,DATOS!$C$23*4/4)-MAX($V38,DATOS!$C$23*3/4))*PRESIONES!$C$21))</f>
        <v>0</v>
      </c>
      <c r="BB38" s="30" t="n">
        <f aca="false">IF($L38&lt;&gt;"OK",0,PRESIONES!$C$12*((PRESIONES!$K$32-ABERTURAS!$L$62)*MAX(0,MIN($W38,DATOS!$C$23*1/4)-MAX($V38,DATOS!$C$23*0/4))*PRESIONES!$C$18+(PRESIONES!$K$33-ABERTURAS!$L$62)*MAX(0,MIN($W38,DATOS!$C$23*2/4)-MAX($V38,DATOS!$C$23*1/4))*PRESIONES!$C$19+(PRESIONES!$K$34-ABERTURAS!$L$62)*MAX(0,MIN($W38,DATOS!$C$23*3/4)-MAX($V38,DATOS!$C$23*2/4))*PRESIONES!$C$20+(PRESIONES!$K$35-ABERTURAS!$L$62)*MAX(0,MIN($W38,DATOS!$C$23*4/4)-MAX($V38,DATOS!$C$23*3/4))*PRESIONES!$C$21))</f>
        <v>0</v>
      </c>
      <c r="BC38" s="30" t="n">
        <f aca="false">IF($L38&lt;&gt;"OK",0,PRESIONES!$C$12*((PRESIONES!$N$32-ABERTURAS!$L$63)*MAX(0,MIN($W38,DATOS!$C$23*1/4)-MAX($V38,DATOS!$C$23*0/4))*PRESIONES!$C$18+(PRESIONES!$N$33-ABERTURAS!$L$63)*MAX(0,MIN($W38,DATOS!$C$23*2/4)-MAX($V38,DATOS!$C$23*1/4))*PRESIONES!$C$19+(PRESIONES!$N$34-ABERTURAS!$L$63)*MAX(0,MIN($W38,DATOS!$C$23*3/4)-MAX($V38,DATOS!$C$23*2/4))*PRESIONES!$C$20+(PRESIONES!$N$35-ABERTURAS!$L$63)*MAX(0,MIN($W38,DATOS!$C$23*4/4)-MAX($V38,DATOS!$C$23*3/4))*PRESIONES!$C$21))</f>
        <v>0</v>
      </c>
      <c r="BD38" s="30" t="n">
        <f aca="false">IF($L38&lt;&gt;"OK",0,PRESIONES!$C$12*((PRESIONES!$E$32-ABERTURAS!$L$64)*MAX(0,MIN($W38,DATOS!$C$23*1/4)-MAX($V38,DATOS!$C$23*0/4))*PRESIONES!$C$18+(PRESIONES!$E$33-ABERTURAS!$L$64)*MAX(0,MIN($W38,DATOS!$C$23*2/4)-MAX($V38,DATOS!$C$23*1/4))*PRESIONES!$C$19+(PRESIONES!$E$34-ABERTURAS!$L$64)*MAX(0,MIN($W38,DATOS!$C$23*3/4)-MAX($V38,DATOS!$C$23*2/4))*PRESIONES!$C$20+(PRESIONES!$E$35-ABERTURAS!$L$64)*MAX(0,MIN($W38,DATOS!$C$23*4/4)-MAX($V38,DATOS!$C$23*3/4))*PRESIONES!$C$21))</f>
        <v>0</v>
      </c>
      <c r="BE38" s="30" t="n">
        <f aca="false">IF($L38&lt;&gt;"OK",0,PRESIONES!$C$12*((PRESIONES!$H$32-ABERTURAS!$L$65)*MAX(0,MIN($W38,DATOS!$C$23*1/4)-MAX($V38,DATOS!$C$23*0/4))*PRESIONES!$C$18+(PRESIONES!$H$33-ABERTURAS!$L$65)*MAX(0,MIN($W38,DATOS!$C$23*2/4)-MAX($V38,DATOS!$C$23*1/4))*PRESIONES!$C$19+(PRESIONES!$H$34-ABERTURAS!$L$65)*MAX(0,MIN($W38,DATOS!$C$23*3/4)-MAX($V38,DATOS!$C$23*2/4))*PRESIONES!$C$20+(PRESIONES!$H$35-ABERTURAS!$L$65)*MAX(0,MIN($W38,DATOS!$C$23*4/4)-MAX($V38,DATOS!$C$23*3/4))*PRESIONES!$C$21))</f>
        <v>0</v>
      </c>
      <c r="BF38" s="30" t="n">
        <f aca="false">IF($L38&lt;&gt;"OK",0,PRESIONES!$C$12*((PRESIONES!$K$32-ABERTURAS!$L$66)*MAX(0,MIN($W38,DATOS!$C$23*1/4)-MAX($V38,DATOS!$C$23*0/4))*PRESIONES!$C$18+(PRESIONES!$K$33-ABERTURAS!$L$66)*MAX(0,MIN($W38,DATOS!$C$23*2/4)-MAX($V38,DATOS!$C$23*1/4))*PRESIONES!$C$19+(PRESIONES!$K$34-ABERTURAS!$L$66)*MAX(0,MIN($W38,DATOS!$C$23*3/4)-MAX($V38,DATOS!$C$23*2/4))*PRESIONES!$C$20+(PRESIONES!$K$35-ABERTURAS!$L$66)*MAX(0,MIN($W38,DATOS!$C$23*4/4)-MAX($V38,DATOS!$C$23*3/4))*PRESIONES!$C$21))</f>
        <v>0</v>
      </c>
      <c r="BG38" s="30" t="n">
        <f aca="false">IF($L38&lt;&gt;"OK",0,PRESIONES!$C$12*((PRESIONES!$N$32-ABERTURAS!$L$67)*MAX(0,MIN($W38,DATOS!$C$23*1/4)-MAX($V38,DATOS!$C$23*0/4))*PRESIONES!$C$18+(PRESIONES!$N$33-ABERTURAS!$L$67)*MAX(0,MIN($W38,DATOS!$C$23*2/4)-MAX($V38,DATOS!$C$23*1/4))*PRESIONES!$C$19+(PRESIONES!$N$34-ABERTURAS!$L$67)*MAX(0,MIN($W38,DATOS!$C$23*3/4)-MAX($V38,DATOS!$C$23*2/4))*PRESIONES!$C$20+(PRESIONES!$N$35-ABERTURAS!$L$67)*MAX(0,MIN($W38,DATOS!$C$23*4/4)-MAX($V38,DATOS!$C$23*3/4))*PRESIONES!$C$21))</f>
        <v>0</v>
      </c>
    </row>
    <row r="39" customFormat="false" ht="29.25" hidden="false" customHeight="true" outlineLevel="0" collapsed="false">
      <c r="B39" s="43" t="s">
        <v>425</v>
      </c>
      <c r="L39" s="51" t="str">
        <f aca="false">"Planta B×L = "&amp;TEXT(DATOS!$C$12*DATOS!$C$13,"0.00")&amp;" m²"</f>
        <v>Planta B×L = 161.28 m²</v>
      </c>
      <c r="O39" s="34" t="n">
        <f aca="false">SUM(O9:O38)</f>
        <v>161.28</v>
      </c>
    </row>
    <row r="40" customFormat="false" ht="15" hidden="false" customHeight="true" outlineLevel="0" collapsed="false"/>
    <row r="41" customFormat="false" ht="21" hidden="false" customHeight="true" outlineLevel="0" collapsed="false">
      <c r="B41" s="9" t="s">
        <v>426</v>
      </c>
      <c r="C41" s="9"/>
      <c r="D41" s="9"/>
      <c r="E41" s="9"/>
      <c r="F41" s="9"/>
      <c r="G41" s="9"/>
      <c r="H41" s="9"/>
      <c r="I41" s="9"/>
      <c r="J41" s="9"/>
      <c r="K41" s="9"/>
      <c r="L41" s="9"/>
    </row>
    <row r="42" customFormat="false" ht="30" hidden="false" customHeight="true" outlineLevel="0" collapsed="false">
      <c r="B42" s="21" t="s">
        <v>427</v>
      </c>
      <c r="C42" s="21"/>
      <c r="D42" s="21"/>
      <c r="E42" s="21"/>
      <c r="F42" s="21"/>
      <c r="G42" s="21"/>
      <c r="H42" s="21"/>
      <c r="I42" s="21"/>
      <c r="J42" s="21"/>
      <c r="K42" s="21"/>
      <c r="L42" s="21"/>
    </row>
    <row r="43" customFormat="false" ht="42" hidden="false" customHeight="true" outlineLevel="0" collapsed="false">
      <c r="B43" s="10" t="s">
        <v>379</v>
      </c>
      <c r="C43" s="10" t="s">
        <v>311</v>
      </c>
      <c r="D43" s="10" t="s">
        <v>380</v>
      </c>
      <c r="E43" s="10" t="s">
        <v>381</v>
      </c>
      <c r="F43" s="10" t="s">
        <v>382</v>
      </c>
      <c r="G43" s="10" t="s">
        <v>383</v>
      </c>
      <c r="H43" s="10" t="s">
        <v>384</v>
      </c>
      <c r="I43" s="10" t="s">
        <v>385</v>
      </c>
      <c r="J43" s="10" t="s">
        <v>386</v>
      </c>
      <c r="K43" s="10" t="s">
        <v>387</v>
      </c>
      <c r="L43" s="10" t="s">
        <v>359</v>
      </c>
      <c r="M43" s="10" t="s">
        <v>388</v>
      </c>
      <c r="N43" s="10" t="s">
        <v>389</v>
      </c>
      <c r="O43" s="10" t="s">
        <v>390</v>
      </c>
      <c r="P43" s="10" t="s">
        <v>247</v>
      </c>
      <c r="Q43" s="10" t="s">
        <v>249</v>
      </c>
      <c r="R43" s="10" t="s">
        <v>355</v>
      </c>
      <c r="S43" s="10" t="s">
        <v>357</v>
      </c>
      <c r="T43" s="10" t="s">
        <v>391</v>
      </c>
      <c r="U43" s="10" t="s">
        <v>215</v>
      </c>
      <c r="V43" s="10" t="s">
        <v>392</v>
      </c>
      <c r="W43" s="10" t="s">
        <v>393</v>
      </c>
      <c r="X43" s="10" t="s">
        <v>216</v>
      </c>
      <c r="Y43" s="10" t="s">
        <v>217</v>
      </c>
      <c r="Z43" s="10" t="s">
        <v>218</v>
      </c>
      <c r="AA43" s="10" t="s">
        <v>219</v>
      </c>
      <c r="AB43" s="35" t="s">
        <v>428</v>
      </c>
      <c r="AC43" s="35"/>
      <c r="AD43" s="35"/>
      <c r="AE43" s="35"/>
      <c r="AF43" s="35"/>
      <c r="AG43" s="35"/>
      <c r="AH43" s="35"/>
      <c r="AI43" s="35"/>
    </row>
    <row r="44" customFormat="false" ht="30" hidden="false" customHeight="true" outlineLevel="0" collapsed="false">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t="str">
        <f aca="false">DATOS!$B$72&amp;" · "&amp;DATOS!$C$72&amp;IF(1&gt;4," PA","")</f>
        <v>LOAD 8 · +X</v>
      </c>
      <c r="AC44" s="10" t="str">
        <f aca="false">DATOS!$B$73&amp;" · "&amp;DATOS!$C$73&amp;IF(2&gt;4," PA","")</f>
        <v>LOAD 9 · −X</v>
      </c>
      <c r="AD44" s="10" t="str">
        <f aca="false">DATOS!$B$74&amp;" · "&amp;DATOS!$C$74&amp;IF(3&gt;4," PA","")</f>
        <v>LOAD 10 · +Z</v>
      </c>
      <c r="AE44" s="10" t="str">
        <f aca="false">DATOS!$B$75&amp;" · "&amp;DATOS!$C$75&amp;IF(4&gt;4," PA","")</f>
        <v>LOAD 11 · −Z</v>
      </c>
      <c r="AF44" s="10" t="str">
        <f aca="false">DATOS!$B$76&amp;" · "&amp;DATOS!$C$76&amp;IF(5&gt;4," PA","")</f>
        <v>LOAD 12 · +X PA</v>
      </c>
      <c r="AG44" s="10" t="str">
        <f aca="false">DATOS!$B$77&amp;" · "&amp;DATOS!$C$77&amp;IF(6&gt;4," PA","")</f>
        <v>LOAD 13 · −X PA</v>
      </c>
      <c r="AH44" s="10" t="str">
        <f aca="false">DATOS!$B$78&amp;" · "&amp;DATOS!$C$78&amp;IF(7&gt;4," PA","")</f>
        <v>LOAD 14 · +Z PA</v>
      </c>
      <c r="AI44" s="10" t="str">
        <f aca="false">DATOS!$B$79&amp;" · "&amp;DATOS!$C$79&amp;IF(8&gt;4," PA","")</f>
        <v>LOAD 15 · −Z PA</v>
      </c>
    </row>
    <row r="45" customFormat="false" ht="16.5" hidden="false" customHeight="true" outlineLevel="0" collapsed="false">
      <c r="B45" s="27" t="s">
        <v>429</v>
      </c>
      <c r="C45" s="17" t="s">
        <v>430</v>
      </c>
      <c r="D45" s="27" t="s">
        <v>431</v>
      </c>
      <c r="E45" s="17" t="s">
        <v>432</v>
      </c>
      <c r="F45" s="49" t="n">
        <v>0</v>
      </c>
      <c r="G45" s="49" t="n">
        <v>6.75</v>
      </c>
      <c r="H45" s="49" t="n">
        <v>0.6</v>
      </c>
      <c r="I45" s="49" t="n">
        <v>1.8</v>
      </c>
      <c r="J45" s="49"/>
      <c r="K45" s="49"/>
      <c r="L45" s="20" t="str">
        <f aca="false">IF($D45="","",IF(LEFT($C45,4)&lt;&gt;"MURO","PON EL MURO",IF(AND($E45&lt;&gt;"HORIZONTAL",$E45&lt;&gt;"VERTICAL"),"PON EL SENTIDO",IF(OR($F45="",$G45="",$H45="",$I45=""),"FALTAN a o b",IF($M45&lt;=0,"a₂ DEBE SER &gt; a₁",IF($N45&lt;=0,"b₂ DEBE SER &gt; b₁","OK"))))))</f>
        <v>OK</v>
      </c>
      <c r="M45" s="30" t="n">
        <f aca="false">IF($D45="",0,MAX(0,$G45-$F45))</f>
        <v>6.75</v>
      </c>
      <c r="N45" s="30" t="n">
        <f aca="false">MAX(0,$W45-$V45)</f>
        <v>1.2</v>
      </c>
      <c r="O45" s="30" t="n">
        <f aca="false">$M45*$N45</f>
        <v>8.1</v>
      </c>
      <c r="P45" s="30" t="n">
        <f aca="false">IF($U45=0,0,SUMPRODUCT((ABERTURAS!$N$7:$N$26=$U45)*ABERTURAS!$U$7:$U$26*(((($Y45)+(ABERTURAS!$P$7:$P$26)-ABS(($Y45)-(ABERTURAS!$P$7:$P$26)))/2-(($X45)+(ABERTURAS!$O$7:$O$26)+ABS(($X45)-(ABERTURAS!$O$7:$O$26)))/2)+ABS((($Y45)+(ABERTURAS!$P$7:$P$26)-ABS(($Y45)-(ABERTURAS!$P$7:$P$26)))/2-(($X45)+(ABERTURAS!$O$7:$O$26)+ABS(($X45)-(ABERTURAS!$O$7:$O$26)))/2))/2*(((($AA45)+(ABERTURAS!$R$7:$R$26)-ABS(($AA45)-(ABERTURAS!$R$7:$R$26)))/2-(($Z45)+(ABERTURAS!$Q$7:$Q$26)+ABS(($Z45)-(ABERTURAS!$Q$7:$Q$26)))/2)+ABS((($AA45)+(ABERTURAS!$R$7:$R$26)-ABS(($AA45)-(ABERTURAS!$R$7:$R$26)))/2-(($Z45)+(ABERTURAS!$Q$7:$Q$26)+ABS(($Z45)-(ABERTURAS!$Q$7:$Q$26)))/2))/2))</f>
        <v>0</v>
      </c>
      <c r="Q45" s="30" t="n">
        <f aca="false">IF($U45=0,0,SUMPRODUCT((ABERTURAS!$N$7:$N$26=$U45)*ABERTURAS!$V$7:$V$26*(((($Y45)+(ABERTURAS!$P$7:$P$26)-ABS(($Y45)-(ABERTURAS!$P$7:$P$26)))/2-(($X45)+(ABERTURAS!$O$7:$O$26)+ABS(($X45)-(ABERTURAS!$O$7:$O$26)))/2)+ABS((($Y45)+(ABERTURAS!$P$7:$P$26)-ABS(($Y45)-(ABERTURAS!$P$7:$P$26)))/2-(($X45)+(ABERTURAS!$O$7:$O$26)+ABS(($X45)-(ABERTURAS!$O$7:$O$26)))/2))/2*(((($AA45)+(ABERTURAS!$R$7:$R$26)-ABS(($AA45)-(ABERTURAS!$R$7:$R$26)))/2-(($Z45)+(ABERTURAS!$Q$7:$Q$26)+ABS(($Z45)-(ABERTURAS!$Q$7:$Q$26)))/2)+ABS((($AA45)+(ABERTURAS!$R$7:$R$26)-ABS(($AA45)-(ABERTURAS!$R$7:$R$26)))/2-(($Z45)+(ABERTURAS!$Q$7:$Q$26)+ABS(($Z45)-(ABERTURAS!$Q$7:$Q$26)))/2))/2))</f>
        <v>0</v>
      </c>
      <c r="R45" s="30" t="n">
        <f aca="false">MAX(0,$O45-$P45)</f>
        <v>8.1</v>
      </c>
      <c r="S45" s="30" t="n">
        <f aca="false">MAX(0,$O45-$Q45)</f>
        <v>8.1</v>
      </c>
      <c r="T45" s="50" t="n">
        <f aca="false">IF($D45="",0,IF($E45="VERTICAL",N($G45),MAX(N($I45),IF($K45="",N($I45),$K45))))</f>
        <v>1.8</v>
      </c>
      <c r="U45" s="50" t="n">
        <f aca="false">IF($L45&lt;&gt;"OK",0,VALUE(RIGHT($C45,1)))</f>
        <v>3</v>
      </c>
      <c r="V45" s="50" t="n">
        <f aca="false">IF($D45="",0,(N($H45)+IF($J45="",N($H45),$J45))/2)</f>
        <v>0.6</v>
      </c>
      <c r="W45" s="50" t="n">
        <f aca="false">IF($D45="",0,(N($I45)+IF($K45="",N($I45),$K45))/2)</f>
        <v>1.8</v>
      </c>
      <c r="X45" s="50" t="n">
        <f aca="false">IF($E45="VERTICAL",$V45,N($F45))</f>
        <v>0</v>
      </c>
      <c r="Y45" s="50" t="n">
        <f aca="false">IF($E45="VERTICAL",$W45,N($G45))</f>
        <v>6.75</v>
      </c>
      <c r="Z45" s="50" t="n">
        <f aca="false">IF($E45="VERTICAL",N($F45),$V45)</f>
        <v>0.6</v>
      </c>
      <c r="AA45" s="50" t="n">
        <f aca="false">IF($E45="VERTICAL",N($G45),$W45)</f>
        <v>1.8</v>
      </c>
      <c r="AB45" s="30" t="n">
        <f aca="false">IF($L45&lt;&gt;"OK",0,(INDEX(PRESIONES!$D$28:$D$31,$U45)*IF(INDEX(PRESIONES!$D$28:$D$31,$U45)&gt;0,PRESIONES!$C$9*IF($T45&lt;=10,1,($T45/10)^(2/DATOS!$C$56)),PRESIONES!$C$15)-ABERTURAS!$L$60*PRESIONES!$C$12)*$R45/$M45)</f>
        <v>75.3792589013325</v>
      </c>
      <c r="AC45" s="30" t="n">
        <f aca="false">IF($L45&lt;&gt;"OK",0,(INDEX(PRESIONES!$G$28:$G$31,$U45)*IF(INDEX(PRESIONES!$G$28:$G$31,$U45)&gt;0,PRESIONES!$C$9*IF($T45&lt;=10,1,($T45/10)^(2/DATOS!$C$56)),PRESIONES!$C$15)-ABERTURAS!$L$61*PRESIONES!$C$12)*$R45/$M45)</f>
        <v>0.499258901332516</v>
      </c>
      <c r="AD45" s="30" t="n">
        <f aca="false">IF($L45&lt;&gt;"OK",0,(INDEX(PRESIONES!$J$28:$J$31,$U45)*IF(INDEX(PRESIONES!$J$28:$J$31,$U45)&gt;0,PRESIONES!$C$9*IF($T45&lt;=10,1,($T45/10)^(2/DATOS!$C$56)),PRESIONES!$C$15)-ABERTURAS!$L$62*PRESIONES!$C$12)*$R45/$M45)</f>
        <v>-5.16088931840098</v>
      </c>
      <c r="AE45" s="30" t="n">
        <f aca="false">IF($L45&lt;&gt;"OK",0,(INDEX(PRESIONES!$M$28:$M$31,$U45)*IF(INDEX(PRESIONES!$M$28:$M$31,$U45)&gt;0,PRESIONES!$C$9*IF($T45&lt;=10,1,($T45/10)^(2/DATOS!$C$56)),PRESIONES!$C$15)-ABERTURAS!$L$63*PRESIONES!$C$12)*$R45/$M45)</f>
        <v>-84.2688883519988</v>
      </c>
      <c r="AF45" s="30" t="n">
        <f aca="false">IF($L45&lt;&gt;"OK",0,(INDEX(PRESIONES!$D$28:$D$31,$U45)*IF(INDEX(PRESIONES!$D$28:$D$31,$U45)&gt;0,PRESIONES!$C$9*IF($T45&lt;=10,1,($T45/10)^(2/DATOS!$C$56)),PRESIONES!$C$15)-ABERTURAS!$L$64*PRESIONES!$C$12)*$S45/$M45)</f>
        <v>75.3792589013325</v>
      </c>
      <c r="AG45" s="30" t="n">
        <f aca="false">IF($L45&lt;&gt;"OK",0,(INDEX(PRESIONES!$G$28:$G$31,$U45)*IF(INDEX(PRESIONES!$G$28:$G$31,$U45)&gt;0,PRESIONES!$C$9*IF($T45&lt;=10,1,($T45/10)^(2/DATOS!$C$56)),PRESIONES!$C$15)-ABERTURAS!$L$65*PRESIONES!$C$12)*$S45/$M45)</f>
        <v>0.499258901332516</v>
      </c>
      <c r="AH45" s="30" t="n">
        <f aca="false">IF($L45&lt;&gt;"OK",0,(INDEX(PRESIONES!$J$28:$J$31,$U45)*IF(INDEX(PRESIONES!$J$28:$J$31,$U45)&gt;0,PRESIONES!$C$9*IF($T45&lt;=10,1,($T45/10)^(2/DATOS!$C$56)),PRESIONES!$C$15)-ABERTURAS!$L$66*PRESIONES!$C$12)*$S45/$M45)</f>
        <v>-5.16088931840098</v>
      </c>
      <c r="AI45" s="30" t="n">
        <f aca="false">IF($L45&lt;&gt;"OK",0,(INDEX(PRESIONES!$M$28:$M$31,$U45)*IF(INDEX(PRESIONES!$M$28:$M$31,$U45)&gt;0,PRESIONES!$C$9*IF($T45&lt;=10,1,($T45/10)^(2/DATOS!$C$56)),PRESIONES!$C$15)-ABERTURAS!$L$67*PRESIONES!$C$12)*$S45/$M45)</f>
        <v>-84.2688883519988</v>
      </c>
    </row>
    <row r="46" customFormat="false" ht="16.5" hidden="false" customHeight="true" outlineLevel="0" collapsed="false">
      <c r="B46" s="27" t="s">
        <v>433</v>
      </c>
      <c r="C46" s="17" t="s">
        <v>430</v>
      </c>
      <c r="D46" s="27" t="s">
        <v>434</v>
      </c>
      <c r="E46" s="17" t="s">
        <v>432</v>
      </c>
      <c r="F46" s="49" t="n">
        <v>6.75</v>
      </c>
      <c r="G46" s="49" t="n">
        <v>13.5</v>
      </c>
      <c r="H46" s="49" t="n">
        <v>0.6</v>
      </c>
      <c r="I46" s="49" t="n">
        <v>1.8</v>
      </c>
      <c r="J46" s="49"/>
      <c r="K46" s="49"/>
      <c r="L46" s="20" t="str">
        <f aca="false">IF($D46="","",IF(LEFT($C46,4)&lt;&gt;"MURO","PON EL MURO",IF(AND($E46&lt;&gt;"HORIZONTAL",$E46&lt;&gt;"VERTICAL"),"PON EL SENTIDO",IF(OR($F46="",$G46="",$H46="",$I46=""),"FALTAN a o b",IF($M46&lt;=0,"a₂ DEBE SER &gt; a₁",IF($N46&lt;=0,"b₂ DEBE SER &gt; b₁","OK"))))))</f>
        <v>OK</v>
      </c>
      <c r="M46" s="30" t="n">
        <f aca="false">IF($D46="",0,MAX(0,$G46-$F46))</f>
        <v>6.75</v>
      </c>
      <c r="N46" s="30" t="n">
        <f aca="false">MAX(0,$W46-$V46)</f>
        <v>1.2</v>
      </c>
      <c r="O46" s="30" t="n">
        <f aca="false">$M46*$N46</f>
        <v>8.1</v>
      </c>
      <c r="P46" s="30" t="n">
        <f aca="false">IF($U46=0,0,SUMPRODUCT((ABERTURAS!$N$7:$N$26=$U46)*ABERTURAS!$U$7:$U$26*(((($Y46)+(ABERTURAS!$P$7:$P$26)-ABS(($Y46)-(ABERTURAS!$P$7:$P$26)))/2-(($X46)+(ABERTURAS!$O$7:$O$26)+ABS(($X46)-(ABERTURAS!$O$7:$O$26)))/2)+ABS((($Y46)+(ABERTURAS!$P$7:$P$26)-ABS(($Y46)-(ABERTURAS!$P$7:$P$26)))/2-(($X46)+(ABERTURAS!$O$7:$O$26)+ABS(($X46)-(ABERTURAS!$O$7:$O$26)))/2))/2*(((($AA46)+(ABERTURAS!$R$7:$R$26)-ABS(($AA46)-(ABERTURAS!$R$7:$R$26)))/2-(($Z46)+(ABERTURAS!$Q$7:$Q$26)+ABS(($Z46)-(ABERTURAS!$Q$7:$Q$26)))/2)+ABS((($AA46)+(ABERTURAS!$R$7:$R$26)-ABS(($AA46)-(ABERTURAS!$R$7:$R$26)))/2-(($Z46)+(ABERTURAS!$Q$7:$Q$26)+ABS(($Z46)-(ABERTURAS!$Q$7:$Q$26)))/2))/2))</f>
        <v>0</v>
      </c>
      <c r="Q46" s="30" t="n">
        <f aca="false">IF($U46=0,0,SUMPRODUCT((ABERTURAS!$N$7:$N$26=$U46)*ABERTURAS!$V$7:$V$26*(((($Y46)+(ABERTURAS!$P$7:$P$26)-ABS(($Y46)-(ABERTURAS!$P$7:$P$26)))/2-(($X46)+(ABERTURAS!$O$7:$O$26)+ABS(($X46)-(ABERTURAS!$O$7:$O$26)))/2)+ABS((($Y46)+(ABERTURAS!$P$7:$P$26)-ABS(($Y46)-(ABERTURAS!$P$7:$P$26)))/2-(($X46)+(ABERTURAS!$O$7:$O$26)+ABS(($X46)-(ABERTURAS!$O$7:$O$26)))/2))/2*(((($AA46)+(ABERTURAS!$R$7:$R$26)-ABS(($AA46)-(ABERTURAS!$R$7:$R$26)))/2-(($Z46)+(ABERTURAS!$Q$7:$Q$26)+ABS(($Z46)-(ABERTURAS!$Q$7:$Q$26)))/2)+ABS((($AA46)+(ABERTURAS!$R$7:$R$26)-ABS(($AA46)-(ABERTURAS!$R$7:$R$26)))/2-(($Z46)+(ABERTURAS!$Q$7:$Q$26)+ABS(($Z46)-(ABERTURAS!$Q$7:$Q$26)))/2))/2))</f>
        <v>0</v>
      </c>
      <c r="R46" s="30" t="n">
        <f aca="false">MAX(0,$O46-$P46)</f>
        <v>8.1</v>
      </c>
      <c r="S46" s="30" t="n">
        <f aca="false">MAX(0,$O46-$Q46)</f>
        <v>8.1</v>
      </c>
      <c r="T46" s="50" t="n">
        <f aca="false">IF($D46="",0,IF($E46="VERTICAL",N($G46),MAX(N($I46),IF($K46="",N($I46),$K46))))</f>
        <v>1.8</v>
      </c>
      <c r="U46" s="50" t="n">
        <f aca="false">IF($L46&lt;&gt;"OK",0,VALUE(RIGHT($C46,1)))</f>
        <v>3</v>
      </c>
      <c r="V46" s="50" t="n">
        <f aca="false">IF($D46="",0,(N($H46)+IF($J46="",N($H46),$J46))/2)</f>
        <v>0.6</v>
      </c>
      <c r="W46" s="50" t="n">
        <f aca="false">IF($D46="",0,(N($I46)+IF($K46="",N($I46),$K46))/2)</f>
        <v>1.8</v>
      </c>
      <c r="X46" s="50" t="n">
        <f aca="false">IF($E46="VERTICAL",$V46,N($F46))</f>
        <v>6.75</v>
      </c>
      <c r="Y46" s="50" t="n">
        <f aca="false">IF($E46="VERTICAL",$W46,N($G46))</f>
        <v>13.5</v>
      </c>
      <c r="Z46" s="50" t="n">
        <f aca="false">IF($E46="VERTICAL",N($F46),$V46)</f>
        <v>0.6</v>
      </c>
      <c r="AA46" s="50" t="n">
        <f aca="false">IF($E46="VERTICAL",N($G46),$W46)</f>
        <v>1.8</v>
      </c>
      <c r="AB46" s="30" t="n">
        <f aca="false">IF($L46&lt;&gt;"OK",0,(INDEX(PRESIONES!$D$28:$D$31,$U46)*IF(INDEX(PRESIONES!$D$28:$D$31,$U46)&gt;0,PRESIONES!$C$9*IF($T46&lt;=10,1,($T46/10)^(2/DATOS!$C$56)),PRESIONES!$C$15)-ABERTURAS!$L$60*PRESIONES!$C$12)*$R46/$M46)</f>
        <v>75.3792589013325</v>
      </c>
      <c r="AC46" s="30" t="n">
        <f aca="false">IF($L46&lt;&gt;"OK",0,(INDEX(PRESIONES!$G$28:$G$31,$U46)*IF(INDEX(PRESIONES!$G$28:$G$31,$U46)&gt;0,PRESIONES!$C$9*IF($T46&lt;=10,1,($T46/10)^(2/DATOS!$C$56)),PRESIONES!$C$15)-ABERTURAS!$L$61*PRESIONES!$C$12)*$R46/$M46)</f>
        <v>0.499258901332516</v>
      </c>
      <c r="AD46" s="30" t="n">
        <f aca="false">IF($L46&lt;&gt;"OK",0,(INDEX(PRESIONES!$J$28:$J$31,$U46)*IF(INDEX(PRESIONES!$J$28:$J$31,$U46)&gt;0,PRESIONES!$C$9*IF($T46&lt;=10,1,($T46/10)^(2/DATOS!$C$56)),PRESIONES!$C$15)-ABERTURAS!$L$62*PRESIONES!$C$12)*$R46/$M46)</f>
        <v>-5.16088931840098</v>
      </c>
      <c r="AE46" s="30" t="n">
        <f aca="false">IF($L46&lt;&gt;"OK",0,(INDEX(PRESIONES!$M$28:$M$31,$U46)*IF(INDEX(PRESIONES!$M$28:$M$31,$U46)&gt;0,PRESIONES!$C$9*IF($T46&lt;=10,1,($T46/10)^(2/DATOS!$C$56)),PRESIONES!$C$15)-ABERTURAS!$L$63*PRESIONES!$C$12)*$R46/$M46)</f>
        <v>-84.2688883519988</v>
      </c>
      <c r="AF46" s="30" t="n">
        <f aca="false">IF($L46&lt;&gt;"OK",0,(INDEX(PRESIONES!$D$28:$D$31,$U46)*IF(INDEX(PRESIONES!$D$28:$D$31,$U46)&gt;0,PRESIONES!$C$9*IF($T46&lt;=10,1,($T46/10)^(2/DATOS!$C$56)),PRESIONES!$C$15)-ABERTURAS!$L$64*PRESIONES!$C$12)*$S46/$M46)</f>
        <v>75.3792589013325</v>
      </c>
      <c r="AG46" s="30" t="n">
        <f aca="false">IF($L46&lt;&gt;"OK",0,(INDEX(PRESIONES!$G$28:$G$31,$U46)*IF(INDEX(PRESIONES!$G$28:$G$31,$U46)&gt;0,PRESIONES!$C$9*IF($T46&lt;=10,1,($T46/10)^(2/DATOS!$C$56)),PRESIONES!$C$15)-ABERTURAS!$L$65*PRESIONES!$C$12)*$S46/$M46)</f>
        <v>0.499258901332516</v>
      </c>
      <c r="AH46" s="30" t="n">
        <f aca="false">IF($L46&lt;&gt;"OK",0,(INDEX(PRESIONES!$J$28:$J$31,$U46)*IF(INDEX(PRESIONES!$J$28:$J$31,$U46)&gt;0,PRESIONES!$C$9*IF($T46&lt;=10,1,($T46/10)^(2/DATOS!$C$56)),PRESIONES!$C$15)-ABERTURAS!$L$66*PRESIONES!$C$12)*$S46/$M46)</f>
        <v>-5.16088931840098</v>
      </c>
      <c r="AI46" s="30" t="n">
        <f aca="false">IF($L46&lt;&gt;"OK",0,(INDEX(PRESIONES!$M$28:$M$31,$U46)*IF(INDEX(PRESIONES!$M$28:$M$31,$U46)&gt;0,PRESIONES!$C$9*IF($T46&lt;=10,1,($T46/10)^(2/DATOS!$C$56)),PRESIONES!$C$15)-ABERTURAS!$L$67*PRESIONES!$C$12)*$S46/$M46)</f>
        <v>-84.2688883519988</v>
      </c>
    </row>
    <row r="47" customFormat="false" ht="16.5" hidden="false" customHeight="true" outlineLevel="0" collapsed="false">
      <c r="B47" s="27" t="s">
        <v>435</v>
      </c>
      <c r="C47" s="17" t="s">
        <v>430</v>
      </c>
      <c r="D47" s="27" t="s">
        <v>436</v>
      </c>
      <c r="E47" s="17" t="s">
        <v>432</v>
      </c>
      <c r="F47" s="49" t="n">
        <v>13.5</v>
      </c>
      <c r="G47" s="49" t="n">
        <v>16</v>
      </c>
      <c r="H47" s="49" t="n">
        <v>0.6</v>
      </c>
      <c r="I47" s="49" t="n">
        <v>1.8</v>
      </c>
      <c r="J47" s="49"/>
      <c r="K47" s="49"/>
      <c r="L47" s="20" t="str">
        <f aca="false">IF($D47="","",IF(LEFT($C47,4)&lt;&gt;"MURO","PON EL MURO",IF(AND($E47&lt;&gt;"HORIZONTAL",$E47&lt;&gt;"VERTICAL"),"PON EL SENTIDO",IF(OR($F47="",$G47="",$H47="",$I47=""),"FALTAN a o b",IF($M47&lt;=0,"a₂ DEBE SER &gt; a₁",IF($N47&lt;=0,"b₂ DEBE SER &gt; b₁","OK"))))))</f>
        <v>OK</v>
      </c>
      <c r="M47" s="30" t="n">
        <f aca="false">IF($D47="",0,MAX(0,$G47-$F47))</f>
        <v>2.5</v>
      </c>
      <c r="N47" s="30" t="n">
        <f aca="false">MAX(0,$W47-$V47)</f>
        <v>1.2</v>
      </c>
      <c r="O47" s="30" t="n">
        <f aca="false">$M47*$N47</f>
        <v>3</v>
      </c>
      <c r="P47" s="30" t="n">
        <f aca="false">IF($U47=0,0,SUMPRODUCT((ABERTURAS!$N$7:$N$26=$U47)*ABERTURAS!$U$7:$U$26*(((($Y47)+(ABERTURAS!$P$7:$P$26)-ABS(($Y47)-(ABERTURAS!$P$7:$P$26)))/2-(($X47)+(ABERTURAS!$O$7:$O$26)+ABS(($X47)-(ABERTURAS!$O$7:$O$26)))/2)+ABS((($Y47)+(ABERTURAS!$P$7:$P$26)-ABS(($Y47)-(ABERTURAS!$P$7:$P$26)))/2-(($X47)+(ABERTURAS!$O$7:$O$26)+ABS(($X47)-(ABERTURAS!$O$7:$O$26)))/2))/2*(((($AA47)+(ABERTURAS!$R$7:$R$26)-ABS(($AA47)-(ABERTURAS!$R$7:$R$26)))/2-(($Z47)+(ABERTURAS!$Q$7:$Q$26)+ABS(($Z47)-(ABERTURAS!$Q$7:$Q$26)))/2)+ABS((($AA47)+(ABERTURAS!$R$7:$R$26)-ABS(($AA47)-(ABERTURAS!$R$7:$R$26)))/2-(($Z47)+(ABERTURAS!$Q$7:$Q$26)+ABS(($Z47)-(ABERTURAS!$Q$7:$Q$26)))/2))/2))</f>
        <v>0</v>
      </c>
      <c r="Q47" s="30" t="n">
        <f aca="false">IF($U47=0,0,SUMPRODUCT((ABERTURAS!$N$7:$N$26=$U47)*ABERTURAS!$V$7:$V$26*(((($Y47)+(ABERTURAS!$P$7:$P$26)-ABS(($Y47)-(ABERTURAS!$P$7:$P$26)))/2-(($X47)+(ABERTURAS!$O$7:$O$26)+ABS(($X47)-(ABERTURAS!$O$7:$O$26)))/2)+ABS((($Y47)+(ABERTURAS!$P$7:$P$26)-ABS(($Y47)-(ABERTURAS!$P$7:$P$26)))/2-(($X47)+(ABERTURAS!$O$7:$O$26)+ABS(($X47)-(ABERTURAS!$O$7:$O$26)))/2))/2*(((($AA47)+(ABERTURAS!$R$7:$R$26)-ABS(($AA47)-(ABERTURAS!$R$7:$R$26)))/2-(($Z47)+(ABERTURAS!$Q$7:$Q$26)+ABS(($Z47)-(ABERTURAS!$Q$7:$Q$26)))/2)+ABS((($AA47)+(ABERTURAS!$R$7:$R$26)-ABS(($AA47)-(ABERTURAS!$R$7:$R$26)))/2-(($Z47)+(ABERTURAS!$Q$7:$Q$26)+ABS(($Z47)-(ABERTURAS!$Q$7:$Q$26)))/2))/2))</f>
        <v>0</v>
      </c>
      <c r="R47" s="30" t="n">
        <f aca="false">MAX(0,$O47-$P47)</f>
        <v>3</v>
      </c>
      <c r="S47" s="30" t="n">
        <f aca="false">MAX(0,$O47-$Q47)</f>
        <v>3</v>
      </c>
      <c r="T47" s="50" t="n">
        <f aca="false">IF($D47="",0,IF($E47="VERTICAL",N($G47),MAX(N($I47),IF($K47="",N($I47),$K47))))</f>
        <v>1.8</v>
      </c>
      <c r="U47" s="50" t="n">
        <f aca="false">IF($L47&lt;&gt;"OK",0,VALUE(RIGHT($C47,1)))</f>
        <v>3</v>
      </c>
      <c r="V47" s="50" t="n">
        <f aca="false">IF($D47="",0,(N($H47)+IF($J47="",N($H47),$J47))/2)</f>
        <v>0.6</v>
      </c>
      <c r="W47" s="50" t="n">
        <f aca="false">IF($D47="",0,(N($I47)+IF($K47="",N($I47),$K47))/2)</f>
        <v>1.8</v>
      </c>
      <c r="X47" s="50" t="n">
        <f aca="false">IF($E47="VERTICAL",$V47,N($F47))</f>
        <v>13.5</v>
      </c>
      <c r="Y47" s="50" t="n">
        <f aca="false">IF($E47="VERTICAL",$W47,N($G47))</f>
        <v>16</v>
      </c>
      <c r="Z47" s="50" t="n">
        <f aca="false">IF($E47="VERTICAL",N($F47),$V47)</f>
        <v>0.6</v>
      </c>
      <c r="AA47" s="50" t="n">
        <f aca="false">IF($E47="VERTICAL",N($G47),$W47)</f>
        <v>1.8</v>
      </c>
      <c r="AB47" s="30" t="n">
        <f aca="false">IF($L47&lt;&gt;"OK",0,(INDEX(PRESIONES!$D$28:$D$31,$U47)*IF(INDEX(PRESIONES!$D$28:$D$31,$U47)&gt;0,PRESIONES!$C$9*IF($T47&lt;=10,1,($T47/10)^(2/DATOS!$C$56)),PRESIONES!$C$15)-ABERTURAS!$L$60*PRESIONES!$C$12)*$R47/$M47)</f>
        <v>75.3792589013325</v>
      </c>
      <c r="AC47" s="30" t="n">
        <f aca="false">IF($L47&lt;&gt;"OK",0,(INDEX(PRESIONES!$G$28:$G$31,$U47)*IF(INDEX(PRESIONES!$G$28:$G$31,$U47)&gt;0,PRESIONES!$C$9*IF($T47&lt;=10,1,($T47/10)^(2/DATOS!$C$56)),PRESIONES!$C$15)-ABERTURAS!$L$61*PRESIONES!$C$12)*$R47/$M47)</f>
        <v>0.499258901332516</v>
      </c>
      <c r="AD47" s="30" t="n">
        <f aca="false">IF($L47&lt;&gt;"OK",0,(INDEX(PRESIONES!$J$28:$J$31,$U47)*IF(INDEX(PRESIONES!$J$28:$J$31,$U47)&gt;0,PRESIONES!$C$9*IF($T47&lt;=10,1,($T47/10)^(2/DATOS!$C$56)),PRESIONES!$C$15)-ABERTURAS!$L$62*PRESIONES!$C$12)*$R47/$M47)</f>
        <v>-5.16088931840098</v>
      </c>
      <c r="AE47" s="30" t="n">
        <f aca="false">IF($L47&lt;&gt;"OK",0,(INDEX(PRESIONES!$M$28:$M$31,$U47)*IF(INDEX(PRESIONES!$M$28:$M$31,$U47)&gt;0,PRESIONES!$C$9*IF($T47&lt;=10,1,($T47/10)^(2/DATOS!$C$56)),PRESIONES!$C$15)-ABERTURAS!$L$63*PRESIONES!$C$12)*$R47/$M47)</f>
        <v>-84.2688883519988</v>
      </c>
      <c r="AF47" s="30" t="n">
        <f aca="false">IF($L47&lt;&gt;"OK",0,(INDEX(PRESIONES!$D$28:$D$31,$U47)*IF(INDEX(PRESIONES!$D$28:$D$31,$U47)&gt;0,PRESIONES!$C$9*IF($T47&lt;=10,1,($T47/10)^(2/DATOS!$C$56)),PRESIONES!$C$15)-ABERTURAS!$L$64*PRESIONES!$C$12)*$S47/$M47)</f>
        <v>75.3792589013325</v>
      </c>
      <c r="AG47" s="30" t="n">
        <f aca="false">IF($L47&lt;&gt;"OK",0,(INDEX(PRESIONES!$G$28:$G$31,$U47)*IF(INDEX(PRESIONES!$G$28:$G$31,$U47)&gt;0,PRESIONES!$C$9*IF($T47&lt;=10,1,($T47/10)^(2/DATOS!$C$56)),PRESIONES!$C$15)-ABERTURAS!$L$65*PRESIONES!$C$12)*$S47/$M47)</f>
        <v>0.499258901332516</v>
      </c>
      <c r="AH47" s="30" t="n">
        <f aca="false">IF($L47&lt;&gt;"OK",0,(INDEX(PRESIONES!$J$28:$J$31,$U47)*IF(INDEX(PRESIONES!$J$28:$J$31,$U47)&gt;0,PRESIONES!$C$9*IF($T47&lt;=10,1,($T47/10)^(2/DATOS!$C$56)),PRESIONES!$C$15)-ABERTURAS!$L$66*PRESIONES!$C$12)*$S47/$M47)</f>
        <v>-5.16088931840098</v>
      </c>
      <c r="AI47" s="30" t="n">
        <f aca="false">IF($L47&lt;&gt;"OK",0,(INDEX(PRESIONES!$M$28:$M$31,$U47)*IF(INDEX(PRESIONES!$M$28:$M$31,$U47)&gt;0,PRESIONES!$C$9*IF($T47&lt;=10,1,($T47/10)^(2/DATOS!$C$56)),PRESIONES!$C$15)-ABERTURAS!$L$67*PRESIONES!$C$12)*$S47/$M47)</f>
        <v>-84.2688883519988</v>
      </c>
    </row>
    <row r="48" customFormat="false" ht="16.5" hidden="false" customHeight="true" outlineLevel="0" collapsed="false">
      <c r="B48" s="27" t="s">
        <v>437</v>
      </c>
      <c r="C48" s="17" t="s">
        <v>430</v>
      </c>
      <c r="D48" s="27" t="s">
        <v>438</v>
      </c>
      <c r="E48" s="17" t="s">
        <v>432</v>
      </c>
      <c r="F48" s="49" t="n">
        <v>0</v>
      </c>
      <c r="G48" s="49" t="n">
        <v>6.75</v>
      </c>
      <c r="H48" s="49" t="n">
        <v>1.8</v>
      </c>
      <c r="I48" s="49" t="n">
        <v>3</v>
      </c>
      <c r="J48" s="49"/>
      <c r="K48" s="49"/>
      <c r="L48" s="20" t="str">
        <f aca="false">IF($D48="","",IF(LEFT($C48,4)&lt;&gt;"MURO","PON EL MURO",IF(AND($E48&lt;&gt;"HORIZONTAL",$E48&lt;&gt;"VERTICAL"),"PON EL SENTIDO",IF(OR($F48="",$G48="",$H48="",$I48=""),"FALTAN a o b",IF($M48&lt;=0,"a₂ DEBE SER &gt; a₁",IF($N48&lt;=0,"b₂ DEBE SER &gt; b₁","OK"))))))</f>
        <v>OK</v>
      </c>
      <c r="M48" s="30" t="n">
        <f aca="false">IF($D48="",0,MAX(0,$G48-$F48))</f>
        <v>6.75</v>
      </c>
      <c r="N48" s="30" t="n">
        <f aca="false">MAX(0,$W48-$V48)</f>
        <v>1.2</v>
      </c>
      <c r="O48" s="30" t="n">
        <f aca="false">$M48*$N48</f>
        <v>8.1</v>
      </c>
      <c r="P48" s="30" t="n">
        <f aca="false">IF($U48=0,0,SUMPRODUCT((ABERTURAS!$N$7:$N$26=$U48)*ABERTURAS!$U$7:$U$26*(((($Y48)+(ABERTURAS!$P$7:$P$26)-ABS(($Y48)-(ABERTURAS!$P$7:$P$26)))/2-(($X48)+(ABERTURAS!$O$7:$O$26)+ABS(($X48)-(ABERTURAS!$O$7:$O$26)))/2)+ABS((($Y48)+(ABERTURAS!$P$7:$P$26)-ABS(($Y48)-(ABERTURAS!$P$7:$P$26)))/2-(($X48)+(ABERTURAS!$O$7:$O$26)+ABS(($X48)-(ABERTURAS!$O$7:$O$26)))/2))/2*(((($AA48)+(ABERTURAS!$R$7:$R$26)-ABS(($AA48)-(ABERTURAS!$R$7:$R$26)))/2-(($Z48)+(ABERTURAS!$Q$7:$Q$26)+ABS(($Z48)-(ABERTURAS!$Q$7:$Q$26)))/2)+ABS((($AA48)+(ABERTURAS!$R$7:$R$26)-ABS(($AA48)-(ABERTURAS!$R$7:$R$26)))/2-(($Z48)+(ABERTURAS!$Q$7:$Q$26)+ABS(($Z48)-(ABERTURAS!$Q$7:$Q$26)))/2))/2))</f>
        <v>0</v>
      </c>
      <c r="Q48" s="30" t="n">
        <f aca="false">IF($U48=0,0,SUMPRODUCT((ABERTURAS!$N$7:$N$26=$U48)*ABERTURAS!$V$7:$V$26*(((($Y48)+(ABERTURAS!$P$7:$P$26)-ABS(($Y48)-(ABERTURAS!$P$7:$P$26)))/2-(($X48)+(ABERTURAS!$O$7:$O$26)+ABS(($X48)-(ABERTURAS!$O$7:$O$26)))/2)+ABS((($Y48)+(ABERTURAS!$P$7:$P$26)-ABS(($Y48)-(ABERTURAS!$P$7:$P$26)))/2-(($X48)+(ABERTURAS!$O$7:$O$26)+ABS(($X48)-(ABERTURAS!$O$7:$O$26)))/2))/2*(((($AA48)+(ABERTURAS!$R$7:$R$26)-ABS(($AA48)-(ABERTURAS!$R$7:$R$26)))/2-(($Z48)+(ABERTURAS!$Q$7:$Q$26)+ABS(($Z48)-(ABERTURAS!$Q$7:$Q$26)))/2)+ABS((($AA48)+(ABERTURAS!$R$7:$R$26)-ABS(($AA48)-(ABERTURAS!$R$7:$R$26)))/2-(($Z48)+(ABERTURAS!$Q$7:$Q$26)+ABS(($Z48)-(ABERTURAS!$Q$7:$Q$26)))/2))/2))</f>
        <v>0</v>
      </c>
      <c r="R48" s="30" t="n">
        <f aca="false">MAX(0,$O48-$P48)</f>
        <v>8.1</v>
      </c>
      <c r="S48" s="30" t="n">
        <f aca="false">MAX(0,$O48-$Q48)</f>
        <v>8.1</v>
      </c>
      <c r="T48" s="50" t="n">
        <f aca="false">IF($D48="",0,IF($E48="VERTICAL",N($G48),MAX(N($I48),IF($K48="",N($I48),$K48))))</f>
        <v>3</v>
      </c>
      <c r="U48" s="50" t="n">
        <f aca="false">IF($L48&lt;&gt;"OK",0,VALUE(RIGHT($C48,1)))</f>
        <v>3</v>
      </c>
      <c r="V48" s="50" t="n">
        <f aca="false">IF($D48="",0,(N($H48)+IF($J48="",N($H48),$J48))/2)</f>
        <v>1.8</v>
      </c>
      <c r="W48" s="50" t="n">
        <f aca="false">IF($D48="",0,(N($I48)+IF($K48="",N($I48),$K48))/2)</f>
        <v>3</v>
      </c>
      <c r="X48" s="50" t="n">
        <f aca="false">IF($E48="VERTICAL",$V48,N($F48))</f>
        <v>0</v>
      </c>
      <c r="Y48" s="50" t="n">
        <f aca="false">IF($E48="VERTICAL",$W48,N($G48))</f>
        <v>6.75</v>
      </c>
      <c r="Z48" s="50" t="n">
        <f aca="false">IF($E48="VERTICAL",N($F48),$V48)</f>
        <v>1.8</v>
      </c>
      <c r="AA48" s="50" t="n">
        <f aca="false">IF($E48="VERTICAL",N($G48),$W48)</f>
        <v>3</v>
      </c>
      <c r="AB48" s="30" t="n">
        <f aca="false">IF($L48&lt;&gt;"OK",0,(INDEX(PRESIONES!$D$28:$D$31,$U48)*IF(INDEX(PRESIONES!$D$28:$D$31,$U48)&gt;0,PRESIONES!$C$9*IF($T48&lt;=10,1,($T48/10)^(2/DATOS!$C$56)),PRESIONES!$C$15)-ABERTURAS!$L$60*PRESIONES!$C$12)*$R48/$M48)</f>
        <v>75.3792589013325</v>
      </c>
      <c r="AC48" s="30" t="n">
        <f aca="false">IF($L48&lt;&gt;"OK",0,(INDEX(PRESIONES!$G$28:$G$31,$U48)*IF(INDEX(PRESIONES!$G$28:$G$31,$U48)&gt;0,PRESIONES!$C$9*IF($T48&lt;=10,1,($T48/10)^(2/DATOS!$C$56)),PRESIONES!$C$15)-ABERTURAS!$L$61*PRESIONES!$C$12)*$R48/$M48)</f>
        <v>0.499258901332516</v>
      </c>
      <c r="AD48" s="30" t="n">
        <f aca="false">IF($L48&lt;&gt;"OK",0,(INDEX(PRESIONES!$J$28:$J$31,$U48)*IF(INDEX(PRESIONES!$J$28:$J$31,$U48)&gt;0,PRESIONES!$C$9*IF($T48&lt;=10,1,($T48/10)^(2/DATOS!$C$56)),PRESIONES!$C$15)-ABERTURAS!$L$62*PRESIONES!$C$12)*$R48/$M48)</f>
        <v>-5.16088931840098</v>
      </c>
      <c r="AE48" s="30" t="n">
        <f aca="false">IF($L48&lt;&gt;"OK",0,(INDEX(PRESIONES!$M$28:$M$31,$U48)*IF(INDEX(PRESIONES!$M$28:$M$31,$U48)&gt;0,PRESIONES!$C$9*IF($T48&lt;=10,1,($T48/10)^(2/DATOS!$C$56)),PRESIONES!$C$15)-ABERTURAS!$L$63*PRESIONES!$C$12)*$R48/$M48)</f>
        <v>-84.2688883519988</v>
      </c>
      <c r="AF48" s="30" t="n">
        <f aca="false">IF($L48&lt;&gt;"OK",0,(INDEX(PRESIONES!$D$28:$D$31,$U48)*IF(INDEX(PRESIONES!$D$28:$D$31,$U48)&gt;0,PRESIONES!$C$9*IF($T48&lt;=10,1,($T48/10)^(2/DATOS!$C$56)),PRESIONES!$C$15)-ABERTURAS!$L$64*PRESIONES!$C$12)*$S48/$M48)</f>
        <v>75.3792589013325</v>
      </c>
      <c r="AG48" s="30" t="n">
        <f aca="false">IF($L48&lt;&gt;"OK",0,(INDEX(PRESIONES!$G$28:$G$31,$U48)*IF(INDEX(PRESIONES!$G$28:$G$31,$U48)&gt;0,PRESIONES!$C$9*IF($T48&lt;=10,1,($T48/10)^(2/DATOS!$C$56)),PRESIONES!$C$15)-ABERTURAS!$L$65*PRESIONES!$C$12)*$S48/$M48)</f>
        <v>0.499258901332516</v>
      </c>
      <c r="AH48" s="30" t="n">
        <f aca="false">IF($L48&lt;&gt;"OK",0,(INDEX(PRESIONES!$J$28:$J$31,$U48)*IF(INDEX(PRESIONES!$J$28:$J$31,$U48)&gt;0,PRESIONES!$C$9*IF($T48&lt;=10,1,($T48/10)^(2/DATOS!$C$56)),PRESIONES!$C$15)-ABERTURAS!$L$66*PRESIONES!$C$12)*$S48/$M48)</f>
        <v>-5.16088931840098</v>
      </c>
      <c r="AI48" s="30" t="n">
        <f aca="false">IF($L48&lt;&gt;"OK",0,(INDEX(PRESIONES!$M$28:$M$31,$U48)*IF(INDEX(PRESIONES!$M$28:$M$31,$U48)&gt;0,PRESIONES!$C$9*IF($T48&lt;=10,1,($T48/10)^(2/DATOS!$C$56)),PRESIONES!$C$15)-ABERTURAS!$L$67*PRESIONES!$C$12)*$S48/$M48)</f>
        <v>-84.2688883519988</v>
      </c>
    </row>
    <row r="49" customFormat="false" ht="16.5" hidden="false" customHeight="true" outlineLevel="0" collapsed="false">
      <c r="B49" s="27" t="s">
        <v>439</v>
      </c>
      <c r="C49" s="17" t="s">
        <v>430</v>
      </c>
      <c r="D49" s="27" t="s">
        <v>440</v>
      </c>
      <c r="E49" s="17" t="s">
        <v>432</v>
      </c>
      <c r="F49" s="49" t="n">
        <v>6.75</v>
      </c>
      <c r="G49" s="49" t="n">
        <v>13.5</v>
      </c>
      <c r="H49" s="49" t="n">
        <v>1.8</v>
      </c>
      <c r="I49" s="49" t="n">
        <v>3</v>
      </c>
      <c r="J49" s="49"/>
      <c r="K49" s="49"/>
      <c r="L49" s="20" t="str">
        <f aca="false">IF($D49="","",IF(LEFT($C49,4)&lt;&gt;"MURO","PON EL MURO",IF(AND($E49&lt;&gt;"HORIZONTAL",$E49&lt;&gt;"VERTICAL"),"PON EL SENTIDO",IF(OR($F49="",$G49="",$H49="",$I49=""),"FALTAN a o b",IF($M49&lt;=0,"a₂ DEBE SER &gt; a₁",IF($N49&lt;=0,"b₂ DEBE SER &gt; b₁","OK"))))))</f>
        <v>OK</v>
      </c>
      <c r="M49" s="30" t="n">
        <f aca="false">IF($D49="",0,MAX(0,$G49-$F49))</f>
        <v>6.75</v>
      </c>
      <c r="N49" s="30" t="n">
        <f aca="false">MAX(0,$W49-$V49)</f>
        <v>1.2</v>
      </c>
      <c r="O49" s="30" t="n">
        <f aca="false">$M49*$N49</f>
        <v>8.1</v>
      </c>
      <c r="P49" s="30" t="n">
        <f aca="false">IF($U49=0,0,SUMPRODUCT((ABERTURAS!$N$7:$N$26=$U49)*ABERTURAS!$U$7:$U$26*(((($Y49)+(ABERTURAS!$P$7:$P$26)-ABS(($Y49)-(ABERTURAS!$P$7:$P$26)))/2-(($X49)+(ABERTURAS!$O$7:$O$26)+ABS(($X49)-(ABERTURAS!$O$7:$O$26)))/2)+ABS((($Y49)+(ABERTURAS!$P$7:$P$26)-ABS(($Y49)-(ABERTURAS!$P$7:$P$26)))/2-(($X49)+(ABERTURAS!$O$7:$O$26)+ABS(($X49)-(ABERTURAS!$O$7:$O$26)))/2))/2*(((($AA49)+(ABERTURAS!$R$7:$R$26)-ABS(($AA49)-(ABERTURAS!$R$7:$R$26)))/2-(($Z49)+(ABERTURAS!$Q$7:$Q$26)+ABS(($Z49)-(ABERTURAS!$Q$7:$Q$26)))/2)+ABS((($AA49)+(ABERTURAS!$R$7:$R$26)-ABS(($AA49)-(ABERTURAS!$R$7:$R$26)))/2-(($Z49)+(ABERTURAS!$Q$7:$Q$26)+ABS(($Z49)-(ABERTURAS!$Q$7:$Q$26)))/2))/2))</f>
        <v>0</v>
      </c>
      <c r="Q49" s="30" t="n">
        <f aca="false">IF($U49=0,0,SUMPRODUCT((ABERTURAS!$N$7:$N$26=$U49)*ABERTURAS!$V$7:$V$26*(((($Y49)+(ABERTURAS!$P$7:$P$26)-ABS(($Y49)-(ABERTURAS!$P$7:$P$26)))/2-(($X49)+(ABERTURAS!$O$7:$O$26)+ABS(($X49)-(ABERTURAS!$O$7:$O$26)))/2)+ABS((($Y49)+(ABERTURAS!$P$7:$P$26)-ABS(($Y49)-(ABERTURAS!$P$7:$P$26)))/2-(($X49)+(ABERTURAS!$O$7:$O$26)+ABS(($X49)-(ABERTURAS!$O$7:$O$26)))/2))/2*(((($AA49)+(ABERTURAS!$R$7:$R$26)-ABS(($AA49)-(ABERTURAS!$R$7:$R$26)))/2-(($Z49)+(ABERTURAS!$Q$7:$Q$26)+ABS(($Z49)-(ABERTURAS!$Q$7:$Q$26)))/2)+ABS((($AA49)+(ABERTURAS!$R$7:$R$26)-ABS(($AA49)-(ABERTURAS!$R$7:$R$26)))/2-(($Z49)+(ABERTURAS!$Q$7:$Q$26)+ABS(($Z49)-(ABERTURAS!$Q$7:$Q$26)))/2))/2))</f>
        <v>0</v>
      </c>
      <c r="R49" s="30" t="n">
        <f aca="false">MAX(0,$O49-$P49)</f>
        <v>8.1</v>
      </c>
      <c r="S49" s="30" t="n">
        <f aca="false">MAX(0,$O49-$Q49)</f>
        <v>8.1</v>
      </c>
      <c r="T49" s="50" t="n">
        <f aca="false">IF($D49="",0,IF($E49="VERTICAL",N($G49),MAX(N($I49),IF($K49="",N($I49),$K49))))</f>
        <v>3</v>
      </c>
      <c r="U49" s="50" t="n">
        <f aca="false">IF($L49&lt;&gt;"OK",0,VALUE(RIGHT($C49,1)))</f>
        <v>3</v>
      </c>
      <c r="V49" s="50" t="n">
        <f aca="false">IF($D49="",0,(N($H49)+IF($J49="",N($H49),$J49))/2)</f>
        <v>1.8</v>
      </c>
      <c r="W49" s="50" t="n">
        <f aca="false">IF($D49="",0,(N($I49)+IF($K49="",N($I49),$K49))/2)</f>
        <v>3</v>
      </c>
      <c r="X49" s="50" t="n">
        <f aca="false">IF($E49="VERTICAL",$V49,N($F49))</f>
        <v>6.75</v>
      </c>
      <c r="Y49" s="50" t="n">
        <f aca="false">IF($E49="VERTICAL",$W49,N($G49))</f>
        <v>13.5</v>
      </c>
      <c r="Z49" s="50" t="n">
        <f aca="false">IF($E49="VERTICAL",N($F49),$V49)</f>
        <v>1.8</v>
      </c>
      <c r="AA49" s="50" t="n">
        <f aca="false">IF($E49="VERTICAL",N($G49),$W49)</f>
        <v>3</v>
      </c>
      <c r="AB49" s="30" t="n">
        <f aca="false">IF($L49&lt;&gt;"OK",0,(INDEX(PRESIONES!$D$28:$D$31,$U49)*IF(INDEX(PRESIONES!$D$28:$D$31,$U49)&gt;0,PRESIONES!$C$9*IF($T49&lt;=10,1,($T49/10)^(2/DATOS!$C$56)),PRESIONES!$C$15)-ABERTURAS!$L$60*PRESIONES!$C$12)*$R49/$M49)</f>
        <v>75.3792589013325</v>
      </c>
      <c r="AC49" s="30" t="n">
        <f aca="false">IF($L49&lt;&gt;"OK",0,(INDEX(PRESIONES!$G$28:$G$31,$U49)*IF(INDEX(PRESIONES!$G$28:$G$31,$U49)&gt;0,PRESIONES!$C$9*IF($T49&lt;=10,1,($T49/10)^(2/DATOS!$C$56)),PRESIONES!$C$15)-ABERTURAS!$L$61*PRESIONES!$C$12)*$R49/$M49)</f>
        <v>0.499258901332516</v>
      </c>
      <c r="AD49" s="30" t="n">
        <f aca="false">IF($L49&lt;&gt;"OK",0,(INDEX(PRESIONES!$J$28:$J$31,$U49)*IF(INDEX(PRESIONES!$J$28:$J$31,$U49)&gt;0,PRESIONES!$C$9*IF($T49&lt;=10,1,($T49/10)^(2/DATOS!$C$56)),PRESIONES!$C$15)-ABERTURAS!$L$62*PRESIONES!$C$12)*$R49/$M49)</f>
        <v>-5.16088931840098</v>
      </c>
      <c r="AE49" s="30" t="n">
        <f aca="false">IF($L49&lt;&gt;"OK",0,(INDEX(PRESIONES!$M$28:$M$31,$U49)*IF(INDEX(PRESIONES!$M$28:$M$31,$U49)&gt;0,PRESIONES!$C$9*IF($T49&lt;=10,1,($T49/10)^(2/DATOS!$C$56)),PRESIONES!$C$15)-ABERTURAS!$L$63*PRESIONES!$C$12)*$R49/$M49)</f>
        <v>-84.2688883519988</v>
      </c>
      <c r="AF49" s="30" t="n">
        <f aca="false">IF($L49&lt;&gt;"OK",0,(INDEX(PRESIONES!$D$28:$D$31,$U49)*IF(INDEX(PRESIONES!$D$28:$D$31,$U49)&gt;0,PRESIONES!$C$9*IF($T49&lt;=10,1,($T49/10)^(2/DATOS!$C$56)),PRESIONES!$C$15)-ABERTURAS!$L$64*PRESIONES!$C$12)*$S49/$M49)</f>
        <v>75.3792589013325</v>
      </c>
      <c r="AG49" s="30" t="n">
        <f aca="false">IF($L49&lt;&gt;"OK",0,(INDEX(PRESIONES!$G$28:$G$31,$U49)*IF(INDEX(PRESIONES!$G$28:$G$31,$U49)&gt;0,PRESIONES!$C$9*IF($T49&lt;=10,1,($T49/10)^(2/DATOS!$C$56)),PRESIONES!$C$15)-ABERTURAS!$L$65*PRESIONES!$C$12)*$S49/$M49)</f>
        <v>0.499258901332516</v>
      </c>
      <c r="AH49" s="30" t="n">
        <f aca="false">IF($L49&lt;&gt;"OK",0,(INDEX(PRESIONES!$J$28:$J$31,$U49)*IF(INDEX(PRESIONES!$J$28:$J$31,$U49)&gt;0,PRESIONES!$C$9*IF($T49&lt;=10,1,($T49/10)^(2/DATOS!$C$56)),PRESIONES!$C$15)-ABERTURAS!$L$66*PRESIONES!$C$12)*$S49/$M49)</f>
        <v>-5.16088931840098</v>
      </c>
      <c r="AI49" s="30" t="n">
        <f aca="false">IF($L49&lt;&gt;"OK",0,(INDEX(PRESIONES!$M$28:$M$31,$U49)*IF(INDEX(PRESIONES!$M$28:$M$31,$U49)&gt;0,PRESIONES!$C$9*IF($T49&lt;=10,1,($T49/10)^(2/DATOS!$C$56)),PRESIONES!$C$15)-ABERTURAS!$L$67*PRESIONES!$C$12)*$S49/$M49)</f>
        <v>-84.2688883519988</v>
      </c>
    </row>
    <row r="50" customFormat="false" ht="16.5" hidden="false" customHeight="true" outlineLevel="0" collapsed="false">
      <c r="B50" s="27" t="s">
        <v>441</v>
      </c>
      <c r="C50" s="17" t="s">
        <v>430</v>
      </c>
      <c r="D50" s="27" t="s">
        <v>442</v>
      </c>
      <c r="E50" s="17" t="s">
        <v>432</v>
      </c>
      <c r="F50" s="49" t="n">
        <v>13.5</v>
      </c>
      <c r="G50" s="49" t="n">
        <v>16</v>
      </c>
      <c r="H50" s="49" t="n">
        <v>1.8</v>
      </c>
      <c r="I50" s="49" t="n">
        <v>3</v>
      </c>
      <c r="J50" s="49"/>
      <c r="K50" s="49"/>
      <c r="L50" s="20" t="str">
        <f aca="false">IF($D50="","",IF(LEFT($C50,4)&lt;&gt;"MURO","PON EL MURO",IF(AND($E50&lt;&gt;"HORIZONTAL",$E50&lt;&gt;"VERTICAL"),"PON EL SENTIDO",IF(OR($F50="",$G50="",$H50="",$I50=""),"FALTAN a o b",IF($M50&lt;=0,"a₂ DEBE SER &gt; a₁",IF($N50&lt;=0,"b₂ DEBE SER &gt; b₁","OK"))))))</f>
        <v>OK</v>
      </c>
      <c r="M50" s="30" t="n">
        <f aca="false">IF($D50="",0,MAX(0,$G50-$F50))</f>
        <v>2.5</v>
      </c>
      <c r="N50" s="30" t="n">
        <f aca="false">MAX(0,$W50-$V50)</f>
        <v>1.2</v>
      </c>
      <c r="O50" s="30" t="n">
        <f aca="false">$M50*$N50</f>
        <v>3</v>
      </c>
      <c r="P50" s="30" t="n">
        <f aca="false">IF($U50=0,0,SUMPRODUCT((ABERTURAS!$N$7:$N$26=$U50)*ABERTURAS!$U$7:$U$26*(((($Y50)+(ABERTURAS!$P$7:$P$26)-ABS(($Y50)-(ABERTURAS!$P$7:$P$26)))/2-(($X50)+(ABERTURAS!$O$7:$O$26)+ABS(($X50)-(ABERTURAS!$O$7:$O$26)))/2)+ABS((($Y50)+(ABERTURAS!$P$7:$P$26)-ABS(($Y50)-(ABERTURAS!$P$7:$P$26)))/2-(($X50)+(ABERTURAS!$O$7:$O$26)+ABS(($X50)-(ABERTURAS!$O$7:$O$26)))/2))/2*(((($AA50)+(ABERTURAS!$R$7:$R$26)-ABS(($AA50)-(ABERTURAS!$R$7:$R$26)))/2-(($Z50)+(ABERTURAS!$Q$7:$Q$26)+ABS(($Z50)-(ABERTURAS!$Q$7:$Q$26)))/2)+ABS((($AA50)+(ABERTURAS!$R$7:$R$26)-ABS(($AA50)-(ABERTURAS!$R$7:$R$26)))/2-(($Z50)+(ABERTURAS!$Q$7:$Q$26)+ABS(($Z50)-(ABERTURAS!$Q$7:$Q$26)))/2))/2))</f>
        <v>0</v>
      </c>
      <c r="Q50" s="30" t="n">
        <f aca="false">IF($U50=0,0,SUMPRODUCT((ABERTURAS!$N$7:$N$26=$U50)*ABERTURAS!$V$7:$V$26*(((($Y50)+(ABERTURAS!$P$7:$P$26)-ABS(($Y50)-(ABERTURAS!$P$7:$P$26)))/2-(($X50)+(ABERTURAS!$O$7:$O$26)+ABS(($X50)-(ABERTURAS!$O$7:$O$26)))/2)+ABS((($Y50)+(ABERTURAS!$P$7:$P$26)-ABS(($Y50)-(ABERTURAS!$P$7:$P$26)))/2-(($X50)+(ABERTURAS!$O$7:$O$26)+ABS(($X50)-(ABERTURAS!$O$7:$O$26)))/2))/2*(((($AA50)+(ABERTURAS!$R$7:$R$26)-ABS(($AA50)-(ABERTURAS!$R$7:$R$26)))/2-(($Z50)+(ABERTURAS!$Q$7:$Q$26)+ABS(($Z50)-(ABERTURAS!$Q$7:$Q$26)))/2)+ABS((($AA50)+(ABERTURAS!$R$7:$R$26)-ABS(($AA50)-(ABERTURAS!$R$7:$R$26)))/2-(($Z50)+(ABERTURAS!$Q$7:$Q$26)+ABS(($Z50)-(ABERTURAS!$Q$7:$Q$26)))/2))/2))</f>
        <v>0</v>
      </c>
      <c r="R50" s="30" t="n">
        <f aca="false">MAX(0,$O50-$P50)</f>
        <v>3</v>
      </c>
      <c r="S50" s="30" t="n">
        <f aca="false">MAX(0,$O50-$Q50)</f>
        <v>3</v>
      </c>
      <c r="T50" s="50" t="n">
        <f aca="false">IF($D50="",0,IF($E50="VERTICAL",N($G50),MAX(N($I50),IF($K50="",N($I50),$K50))))</f>
        <v>3</v>
      </c>
      <c r="U50" s="50" t="n">
        <f aca="false">IF($L50&lt;&gt;"OK",0,VALUE(RIGHT($C50,1)))</f>
        <v>3</v>
      </c>
      <c r="V50" s="50" t="n">
        <f aca="false">IF($D50="",0,(N($H50)+IF($J50="",N($H50),$J50))/2)</f>
        <v>1.8</v>
      </c>
      <c r="W50" s="50" t="n">
        <f aca="false">IF($D50="",0,(N($I50)+IF($K50="",N($I50),$K50))/2)</f>
        <v>3</v>
      </c>
      <c r="X50" s="50" t="n">
        <f aca="false">IF($E50="VERTICAL",$V50,N($F50))</f>
        <v>13.5</v>
      </c>
      <c r="Y50" s="50" t="n">
        <f aca="false">IF($E50="VERTICAL",$W50,N($G50))</f>
        <v>16</v>
      </c>
      <c r="Z50" s="50" t="n">
        <f aca="false">IF($E50="VERTICAL",N($F50),$V50)</f>
        <v>1.8</v>
      </c>
      <c r="AA50" s="50" t="n">
        <f aca="false">IF($E50="VERTICAL",N($G50),$W50)</f>
        <v>3</v>
      </c>
      <c r="AB50" s="30" t="n">
        <f aca="false">IF($L50&lt;&gt;"OK",0,(INDEX(PRESIONES!$D$28:$D$31,$U50)*IF(INDEX(PRESIONES!$D$28:$D$31,$U50)&gt;0,PRESIONES!$C$9*IF($T50&lt;=10,1,($T50/10)^(2/DATOS!$C$56)),PRESIONES!$C$15)-ABERTURAS!$L$60*PRESIONES!$C$12)*$R50/$M50)</f>
        <v>75.3792589013325</v>
      </c>
      <c r="AC50" s="30" t="n">
        <f aca="false">IF($L50&lt;&gt;"OK",0,(INDEX(PRESIONES!$G$28:$G$31,$U50)*IF(INDEX(PRESIONES!$G$28:$G$31,$U50)&gt;0,PRESIONES!$C$9*IF($T50&lt;=10,1,($T50/10)^(2/DATOS!$C$56)),PRESIONES!$C$15)-ABERTURAS!$L$61*PRESIONES!$C$12)*$R50/$M50)</f>
        <v>0.499258901332516</v>
      </c>
      <c r="AD50" s="30" t="n">
        <f aca="false">IF($L50&lt;&gt;"OK",0,(INDEX(PRESIONES!$J$28:$J$31,$U50)*IF(INDEX(PRESIONES!$J$28:$J$31,$U50)&gt;0,PRESIONES!$C$9*IF($T50&lt;=10,1,($T50/10)^(2/DATOS!$C$56)),PRESIONES!$C$15)-ABERTURAS!$L$62*PRESIONES!$C$12)*$R50/$M50)</f>
        <v>-5.16088931840098</v>
      </c>
      <c r="AE50" s="30" t="n">
        <f aca="false">IF($L50&lt;&gt;"OK",0,(INDEX(PRESIONES!$M$28:$M$31,$U50)*IF(INDEX(PRESIONES!$M$28:$M$31,$U50)&gt;0,PRESIONES!$C$9*IF($T50&lt;=10,1,($T50/10)^(2/DATOS!$C$56)),PRESIONES!$C$15)-ABERTURAS!$L$63*PRESIONES!$C$12)*$R50/$M50)</f>
        <v>-84.2688883519988</v>
      </c>
      <c r="AF50" s="30" t="n">
        <f aca="false">IF($L50&lt;&gt;"OK",0,(INDEX(PRESIONES!$D$28:$D$31,$U50)*IF(INDEX(PRESIONES!$D$28:$D$31,$U50)&gt;0,PRESIONES!$C$9*IF($T50&lt;=10,1,($T50/10)^(2/DATOS!$C$56)),PRESIONES!$C$15)-ABERTURAS!$L$64*PRESIONES!$C$12)*$S50/$M50)</f>
        <v>75.3792589013325</v>
      </c>
      <c r="AG50" s="30" t="n">
        <f aca="false">IF($L50&lt;&gt;"OK",0,(INDEX(PRESIONES!$G$28:$G$31,$U50)*IF(INDEX(PRESIONES!$G$28:$G$31,$U50)&gt;0,PRESIONES!$C$9*IF($T50&lt;=10,1,($T50/10)^(2/DATOS!$C$56)),PRESIONES!$C$15)-ABERTURAS!$L$65*PRESIONES!$C$12)*$S50/$M50)</f>
        <v>0.499258901332516</v>
      </c>
      <c r="AH50" s="30" t="n">
        <f aca="false">IF($L50&lt;&gt;"OK",0,(INDEX(PRESIONES!$J$28:$J$31,$U50)*IF(INDEX(PRESIONES!$J$28:$J$31,$U50)&gt;0,PRESIONES!$C$9*IF($T50&lt;=10,1,($T50/10)^(2/DATOS!$C$56)),PRESIONES!$C$15)-ABERTURAS!$L$66*PRESIONES!$C$12)*$S50/$M50)</f>
        <v>-5.16088931840098</v>
      </c>
      <c r="AI50" s="30" t="n">
        <f aca="false">IF($L50&lt;&gt;"OK",0,(INDEX(PRESIONES!$M$28:$M$31,$U50)*IF(INDEX(PRESIONES!$M$28:$M$31,$U50)&gt;0,PRESIONES!$C$9*IF($T50&lt;=10,1,($T50/10)^(2/DATOS!$C$56)),PRESIONES!$C$15)-ABERTURAS!$L$67*PRESIONES!$C$12)*$S50/$M50)</f>
        <v>-84.2688883519988</v>
      </c>
    </row>
    <row r="51" customFormat="false" ht="16.5" hidden="false" customHeight="true" outlineLevel="0" collapsed="false">
      <c r="B51" s="27" t="s">
        <v>443</v>
      </c>
      <c r="C51" s="17" t="s">
        <v>430</v>
      </c>
      <c r="D51" s="27" t="s">
        <v>444</v>
      </c>
      <c r="E51" s="17" t="s">
        <v>432</v>
      </c>
      <c r="F51" s="49" t="n">
        <v>0</v>
      </c>
      <c r="G51" s="49" t="n">
        <v>6.75</v>
      </c>
      <c r="H51" s="49" t="n">
        <v>3</v>
      </c>
      <c r="I51" s="49" t="n">
        <v>4.2</v>
      </c>
      <c r="J51" s="49"/>
      <c r="K51" s="49"/>
      <c r="L51" s="20" t="str">
        <f aca="false">IF($D51="","",IF(LEFT($C51,4)&lt;&gt;"MURO","PON EL MURO",IF(AND($E51&lt;&gt;"HORIZONTAL",$E51&lt;&gt;"VERTICAL"),"PON EL SENTIDO",IF(OR($F51="",$G51="",$H51="",$I51=""),"FALTAN a o b",IF($M51&lt;=0,"a₂ DEBE SER &gt; a₁",IF($N51&lt;=0,"b₂ DEBE SER &gt; b₁","OK"))))))</f>
        <v>OK</v>
      </c>
      <c r="M51" s="30" t="n">
        <f aca="false">IF($D51="",0,MAX(0,$G51-$F51))</f>
        <v>6.75</v>
      </c>
      <c r="N51" s="30" t="n">
        <f aca="false">MAX(0,$W51-$V51)</f>
        <v>1.2</v>
      </c>
      <c r="O51" s="30" t="n">
        <f aca="false">$M51*$N51</f>
        <v>8.1</v>
      </c>
      <c r="P51" s="30" t="n">
        <f aca="false">IF($U51=0,0,SUMPRODUCT((ABERTURAS!$N$7:$N$26=$U51)*ABERTURAS!$U$7:$U$26*(((($Y51)+(ABERTURAS!$P$7:$P$26)-ABS(($Y51)-(ABERTURAS!$P$7:$P$26)))/2-(($X51)+(ABERTURAS!$O$7:$O$26)+ABS(($X51)-(ABERTURAS!$O$7:$O$26)))/2)+ABS((($Y51)+(ABERTURAS!$P$7:$P$26)-ABS(($Y51)-(ABERTURAS!$P$7:$P$26)))/2-(($X51)+(ABERTURAS!$O$7:$O$26)+ABS(($X51)-(ABERTURAS!$O$7:$O$26)))/2))/2*(((($AA51)+(ABERTURAS!$R$7:$R$26)-ABS(($AA51)-(ABERTURAS!$R$7:$R$26)))/2-(($Z51)+(ABERTURAS!$Q$7:$Q$26)+ABS(($Z51)-(ABERTURAS!$Q$7:$Q$26)))/2)+ABS((($AA51)+(ABERTURAS!$R$7:$R$26)-ABS(($AA51)-(ABERTURAS!$R$7:$R$26)))/2-(($Z51)+(ABERTURAS!$Q$7:$Q$26)+ABS(($Z51)-(ABERTURAS!$Q$7:$Q$26)))/2))/2))</f>
        <v>0</v>
      </c>
      <c r="Q51" s="30" t="n">
        <f aca="false">IF($U51=0,0,SUMPRODUCT((ABERTURAS!$N$7:$N$26=$U51)*ABERTURAS!$V$7:$V$26*(((($Y51)+(ABERTURAS!$P$7:$P$26)-ABS(($Y51)-(ABERTURAS!$P$7:$P$26)))/2-(($X51)+(ABERTURAS!$O$7:$O$26)+ABS(($X51)-(ABERTURAS!$O$7:$O$26)))/2)+ABS((($Y51)+(ABERTURAS!$P$7:$P$26)-ABS(($Y51)-(ABERTURAS!$P$7:$P$26)))/2-(($X51)+(ABERTURAS!$O$7:$O$26)+ABS(($X51)-(ABERTURAS!$O$7:$O$26)))/2))/2*(((($AA51)+(ABERTURAS!$R$7:$R$26)-ABS(($AA51)-(ABERTURAS!$R$7:$R$26)))/2-(($Z51)+(ABERTURAS!$Q$7:$Q$26)+ABS(($Z51)-(ABERTURAS!$Q$7:$Q$26)))/2)+ABS((($AA51)+(ABERTURAS!$R$7:$R$26)-ABS(($AA51)-(ABERTURAS!$R$7:$R$26)))/2-(($Z51)+(ABERTURAS!$Q$7:$Q$26)+ABS(($Z51)-(ABERTURAS!$Q$7:$Q$26)))/2))/2))</f>
        <v>0</v>
      </c>
      <c r="R51" s="30" t="n">
        <f aca="false">MAX(0,$O51-$P51)</f>
        <v>8.1</v>
      </c>
      <c r="S51" s="30" t="n">
        <f aca="false">MAX(0,$O51-$Q51)</f>
        <v>8.1</v>
      </c>
      <c r="T51" s="50" t="n">
        <f aca="false">IF($D51="",0,IF($E51="VERTICAL",N($G51),MAX(N($I51),IF($K51="",N($I51),$K51))))</f>
        <v>4.2</v>
      </c>
      <c r="U51" s="50" t="n">
        <f aca="false">IF($L51&lt;&gt;"OK",0,VALUE(RIGHT($C51,1)))</f>
        <v>3</v>
      </c>
      <c r="V51" s="50" t="n">
        <f aca="false">IF($D51="",0,(N($H51)+IF($J51="",N($H51),$J51))/2)</f>
        <v>3</v>
      </c>
      <c r="W51" s="50" t="n">
        <f aca="false">IF($D51="",0,(N($I51)+IF($K51="",N($I51),$K51))/2)</f>
        <v>4.2</v>
      </c>
      <c r="X51" s="50" t="n">
        <f aca="false">IF($E51="VERTICAL",$V51,N($F51))</f>
        <v>0</v>
      </c>
      <c r="Y51" s="50" t="n">
        <f aca="false">IF($E51="VERTICAL",$W51,N($G51))</f>
        <v>6.75</v>
      </c>
      <c r="Z51" s="50" t="n">
        <f aca="false">IF($E51="VERTICAL",N($F51),$V51)</f>
        <v>3</v>
      </c>
      <c r="AA51" s="50" t="n">
        <f aca="false">IF($E51="VERTICAL",N($G51),$W51)</f>
        <v>4.2</v>
      </c>
      <c r="AB51" s="30" t="n">
        <f aca="false">IF($L51&lt;&gt;"OK",0,(INDEX(PRESIONES!$D$28:$D$31,$U51)*IF(INDEX(PRESIONES!$D$28:$D$31,$U51)&gt;0,PRESIONES!$C$9*IF($T51&lt;=10,1,($T51/10)^(2/DATOS!$C$56)),PRESIONES!$C$15)-ABERTURAS!$L$60*PRESIONES!$C$12)*$R51/$M51)</f>
        <v>75.3792589013325</v>
      </c>
      <c r="AC51" s="30" t="n">
        <f aca="false">IF($L51&lt;&gt;"OK",0,(INDEX(PRESIONES!$G$28:$G$31,$U51)*IF(INDEX(PRESIONES!$G$28:$G$31,$U51)&gt;0,PRESIONES!$C$9*IF($T51&lt;=10,1,($T51/10)^(2/DATOS!$C$56)),PRESIONES!$C$15)-ABERTURAS!$L$61*PRESIONES!$C$12)*$R51/$M51)</f>
        <v>0.499258901332516</v>
      </c>
      <c r="AD51" s="30" t="n">
        <f aca="false">IF($L51&lt;&gt;"OK",0,(INDEX(PRESIONES!$J$28:$J$31,$U51)*IF(INDEX(PRESIONES!$J$28:$J$31,$U51)&gt;0,PRESIONES!$C$9*IF($T51&lt;=10,1,($T51/10)^(2/DATOS!$C$56)),PRESIONES!$C$15)-ABERTURAS!$L$62*PRESIONES!$C$12)*$R51/$M51)</f>
        <v>-5.16088931840098</v>
      </c>
      <c r="AE51" s="30" t="n">
        <f aca="false">IF($L51&lt;&gt;"OK",0,(INDEX(PRESIONES!$M$28:$M$31,$U51)*IF(INDEX(PRESIONES!$M$28:$M$31,$U51)&gt;0,PRESIONES!$C$9*IF($T51&lt;=10,1,($T51/10)^(2/DATOS!$C$56)),PRESIONES!$C$15)-ABERTURAS!$L$63*PRESIONES!$C$12)*$R51/$M51)</f>
        <v>-84.2688883519988</v>
      </c>
      <c r="AF51" s="30" t="n">
        <f aca="false">IF($L51&lt;&gt;"OK",0,(INDEX(PRESIONES!$D$28:$D$31,$U51)*IF(INDEX(PRESIONES!$D$28:$D$31,$U51)&gt;0,PRESIONES!$C$9*IF($T51&lt;=10,1,($T51/10)^(2/DATOS!$C$56)),PRESIONES!$C$15)-ABERTURAS!$L$64*PRESIONES!$C$12)*$S51/$M51)</f>
        <v>75.3792589013325</v>
      </c>
      <c r="AG51" s="30" t="n">
        <f aca="false">IF($L51&lt;&gt;"OK",0,(INDEX(PRESIONES!$G$28:$G$31,$U51)*IF(INDEX(PRESIONES!$G$28:$G$31,$U51)&gt;0,PRESIONES!$C$9*IF($T51&lt;=10,1,($T51/10)^(2/DATOS!$C$56)),PRESIONES!$C$15)-ABERTURAS!$L$65*PRESIONES!$C$12)*$S51/$M51)</f>
        <v>0.499258901332516</v>
      </c>
      <c r="AH51" s="30" t="n">
        <f aca="false">IF($L51&lt;&gt;"OK",0,(INDEX(PRESIONES!$J$28:$J$31,$U51)*IF(INDEX(PRESIONES!$J$28:$J$31,$U51)&gt;0,PRESIONES!$C$9*IF($T51&lt;=10,1,($T51/10)^(2/DATOS!$C$56)),PRESIONES!$C$15)-ABERTURAS!$L$66*PRESIONES!$C$12)*$S51/$M51)</f>
        <v>-5.16088931840098</v>
      </c>
      <c r="AI51" s="30" t="n">
        <f aca="false">IF($L51&lt;&gt;"OK",0,(INDEX(PRESIONES!$M$28:$M$31,$U51)*IF(INDEX(PRESIONES!$M$28:$M$31,$U51)&gt;0,PRESIONES!$C$9*IF($T51&lt;=10,1,($T51/10)^(2/DATOS!$C$56)),PRESIONES!$C$15)-ABERTURAS!$L$67*PRESIONES!$C$12)*$S51/$M51)</f>
        <v>-84.2688883519988</v>
      </c>
    </row>
    <row r="52" customFormat="false" ht="16.5" hidden="false" customHeight="true" outlineLevel="0" collapsed="false">
      <c r="B52" s="27" t="s">
        <v>445</v>
      </c>
      <c r="C52" s="17" t="s">
        <v>430</v>
      </c>
      <c r="D52" s="27" t="s">
        <v>446</v>
      </c>
      <c r="E52" s="17" t="s">
        <v>432</v>
      </c>
      <c r="F52" s="49" t="n">
        <v>6.75</v>
      </c>
      <c r="G52" s="49" t="n">
        <v>13.5</v>
      </c>
      <c r="H52" s="49" t="n">
        <v>3</v>
      </c>
      <c r="I52" s="49" t="n">
        <v>4.2</v>
      </c>
      <c r="J52" s="49"/>
      <c r="K52" s="49"/>
      <c r="L52" s="20" t="str">
        <f aca="false">IF($D52="","",IF(LEFT($C52,4)&lt;&gt;"MURO","PON EL MURO",IF(AND($E52&lt;&gt;"HORIZONTAL",$E52&lt;&gt;"VERTICAL"),"PON EL SENTIDO",IF(OR($F52="",$G52="",$H52="",$I52=""),"FALTAN a o b",IF($M52&lt;=0,"a₂ DEBE SER &gt; a₁",IF($N52&lt;=0,"b₂ DEBE SER &gt; b₁","OK"))))))</f>
        <v>OK</v>
      </c>
      <c r="M52" s="30" t="n">
        <f aca="false">IF($D52="",0,MAX(0,$G52-$F52))</f>
        <v>6.75</v>
      </c>
      <c r="N52" s="30" t="n">
        <f aca="false">MAX(0,$W52-$V52)</f>
        <v>1.2</v>
      </c>
      <c r="O52" s="30" t="n">
        <f aca="false">$M52*$N52</f>
        <v>8.1</v>
      </c>
      <c r="P52" s="30" t="n">
        <f aca="false">IF($U52=0,0,SUMPRODUCT((ABERTURAS!$N$7:$N$26=$U52)*ABERTURAS!$U$7:$U$26*(((($Y52)+(ABERTURAS!$P$7:$P$26)-ABS(($Y52)-(ABERTURAS!$P$7:$P$26)))/2-(($X52)+(ABERTURAS!$O$7:$O$26)+ABS(($X52)-(ABERTURAS!$O$7:$O$26)))/2)+ABS((($Y52)+(ABERTURAS!$P$7:$P$26)-ABS(($Y52)-(ABERTURAS!$P$7:$P$26)))/2-(($X52)+(ABERTURAS!$O$7:$O$26)+ABS(($X52)-(ABERTURAS!$O$7:$O$26)))/2))/2*(((($AA52)+(ABERTURAS!$R$7:$R$26)-ABS(($AA52)-(ABERTURAS!$R$7:$R$26)))/2-(($Z52)+(ABERTURAS!$Q$7:$Q$26)+ABS(($Z52)-(ABERTURAS!$Q$7:$Q$26)))/2)+ABS((($AA52)+(ABERTURAS!$R$7:$R$26)-ABS(($AA52)-(ABERTURAS!$R$7:$R$26)))/2-(($Z52)+(ABERTURAS!$Q$7:$Q$26)+ABS(($Z52)-(ABERTURAS!$Q$7:$Q$26)))/2))/2))</f>
        <v>0</v>
      </c>
      <c r="Q52" s="30" t="n">
        <f aca="false">IF($U52=0,0,SUMPRODUCT((ABERTURAS!$N$7:$N$26=$U52)*ABERTURAS!$V$7:$V$26*(((($Y52)+(ABERTURAS!$P$7:$P$26)-ABS(($Y52)-(ABERTURAS!$P$7:$P$26)))/2-(($X52)+(ABERTURAS!$O$7:$O$26)+ABS(($X52)-(ABERTURAS!$O$7:$O$26)))/2)+ABS((($Y52)+(ABERTURAS!$P$7:$P$26)-ABS(($Y52)-(ABERTURAS!$P$7:$P$26)))/2-(($X52)+(ABERTURAS!$O$7:$O$26)+ABS(($X52)-(ABERTURAS!$O$7:$O$26)))/2))/2*(((($AA52)+(ABERTURAS!$R$7:$R$26)-ABS(($AA52)-(ABERTURAS!$R$7:$R$26)))/2-(($Z52)+(ABERTURAS!$Q$7:$Q$26)+ABS(($Z52)-(ABERTURAS!$Q$7:$Q$26)))/2)+ABS((($AA52)+(ABERTURAS!$R$7:$R$26)-ABS(($AA52)-(ABERTURAS!$R$7:$R$26)))/2-(($Z52)+(ABERTURAS!$Q$7:$Q$26)+ABS(($Z52)-(ABERTURAS!$Q$7:$Q$26)))/2))/2))</f>
        <v>0</v>
      </c>
      <c r="R52" s="30" t="n">
        <f aca="false">MAX(0,$O52-$P52)</f>
        <v>8.1</v>
      </c>
      <c r="S52" s="30" t="n">
        <f aca="false">MAX(0,$O52-$Q52)</f>
        <v>8.1</v>
      </c>
      <c r="T52" s="50" t="n">
        <f aca="false">IF($D52="",0,IF($E52="VERTICAL",N($G52),MAX(N($I52),IF($K52="",N($I52),$K52))))</f>
        <v>4.2</v>
      </c>
      <c r="U52" s="50" t="n">
        <f aca="false">IF($L52&lt;&gt;"OK",0,VALUE(RIGHT($C52,1)))</f>
        <v>3</v>
      </c>
      <c r="V52" s="50" t="n">
        <f aca="false">IF($D52="",0,(N($H52)+IF($J52="",N($H52),$J52))/2)</f>
        <v>3</v>
      </c>
      <c r="W52" s="50" t="n">
        <f aca="false">IF($D52="",0,(N($I52)+IF($K52="",N($I52),$K52))/2)</f>
        <v>4.2</v>
      </c>
      <c r="X52" s="50" t="n">
        <f aca="false">IF($E52="VERTICAL",$V52,N($F52))</f>
        <v>6.75</v>
      </c>
      <c r="Y52" s="50" t="n">
        <f aca="false">IF($E52="VERTICAL",$W52,N($G52))</f>
        <v>13.5</v>
      </c>
      <c r="Z52" s="50" t="n">
        <f aca="false">IF($E52="VERTICAL",N($F52),$V52)</f>
        <v>3</v>
      </c>
      <c r="AA52" s="50" t="n">
        <f aca="false">IF($E52="VERTICAL",N($G52),$W52)</f>
        <v>4.2</v>
      </c>
      <c r="AB52" s="30" t="n">
        <f aca="false">IF($L52&lt;&gt;"OK",0,(INDEX(PRESIONES!$D$28:$D$31,$U52)*IF(INDEX(PRESIONES!$D$28:$D$31,$U52)&gt;0,PRESIONES!$C$9*IF($T52&lt;=10,1,($T52/10)^(2/DATOS!$C$56)),PRESIONES!$C$15)-ABERTURAS!$L$60*PRESIONES!$C$12)*$R52/$M52)</f>
        <v>75.3792589013325</v>
      </c>
      <c r="AC52" s="30" t="n">
        <f aca="false">IF($L52&lt;&gt;"OK",0,(INDEX(PRESIONES!$G$28:$G$31,$U52)*IF(INDEX(PRESIONES!$G$28:$G$31,$U52)&gt;0,PRESIONES!$C$9*IF($T52&lt;=10,1,($T52/10)^(2/DATOS!$C$56)),PRESIONES!$C$15)-ABERTURAS!$L$61*PRESIONES!$C$12)*$R52/$M52)</f>
        <v>0.499258901332516</v>
      </c>
      <c r="AD52" s="30" t="n">
        <f aca="false">IF($L52&lt;&gt;"OK",0,(INDEX(PRESIONES!$J$28:$J$31,$U52)*IF(INDEX(PRESIONES!$J$28:$J$31,$U52)&gt;0,PRESIONES!$C$9*IF($T52&lt;=10,1,($T52/10)^(2/DATOS!$C$56)),PRESIONES!$C$15)-ABERTURAS!$L$62*PRESIONES!$C$12)*$R52/$M52)</f>
        <v>-5.16088931840098</v>
      </c>
      <c r="AE52" s="30" t="n">
        <f aca="false">IF($L52&lt;&gt;"OK",0,(INDEX(PRESIONES!$M$28:$M$31,$U52)*IF(INDEX(PRESIONES!$M$28:$M$31,$U52)&gt;0,PRESIONES!$C$9*IF($T52&lt;=10,1,($T52/10)^(2/DATOS!$C$56)),PRESIONES!$C$15)-ABERTURAS!$L$63*PRESIONES!$C$12)*$R52/$M52)</f>
        <v>-84.2688883519988</v>
      </c>
      <c r="AF52" s="30" t="n">
        <f aca="false">IF($L52&lt;&gt;"OK",0,(INDEX(PRESIONES!$D$28:$D$31,$U52)*IF(INDEX(PRESIONES!$D$28:$D$31,$U52)&gt;0,PRESIONES!$C$9*IF($T52&lt;=10,1,($T52/10)^(2/DATOS!$C$56)),PRESIONES!$C$15)-ABERTURAS!$L$64*PRESIONES!$C$12)*$S52/$M52)</f>
        <v>75.3792589013325</v>
      </c>
      <c r="AG52" s="30" t="n">
        <f aca="false">IF($L52&lt;&gt;"OK",0,(INDEX(PRESIONES!$G$28:$G$31,$U52)*IF(INDEX(PRESIONES!$G$28:$G$31,$U52)&gt;0,PRESIONES!$C$9*IF($T52&lt;=10,1,($T52/10)^(2/DATOS!$C$56)),PRESIONES!$C$15)-ABERTURAS!$L$65*PRESIONES!$C$12)*$S52/$M52)</f>
        <v>0.499258901332516</v>
      </c>
      <c r="AH52" s="30" t="n">
        <f aca="false">IF($L52&lt;&gt;"OK",0,(INDEX(PRESIONES!$J$28:$J$31,$U52)*IF(INDEX(PRESIONES!$J$28:$J$31,$U52)&gt;0,PRESIONES!$C$9*IF($T52&lt;=10,1,($T52/10)^(2/DATOS!$C$56)),PRESIONES!$C$15)-ABERTURAS!$L$66*PRESIONES!$C$12)*$S52/$M52)</f>
        <v>-5.16088931840098</v>
      </c>
      <c r="AI52" s="30" t="n">
        <f aca="false">IF($L52&lt;&gt;"OK",0,(INDEX(PRESIONES!$M$28:$M$31,$U52)*IF(INDEX(PRESIONES!$M$28:$M$31,$U52)&gt;0,PRESIONES!$C$9*IF($T52&lt;=10,1,($T52/10)^(2/DATOS!$C$56)),PRESIONES!$C$15)-ABERTURAS!$L$67*PRESIONES!$C$12)*$S52/$M52)</f>
        <v>-84.2688883519988</v>
      </c>
    </row>
    <row r="53" customFormat="false" ht="16.5" hidden="false" customHeight="true" outlineLevel="0" collapsed="false">
      <c r="B53" s="27" t="s">
        <v>447</v>
      </c>
      <c r="C53" s="17" t="s">
        <v>430</v>
      </c>
      <c r="D53" s="27" t="s">
        <v>448</v>
      </c>
      <c r="E53" s="17" t="s">
        <v>432</v>
      </c>
      <c r="F53" s="49" t="n">
        <v>13.5</v>
      </c>
      <c r="G53" s="49" t="n">
        <v>16</v>
      </c>
      <c r="H53" s="49" t="n">
        <v>3</v>
      </c>
      <c r="I53" s="49" t="n">
        <v>4.2</v>
      </c>
      <c r="J53" s="49"/>
      <c r="K53" s="49"/>
      <c r="L53" s="20" t="str">
        <f aca="false">IF($D53="","",IF(LEFT($C53,4)&lt;&gt;"MURO","PON EL MURO",IF(AND($E53&lt;&gt;"HORIZONTAL",$E53&lt;&gt;"VERTICAL"),"PON EL SENTIDO",IF(OR($F53="",$G53="",$H53="",$I53=""),"FALTAN a o b",IF($M53&lt;=0,"a₂ DEBE SER &gt; a₁",IF($N53&lt;=0,"b₂ DEBE SER &gt; b₁","OK"))))))</f>
        <v>OK</v>
      </c>
      <c r="M53" s="30" t="n">
        <f aca="false">IF($D53="",0,MAX(0,$G53-$F53))</f>
        <v>2.5</v>
      </c>
      <c r="N53" s="30" t="n">
        <f aca="false">MAX(0,$W53-$V53)</f>
        <v>1.2</v>
      </c>
      <c r="O53" s="30" t="n">
        <f aca="false">$M53*$N53</f>
        <v>3</v>
      </c>
      <c r="P53" s="30" t="n">
        <f aca="false">IF($U53=0,0,SUMPRODUCT((ABERTURAS!$N$7:$N$26=$U53)*ABERTURAS!$U$7:$U$26*(((($Y53)+(ABERTURAS!$P$7:$P$26)-ABS(($Y53)-(ABERTURAS!$P$7:$P$26)))/2-(($X53)+(ABERTURAS!$O$7:$O$26)+ABS(($X53)-(ABERTURAS!$O$7:$O$26)))/2)+ABS((($Y53)+(ABERTURAS!$P$7:$P$26)-ABS(($Y53)-(ABERTURAS!$P$7:$P$26)))/2-(($X53)+(ABERTURAS!$O$7:$O$26)+ABS(($X53)-(ABERTURAS!$O$7:$O$26)))/2))/2*(((($AA53)+(ABERTURAS!$R$7:$R$26)-ABS(($AA53)-(ABERTURAS!$R$7:$R$26)))/2-(($Z53)+(ABERTURAS!$Q$7:$Q$26)+ABS(($Z53)-(ABERTURAS!$Q$7:$Q$26)))/2)+ABS((($AA53)+(ABERTURAS!$R$7:$R$26)-ABS(($AA53)-(ABERTURAS!$R$7:$R$26)))/2-(($Z53)+(ABERTURAS!$Q$7:$Q$26)+ABS(($Z53)-(ABERTURAS!$Q$7:$Q$26)))/2))/2))</f>
        <v>0</v>
      </c>
      <c r="Q53" s="30" t="n">
        <f aca="false">IF($U53=0,0,SUMPRODUCT((ABERTURAS!$N$7:$N$26=$U53)*ABERTURAS!$V$7:$V$26*(((($Y53)+(ABERTURAS!$P$7:$P$26)-ABS(($Y53)-(ABERTURAS!$P$7:$P$26)))/2-(($X53)+(ABERTURAS!$O$7:$O$26)+ABS(($X53)-(ABERTURAS!$O$7:$O$26)))/2)+ABS((($Y53)+(ABERTURAS!$P$7:$P$26)-ABS(($Y53)-(ABERTURAS!$P$7:$P$26)))/2-(($X53)+(ABERTURAS!$O$7:$O$26)+ABS(($X53)-(ABERTURAS!$O$7:$O$26)))/2))/2*(((($AA53)+(ABERTURAS!$R$7:$R$26)-ABS(($AA53)-(ABERTURAS!$R$7:$R$26)))/2-(($Z53)+(ABERTURAS!$Q$7:$Q$26)+ABS(($Z53)-(ABERTURAS!$Q$7:$Q$26)))/2)+ABS((($AA53)+(ABERTURAS!$R$7:$R$26)-ABS(($AA53)-(ABERTURAS!$R$7:$R$26)))/2-(($Z53)+(ABERTURAS!$Q$7:$Q$26)+ABS(($Z53)-(ABERTURAS!$Q$7:$Q$26)))/2))/2))</f>
        <v>0</v>
      </c>
      <c r="R53" s="30" t="n">
        <f aca="false">MAX(0,$O53-$P53)</f>
        <v>3</v>
      </c>
      <c r="S53" s="30" t="n">
        <f aca="false">MAX(0,$O53-$Q53)</f>
        <v>3</v>
      </c>
      <c r="T53" s="50" t="n">
        <f aca="false">IF($D53="",0,IF($E53="VERTICAL",N($G53),MAX(N($I53),IF($K53="",N($I53),$K53))))</f>
        <v>4.2</v>
      </c>
      <c r="U53" s="50" t="n">
        <f aca="false">IF($L53&lt;&gt;"OK",0,VALUE(RIGHT($C53,1)))</f>
        <v>3</v>
      </c>
      <c r="V53" s="50" t="n">
        <f aca="false">IF($D53="",0,(N($H53)+IF($J53="",N($H53),$J53))/2)</f>
        <v>3</v>
      </c>
      <c r="W53" s="50" t="n">
        <f aca="false">IF($D53="",0,(N($I53)+IF($K53="",N($I53),$K53))/2)</f>
        <v>4.2</v>
      </c>
      <c r="X53" s="50" t="n">
        <f aca="false">IF($E53="VERTICAL",$V53,N($F53))</f>
        <v>13.5</v>
      </c>
      <c r="Y53" s="50" t="n">
        <f aca="false">IF($E53="VERTICAL",$W53,N($G53))</f>
        <v>16</v>
      </c>
      <c r="Z53" s="50" t="n">
        <f aca="false">IF($E53="VERTICAL",N($F53),$V53)</f>
        <v>3</v>
      </c>
      <c r="AA53" s="50" t="n">
        <f aca="false">IF($E53="VERTICAL",N($G53),$W53)</f>
        <v>4.2</v>
      </c>
      <c r="AB53" s="30" t="n">
        <f aca="false">IF($L53&lt;&gt;"OK",0,(INDEX(PRESIONES!$D$28:$D$31,$U53)*IF(INDEX(PRESIONES!$D$28:$D$31,$U53)&gt;0,PRESIONES!$C$9*IF($T53&lt;=10,1,($T53/10)^(2/DATOS!$C$56)),PRESIONES!$C$15)-ABERTURAS!$L$60*PRESIONES!$C$12)*$R53/$M53)</f>
        <v>75.3792589013325</v>
      </c>
      <c r="AC53" s="30" t="n">
        <f aca="false">IF($L53&lt;&gt;"OK",0,(INDEX(PRESIONES!$G$28:$G$31,$U53)*IF(INDEX(PRESIONES!$G$28:$G$31,$U53)&gt;0,PRESIONES!$C$9*IF($T53&lt;=10,1,($T53/10)^(2/DATOS!$C$56)),PRESIONES!$C$15)-ABERTURAS!$L$61*PRESIONES!$C$12)*$R53/$M53)</f>
        <v>0.499258901332516</v>
      </c>
      <c r="AD53" s="30" t="n">
        <f aca="false">IF($L53&lt;&gt;"OK",0,(INDEX(PRESIONES!$J$28:$J$31,$U53)*IF(INDEX(PRESIONES!$J$28:$J$31,$U53)&gt;0,PRESIONES!$C$9*IF($T53&lt;=10,1,($T53/10)^(2/DATOS!$C$56)),PRESIONES!$C$15)-ABERTURAS!$L$62*PRESIONES!$C$12)*$R53/$M53)</f>
        <v>-5.16088931840098</v>
      </c>
      <c r="AE53" s="30" t="n">
        <f aca="false">IF($L53&lt;&gt;"OK",0,(INDEX(PRESIONES!$M$28:$M$31,$U53)*IF(INDEX(PRESIONES!$M$28:$M$31,$U53)&gt;0,PRESIONES!$C$9*IF($T53&lt;=10,1,($T53/10)^(2/DATOS!$C$56)),PRESIONES!$C$15)-ABERTURAS!$L$63*PRESIONES!$C$12)*$R53/$M53)</f>
        <v>-84.2688883519988</v>
      </c>
      <c r="AF53" s="30" t="n">
        <f aca="false">IF($L53&lt;&gt;"OK",0,(INDEX(PRESIONES!$D$28:$D$31,$U53)*IF(INDEX(PRESIONES!$D$28:$D$31,$U53)&gt;0,PRESIONES!$C$9*IF($T53&lt;=10,1,($T53/10)^(2/DATOS!$C$56)),PRESIONES!$C$15)-ABERTURAS!$L$64*PRESIONES!$C$12)*$S53/$M53)</f>
        <v>75.3792589013325</v>
      </c>
      <c r="AG53" s="30" t="n">
        <f aca="false">IF($L53&lt;&gt;"OK",0,(INDEX(PRESIONES!$G$28:$G$31,$U53)*IF(INDEX(PRESIONES!$G$28:$G$31,$U53)&gt;0,PRESIONES!$C$9*IF($T53&lt;=10,1,($T53/10)^(2/DATOS!$C$56)),PRESIONES!$C$15)-ABERTURAS!$L$65*PRESIONES!$C$12)*$S53/$M53)</f>
        <v>0.499258901332516</v>
      </c>
      <c r="AH53" s="30" t="n">
        <f aca="false">IF($L53&lt;&gt;"OK",0,(INDEX(PRESIONES!$J$28:$J$31,$U53)*IF(INDEX(PRESIONES!$J$28:$J$31,$U53)&gt;0,PRESIONES!$C$9*IF($T53&lt;=10,1,($T53/10)^(2/DATOS!$C$56)),PRESIONES!$C$15)-ABERTURAS!$L$66*PRESIONES!$C$12)*$S53/$M53)</f>
        <v>-5.16088931840098</v>
      </c>
      <c r="AI53" s="30" t="n">
        <f aca="false">IF($L53&lt;&gt;"OK",0,(INDEX(PRESIONES!$M$28:$M$31,$U53)*IF(INDEX(PRESIONES!$M$28:$M$31,$U53)&gt;0,PRESIONES!$C$9*IF($T53&lt;=10,1,($T53/10)^(2/DATOS!$C$56)),PRESIONES!$C$15)-ABERTURAS!$L$67*PRESIONES!$C$12)*$S53/$M53)</f>
        <v>-84.2688883519988</v>
      </c>
    </row>
    <row r="54" customFormat="false" ht="16.5" hidden="false" customHeight="true" outlineLevel="0" collapsed="false">
      <c r="B54" s="27" t="s">
        <v>449</v>
      </c>
      <c r="C54" s="17" t="s">
        <v>430</v>
      </c>
      <c r="D54" s="27" t="s">
        <v>450</v>
      </c>
      <c r="E54" s="17" t="s">
        <v>432</v>
      </c>
      <c r="F54" s="49" t="n">
        <v>0</v>
      </c>
      <c r="G54" s="49" t="n">
        <v>6.75</v>
      </c>
      <c r="H54" s="49" t="n">
        <v>4.2</v>
      </c>
      <c r="I54" s="49" t="n">
        <v>5.4</v>
      </c>
      <c r="J54" s="49"/>
      <c r="K54" s="49"/>
      <c r="L54" s="20" t="str">
        <f aca="false">IF($D54="","",IF(LEFT($C54,4)&lt;&gt;"MURO","PON EL MURO",IF(AND($E54&lt;&gt;"HORIZONTAL",$E54&lt;&gt;"VERTICAL"),"PON EL SENTIDO",IF(OR($F54="",$G54="",$H54="",$I54=""),"FALTAN a o b",IF($M54&lt;=0,"a₂ DEBE SER &gt; a₁",IF($N54&lt;=0,"b₂ DEBE SER &gt; b₁","OK"))))))</f>
        <v>OK</v>
      </c>
      <c r="M54" s="30" t="n">
        <f aca="false">IF($D54="",0,MAX(0,$G54-$F54))</f>
        <v>6.75</v>
      </c>
      <c r="N54" s="30" t="n">
        <f aca="false">MAX(0,$W54-$V54)</f>
        <v>1.2</v>
      </c>
      <c r="O54" s="30" t="n">
        <f aca="false">$M54*$N54</f>
        <v>8.1</v>
      </c>
      <c r="P54" s="30" t="n">
        <f aca="false">IF($U54=0,0,SUMPRODUCT((ABERTURAS!$N$7:$N$26=$U54)*ABERTURAS!$U$7:$U$26*(((($Y54)+(ABERTURAS!$P$7:$P$26)-ABS(($Y54)-(ABERTURAS!$P$7:$P$26)))/2-(($X54)+(ABERTURAS!$O$7:$O$26)+ABS(($X54)-(ABERTURAS!$O$7:$O$26)))/2)+ABS((($Y54)+(ABERTURAS!$P$7:$P$26)-ABS(($Y54)-(ABERTURAS!$P$7:$P$26)))/2-(($X54)+(ABERTURAS!$O$7:$O$26)+ABS(($X54)-(ABERTURAS!$O$7:$O$26)))/2))/2*(((($AA54)+(ABERTURAS!$R$7:$R$26)-ABS(($AA54)-(ABERTURAS!$R$7:$R$26)))/2-(($Z54)+(ABERTURAS!$Q$7:$Q$26)+ABS(($Z54)-(ABERTURAS!$Q$7:$Q$26)))/2)+ABS((($AA54)+(ABERTURAS!$R$7:$R$26)-ABS(($AA54)-(ABERTURAS!$R$7:$R$26)))/2-(($Z54)+(ABERTURAS!$Q$7:$Q$26)+ABS(($Z54)-(ABERTURAS!$Q$7:$Q$26)))/2))/2))</f>
        <v>0</v>
      </c>
      <c r="Q54" s="30" t="n">
        <f aca="false">IF($U54=0,0,SUMPRODUCT((ABERTURAS!$N$7:$N$26=$U54)*ABERTURAS!$V$7:$V$26*(((($Y54)+(ABERTURAS!$P$7:$P$26)-ABS(($Y54)-(ABERTURAS!$P$7:$P$26)))/2-(($X54)+(ABERTURAS!$O$7:$O$26)+ABS(($X54)-(ABERTURAS!$O$7:$O$26)))/2)+ABS((($Y54)+(ABERTURAS!$P$7:$P$26)-ABS(($Y54)-(ABERTURAS!$P$7:$P$26)))/2-(($X54)+(ABERTURAS!$O$7:$O$26)+ABS(($X54)-(ABERTURAS!$O$7:$O$26)))/2))/2*(((($AA54)+(ABERTURAS!$R$7:$R$26)-ABS(($AA54)-(ABERTURAS!$R$7:$R$26)))/2-(($Z54)+(ABERTURAS!$Q$7:$Q$26)+ABS(($Z54)-(ABERTURAS!$Q$7:$Q$26)))/2)+ABS((($AA54)+(ABERTURAS!$R$7:$R$26)-ABS(($AA54)-(ABERTURAS!$R$7:$R$26)))/2-(($Z54)+(ABERTURAS!$Q$7:$Q$26)+ABS(($Z54)-(ABERTURAS!$Q$7:$Q$26)))/2))/2))</f>
        <v>0</v>
      </c>
      <c r="R54" s="30" t="n">
        <f aca="false">MAX(0,$O54-$P54)</f>
        <v>8.1</v>
      </c>
      <c r="S54" s="30" t="n">
        <f aca="false">MAX(0,$O54-$Q54)</f>
        <v>8.1</v>
      </c>
      <c r="T54" s="50" t="n">
        <f aca="false">IF($D54="",0,IF($E54="VERTICAL",N($G54),MAX(N($I54),IF($K54="",N($I54),$K54))))</f>
        <v>5.4</v>
      </c>
      <c r="U54" s="50" t="n">
        <f aca="false">IF($L54&lt;&gt;"OK",0,VALUE(RIGHT($C54,1)))</f>
        <v>3</v>
      </c>
      <c r="V54" s="50" t="n">
        <f aca="false">IF($D54="",0,(N($H54)+IF($J54="",N($H54),$J54))/2)</f>
        <v>4.2</v>
      </c>
      <c r="W54" s="50" t="n">
        <f aca="false">IF($D54="",0,(N($I54)+IF($K54="",N($I54),$K54))/2)</f>
        <v>5.4</v>
      </c>
      <c r="X54" s="50" t="n">
        <f aca="false">IF($E54="VERTICAL",$V54,N($F54))</f>
        <v>0</v>
      </c>
      <c r="Y54" s="50" t="n">
        <f aca="false">IF($E54="VERTICAL",$W54,N($G54))</f>
        <v>6.75</v>
      </c>
      <c r="Z54" s="50" t="n">
        <f aca="false">IF($E54="VERTICAL",N($F54),$V54)</f>
        <v>4.2</v>
      </c>
      <c r="AA54" s="50" t="n">
        <f aca="false">IF($E54="VERTICAL",N($G54),$W54)</f>
        <v>5.4</v>
      </c>
      <c r="AB54" s="30" t="n">
        <f aca="false">IF($L54&lt;&gt;"OK",0,(INDEX(PRESIONES!$D$28:$D$31,$U54)*IF(INDEX(PRESIONES!$D$28:$D$31,$U54)&gt;0,PRESIONES!$C$9*IF($T54&lt;=10,1,($T54/10)^(2/DATOS!$C$56)),PRESIONES!$C$15)-ABERTURAS!$L$60*PRESIONES!$C$12)*$R54/$M54)</f>
        <v>75.3792589013325</v>
      </c>
      <c r="AC54" s="30" t="n">
        <f aca="false">IF($L54&lt;&gt;"OK",0,(INDEX(PRESIONES!$G$28:$G$31,$U54)*IF(INDEX(PRESIONES!$G$28:$G$31,$U54)&gt;0,PRESIONES!$C$9*IF($T54&lt;=10,1,($T54/10)^(2/DATOS!$C$56)),PRESIONES!$C$15)-ABERTURAS!$L$61*PRESIONES!$C$12)*$R54/$M54)</f>
        <v>0.499258901332516</v>
      </c>
      <c r="AD54" s="30" t="n">
        <f aca="false">IF($L54&lt;&gt;"OK",0,(INDEX(PRESIONES!$J$28:$J$31,$U54)*IF(INDEX(PRESIONES!$J$28:$J$31,$U54)&gt;0,PRESIONES!$C$9*IF($T54&lt;=10,1,($T54/10)^(2/DATOS!$C$56)),PRESIONES!$C$15)-ABERTURAS!$L$62*PRESIONES!$C$12)*$R54/$M54)</f>
        <v>-5.16088931840098</v>
      </c>
      <c r="AE54" s="30" t="n">
        <f aca="false">IF($L54&lt;&gt;"OK",0,(INDEX(PRESIONES!$M$28:$M$31,$U54)*IF(INDEX(PRESIONES!$M$28:$M$31,$U54)&gt;0,PRESIONES!$C$9*IF($T54&lt;=10,1,($T54/10)^(2/DATOS!$C$56)),PRESIONES!$C$15)-ABERTURAS!$L$63*PRESIONES!$C$12)*$R54/$M54)</f>
        <v>-84.2688883519988</v>
      </c>
      <c r="AF54" s="30" t="n">
        <f aca="false">IF($L54&lt;&gt;"OK",0,(INDEX(PRESIONES!$D$28:$D$31,$U54)*IF(INDEX(PRESIONES!$D$28:$D$31,$U54)&gt;0,PRESIONES!$C$9*IF($T54&lt;=10,1,($T54/10)^(2/DATOS!$C$56)),PRESIONES!$C$15)-ABERTURAS!$L$64*PRESIONES!$C$12)*$S54/$M54)</f>
        <v>75.3792589013325</v>
      </c>
      <c r="AG54" s="30" t="n">
        <f aca="false">IF($L54&lt;&gt;"OK",0,(INDEX(PRESIONES!$G$28:$G$31,$U54)*IF(INDEX(PRESIONES!$G$28:$G$31,$U54)&gt;0,PRESIONES!$C$9*IF($T54&lt;=10,1,($T54/10)^(2/DATOS!$C$56)),PRESIONES!$C$15)-ABERTURAS!$L$65*PRESIONES!$C$12)*$S54/$M54)</f>
        <v>0.499258901332516</v>
      </c>
      <c r="AH54" s="30" t="n">
        <f aca="false">IF($L54&lt;&gt;"OK",0,(INDEX(PRESIONES!$J$28:$J$31,$U54)*IF(INDEX(PRESIONES!$J$28:$J$31,$U54)&gt;0,PRESIONES!$C$9*IF($T54&lt;=10,1,($T54/10)^(2/DATOS!$C$56)),PRESIONES!$C$15)-ABERTURAS!$L$66*PRESIONES!$C$12)*$S54/$M54)</f>
        <v>-5.16088931840098</v>
      </c>
      <c r="AI54" s="30" t="n">
        <f aca="false">IF($L54&lt;&gt;"OK",0,(INDEX(PRESIONES!$M$28:$M$31,$U54)*IF(INDEX(PRESIONES!$M$28:$M$31,$U54)&gt;0,PRESIONES!$C$9*IF($T54&lt;=10,1,($T54/10)^(2/DATOS!$C$56)),PRESIONES!$C$15)-ABERTURAS!$L$67*PRESIONES!$C$12)*$S54/$M54)</f>
        <v>-84.2688883519988</v>
      </c>
    </row>
    <row r="55" customFormat="false" ht="16.5" hidden="false" customHeight="true" outlineLevel="0" collapsed="false">
      <c r="B55" s="27" t="s">
        <v>451</v>
      </c>
      <c r="C55" s="17" t="s">
        <v>430</v>
      </c>
      <c r="D55" s="27" t="s">
        <v>452</v>
      </c>
      <c r="E55" s="17" t="s">
        <v>432</v>
      </c>
      <c r="F55" s="49" t="n">
        <v>6.75</v>
      </c>
      <c r="G55" s="49" t="n">
        <v>13.5</v>
      </c>
      <c r="H55" s="49" t="n">
        <v>4.2</v>
      </c>
      <c r="I55" s="49" t="n">
        <v>5.4</v>
      </c>
      <c r="J55" s="49"/>
      <c r="K55" s="49"/>
      <c r="L55" s="20" t="str">
        <f aca="false">IF($D55="","",IF(LEFT($C55,4)&lt;&gt;"MURO","PON EL MURO",IF(AND($E55&lt;&gt;"HORIZONTAL",$E55&lt;&gt;"VERTICAL"),"PON EL SENTIDO",IF(OR($F55="",$G55="",$H55="",$I55=""),"FALTAN a o b",IF($M55&lt;=0,"a₂ DEBE SER &gt; a₁",IF($N55&lt;=0,"b₂ DEBE SER &gt; b₁","OK"))))))</f>
        <v>OK</v>
      </c>
      <c r="M55" s="30" t="n">
        <f aca="false">IF($D55="",0,MAX(0,$G55-$F55))</f>
        <v>6.75</v>
      </c>
      <c r="N55" s="30" t="n">
        <f aca="false">MAX(0,$W55-$V55)</f>
        <v>1.2</v>
      </c>
      <c r="O55" s="30" t="n">
        <f aca="false">$M55*$N55</f>
        <v>8.1</v>
      </c>
      <c r="P55" s="30" t="n">
        <f aca="false">IF($U55=0,0,SUMPRODUCT((ABERTURAS!$N$7:$N$26=$U55)*ABERTURAS!$U$7:$U$26*(((($Y55)+(ABERTURAS!$P$7:$P$26)-ABS(($Y55)-(ABERTURAS!$P$7:$P$26)))/2-(($X55)+(ABERTURAS!$O$7:$O$26)+ABS(($X55)-(ABERTURAS!$O$7:$O$26)))/2)+ABS((($Y55)+(ABERTURAS!$P$7:$P$26)-ABS(($Y55)-(ABERTURAS!$P$7:$P$26)))/2-(($X55)+(ABERTURAS!$O$7:$O$26)+ABS(($X55)-(ABERTURAS!$O$7:$O$26)))/2))/2*(((($AA55)+(ABERTURAS!$R$7:$R$26)-ABS(($AA55)-(ABERTURAS!$R$7:$R$26)))/2-(($Z55)+(ABERTURAS!$Q$7:$Q$26)+ABS(($Z55)-(ABERTURAS!$Q$7:$Q$26)))/2)+ABS((($AA55)+(ABERTURAS!$R$7:$R$26)-ABS(($AA55)-(ABERTURAS!$R$7:$R$26)))/2-(($Z55)+(ABERTURAS!$Q$7:$Q$26)+ABS(($Z55)-(ABERTURAS!$Q$7:$Q$26)))/2))/2))</f>
        <v>0</v>
      </c>
      <c r="Q55" s="30" t="n">
        <f aca="false">IF($U55=0,0,SUMPRODUCT((ABERTURAS!$N$7:$N$26=$U55)*ABERTURAS!$V$7:$V$26*(((($Y55)+(ABERTURAS!$P$7:$P$26)-ABS(($Y55)-(ABERTURAS!$P$7:$P$26)))/2-(($X55)+(ABERTURAS!$O$7:$O$26)+ABS(($X55)-(ABERTURAS!$O$7:$O$26)))/2)+ABS((($Y55)+(ABERTURAS!$P$7:$P$26)-ABS(($Y55)-(ABERTURAS!$P$7:$P$26)))/2-(($X55)+(ABERTURAS!$O$7:$O$26)+ABS(($X55)-(ABERTURAS!$O$7:$O$26)))/2))/2*(((($AA55)+(ABERTURAS!$R$7:$R$26)-ABS(($AA55)-(ABERTURAS!$R$7:$R$26)))/2-(($Z55)+(ABERTURAS!$Q$7:$Q$26)+ABS(($Z55)-(ABERTURAS!$Q$7:$Q$26)))/2)+ABS((($AA55)+(ABERTURAS!$R$7:$R$26)-ABS(($AA55)-(ABERTURAS!$R$7:$R$26)))/2-(($Z55)+(ABERTURAS!$Q$7:$Q$26)+ABS(($Z55)-(ABERTURAS!$Q$7:$Q$26)))/2))/2))</f>
        <v>0</v>
      </c>
      <c r="R55" s="30" t="n">
        <f aca="false">MAX(0,$O55-$P55)</f>
        <v>8.1</v>
      </c>
      <c r="S55" s="30" t="n">
        <f aca="false">MAX(0,$O55-$Q55)</f>
        <v>8.1</v>
      </c>
      <c r="T55" s="50" t="n">
        <f aca="false">IF($D55="",0,IF($E55="VERTICAL",N($G55),MAX(N($I55),IF($K55="",N($I55),$K55))))</f>
        <v>5.4</v>
      </c>
      <c r="U55" s="50" t="n">
        <f aca="false">IF($L55&lt;&gt;"OK",0,VALUE(RIGHT($C55,1)))</f>
        <v>3</v>
      </c>
      <c r="V55" s="50" t="n">
        <f aca="false">IF($D55="",0,(N($H55)+IF($J55="",N($H55),$J55))/2)</f>
        <v>4.2</v>
      </c>
      <c r="W55" s="50" t="n">
        <f aca="false">IF($D55="",0,(N($I55)+IF($K55="",N($I55),$K55))/2)</f>
        <v>5.4</v>
      </c>
      <c r="X55" s="50" t="n">
        <f aca="false">IF($E55="VERTICAL",$V55,N($F55))</f>
        <v>6.75</v>
      </c>
      <c r="Y55" s="50" t="n">
        <f aca="false">IF($E55="VERTICAL",$W55,N($G55))</f>
        <v>13.5</v>
      </c>
      <c r="Z55" s="50" t="n">
        <f aca="false">IF($E55="VERTICAL",N($F55),$V55)</f>
        <v>4.2</v>
      </c>
      <c r="AA55" s="50" t="n">
        <f aca="false">IF($E55="VERTICAL",N($G55),$W55)</f>
        <v>5.4</v>
      </c>
      <c r="AB55" s="30" t="n">
        <f aca="false">IF($L55&lt;&gt;"OK",0,(INDEX(PRESIONES!$D$28:$D$31,$U55)*IF(INDEX(PRESIONES!$D$28:$D$31,$U55)&gt;0,PRESIONES!$C$9*IF($T55&lt;=10,1,($T55/10)^(2/DATOS!$C$56)),PRESIONES!$C$15)-ABERTURAS!$L$60*PRESIONES!$C$12)*$R55/$M55)</f>
        <v>75.3792589013325</v>
      </c>
      <c r="AC55" s="30" t="n">
        <f aca="false">IF($L55&lt;&gt;"OK",0,(INDEX(PRESIONES!$G$28:$G$31,$U55)*IF(INDEX(PRESIONES!$G$28:$G$31,$U55)&gt;0,PRESIONES!$C$9*IF($T55&lt;=10,1,($T55/10)^(2/DATOS!$C$56)),PRESIONES!$C$15)-ABERTURAS!$L$61*PRESIONES!$C$12)*$R55/$M55)</f>
        <v>0.499258901332516</v>
      </c>
      <c r="AD55" s="30" t="n">
        <f aca="false">IF($L55&lt;&gt;"OK",0,(INDEX(PRESIONES!$J$28:$J$31,$U55)*IF(INDEX(PRESIONES!$J$28:$J$31,$U55)&gt;0,PRESIONES!$C$9*IF($T55&lt;=10,1,($T55/10)^(2/DATOS!$C$56)),PRESIONES!$C$15)-ABERTURAS!$L$62*PRESIONES!$C$12)*$R55/$M55)</f>
        <v>-5.16088931840098</v>
      </c>
      <c r="AE55" s="30" t="n">
        <f aca="false">IF($L55&lt;&gt;"OK",0,(INDEX(PRESIONES!$M$28:$M$31,$U55)*IF(INDEX(PRESIONES!$M$28:$M$31,$U55)&gt;0,PRESIONES!$C$9*IF($T55&lt;=10,1,($T55/10)^(2/DATOS!$C$56)),PRESIONES!$C$15)-ABERTURAS!$L$63*PRESIONES!$C$12)*$R55/$M55)</f>
        <v>-84.2688883519988</v>
      </c>
      <c r="AF55" s="30" t="n">
        <f aca="false">IF($L55&lt;&gt;"OK",0,(INDEX(PRESIONES!$D$28:$D$31,$U55)*IF(INDEX(PRESIONES!$D$28:$D$31,$U55)&gt;0,PRESIONES!$C$9*IF($T55&lt;=10,1,($T55/10)^(2/DATOS!$C$56)),PRESIONES!$C$15)-ABERTURAS!$L$64*PRESIONES!$C$12)*$S55/$M55)</f>
        <v>75.3792589013325</v>
      </c>
      <c r="AG55" s="30" t="n">
        <f aca="false">IF($L55&lt;&gt;"OK",0,(INDEX(PRESIONES!$G$28:$G$31,$U55)*IF(INDEX(PRESIONES!$G$28:$G$31,$U55)&gt;0,PRESIONES!$C$9*IF($T55&lt;=10,1,($T55/10)^(2/DATOS!$C$56)),PRESIONES!$C$15)-ABERTURAS!$L$65*PRESIONES!$C$12)*$S55/$M55)</f>
        <v>0.499258901332516</v>
      </c>
      <c r="AH55" s="30" t="n">
        <f aca="false">IF($L55&lt;&gt;"OK",0,(INDEX(PRESIONES!$J$28:$J$31,$U55)*IF(INDEX(PRESIONES!$J$28:$J$31,$U55)&gt;0,PRESIONES!$C$9*IF($T55&lt;=10,1,($T55/10)^(2/DATOS!$C$56)),PRESIONES!$C$15)-ABERTURAS!$L$66*PRESIONES!$C$12)*$S55/$M55)</f>
        <v>-5.16088931840098</v>
      </c>
      <c r="AI55" s="30" t="n">
        <f aca="false">IF($L55&lt;&gt;"OK",0,(INDEX(PRESIONES!$M$28:$M$31,$U55)*IF(INDEX(PRESIONES!$M$28:$M$31,$U55)&gt;0,PRESIONES!$C$9*IF($T55&lt;=10,1,($T55/10)^(2/DATOS!$C$56)),PRESIONES!$C$15)-ABERTURAS!$L$67*PRESIONES!$C$12)*$S55/$M55)</f>
        <v>-84.2688883519988</v>
      </c>
    </row>
    <row r="56" customFormat="false" ht="16.5" hidden="false" customHeight="true" outlineLevel="0" collapsed="false">
      <c r="B56" s="27" t="s">
        <v>453</v>
      </c>
      <c r="C56" s="17" t="s">
        <v>430</v>
      </c>
      <c r="D56" s="27" t="s">
        <v>454</v>
      </c>
      <c r="E56" s="17" t="s">
        <v>432</v>
      </c>
      <c r="F56" s="49" t="n">
        <v>13.5</v>
      </c>
      <c r="G56" s="49" t="n">
        <v>16</v>
      </c>
      <c r="H56" s="49" t="n">
        <v>4.2</v>
      </c>
      <c r="I56" s="49" t="n">
        <v>5.4</v>
      </c>
      <c r="J56" s="49"/>
      <c r="K56" s="49"/>
      <c r="L56" s="20" t="str">
        <f aca="false">IF($D56="","",IF(LEFT($C56,4)&lt;&gt;"MURO","PON EL MURO",IF(AND($E56&lt;&gt;"HORIZONTAL",$E56&lt;&gt;"VERTICAL"),"PON EL SENTIDO",IF(OR($F56="",$G56="",$H56="",$I56=""),"FALTAN a o b",IF($M56&lt;=0,"a₂ DEBE SER &gt; a₁",IF($N56&lt;=0,"b₂ DEBE SER &gt; b₁","OK"))))))</f>
        <v>OK</v>
      </c>
      <c r="M56" s="30" t="n">
        <f aca="false">IF($D56="",0,MAX(0,$G56-$F56))</f>
        <v>2.5</v>
      </c>
      <c r="N56" s="30" t="n">
        <f aca="false">MAX(0,$W56-$V56)</f>
        <v>1.2</v>
      </c>
      <c r="O56" s="30" t="n">
        <f aca="false">$M56*$N56</f>
        <v>3</v>
      </c>
      <c r="P56" s="30" t="n">
        <f aca="false">IF($U56=0,0,SUMPRODUCT((ABERTURAS!$N$7:$N$26=$U56)*ABERTURAS!$U$7:$U$26*(((($Y56)+(ABERTURAS!$P$7:$P$26)-ABS(($Y56)-(ABERTURAS!$P$7:$P$26)))/2-(($X56)+(ABERTURAS!$O$7:$O$26)+ABS(($X56)-(ABERTURAS!$O$7:$O$26)))/2)+ABS((($Y56)+(ABERTURAS!$P$7:$P$26)-ABS(($Y56)-(ABERTURAS!$P$7:$P$26)))/2-(($X56)+(ABERTURAS!$O$7:$O$26)+ABS(($X56)-(ABERTURAS!$O$7:$O$26)))/2))/2*(((($AA56)+(ABERTURAS!$R$7:$R$26)-ABS(($AA56)-(ABERTURAS!$R$7:$R$26)))/2-(($Z56)+(ABERTURAS!$Q$7:$Q$26)+ABS(($Z56)-(ABERTURAS!$Q$7:$Q$26)))/2)+ABS((($AA56)+(ABERTURAS!$R$7:$R$26)-ABS(($AA56)-(ABERTURAS!$R$7:$R$26)))/2-(($Z56)+(ABERTURAS!$Q$7:$Q$26)+ABS(($Z56)-(ABERTURAS!$Q$7:$Q$26)))/2))/2))</f>
        <v>0</v>
      </c>
      <c r="Q56" s="30" t="n">
        <f aca="false">IF($U56=0,0,SUMPRODUCT((ABERTURAS!$N$7:$N$26=$U56)*ABERTURAS!$V$7:$V$26*(((($Y56)+(ABERTURAS!$P$7:$P$26)-ABS(($Y56)-(ABERTURAS!$P$7:$P$26)))/2-(($X56)+(ABERTURAS!$O$7:$O$26)+ABS(($X56)-(ABERTURAS!$O$7:$O$26)))/2)+ABS((($Y56)+(ABERTURAS!$P$7:$P$26)-ABS(($Y56)-(ABERTURAS!$P$7:$P$26)))/2-(($X56)+(ABERTURAS!$O$7:$O$26)+ABS(($X56)-(ABERTURAS!$O$7:$O$26)))/2))/2*(((($AA56)+(ABERTURAS!$R$7:$R$26)-ABS(($AA56)-(ABERTURAS!$R$7:$R$26)))/2-(($Z56)+(ABERTURAS!$Q$7:$Q$26)+ABS(($Z56)-(ABERTURAS!$Q$7:$Q$26)))/2)+ABS((($AA56)+(ABERTURAS!$R$7:$R$26)-ABS(($AA56)-(ABERTURAS!$R$7:$R$26)))/2-(($Z56)+(ABERTURAS!$Q$7:$Q$26)+ABS(($Z56)-(ABERTURAS!$Q$7:$Q$26)))/2))/2))</f>
        <v>0</v>
      </c>
      <c r="R56" s="30" t="n">
        <f aca="false">MAX(0,$O56-$P56)</f>
        <v>3</v>
      </c>
      <c r="S56" s="30" t="n">
        <f aca="false">MAX(0,$O56-$Q56)</f>
        <v>3</v>
      </c>
      <c r="T56" s="50" t="n">
        <f aca="false">IF($D56="",0,IF($E56="VERTICAL",N($G56),MAX(N($I56),IF($K56="",N($I56),$K56))))</f>
        <v>5.4</v>
      </c>
      <c r="U56" s="50" t="n">
        <f aca="false">IF($L56&lt;&gt;"OK",0,VALUE(RIGHT($C56,1)))</f>
        <v>3</v>
      </c>
      <c r="V56" s="50" t="n">
        <f aca="false">IF($D56="",0,(N($H56)+IF($J56="",N($H56),$J56))/2)</f>
        <v>4.2</v>
      </c>
      <c r="W56" s="50" t="n">
        <f aca="false">IF($D56="",0,(N($I56)+IF($K56="",N($I56),$K56))/2)</f>
        <v>5.4</v>
      </c>
      <c r="X56" s="50" t="n">
        <f aca="false">IF($E56="VERTICAL",$V56,N($F56))</f>
        <v>13.5</v>
      </c>
      <c r="Y56" s="50" t="n">
        <f aca="false">IF($E56="VERTICAL",$W56,N($G56))</f>
        <v>16</v>
      </c>
      <c r="Z56" s="50" t="n">
        <f aca="false">IF($E56="VERTICAL",N($F56),$V56)</f>
        <v>4.2</v>
      </c>
      <c r="AA56" s="50" t="n">
        <f aca="false">IF($E56="VERTICAL",N($G56),$W56)</f>
        <v>5.4</v>
      </c>
      <c r="AB56" s="30" t="n">
        <f aca="false">IF($L56&lt;&gt;"OK",0,(INDEX(PRESIONES!$D$28:$D$31,$U56)*IF(INDEX(PRESIONES!$D$28:$D$31,$U56)&gt;0,PRESIONES!$C$9*IF($T56&lt;=10,1,($T56/10)^(2/DATOS!$C$56)),PRESIONES!$C$15)-ABERTURAS!$L$60*PRESIONES!$C$12)*$R56/$M56)</f>
        <v>75.3792589013325</v>
      </c>
      <c r="AC56" s="30" t="n">
        <f aca="false">IF($L56&lt;&gt;"OK",0,(INDEX(PRESIONES!$G$28:$G$31,$U56)*IF(INDEX(PRESIONES!$G$28:$G$31,$U56)&gt;0,PRESIONES!$C$9*IF($T56&lt;=10,1,($T56/10)^(2/DATOS!$C$56)),PRESIONES!$C$15)-ABERTURAS!$L$61*PRESIONES!$C$12)*$R56/$M56)</f>
        <v>0.499258901332516</v>
      </c>
      <c r="AD56" s="30" t="n">
        <f aca="false">IF($L56&lt;&gt;"OK",0,(INDEX(PRESIONES!$J$28:$J$31,$U56)*IF(INDEX(PRESIONES!$J$28:$J$31,$U56)&gt;0,PRESIONES!$C$9*IF($T56&lt;=10,1,($T56/10)^(2/DATOS!$C$56)),PRESIONES!$C$15)-ABERTURAS!$L$62*PRESIONES!$C$12)*$R56/$M56)</f>
        <v>-5.16088931840098</v>
      </c>
      <c r="AE56" s="30" t="n">
        <f aca="false">IF($L56&lt;&gt;"OK",0,(INDEX(PRESIONES!$M$28:$M$31,$U56)*IF(INDEX(PRESIONES!$M$28:$M$31,$U56)&gt;0,PRESIONES!$C$9*IF($T56&lt;=10,1,($T56/10)^(2/DATOS!$C$56)),PRESIONES!$C$15)-ABERTURAS!$L$63*PRESIONES!$C$12)*$R56/$M56)</f>
        <v>-84.2688883519988</v>
      </c>
      <c r="AF56" s="30" t="n">
        <f aca="false">IF($L56&lt;&gt;"OK",0,(INDEX(PRESIONES!$D$28:$D$31,$U56)*IF(INDEX(PRESIONES!$D$28:$D$31,$U56)&gt;0,PRESIONES!$C$9*IF($T56&lt;=10,1,($T56/10)^(2/DATOS!$C$56)),PRESIONES!$C$15)-ABERTURAS!$L$64*PRESIONES!$C$12)*$S56/$M56)</f>
        <v>75.3792589013325</v>
      </c>
      <c r="AG56" s="30" t="n">
        <f aca="false">IF($L56&lt;&gt;"OK",0,(INDEX(PRESIONES!$G$28:$G$31,$U56)*IF(INDEX(PRESIONES!$G$28:$G$31,$U56)&gt;0,PRESIONES!$C$9*IF($T56&lt;=10,1,($T56/10)^(2/DATOS!$C$56)),PRESIONES!$C$15)-ABERTURAS!$L$65*PRESIONES!$C$12)*$S56/$M56)</f>
        <v>0.499258901332516</v>
      </c>
      <c r="AH56" s="30" t="n">
        <f aca="false">IF($L56&lt;&gt;"OK",0,(INDEX(PRESIONES!$J$28:$J$31,$U56)*IF(INDEX(PRESIONES!$J$28:$J$31,$U56)&gt;0,PRESIONES!$C$9*IF($T56&lt;=10,1,($T56/10)^(2/DATOS!$C$56)),PRESIONES!$C$15)-ABERTURAS!$L$66*PRESIONES!$C$12)*$S56/$M56)</f>
        <v>-5.16088931840098</v>
      </c>
      <c r="AI56" s="30" t="n">
        <f aca="false">IF($L56&lt;&gt;"OK",0,(INDEX(PRESIONES!$M$28:$M$31,$U56)*IF(INDEX(PRESIONES!$M$28:$M$31,$U56)&gt;0,PRESIONES!$C$9*IF($T56&lt;=10,1,($T56/10)^(2/DATOS!$C$56)),PRESIONES!$C$15)-ABERTURAS!$L$67*PRESIONES!$C$12)*$S56/$M56)</f>
        <v>-84.2688883519988</v>
      </c>
    </row>
    <row r="57" customFormat="false" ht="16.5" hidden="false" customHeight="true" outlineLevel="0" collapsed="false">
      <c r="B57" s="27" t="s">
        <v>455</v>
      </c>
      <c r="C57" s="17" t="s">
        <v>430</v>
      </c>
      <c r="D57" s="27" t="s">
        <v>456</v>
      </c>
      <c r="E57" s="17" t="s">
        <v>432</v>
      </c>
      <c r="F57" s="49" t="n">
        <v>0</v>
      </c>
      <c r="G57" s="49" t="n">
        <v>6.75</v>
      </c>
      <c r="H57" s="49" t="n">
        <v>5.4</v>
      </c>
      <c r="I57" s="49" t="n">
        <v>6.6</v>
      </c>
      <c r="J57" s="49"/>
      <c r="K57" s="49"/>
      <c r="L57" s="20" t="str">
        <f aca="false">IF($D57="","",IF(LEFT($C57,4)&lt;&gt;"MURO","PON EL MURO",IF(AND($E57&lt;&gt;"HORIZONTAL",$E57&lt;&gt;"VERTICAL"),"PON EL SENTIDO",IF(OR($F57="",$G57="",$H57="",$I57=""),"FALTAN a o b",IF($M57&lt;=0,"a₂ DEBE SER &gt; a₁",IF($N57&lt;=0,"b₂ DEBE SER &gt; b₁","OK"))))))</f>
        <v>OK</v>
      </c>
      <c r="M57" s="30" t="n">
        <f aca="false">IF($D57="",0,MAX(0,$G57-$F57))</f>
        <v>6.75</v>
      </c>
      <c r="N57" s="30" t="n">
        <f aca="false">MAX(0,$W57-$V57)</f>
        <v>1.2</v>
      </c>
      <c r="O57" s="30" t="n">
        <f aca="false">$M57*$N57</f>
        <v>8.09999999999999</v>
      </c>
      <c r="P57" s="30" t="n">
        <f aca="false">IF($U57=0,0,SUMPRODUCT((ABERTURAS!$N$7:$N$26=$U57)*ABERTURAS!$U$7:$U$26*(((($Y57)+(ABERTURAS!$P$7:$P$26)-ABS(($Y57)-(ABERTURAS!$P$7:$P$26)))/2-(($X57)+(ABERTURAS!$O$7:$O$26)+ABS(($X57)-(ABERTURAS!$O$7:$O$26)))/2)+ABS((($Y57)+(ABERTURAS!$P$7:$P$26)-ABS(($Y57)-(ABERTURAS!$P$7:$P$26)))/2-(($X57)+(ABERTURAS!$O$7:$O$26)+ABS(($X57)-(ABERTURAS!$O$7:$O$26)))/2))/2*(((($AA57)+(ABERTURAS!$R$7:$R$26)-ABS(($AA57)-(ABERTURAS!$R$7:$R$26)))/2-(($Z57)+(ABERTURAS!$Q$7:$Q$26)+ABS(($Z57)-(ABERTURAS!$Q$7:$Q$26)))/2)+ABS((($AA57)+(ABERTURAS!$R$7:$R$26)-ABS(($AA57)-(ABERTURAS!$R$7:$R$26)))/2-(($Z57)+(ABERTURAS!$Q$7:$Q$26)+ABS(($Z57)-(ABERTURAS!$Q$7:$Q$26)))/2))/2))</f>
        <v>0</v>
      </c>
      <c r="Q57" s="30" t="n">
        <f aca="false">IF($U57=0,0,SUMPRODUCT((ABERTURAS!$N$7:$N$26=$U57)*ABERTURAS!$V$7:$V$26*(((($Y57)+(ABERTURAS!$P$7:$P$26)-ABS(($Y57)-(ABERTURAS!$P$7:$P$26)))/2-(($X57)+(ABERTURAS!$O$7:$O$26)+ABS(($X57)-(ABERTURAS!$O$7:$O$26)))/2)+ABS((($Y57)+(ABERTURAS!$P$7:$P$26)-ABS(($Y57)-(ABERTURAS!$P$7:$P$26)))/2-(($X57)+(ABERTURAS!$O$7:$O$26)+ABS(($X57)-(ABERTURAS!$O$7:$O$26)))/2))/2*(((($AA57)+(ABERTURAS!$R$7:$R$26)-ABS(($AA57)-(ABERTURAS!$R$7:$R$26)))/2-(($Z57)+(ABERTURAS!$Q$7:$Q$26)+ABS(($Z57)-(ABERTURAS!$Q$7:$Q$26)))/2)+ABS((($AA57)+(ABERTURAS!$R$7:$R$26)-ABS(($AA57)-(ABERTURAS!$R$7:$R$26)))/2-(($Z57)+(ABERTURAS!$Q$7:$Q$26)+ABS(($Z57)-(ABERTURAS!$Q$7:$Q$26)))/2))/2))</f>
        <v>0</v>
      </c>
      <c r="R57" s="30" t="n">
        <f aca="false">MAX(0,$O57-$P57)</f>
        <v>8.09999999999999</v>
      </c>
      <c r="S57" s="30" t="n">
        <f aca="false">MAX(0,$O57-$Q57)</f>
        <v>8.09999999999999</v>
      </c>
      <c r="T57" s="50" t="n">
        <f aca="false">IF($D57="",0,IF($E57="VERTICAL",N($G57),MAX(N($I57),IF($K57="",N($I57),$K57))))</f>
        <v>6.6</v>
      </c>
      <c r="U57" s="50" t="n">
        <f aca="false">IF($L57&lt;&gt;"OK",0,VALUE(RIGHT($C57,1)))</f>
        <v>3</v>
      </c>
      <c r="V57" s="50" t="n">
        <f aca="false">IF($D57="",0,(N($H57)+IF($J57="",N($H57),$J57))/2)</f>
        <v>5.4</v>
      </c>
      <c r="W57" s="50" t="n">
        <f aca="false">IF($D57="",0,(N($I57)+IF($K57="",N($I57),$K57))/2)</f>
        <v>6.6</v>
      </c>
      <c r="X57" s="50" t="n">
        <f aca="false">IF($E57="VERTICAL",$V57,N($F57))</f>
        <v>0</v>
      </c>
      <c r="Y57" s="50" t="n">
        <f aca="false">IF($E57="VERTICAL",$W57,N($G57))</f>
        <v>6.75</v>
      </c>
      <c r="Z57" s="50" t="n">
        <f aca="false">IF($E57="VERTICAL",N($F57),$V57)</f>
        <v>5.4</v>
      </c>
      <c r="AA57" s="50" t="n">
        <f aca="false">IF($E57="VERTICAL",N($G57),$W57)</f>
        <v>6.6</v>
      </c>
      <c r="AB57" s="30" t="n">
        <f aca="false">IF($L57&lt;&gt;"OK",0,(INDEX(PRESIONES!$D$28:$D$31,$U57)*IF(INDEX(PRESIONES!$D$28:$D$31,$U57)&gt;0,PRESIONES!$C$9*IF($T57&lt;=10,1,($T57/10)^(2/DATOS!$C$56)),PRESIONES!$C$15)-ABERTURAS!$L$60*PRESIONES!$C$12)*$R57/$M57)</f>
        <v>75.3792589013325</v>
      </c>
      <c r="AC57" s="30" t="n">
        <f aca="false">IF($L57&lt;&gt;"OK",0,(INDEX(PRESIONES!$G$28:$G$31,$U57)*IF(INDEX(PRESIONES!$G$28:$G$31,$U57)&gt;0,PRESIONES!$C$9*IF($T57&lt;=10,1,($T57/10)^(2/DATOS!$C$56)),PRESIONES!$C$15)-ABERTURAS!$L$61*PRESIONES!$C$12)*$R57/$M57)</f>
        <v>0.499258901332516</v>
      </c>
      <c r="AD57" s="30" t="n">
        <f aca="false">IF($L57&lt;&gt;"OK",0,(INDEX(PRESIONES!$J$28:$J$31,$U57)*IF(INDEX(PRESIONES!$J$28:$J$31,$U57)&gt;0,PRESIONES!$C$9*IF($T57&lt;=10,1,($T57/10)^(2/DATOS!$C$56)),PRESIONES!$C$15)-ABERTURAS!$L$62*PRESIONES!$C$12)*$R57/$M57)</f>
        <v>-5.16088931840097</v>
      </c>
      <c r="AE57" s="30" t="n">
        <f aca="false">IF($L57&lt;&gt;"OK",0,(INDEX(PRESIONES!$M$28:$M$31,$U57)*IF(INDEX(PRESIONES!$M$28:$M$31,$U57)&gt;0,PRESIONES!$C$9*IF($T57&lt;=10,1,($T57/10)^(2/DATOS!$C$56)),PRESIONES!$C$15)-ABERTURAS!$L$63*PRESIONES!$C$12)*$R57/$M57)</f>
        <v>-84.2688883519987</v>
      </c>
      <c r="AF57" s="30" t="n">
        <f aca="false">IF($L57&lt;&gt;"OK",0,(INDEX(PRESIONES!$D$28:$D$31,$U57)*IF(INDEX(PRESIONES!$D$28:$D$31,$U57)&gt;0,PRESIONES!$C$9*IF($T57&lt;=10,1,($T57/10)^(2/DATOS!$C$56)),PRESIONES!$C$15)-ABERTURAS!$L$64*PRESIONES!$C$12)*$S57/$M57)</f>
        <v>75.3792589013325</v>
      </c>
      <c r="AG57" s="30" t="n">
        <f aca="false">IF($L57&lt;&gt;"OK",0,(INDEX(PRESIONES!$G$28:$G$31,$U57)*IF(INDEX(PRESIONES!$G$28:$G$31,$U57)&gt;0,PRESIONES!$C$9*IF($T57&lt;=10,1,($T57/10)^(2/DATOS!$C$56)),PRESIONES!$C$15)-ABERTURAS!$L$65*PRESIONES!$C$12)*$S57/$M57)</f>
        <v>0.499258901332516</v>
      </c>
      <c r="AH57" s="30" t="n">
        <f aca="false">IF($L57&lt;&gt;"OK",0,(INDEX(PRESIONES!$J$28:$J$31,$U57)*IF(INDEX(PRESIONES!$J$28:$J$31,$U57)&gt;0,PRESIONES!$C$9*IF($T57&lt;=10,1,($T57/10)^(2/DATOS!$C$56)),PRESIONES!$C$15)-ABERTURAS!$L$66*PRESIONES!$C$12)*$S57/$M57)</f>
        <v>-5.16088931840097</v>
      </c>
      <c r="AI57" s="30" t="n">
        <f aca="false">IF($L57&lt;&gt;"OK",0,(INDEX(PRESIONES!$M$28:$M$31,$U57)*IF(INDEX(PRESIONES!$M$28:$M$31,$U57)&gt;0,PRESIONES!$C$9*IF($T57&lt;=10,1,($T57/10)^(2/DATOS!$C$56)),PRESIONES!$C$15)-ABERTURAS!$L$67*PRESIONES!$C$12)*$S57/$M57)</f>
        <v>-84.2688883519987</v>
      </c>
    </row>
    <row r="58" customFormat="false" ht="16.5" hidden="false" customHeight="true" outlineLevel="0" collapsed="false">
      <c r="B58" s="27" t="s">
        <v>457</v>
      </c>
      <c r="C58" s="17" t="s">
        <v>430</v>
      </c>
      <c r="D58" s="27" t="s">
        <v>458</v>
      </c>
      <c r="E58" s="17" t="s">
        <v>432</v>
      </c>
      <c r="F58" s="49" t="n">
        <v>6.75</v>
      </c>
      <c r="G58" s="49" t="n">
        <v>13.5</v>
      </c>
      <c r="H58" s="49" t="n">
        <v>5.4</v>
      </c>
      <c r="I58" s="49" t="n">
        <v>6.6</v>
      </c>
      <c r="J58" s="49"/>
      <c r="K58" s="49"/>
      <c r="L58" s="20" t="str">
        <f aca="false">IF($D58="","",IF(LEFT($C58,4)&lt;&gt;"MURO","PON EL MURO",IF(AND($E58&lt;&gt;"HORIZONTAL",$E58&lt;&gt;"VERTICAL"),"PON EL SENTIDO",IF(OR($F58="",$G58="",$H58="",$I58=""),"FALTAN a o b",IF($M58&lt;=0,"a₂ DEBE SER &gt; a₁",IF($N58&lt;=0,"b₂ DEBE SER &gt; b₁","OK"))))))</f>
        <v>OK</v>
      </c>
      <c r="M58" s="30" t="n">
        <f aca="false">IF($D58="",0,MAX(0,$G58-$F58))</f>
        <v>6.75</v>
      </c>
      <c r="N58" s="30" t="n">
        <f aca="false">MAX(0,$W58-$V58)</f>
        <v>1.2</v>
      </c>
      <c r="O58" s="30" t="n">
        <f aca="false">$M58*$N58</f>
        <v>8.09999999999999</v>
      </c>
      <c r="P58" s="30" t="n">
        <f aca="false">IF($U58=0,0,SUMPRODUCT((ABERTURAS!$N$7:$N$26=$U58)*ABERTURAS!$U$7:$U$26*(((($Y58)+(ABERTURAS!$P$7:$P$26)-ABS(($Y58)-(ABERTURAS!$P$7:$P$26)))/2-(($X58)+(ABERTURAS!$O$7:$O$26)+ABS(($X58)-(ABERTURAS!$O$7:$O$26)))/2)+ABS((($Y58)+(ABERTURAS!$P$7:$P$26)-ABS(($Y58)-(ABERTURAS!$P$7:$P$26)))/2-(($X58)+(ABERTURAS!$O$7:$O$26)+ABS(($X58)-(ABERTURAS!$O$7:$O$26)))/2))/2*(((($AA58)+(ABERTURAS!$R$7:$R$26)-ABS(($AA58)-(ABERTURAS!$R$7:$R$26)))/2-(($Z58)+(ABERTURAS!$Q$7:$Q$26)+ABS(($Z58)-(ABERTURAS!$Q$7:$Q$26)))/2)+ABS((($AA58)+(ABERTURAS!$R$7:$R$26)-ABS(($AA58)-(ABERTURAS!$R$7:$R$26)))/2-(($Z58)+(ABERTURAS!$Q$7:$Q$26)+ABS(($Z58)-(ABERTURAS!$Q$7:$Q$26)))/2))/2))</f>
        <v>0</v>
      </c>
      <c r="Q58" s="30" t="n">
        <f aca="false">IF($U58=0,0,SUMPRODUCT((ABERTURAS!$N$7:$N$26=$U58)*ABERTURAS!$V$7:$V$26*(((($Y58)+(ABERTURAS!$P$7:$P$26)-ABS(($Y58)-(ABERTURAS!$P$7:$P$26)))/2-(($X58)+(ABERTURAS!$O$7:$O$26)+ABS(($X58)-(ABERTURAS!$O$7:$O$26)))/2)+ABS((($Y58)+(ABERTURAS!$P$7:$P$26)-ABS(($Y58)-(ABERTURAS!$P$7:$P$26)))/2-(($X58)+(ABERTURAS!$O$7:$O$26)+ABS(($X58)-(ABERTURAS!$O$7:$O$26)))/2))/2*(((($AA58)+(ABERTURAS!$R$7:$R$26)-ABS(($AA58)-(ABERTURAS!$R$7:$R$26)))/2-(($Z58)+(ABERTURAS!$Q$7:$Q$26)+ABS(($Z58)-(ABERTURAS!$Q$7:$Q$26)))/2)+ABS((($AA58)+(ABERTURAS!$R$7:$R$26)-ABS(($AA58)-(ABERTURAS!$R$7:$R$26)))/2-(($Z58)+(ABERTURAS!$Q$7:$Q$26)+ABS(($Z58)-(ABERTURAS!$Q$7:$Q$26)))/2))/2))</f>
        <v>0</v>
      </c>
      <c r="R58" s="30" t="n">
        <f aca="false">MAX(0,$O58-$P58)</f>
        <v>8.09999999999999</v>
      </c>
      <c r="S58" s="30" t="n">
        <f aca="false">MAX(0,$O58-$Q58)</f>
        <v>8.09999999999999</v>
      </c>
      <c r="T58" s="50" t="n">
        <f aca="false">IF($D58="",0,IF($E58="VERTICAL",N($G58),MAX(N($I58),IF($K58="",N($I58),$K58))))</f>
        <v>6.6</v>
      </c>
      <c r="U58" s="50" t="n">
        <f aca="false">IF($L58&lt;&gt;"OK",0,VALUE(RIGHT($C58,1)))</f>
        <v>3</v>
      </c>
      <c r="V58" s="50" t="n">
        <f aca="false">IF($D58="",0,(N($H58)+IF($J58="",N($H58),$J58))/2)</f>
        <v>5.4</v>
      </c>
      <c r="W58" s="50" t="n">
        <f aca="false">IF($D58="",0,(N($I58)+IF($K58="",N($I58),$K58))/2)</f>
        <v>6.6</v>
      </c>
      <c r="X58" s="50" t="n">
        <f aca="false">IF($E58="VERTICAL",$V58,N($F58))</f>
        <v>6.75</v>
      </c>
      <c r="Y58" s="50" t="n">
        <f aca="false">IF($E58="VERTICAL",$W58,N($G58))</f>
        <v>13.5</v>
      </c>
      <c r="Z58" s="50" t="n">
        <f aca="false">IF($E58="VERTICAL",N($F58),$V58)</f>
        <v>5.4</v>
      </c>
      <c r="AA58" s="50" t="n">
        <f aca="false">IF($E58="VERTICAL",N($G58),$W58)</f>
        <v>6.6</v>
      </c>
      <c r="AB58" s="30" t="n">
        <f aca="false">IF($L58&lt;&gt;"OK",0,(INDEX(PRESIONES!$D$28:$D$31,$U58)*IF(INDEX(PRESIONES!$D$28:$D$31,$U58)&gt;0,PRESIONES!$C$9*IF($T58&lt;=10,1,($T58/10)^(2/DATOS!$C$56)),PRESIONES!$C$15)-ABERTURAS!$L$60*PRESIONES!$C$12)*$R58/$M58)</f>
        <v>75.3792589013325</v>
      </c>
      <c r="AC58" s="30" t="n">
        <f aca="false">IF($L58&lt;&gt;"OK",0,(INDEX(PRESIONES!$G$28:$G$31,$U58)*IF(INDEX(PRESIONES!$G$28:$G$31,$U58)&gt;0,PRESIONES!$C$9*IF($T58&lt;=10,1,($T58/10)^(2/DATOS!$C$56)),PRESIONES!$C$15)-ABERTURAS!$L$61*PRESIONES!$C$12)*$R58/$M58)</f>
        <v>0.499258901332516</v>
      </c>
      <c r="AD58" s="30" t="n">
        <f aca="false">IF($L58&lt;&gt;"OK",0,(INDEX(PRESIONES!$J$28:$J$31,$U58)*IF(INDEX(PRESIONES!$J$28:$J$31,$U58)&gt;0,PRESIONES!$C$9*IF($T58&lt;=10,1,($T58/10)^(2/DATOS!$C$56)),PRESIONES!$C$15)-ABERTURAS!$L$62*PRESIONES!$C$12)*$R58/$M58)</f>
        <v>-5.16088931840097</v>
      </c>
      <c r="AE58" s="30" t="n">
        <f aca="false">IF($L58&lt;&gt;"OK",0,(INDEX(PRESIONES!$M$28:$M$31,$U58)*IF(INDEX(PRESIONES!$M$28:$M$31,$U58)&gt;0,PRESIONES!$C$9*IF($T58&lt;=10,1,($T58/10)^(2/DATOS!$C$56)),PRESIONES!$C$15)-ABERTURAS!$L$63*PRESIONES!$C$12)*$R58/$M58)</f>
        <v>-84.2688883519987</v>
      </c>
      <c r="AF58" s="30" t="n">
        <f aca="false">IF($L58&lt;&gt;"OK",0,(INDEX(PRESIONES!$D$28:$D$31,$U58)*IF(INDEX(PRESIONES!$D$28:$D$31,$U58)&gt;0,PRESIONES!$C$9*IF($T58&lt;=10,1,($T58/10)^(2/DATOS!$C$56)),PRESIONES!$C$15)-ABERTURAS!$L$64*PRESIONES!$C$12)*$S58/$M58)</f>
        <v>75.3792589013325</v>
      </c>
      <c r="AG58" s="30" t="n">
        <f aca="false">IF($L58&lt;&gt;"OK",0,(INDEX(PRESIONES!$G$28:$G$31,$U58)*IF(INDEX(PRESIONES!$G$28:$G$31,$U58)&gt;0,PRESIONES!$C$9*IF($T58&lt;=10,1,($T58/10)^(2/DATOS!$C$56)),PRESIONES!$C$15)-ABERTURAS!$L$65*PRESIONES!$C$12)*$S58/$M58)</f>
        <v>0.499258901332516</v>
      </c>
      <c r="AH58" s="30" t="n">
        <f aca="false">IF($L58&lt;&gt;"OK",0,(INDEX(PRESIONES!$J$28:$J$31,$U58)*IF(INDEX(PRESIONES!$J$28:$J$31,$U58)&gt;0,PRESIONES!$C$9*IF($T58&lt;=10,1,($T58/10)^(2/DATOS!$C$56)),PRESIONES!$C$15)-ABERTURAS!$L$66*PRESIONES!$C$12)*$S58/$M58)</f>
        <v>-5.16088931840097</v>
      </c>
      <c r="AI58" s="30" t="n">
        <f aca="false">IF($L58&lt;&gt;"OK",0,(INDEX(PRESIONES!$M$28:$M$31,$U58)*IF(INDEX(PRESIONES!$M$28:$M$31,$U58)&gt;0,PRESIONES!$C$9*IF($T58&lt;=10,1,($T58/10)^(2/DATOS!$C$56)),PRESIONES!$C$15)-ABERTURAS!$L$67*PRESIONES!$C$12)*$S58/$M58)</f>
        <v>-84.2688883519987</v>
      </c>
    </row>
    <row r="59" customFormat="false" ht="16.5" hidden="false" customHeight="true" outlineLevel="0" collapsed="false">
      <c r="B59" s="27" t="s">
        <v>459</v>
      </c>
      <c r="C59" s="17" t="s">
        <v>430</v>
      </c>
      <c r="D59" s="27" t="s">
        <v>460</v>
      </c>
      <c r="E59" s="17" t="s">
        <v>432</v>
      </c>
      <c r="F59" s="49" t="n">
        <v>13.5</v>
      </c>
      <c r="G59" s="49" t="n">
        <v>16</v>
      </c>
      <c r="H59" s="49" t="n">
        <v>5.4</v>
      </c>
      <c r="I59" s="49" t="n">
        <v>6.6</v>
      </c>
      <c r="J59" s="49"/>
      <c r="K59" s="49"/>
      <c r="L59" s="20" t="str">
        <f aca="false">IF($D59="","",IF(LEFT($C59,4)&lt;&gt;"MURO","PON EL MURO",IF(AND($E59&lt;&gt;"HORIZONTAL",$E59&lt;&gt;"VERTICAL"),"PON EL SENTIDO",IF(OR($F59="",$G59="",$H59="",$I59=""),"FALTAN a o b",IF($M59&lt;=0,"a₂ DEBE SER &gt; a₁",IF($N59&lt;=0,"b₂ DEBE SER &gt; b₁","OK"))))))</f>
        <v>OK</v>
      </c>
      <c r="M59" s="30" t="n">
        <f aca="false">IF($D59="",0,MAX(0,$G59-$F59))</f>
        <v>2.5</v>
      </c>
      <c r="N59" s="30" t="n">
        <f aca="false">MAX(0,$W59-$V59)</f>
        <v>1.2</v>
      </c>
      <c r="O59" s="30" t="n">
        <f aca="false">$M59*$N59</f>
        <v>3</v>
      </c>
      <c r="P59" s="30" t="n">
        <f aca="false">IF($U59=0,0,SUMPRODUCT((ABERTURAS!$N$7:$N$26=$U59)*ABERTURAS!$U$7:$U$26*(((($Y59)+(ABERTURAS!$P$7:$P$26)-ABS(($Y59)-(ABERTURAS!$P$7:$P$26)))/2-(($X59)+(ABERTURAS!$O$7:$O$26)+ABS(($X59)-(ABERTURAS!$O$7:$O$26)))/2)+ABS((($Y59)+(ABERTURAS!$P$7:$P$26)-ABS(($Y59)-(ABERTURAS!$P$7:$P$26)))/2-(($X59)+(ABERTURAS!$O$7:$O$26)+ABS(($X59)-(ABERTURAS!$O$7:$O$26)))/2))/2*(((($AA59)+(ABERTURAS!$R$7:$R$26)-ABS(($AA59)-(ABERTURAS!$R$7:$R$26)))/2-(($Z59)+(ABERTURAS!$Q$7:$Q$26)+ABS(($Z59)-(ABERTURAS!$Q$7:$Q$26)))/2)+ABS((($AA59)+(ABERTURAS!$R$7:$R$26)-ABS(($AA59)-(ABERTURAS!$R$7:$R$26)))/2-(($Z59)+(ABERTURAS!$Q$7:$Q$26)+ABS(($Z59)-(ABERTURAS!$Q$7:$Q$26)))/2))/2))</f>
        <v>0</v>
      </c>
      <c r="Q59" s="30" t="n">
        <f aca="false">IF($U59=0,0,SUMPRODUCT((ABERTURAS!$N$7:$N$26=$U59)*ABERTURAS!$V$7:$V$26*(((($Y59)+(ABERTURAS!$P$7:$P$26)-ABS(($Y59)-(ABERTURAS!$P$7:$P$26)))/2-(($X59)+(ABERTURAS!$O$7:$O$26)+ABS(($X59)-(ABERTURAS!$O$7:$O$26)))/2)+ABS((($Y59)+(ABERTURAS!$P$7:$P$26)-ABS(($Y59)-(ABERTURAS!$P$7:$P$26)))/2-(($X59)+(ABERTURAS!$O$7:$O$26)+ABS(($X59)-(ABERTURAS!$O$7:$O$26)))/2))/2*(((($AA59)+(ABERTURAS!$R$7:$R$26)-ABS(($AA59)-(ABERTURAS!$R$7:$R$26)))/2-(($Z59)+(ABERTURAS!$Q$7:$Q$26)+ABS(($Z59)-(ABERTURAS!$Q$7:$Q$26)))/2)+ABS((($AA59)+(ABERTURAS!$R$7:$R$26)-ABS(($AA59)-(ABERTURAS!$R$7:$R$26)))/2-(($Z59)+(ABERTURAS!$Q$7:$Q$26)+ABS(($Z59)-(ABERTURAS!$Q$7:$Q$26)))/2))/2))</f>
        <v>0</v>
      </c>
      <c r="R59" s="30" t="n">
        <f aca="false">MAX(0,$O59-$P59)</f>
        <v>3</v>
      </c>
      <c r="S59" s="30" t="n">
        <f aca="false">MAX(0,$O59-$Q59)</f>
        <v>3</v>
      </c>
      <c r="T59" s="50" t="n">
        <f aca="false">IF($D59="",0,IF($E59="VERTICAL",N($G59),MAX(N($I59),IF($K59="",N($I59),$K59))))</f>
        <v>6.6</v>
      </c>
      <c r="U59" s="50" t="n">
        <f aca="false">IF($L59&lt;&gt;"OK",0,VALUE(RIGHT($C59,1)))</f>
        <v>3</v>
      </c>
      <c r="V59" s="50" t="n">
        <f aca="false">IF($D59="",0,(N($H59)+IF($J59="",N($H59),$J59))/2)</f>
        <v>5.4</v>
      </c>
      <c r="W59" s="50" t="n">
        <f aca="false">IF($D59="",0,(N($I59)+IF($K59="",N($I59),$K59))/2)</f>
        <v>6.6</v>
      </c>
      <c r="X59" s="50" t="n">
        <f aca="false">IF($E59="VERTICAL",$V59,N($F59))</f>
        <v>13.5</v>
      </c>
      <c r="Y59" s="50" t="n">
        <f aca="false">IF($E59="VERTICAL",$W59,N($G59))</f>
        <v>16</v>
      </c>
      <c r="Z59" s="50" t="n">
        <f aca="false">IF($E59="VERTICAL",N($F59),$V59)</f>
        <v>5.4</v>
      </c>
      <c r="AA59" s="50" t="n">
        <f aca="false">IF($E59="VERTICAL",N($G59),$W59)</f>
        <v>6.6</v>
      </c>
      <c r="AB59" s="30" t="n">
        <f aca="false">IF($L59&lt;&gt;"OK",0,(INDEX(PRESIONES!$D$28:$D$31,$U59)*IF(INDEX(PRESIONES!$D$28:$D$31,$U59)&gt;0,PRESIONES!$C$9*IF($T59&lt;=10,1,($T59/10)^(2/DATOS!$C$56)),PRESIONES!$C$15)-ABERTURAS!$L$60*PRESIONES!$C$12)*$R59/$M59)</f>
        <v>75.3792589013325</v>
      </c>
      <c r="AC59" s="30" t="n">
        <f aca="false">IF($L59&lt;&gt;"OK",0,(INDEX(PRESIONES!$G$28:$G$31,$U59)*IF(INDEX(PRESIONES!$G$28:$G$31,$U59)&gt;0,PRESIONES!$C$9*IF($T59&lt;=10,1,($T59/10)^(2/DATOS!$C$56)),PRESIONES!$C$15)-ABERTURAS!$L$61*PRESIONES!$C$12)*$R59/$M59)</f>
        <v>0.499258901332516</v>
      </c>
      <c r="AD59" s="30" t="n">
        <f aca="false">IF($L59&lt;&gt;"OK",0,(INDEX(PRESIONES!$J$28:$J$31,$U59)*IF(INDEX(PRESIONES!$J$28:$J$31,$U59)&gt;0,PRESIONES!$C$9*IF($T59&lt;=10,1,($T59/10)^(2/DATOS!$C$56)),PRESIONES!$C$15)-ABERTURAS!$L$62*PRESIONES!$C$12)*$R59/$M59)</f>
        <v>-5.16088931840097</v>
      </c>
      <c r="AE59" s="30" t="n">
        <f aca="false">IF($L59&lt;&gt;"OK",0,(INDEX(PRESIONES!$M$28:$M$31,$U59)*IF(INDEX(PRESIONES!$M$28:$M$31,$U59)&gt;0,PRESIONES!$C$9*IF($T59&lt;=10,1,($T59/10)^(2/DATOS!$C$56)),PRESIONES!$C$15)-ABERTURAS!$L$63*PRESIONES!$C$12)*$R59/$M59)</f>
        <v>-84.2688883519987</v>
      </c>
      <c r="AF59" s="30" t="n">
        <f aca="false">IF($L59&lt;&gt;"OK",0,(INDEX(PRESIONES!$D$28:$D$31,$U59)*IF(INDEX(PRESIONES!$D$28:$D$31,$U59)&gt;0,PRESIONES!$C$9*IF($T59&lt;=10,1,($T59/10)^(2/DATOS!$C$56)),PRESIONES!$C$15)-ABERTURAS!$L$64*PRESIONES!$C$12)*$S59/$M59)</f>
        <v>75.3792589013325</v>
      </c>
      <c r="AG59" s="30" t="n">
        <f aca="false">IF($L59&lt;&gt;"OK",0,(INDEX(PRESIONES!$G$28:$G$31,$U59)*IF(INDEX(PRESIONES!$G$28:$G$31,$U59)&gt;0,PRESIONES!$C$9*IF($T59&lt;=10,1,($T59/10)^(2/DATOS!$C$56)),PRESIONES!$C$15)-ABERTURAS!$L$65*PRESIONES!$C$12)*$S59/$M59)</f>
        <v>0.499258901332516</v>
      </c>
      <c r="AH59" s="30" t="n">
        <f aca="false">IF($L59&lt;&gt;"OK",0,(INDEX(PRESIONES!$J$28:$J$31,$U59)*IF(INDEX(PRESIONES!$J$28:$J$31,$U59)&gt;0,PRESIONES!$C$9*IF($T59&lt;=10,1,($T59/10)^(2/DATOS!$C$56)),PRESIONES!$C$15)-ABERTURAS!$L$66*PRESIONES!$C$12)*$S59/$M59)</f>
        <v>-5.16088931840097</v>
      </c>
      <c r="AI59" s="30" t="n">
        <f aca="false">IF($L59&lt;&gt;"OK",0,(INDEX(PRESIONES!$M$28:$M$31,$U59)*IF(INDEX(PRESIONES!$M$28:$M$31,$U59)&gt;0,PRESIONES!$C$9*IF($T59&lt;=10,1,($T59/10)^(2/DATOS!$C$56)),PRESIONES!$C$15)-ABERTURAS!$L$67*PRESIONES!$C$12)*$S59/$M59)</f>
        <v>-84.2688883519987</v>
      </c>
    </row>
    <row r="60" customFormat="false" ht="16.5" hidden="false" customHeight="true" outlineLevel="0" collapsed="false">
      <c r="B60" s="27" t="s">
        <v>461</v>
      </c>
      <c r="C60" s="17" t="s">
        <v>430</v>
      </c>
      <c r="D60" s="27" t="s">
        <v>462</v>
      </c>
      <c r="E60" s="17" t="s">
        <v>432</v>
      </c>
      <c r="F60" s="49" t="n">
        <v>0</v>
      </c>
      <c r="G60" s="49" t="n">
        <v>6.75</v>
      </c>
      <c r="H60" s="49" t="n">
        <v>6.6</v>
      </c>
      <c r="I60" s="49" t="n">
        <v>7.8</v>
      </c>
      <c r="J60" s="49"/>
      <c r="K60" s="49"/>
      <c r="L60" s="20" t="str">
        <f aca="false">IF($D60="","",IF(LEFT($C60,4)&lt;&gt;"MURO","PON EL MURO",IF(AND($E60&lt;&gt;"HORIZONTAL",$E60&lt;&gt;"VERTICAL"),"PON EL SENTIDO",IF(OR($F60="",$G60="",$H60="",$I60=""),"FALTAN a o b",IF($M60&lt;=0,"a₂ DEBE SER &gt; a₁",IF($N60&lt;=0,"b₂ DEBE SER &gt; b₁","OK"))))))</f>
        <v>OK</v>
      </c>
      <c r="M60" s="30" t="n">
        <f aca="false">IF($D60="",0,MAX(0,$G60-$F60))</f>
        <v>6.75</v>
      </c>
      <c r="N60" s="30" t="n">
        <f aca="false">MAX(0,$W60-$V60)</f>
        <v>1.2</v>
      </c>
      <c r="O60" s="30" t="n">
        <f aca="false">$M60*$N60</f>
        <v>8.1</v>
      </c>
      <c r="P60" s="30" t="n">
        <f aca="false">IF($U60=0,0,SUMPRODUCT((ABERTURAS!$N$7:$N$26=$U60)*ABERTURAS!$U$7:$U$26*(((($Y60)+(ABERTURAS!$P$7:$P$26)-ABS(($Y60)-(ABERTURAS!$P$7:$P$26)))/2-(($X60)+(ABERTURAS!$O$7:$O$26)+ABS(($X60)-(ABERTURAS!$O$7:$O$26)))/2)+ABS((($Y60)+(ABERTURAS!$P$7:$P$26)-ABS(($Y60)-(ABERTURAS!$P$7:$P$26)))/2-(($X60)+(ABERTURAS!$O$7:$O$26)+ABS(($X60)-(ABERTURAS!$O$7:$O$26)))/2))/2*(((($AA60)+(ABERTURAS!$R$7:$R$26)-ABS(($AA60)-(ABERTURAS!$R$7:$R$26)))/2-(($Z60)+(ABERTURAS!$Q$7:$Q$26)+ABS(($Z60)-(ABERTURAS!$Q$7:$Q$26)))/2)+ABS((($AA60)+(ABERTURAS!$R$7:$R$26)-ABS(($AA60)-(ABERTURAS!$R$7:$R$26)))/2-(($Z60)+(ABERTURAS!$Q$7:$Q$26)+ABS(($Z60)-(ABERTURAS!$Q$7:$Q$26)))/2))/2))</f>
        <v>0</v>
      </c>
      <c r="Q60" s="30" t="n">
        <f aca="false">IF($U60=0,0,SUMPRODUCT((ABERTURAS!$N$7:$N$26=$U60)*ABERTURAS!$V$7:$V$26*(((($Y60)+(ABERTURAS!$P$7:$P$26)-ABS(($Y60)-(ABERTURAS!$P$7:$P$26)))/2-(($X60)+(ABERTURAS!$O$7:$O$26)+ABS(($X60)-(ABERTURAS!$O$7:$O$26)))/2)+ABS((($Y60)+(ABERTURAS!$P$7:$P$26)-ABS(($Y60)-(ABERTURAS!$P$7:$P$26)))/2-(($X60)+(ABERTURAS!$O$7:$O$26)+ABS(($X60)-(ABERTURAS!$O$7:$O$26)))/2))/2*(((($AA60)+(ABERTURAS!$R$7:$R$26)-ABS(($AA60)-(ABERTURAS!$R$7:$R$26)))/2-(($Z60)+(ABERTURAS!$Q$7:$Q$26)+ABS(($Z60)-(ABERTURAS!$Q$7:$Q$26)))/2)+ABS((($AA60)+(ABERTURAS!$R$7:$R$26)-ABS(($AA60)-(ABERTURAS!$R$7:$R$26)))/2-(($Z60)+(ABERTURAS!$Q$7:$Q$26)+ABS(($Z60)-(ABERTURAS!$Q$7:$Q$26)))/2))/2))</f>
        <v>0</v>
      </c>
      <c r="R60" s="30" t="n">
        <f aca="false">MAX(0,$O60-$P60)</f>
        <v>8.1</v>
      </c>
      <c r="S60" s="30" t="n">
        <f aca="false">MAX(0,$O60-$Q60)</f>
        <v>8.1</v>
      </c>
      <c r="T60" s="50" t="n">
        <f aca="false">IF($D60="",0,IF($E60="VERTICAL",N($G60),MAX(N($I60),IF($K60="",N($I60),$K60))))</f>
        <v>7.8</v>
      </c>
      <c r="U60" s="50" t="n">
        <f aca="false">IF($L60&lt;&gt;"OK",0,VALUE(RIGHT($C60,1)))</f>
        <v>3</v>
      </c>
      <c r="V60" s="50" t="n">
        <f aca="false">IF($D60="",0,(N($H60)+IF($J60="",N($H60),$J60))/2)</f>
        <v>6.6</v>
      </c>
      <c r="W60" s="50" t="n">
        <f aca="false">IF($D60="",0,(N($I60)+IF($K60="",N($I60),$K60))/2)</f>
        <v>7.8</v>
      </c>
      <c r="X60" s="50" t="n">
        <f aca="false">IF($E60="VERTICAL",$V60,N($F60))</f>
        <v>0</v>
      </c>
      <c r="Y60" s="50" t="n">
        <f aca="false">IF($E60="VERTICAL",$W60,N($G60))</f>
        <v>6.75</v>
      </c>
      <c r="Z60" s="50" t="n">
        <f aca="false">IF($E60="VERTICAL",N($F60),$V60)</f>
        <v>6.6</v>
      </c>
      <c r="AA60" s="50" t="n">
        <f aca="false">IF($E60="VERTICAL",N($G60),$W60)</f>
        <v>7.8</v>
      </c>
      <c r="AB60" s="30" t="n">
        <f aca="false">IF($L60&lt;&gt;"OK",0,(INDEX(PRESIONES!$D$28:$D$31,$U60)*IF(INDEX(PRESIONES!$D$28:$D$31,$U60)&gt;0,PRESIONES!$C$9*IF($T60&lt;=10,1,($T60/10)^(2/DATOS!$C$56)),PRESIONES!$C$15)-ABERTURAS!$L$60*PRESIONES!$C$12)*$R60/$M60)</f>
        <v>75.3792589013325</v>
      </c>
      <c r="AC60" s="30" t="n">
        <f aca="false">IF($L60&lt;&gt;"OK",0,(INDEX(PRESIONES!$G$28:$G$31,$U60)*IF(INDEX(PRESIONES!$G$28:$G$31,$U60)&gt;0,PRESIONES!$C$9*IF($T60&lt;=10,1,($T60/10)^(2/DATOS!$C$56)),PRESIONES!$C$15)-ABERTURAS!$L$61*PRESIONES!$C$12)*$R60/$M60)</f>
        <v>0.499258901332516</v>
      </c>
      <c r="AD60" s="30" t="n">
        <f aca="false">IF($L60&lt;&gt;"OK",0,(INDEX(PRESIONES!$J$28:$J$31,$U60)*IF(INDEX(PRESIONES!$J$28:$J$31,$U60)&gt;0,PRESIONES!$C$9*IF($T60&lt;=10,1,($T60/10)^(2/DATOS!$C$56)),PRESIONES!$C$15)-ABERTURAS!$L$62*PRESIONES!$C$12)*$R60/$M60)</f>
        <v>-5.16088931840098</v>
      </c>
      <c r="AE60" s="30" t="n">
        <f aca="false">IF($L60&lt;&gt;"OK",0,(INDEX(PRESIONES!$M$28:$M$31,$U60)*IF(INDEX(PRESIONES!$M$28:$M$31,$U60)&gt;0,PRESIONES!$C$9*IF($T60&lt;=10,1,($T60/10)^(2/DATOS!$C$56)),PRESIONES!$C$15)-ABERTURAS!$L$63*PRESIONES!$C$12)*$R60/$M60)</f>
        <v>-84.2688883519988</v>
      </c>
      <c r="AF60" s="30" t="n">
        <f aca="false">IF($L60&lt;&gt;"OK",0,(INDEX(PRESIONES!$D$28:$D$31,$U60)*IF(INDEX(PRESIONES!$D$28:$D$31,$U60)&gt;0,PRESIONES!$C$9*IF($T60&lt;=10,1,($T60/10)^(2/DATOS!$C$56)),PRESIONES!$C$15)-ABERTURAS!$L$64*PRESIONES!$C$12)*$S60/$M60)</f>
        <v>75.3792589013325</v>
      </c>
      <c r="AG60" s="30" t="n">
        <f aca="false">IF($L60&lt;&gt;"OK",0,(INDEX(PRESIONES!$G$28:$G$31,$U60)*IF(INDEX(PRESIONES!$G$28:$G$31,$U60)&gt;0,PRESIONES!$C$9*IF($T60&lt;=10,1,($T60/10)^(2/DATOS!$C$56)),PRESIONES!$C$15)-ABERTURAS!$L$65*PRESIONES!$C$12)*$S60/$M60)</f>
        <v>0.499258901332516</v>
      </c>
      <c r="AH60" s="30" t="n">
        <f aca="false">IF($L60&lt;&gt;"OK",0,(INDEX(PRESIONES!$J$28:$J$31,$U60)*IF(INDEX(PRESIONES!$J$28:$J$31,$U60)&gt;0,PRESIONES!$C$9*IF($T60&lt;=10,1,($T60/10)^(2/DATOS!$C$56)),PRESIONES!$C$15)-ABERTURAS!$L$66*PRESIONES!$C$12)*$S60/$M60)</f>
        <v>-5.16088931840098</v>
      </c>
      <c r="AI60" s="30" t="n">
        <f aca="false">IF($L60&lt;&gt;"OK",0,(INDEX(PRESIONES!$M$28:$M$31,$U60)*IF(INDEX(PRESIONES!$M$28:$M$31,$U60)&gt;0,PRESIONES!$C$9*IF($T60&lt;=10,1,($T60/10)^(2/DATOS!$C$56)),PRESIONES!$C$15)-ABERTURAS!$L$67*PRESIONES!$C$12)*$S60/$M60)</f>
        <v>-84.2688883519988</v>
      </c>
    </row>
    <row r="61" customFormat="false" ht="16.5" hidden="false" customHeight="true" outlineLevel="0" collapsed="false">
      <c r="B61" s="27" t="s">
        <v>463</v>
      </c>
      <c r="C61" s="17" t="s">
        <v>430</v>
      </c>
      <c r="D61" s="27" t="s">
        <v>464</v>
      </c>
      <c r="E61" s="17" t="s">
        <v>432</v>
      </c>
      <c r="F61" s="49" t="n">
        <v>6.75</v>
      </c>
      <c r="G61" s="49" t="n">
        <v>13.5</v>
      </c>
      <c r="H61" s="49" t="n">
        <v>6.6</v>
      </c>
      <c r="I61" s="49" t="n">
        <v>7.8</v>
      </c>
      <c r="J61" s="49"/>
      <c r="K61" s="49"/>
      <c r="L61" s="20" t="str">
        <f aca="false">IF($D61="","",IF(LEFT($C61,4)&lt;&gt;"MURO","PON EL MURO",IF(AND($E61&lt;&gt;"HORIZONTAL",$E61&lt;&gt;"VERTICAL"),"PON EL SENTIDO",IF(OR($F61="",$G61="",$H61="",$I61=""),"FALTAN a o b",IF($M61&lt;=0,"a₂ DEBE SER &gt; a₁",IF($N61&lt;=0,"b₂ DEBE SER &gt; b₁","OK"))))))</f>
        <v>OK</v>
      </c>
      <c r="M61" s="30" t="n">
        <f aca="false">IF($D61="",0,MAX(0,$G61-$F61))</f>
        <v>6.75</v>
      </c>
      <c r="N61" s="30" t="n">
        <f aca="false">MAX(0,$W61-$V61)</f>
        <v>1.2</v>
      </c>
      <c r="O61" s="30" t="n">
        <f aca="false">$M61*$N61</f>
        <v>8.1</v>
      </c>
      <c r="P61" s="30" t="n">
        <f aca="false">IF($U61=0,0,SUMPRODUCT((ABERTURAS!$N$7:$N$26=$U61)*ABERTURAS!$U$7:$U$26*(((($Y61)+(ABERTURAS!$P$7:$P$26)-ABS(($Y61)-(ABERTURAS!$P$7:$P$26)))/2-(($X61)+(ABERTURAS!$O$7:$O$26)+ABS(($X61)-(ABERTURAS!$O$7:$O$26)))/2)+ABS((($Y61)+(ABERTURAS!$P$7:$P$26)-ABS(($Y61)-(ABERTURAS!$P$7:$P$26)))/2-(($X61)+(ABERTURAS!$O$7:$O$26)+ABS(($X61)-(ABERTURAS!$O$7:$O$26)))/2))/2*(((($AA61)+(ABERTURAS!$R$7:$R$26)-ABS(($AA61)-(ABERTURAS!$R$7:$R$26)))/2-(($Z61)+(ABERTURAS!$Q$7:$Q$26)+ABS(($Z61)-(ABERTURAS!$Q$7:$Q$26)))/2)+ABS((($AA61)+(ABERTURAS!$R$7:$R$26)-ABS(($AA61)-(ABERTURAS!$R$7:$R$26)))/2-(($Z61)+(ABERTURAS!$Q$7:$Q$26)+ABS(($Z61)-(ABERTURAS!$Q$7:$Q$26)))/2))/2))</f>
        <v>0</v>
      </c>
      <c r="Q61" s="30" t="n">
        <f aca="false">IF($U61=0,0,SUMPRODUCT((ABERTURAS!$N$7:$N$26=$U61)*ABERTURAS!$V$7:$V$26*(((($Y61)+(ABERTURAS!$P$7:$P$26)-ABS(($Y61)-(ABERTURAS!$P$7:$P$26)))/2-(($X61)+(ABERTURAS!$O$7:$O$26)+ABS(($X61)-(ABERTURAS!$O$7:$O$26)))/2)+ABS((($Y61)+(ABERTURAS!$P$7:$P$26)-ABS(($Y61)-(ABERTURAS!$P$7:$P$26)))/2-(($X61)+(ABERTURAS!$O$7:$O$26)+ABS(($X61)-(ABERTURAS!$O$7:$O$26)))/2))/2*(((($AA61)+(ABERTURAS!$R$7:$R$26)-ABS(($AA61)-(ABERTURAS!$R$7:$R$26)))/2-(($Z61)+(ABERTURAS!$Q$7:$Q$26)+ABS(($Z61)-(ABERTURAS!$Q$7:$Q$26)))/2)+ABS((($AA61)+(ABERTURAS!$R$7:$R$26)-ABS(($AA61)-(ABERTURAS!$R$7:$R$26)))/2-(($Z61)+(ABERTURAS!$Q$7:$Q$26)+ABS(($Z61)-(ABERTURAS!$Q$7:$Q$26)))/2))/2))</f>
        <v>0</v>
      </c>
      <c r="R61" s="30" t="n">
        <f aca="false">MAX(0,$O61-$P61)</f>
        <v>8.1</v>
      </c>
      <c r="S61" s="30" t="n">
        <f aca="false">MAX(0,$O61-$Q61)</f>
        <v>8.1</v>
      </c>
      <c r="T61" s="50" t="n">
        <f aca="false">IF($D61="",0,IF($E61="VERTICAL",N($G61),MAX(N($I61),IF($K61="",N($I61),$K61))))</f>
        <v>7.8</v>
      </c>
      <c r="U61" s="50" t="n">
        <f aca="false">IF($L61&lt;&gt;"OK",0,VALUE(RIGHT($C61,1)))</f>
        <v>3</v>
      </c>
      <c r="V61" s="50" t="n">
        <f aca="false">IF($D61="",0,(N($H61)+IF($J61="",N($H61),$J61))/2)</f>
        <v>6.6</v>
      </c>
      <c r="W61" s="50" t="n">
        <f aca="false">IF($D61="",0,(N($I61)+IF($K61="",N($I61),$K61))/2)</f>
        <v>7.8</v>
      </c>
      <c r="X61" s="50" t="n">
        <f aca="false">IF($E61="VERTICAL",$V61,N($F61))</f>
        <v>6.75</v>
      </c>
      <c r="Y61" s="50" t="n">
        <f aca="false">IF($E61="VERTICAL",$W61,N($G61))</f>
        <v>13.5</v>
      </c>
      <c r="Z61" s="50" t="n">
        <f aca="false">IF($E61="VERTICAL",N($F61),$V61)</f>
        <v>6.6</v>
      </c>
      <c r="AA61" s="50" t="n">
        <f aca="false">IF($E61="VERTICAL",N($G61),$W61)</f>
        <v>7.8</v>
      </c>
      <c r="AB61" s="30" t="n">
        <f aca="false">IF($L61&lt;&gt;"OK",0,(INDEX(PRESIONES!$D$28:$D$31,$U61)*IF(INDEX(PRESIONES!$D$28:$D$31,$U61)&gt;0,PRESIONES!$C$9*IF($T61&lt;=10,1,($T61/10)^(2/DATOS!$C$56)),PRESIONES!$C$15)-ABERTURAS!$L$60*PRESIONES!$C$12)*$R61/$M61)</f>
        <v>75.3792589013325</v>
      </c>
      <c r="AC61" s="30" t="n">
        <f aca="false">IF($L61&lt;&gt;"OK",0,(INDEX(PRESIONES!$G$28:$G$31,$U61)*IF(INDEX(PRESIONES!$G$28:$G$31,$U61)&gt;0,PRESIONES!$C$9*IF($T61&lt;=10,1,($T61/10)^(2/DATOS!$C$56)),PRESIONES!$C$15)-ABERTURAS!$L$61*PRESIONES!$C$12)*$R61/$M61)</f>
        <v>0.499258901332516</v>
      </c>
      <c r="AD61" s="30" t="n">
        <f aca="false">IF($L61&lt;&gt;"OK",0,(INDEX(PRESIONES!$J$28:$J$31,$U61)*IF(INDEX(PRESIONES!$J$28:$J$31,$U61)&gt;0,PRESIONES!$C$9*IF($T61&lt;=10,1,($T61/10)^(2/DATOS!$C$56)),PRESIONES!$C$15)-ABERTURAS!$L$62*PRESIONES!$C$12)*$R61/$M61)</f>
        <v>-5.16088931840098</v>
      </c>
      <c r="AE61" s="30" t="n">
        <f aca="false">IF($L61&lt;&gt;"OK",0,(INDEX(PRESIONES!$M$28:$M$31,$U61)*IF(INDEX(PRESIONES!$M$28:$M$31,$U61)&gt;0,PRESIONES!$C$9*IF($T61&lt;=10,1,($T61/10)^(2/DATOS!$C$56)),PRESIONES!$C$15)-ABERTURAS!$L$63*PRESIONES!$C$12)*$R61/$M61)</f>
        <v>-84.2688883519988</v>
      </c>
      <c r="AF61" s="30" t="n">
        <f aca="false">IF($L61&lt;&gt;"OK",0,(INDEX(PRESIONES!$D$28:$D$31,$U61)*IF(INDEX(PRESIONES!$D$28:$D$31,$U61)&gt;0,PRESIONES!$C$9*IF($T61&lt;=10,1,($T61/10)^(2/DATOS!$C$56)),PRESIONES!$C$15)-ABERTURAS!$L$64*PRESIONES!$C$12)*$S61/$M61)</f>
        <v>75.3792589013325</v>
      </c>
      <c r="AG61" s="30" t="n">
        <f aca="false">IF($L61&lt;&gt;"OK",0,(INDEX(PRESIONES!$G$28:$G$31,$U61)*IF(INDEX(PRESIONES!$G$28:$G$31,$U61)&gt;0,PRESIONES!$C$9*IF($T61&lt;=10,1,($T61/10)^(2/DATOS!$C$56)),PRESIONES!$C$15)-ABERTURAS!$L$65*PRESIONES!$C$12)*$S61/$M61)</f>
        <v>0.499258901332516</v>
      </c>
      <c r="AH61" s="30" t="n">
        <f aca="false">IF($L61&lt;&gt;"OK",0,(INDEX(PRESIONES!$J$28:$J$31,$U61)*IF(INDEX(PRESIONES!$J$28:$J$31,$U61)&gt;0,PRESIONES!$C$9*IF($T61&lt;=10,1,($T61/10)^(2/DATOS!$C$56)),PRESIONES!$C$15)-ABERTURAS!$L$66*PRESIONES!$C$12)*$S61/$M61)</f>
        <v>-5.16088931840098</v>
      </c>
      <c r="AI61" s="30" t="n">
        <f aca="false">IF($L61&lt;&gt;"OK",0,(INDEX(PRESIONES!$M$28:$M$31,$U61)*IF(INDEX(PRESIONES!$M$28:$M$31,$U61)&gt;0,PRESIONES!$C$9*IF($T61&lt;=10,1,($T61/10)^(2/DATOS!$C$56)),PRESIONES!$C$15)-ABERTURAS!$L$67*PRESIONES!$C$12)*$S61/$M61)</f>
        <v>-84.2688883519988</v>
      </c>
    </row>
    <row r="62" customFormat="false" ht="16.5" hidden="false" customHeight="true" outlineLevel="0" collapsed="false">
      <c r="B62" s="27" t="s">
        <v>465</v>
      </c>
      <c r="C62" s="17" t="s">
        <v>430</v>
      </c>
      <c r="D62" s="27" t="s">
        <v>466</v>
      </c>
      <c r="E62" s="17" t="s">
        <v>432</v>
      </c>
      <c r="F62" s="49" t="n">
        <v>13.5</v>
      </c>
      <c r="G62" s="49" t="n">
        <v>16</v>
      </c>
      <c r="H62" s="49" t="n">
        <v>6.6</v>
      </c>
      <c r="I62" s="49" t="n">
        <v>7.8</v>
      </c>
      <c r="J62" s="49"/>
      <c r="K62" s="49"/>
      <c r="L62" s="20" t="str">
        <f aca="false">IF($D62="","",IF(LEFT($C62,4)&lt;&gt;"MURO","PON EL MURO",IF(AND($E62&lt;&gt;"HORIZONTAL",$E62&lt;&gt;"VERTICAL"),"PON EL SENTIDO",IF(OR($F62="",$G62="",$H62="",$I62=""),"FALTAN a o b",IF($M62&lt;=0,"a₂ DEBE SER &gt; a₁",IF($N62&lt;=0,"b₂ DEBE SER &gt; b₁","OK"))))))</f>
        <v>OK</v>
      </c>
      <c r="M62" s="30" t="n">
        <f aca="false">IF($D62="",0,MAX(0,$G62-$F62))</f>
        <v>2.5</v>
      </c>
      <c r="N62" s="30" t="n">
        <f aca="false">MAX(0,$W62-$V62)</f>
        <v>1.2</v>
      </c>
      <c r="O62" s="30" t="n">
        <f aca="false">$M62*$N62</f>
        <v>3</v>
      </c>
      <c r="P62" s="30" t="n">
        <f aca="false">IF($U62=0,0,SUMPRODUCT((ABERTURAS!$N$7:$N$26=$U62)*ABERTURAS!$U$7:$U$26*(((($Y62)+(ABERTURAS!$P$7:$P$26)-ABS(($Y62)-(ABERTURAS!$P$7:$P$26)))/2-(($X62)+(ABERTURAS!$O$7:$O$26)+ABS(($X62)-(ABERTURAS!$O$7:$O$26)))/2)+ABS((($Y62)+(ABERTURAS!$P$7:$P$26)-ABS(($Y62)-(ABERTURAS!$P$7:$P$26)))/2-(($X62)+(ABERTURAS!$O$7:$O$26)+ABS(($X62)-(ABERTURAS!$O$7:$O$26)))/2))/2*(((($AA62)+(ABERTURAS!$R$7:$R$26)-ABS(($AA62)-(ABERTURAS!$R$7:$R$26)))/2-(($Z62)+(ABERTURAS!$Q$7:$Q$26)+ABS(($Z62)-(ABERTURAS!$Q$7:$Q$26)))/2)+ABS((($AA62)+(ABERTURAS!$R$7:$R$26)-ABS(($AA62)-(ABERTURAS!$R$7:$R$26)))/2-(($Z62)+(ABERTURAS!$Q$7:$Q$26)+ABS(($Z62)-(ABERTURAS!$Q$7:$Q$26)))/2))/2))</f>
        <v>0</v>
      </c>
      <c r="Q62" s="30" t="n">
        <f aca="false">IF($U62=0,0,SUMPRODUCT((ABERTURAS!$N$7:$N$26=$U62)*ABERTURAS!$V$7:$V$26*(((($Y62)+(ABERTURAS!$P$7:$P$26)-ABS(($Y62)-(ABERTURAS!$P$7:$P$26)))/2-(($X62)+(ABERTURAS!$O$7:$O$26)+ABS(($X62)-(ABERTURAS!$O$7:$O$26)))/2)+ABS((($Y62)+(ABERTURAS!$P$7:$P$26)-ABS(($Y62)-(ABERTURAS!$P$7:$P$26)))/2-(($X62)+(ABERTURAS!$O$7:$O$26)+ABS(($X62)-(ABERTURAS!$O$7:$O$26)))/2))/2*(((($AA62)+(ABERTURAS!$R$7:$R$26)-ABS(($AA62)-(ABERTURAS!$R$7:$R$26)))/2-(($Z62)+(ABERTURAS!$Q$7:$Q$26)+ABS(($Z62)-(ABERTURAS!$Q$7:$Q$26)))/2)+ABS((($AA62)+(ABERTURAS!$R$7:$R$26)-ABS(($AA62)-(ABERTURAS!$R$7:$R$26)))/2-(($Z62)+(ABERTURAS!$Q$7:$Q$26)+ABS(($Z62)-(ABERTURAS!$Q$7:$Q$26)))/2))/2))</f>
        <v>0</v>
      </c>
      <c r="R62" s="30" t="n">
        <f aca="false">MAX(0,$O62-$P62)</f>
        <v>3</v>
      </c>
      <c r="S62" s="30" t="n">
        <f aca="false">MAX(0,$O62-$Q62)</f>
        <v>3</v>
      </c>
      <c r="T62" s="50" t="n">
        <f aca="false">IF($D62="",0,IF($E62="VERTICAL",N($G62),MAX(N($I62),IF($K62="",N($I62),$K62))))</f>
        <v>7.8</v>
      </c>
      <c r="U62" s="50" t="n">
        <f aca="false">IF($L62&lt;&gt;"OK",0,VALUE(RIGHT($C62,1)))</f>
        <v>3</v>
      </c>
      <c r="V62" s="50" t="n">
        <f aca="false">IF($D62="",0,(N($H62)+IF($J62="",N($H62),$J62))/2)</f>
        <v>6.6</v>
      </c>
      <c r="W62" s="50" t="n">
        <f aca="false">IF($D62="",0,(N($I62)+IF($K62="",N($I62),$K62))/2)</f>
        <v>7.8</v>
      </c>
      <c r="X62" s="50" t="n">
        <f aca="false">IF($E62="VERTICAL",$V62,N($F62))</f>
        <v>13.5</v>
      </c>
      <c r="Y62" s="50" t="n">
        <f aca="false">IF($E62="VERTICAL",$W62,N($G62))</f>
        <v>16</v>
      </c>
      <c r="Z62" s="50" t="n">
        <f aca="false">IF($E62="VERTICAL",N($F62),$V62)</f>
        <v>6.6</v>
      </c>
      <c r="AA62" s="50" t="n">
        <f aca="false">IF($E62="VERTICAL",N($G62),$W62)</f>
        <v>7.8</v>
      </c>
      <c r="AB62" s="30" t="n">
        <f aca="false">IF($L62&lt;&gt;"OK",0,(INDEX(PRESIONES!$D$28:$D$31,$U62)*IF(INDEX(PRESIONES!$D$28:$D$31,$U62)&gt;0,PRESIONES!$C$9*IF($T62&lt;=10,1,($T62/10)^(2/DATOS!$C$56)),PRESIONES!$C$15)-ABERTURAS!$L$60*PRESIONES!$C$12)*$R62/$M62)</f>
        <v>75.3792589013325</v>
      </c>
      <c r="AC62" s="30" t="n">
        <f aca="false">IF($L62&lt;&gt;"OK",0,(INDEX(PRESIONES!$G$28:$G$31,$U62)*IF(INDEX(PRESIONES!$G$28:$G$31,$U62)&gt;0,PRESIONES!$C$9*IF($T62&lt;=10,1,($T62/10)^(2/DATOS!$C$56)),PRESIONES!$C$15)-ABERTURAS!$L$61*PRESIONES!$C$12)*$R62/$M62)</f>
        <v>0.499258901332516</v>
      </c>
      <c r="AD62" s="30" t="n">
        <f aca="false">IF($L62&lt;&gt;"OK",0,(INDEX(PRESIONES!$J$28:$J$31,$U62)*IF(INDEX(PRESIONES!$J$28:$J$31,$U62)&gt;0,PRESIONES!$C$9*IF($T62&lt;=10,1,($T62/10)^(2/DATOS!$C$56)),PRESIONES!$C$15)-ABERTURAS!$L$62*PRESIONES!$C$12)*$R62/$M62)</f>
        <v>-5.16088931840098</v>
      </c>
      <c r="AE62" s="30" t="n">
        <f aca="false">IF($L62&lt;&gt;"OK",0,(INDEX(PRESIONES!$M$28:$M$31,$U62)*IF(INDEX(PRESIONES!$M$28:$M$31,$U62)&gt;0,PRESIONES!$C$9*IF($T62&lt;=10,1,($T62/10)^(2/DATOS!$C$56)),PRESIONES!$C$15)-ABERTURAS!$L$63*PRESIONES!$C$12)*$R62/$M62)</f>
        <v>-84.2688883519988</v>
      </c>
      <c r="AF62" s="30" t="n">
        <f aca="false">IF($L62&lt;&gt;"OK",0,(INDEX(PRESIONES!$D$28:$D$31,$U62)*IF(INDEX(PRESIONES!$D$28:$D$31,$U62)&gt;0,PRESIONES!$C$9*IF($T62&lt;=10,1,($T62/10)^(2/DATOS!$C$56)),PRESIONES!$C$15)-ABERTURAS!$L$64*PRESIONES!$C$12)*$S62/$M62)</f>
        <v>75.3792589013325</v>
      </c>
      <c r="AG62" s="30" t="n">
        <f aca="false">IF($L62&lt;&gt;"OK",0,(INDEX(PRESIONES!$G$28:$G$31,$U62)*IF(INDEX(PRESIONES!$G$28:$G$31,$U62)&gt;0,PRESIONES!$C$9*IF($T62&lt;=10,1,($T62/10)^(2/DATOS!$C$56)),PRESIONES!$C$15)-ABERTURAS!$L$65*PRESIONES!$C$12)*$S62/$M62)</f>
        <v>0.499258901332516</v>
      </c>
      <c r="AH62" s="30" t="n">
        <f aca="false">IF($L62&lt;&gt;"OK",0,(INDEX(PRESIONES!$J$28:$J$31,$U62)*IF(INDEX(PRESIONES!$J$28:$J$31,$U62)&gt;0,PRESIONES!$C$9*IF($T62&lt;=10,1,($T62/10)^(2/DATOS!$C$56)),PRESIONES!$C$15)-ABERTURAS!$L$66*PRESIONES!$C$12)*$S62/$M62)</f>
        <v>-5.16088931840098</v>
      </c>
      <c r="AI62" s="30" t="n">
        <f aca="false">IF($L62&lt;&gt;"OK",0,(INDEX(PRESIONES!$M$28:$M$31,$U62)*IF(INDEX(PRESIONES!$M$28:$M$31,$U62)&gt;0,PRESIONES!$C$9*IF($T62&lt;=10,1,($T62/10)^(2/DATOS!$C$56)),PRESIONES!$C$15)-ABERTURAS!$L$67*PRESIONES!$C$12)*$S62/$M62)</f>
        <v>-84.2688883519988</v>
      </c>
    </row>
    <row r="63" customFormat="false" ht="16.5" hidden="false" customHeight="true" outlineLevel="0" collapsed="false">
      <c r="B63" s="27" t="s">
        <v>467</v>
      </c>
      <c r="C63" s="17" t="s">
        <v>430</v>
      </c>
      <c r="D63" s="27" t="s">
        <v>468</v>
      </c>
      <c r="E63" s="17" t="s">
        <v>432</v>
      </c>
      <c r="F63" s="49" t="n">
        <v>0</v>
      </c>
      <c r="G63" s="49" t="n">
        <v>6.75</v>
      </c>
      <c r="H63" s="49" t="n">
        <v>7.8</v>
      </c>
      <c r="I63" s="49" t="n">
        <v>9</v>
      </c>
      <c r="J63" s="49"/>
      <c r="K63" s="49"/>
      <c r="L63" s="20" t="str">
        <f aca="false">IF($D63="","",IF(LEFT($C63,4)&lt;&gt;"MURO","PON EL MURO",IF(AND($E63&lt;&gt;"HORIZONTAL",$E63&lt;&gt;"VERTICAL"),"PON EL SENTIDO",IF(OR($F63="",$G63="",$H63="",$I63=""),"FALTAN a o b",IF($M63&lt;=0,"a₂ DEBE SER &gt; a₁",IF($N63&lt;=0,"b₂ DEBE SER &gt; b₁","OK"))))))</f>
        <v>OK</v>
      </c>
      <c r="M63" s="30" t="n">
        <f aca="false">IF($D63="",0,MAX(0,$G63-$F63))</f>
        <v>6.75</v>
      </c>
      <c r="N63" s="30" t="n">
        <f aca="false">MAX(0,$W63-$V63)</f>
        <v>1.2</v>
      </c>
      <c r="O63" s="30" t="n">
        <f aca="false">$M63*$N63</f>
        <v>8.1</v>
      </c>
      <c r="P63" s="30" t="n">
        <f aca="false">IF($U63=0,0,SUMPRODUCT((ABERTURAS!$N$7:$N$26=$U63)*ABERTURAS!$U$7:$U$26*(((($Y63)+(ABERTURAS!$P$7:$P$26)-ABS(($Y63)-(ABERTURAS!$P$7:$P$26)))/2-(($X63)+(ABERTURAS!$O$7:$O$26)+ABS(($X63)-(ABERTURAS!$O$7:$O$26)))/2)+ABS((($Y63)+(ABERTURAS!$P$7:$P$26)-ABS(($Y63)-(ABERTURAS!$P$7:$P$26)))/2-(($X63)+(ABERTURAS!$O$7:$O$26)+ABS(($X63)-(ABERTURAS!$O$7:$O$26)))/2))/2*(((($AA63)+(ABERTURAS!$R$7:$R$26)-ABS(($AA63)-(ABERTURAS!$R$7:$R$26)))/2-(($Z63)+(ABERTURAS!$Q$7:$Q$26)+ABS(($Z63)-(ABERTURAS!$Q$7:$Q$26)))/2)+ABS((($AA63)+(ABERTURAS!$R$7:$R$26)-ABS(($AA63)-(ABERTURAS!$R$7:$R$26)))/2-(($Z63)+(ABERTURAS!$Q$7:$Q$26)+ABS(($Z63)-(ABERTURAS!$Q$7:$Q$26)))/2))/2))</f>
        <v>0</v>
      </c>
      <c r="Q63" s="30" t="n">
        <f aca="false">IF($U63=0,0,SUMPRODUCT((ABERTURAS!$N$7:$N$26=$U63)*ABERTURAS!$V$7:$V$26*(((($Y63)+(ABERTURAS!$P$7:$P$26)-ABS(($Y63)-(ABERTURAS!$P$7:$P$26)))/2-(($X63)+(ABERTURAS!$O$7:$O$26)+ABS(($X63)-(ABERTURAS!$O$7:$O$26)))/2)+ABS((($Y63)+(ABERTURAS!$P$7:$P$26)-ABS(($Y63)-(ABERTURAS!$P$7:$P$26)))/2-(($X63)+(ABERTURAS!$O$7:$O$26)+ABS(($X63)-(ABERTURAS!$O$7:$O$26)))/2))/2*(((($AA63)+(ABERTURAS!$R$7:$R$26)-ABS(($AA63)-(ABERTURAS!$R$7:$R$26)))/2-(($Z63)+(ABERTURAS!$Q$7:$Q$26)+ABS(($Z63)-(ABERTURAS!$Q$7:$Q$26)))/2)+ABS((($AA63)+(ABERTURAS!$R$7:$R$26)-ABS(($AA63)-(ABERTURAS!$R$7:$R$26)))/2-(($Z63)+(ABERTURAS!$Q$7:$Q$26)+ABS(($Z63)-(ABERTURAS!$Q$7:$Q$26)))/2))/2))</f>
        <v>0</v>
      </c>
      <c r="R63" s="30" t="n">
        <f aca="false">MAX(0,$O63-$P63)</f>
        <v>8.1</v>
      </c>
      <c r="S63" s="30" t="n">
        <f aca="false">MAX(0,$O63-$Q63)</f>
        <v>8.1</v>
      </c>
      <c r="T63" s="50" t="n">
        <f aca="false">IF($D63="",0,IF($E63="VERTICAL",N($G63),MAX(N($I63),IF($K63="",N($I63),$K63))))</f>
        <v>9</v>
      </c>
      <c r="U63" s="50" t="n">
        <f aca="false">IF($L63&lt;&gt;"OK",0,VALUE(RIGHT($C63,1)))</f>
        <v>3</v>
      </c>
      <c r="V63" s="50" t="n">
        <f aca="false">IF($D63="",0,(N($H63)+IF($J63="",N($H63),$J63))/2)</f>
        <v>7.8</v>
      </c>
      <c r="W63" s="50" t="n">
        <f aca="false">IF($D63="",0,(N($I63)+IF($K63="",N($I63),$K63))/2)</f>
        <v>9</v>
      </c>
      <c r="X63" s="50" t="n">
        <f aca="false">IF($E63="VERTICAL",$V63,N($F63))</f>
        <v>0</v>
      </c>
      <c r="Y63" s="50" t="n">
        <f aca="false">IF($E63="VERTICAL",$W63,N($G63))</f>
        <v>6.75</v>
      </c>
      <c r="Z63" s="50" t="n">
        <f aca="false">IF($E63="VERTICAL",N($F63),$V63)</f>
        <v>7.8</v>
      </c>
      <c r="AA63" s="50" t="n">
        <f aca="false">IF($E63="VERTICAL",N($G63),$W63)</f>
        <v>9</v>
      </c>
      <c r="AB63" s="30" t="n">
        <f aca="false">IF($L63&lt;&gt;"OK",0,(INDEX(PRESIONES!$D$28:$D$31,$U63)*IF(INDEX(PRESIONES!$D$28:$D$31,$U63)&gt;0,PRESIONES!$C$9*IF($T63&lt;=10,1,($T63/10)^(2/DATOS!$C$56)),PRESIONES!$C$15)-ABERTURAS!$L$60*PRESIONES!$C$12)*$R63/$M63)</f>
        <v>75.3792589013325</v>
      </c>
      <c r="AC63" s="30" t="n">
        <f aca="false">IF($L63&lt;&gt;"OK",0,(INDEX(PRESIONES!$G$28:$G$31,$U63)*IF(INDEX(PRESIONES!$G$28:$G$31,$U63)&gt;0,PRESIONES!$C$9*IF($T63&lt;=10,1,($T63/10)^(2/DATOS!$C$56)),PRESIONES!$C$15)-ABERTURAS!$L$61*PRESIONES!$C$12)*$R63/$M63)</f>
        <v>0.499258901332516</v>
      </c>
      <c r="AD63" s="30" t="n">
        <f aca="false">IF($L63&lt;&gt;"OK",0,(INDEX(PRESIONES!$J$28:$J$31,$U63)*IF(INDEX(PRESIONES!$J$28:$J$31,$U63)&gt;0,PRESIONES!$C$9*IF($T63&lt;=10,1,($T63/10)^(2/DATOS!$C$56)),PRESIONES!$C$15)-ABERTURAS!$L$62*PRESIONES!$C$12)*$R63/$M63)</f>
        <v>-5.16088931840098</v>
      </c>
      <c r="AE63" s="30" t="n">
        <f aca="false">IF($L63&lt;&gt;"OK",0,(INDEX(PRESIONES!$M$28:$M$31,$U63)*IF(INDEX(PRESIONES!$M$28:$M$31,$U63)&gt;0,PRESIONES!$C$9*IF($T63&lt;=10,1,($T63/10)^(2/DATOS!$C$56)),PRESIONES!$C$15)-ABERTURAS!$L$63*PRESIONES!$C$12)*$R63/$M63)</f>
        <v>-84.2688883519988</v>
      </c>
      <c r="AF63" s="30" t="n">
        <f aca="false">IF($L63&lt;&gt;"OK",0,(INDEX(PRESIONES!$D$28:$D$31,$U63)*IF(INDEX(PRESIONES!$D$28:$D$31,$U63)&gt;0,PRESIONES!$C$9*IF($T63&lt;=10,1,($T63/10)^(2/DATOS!$C$56)),PRESIONES!$C$15)-ABERTURAS!$L$64*PRESIONES!$C$12)*$S63/$M63)</f>
        <v>75.3792589013325</v>
      </c>
      <c r="AG63" s="30" t="n">
        <f aca="false">IF($L63&lt;&gt;"OK",0,(INDEX(PRESIONES!$G$28:$G$31,$U63)*IF(INDEX(PRESIONES!$G$28:$G$31,$U63)&gt;0,PRESIONES!$C$9*IF($T63&lt;=10,1,($T63/10)^(2/DATOS!$C$56)),PRESIONES!$C$15)-ABERTURAS!$L$65*PRESIONES!$C$12)*$S63/$M63)</f>
        <v>0.499258901332516</v>
      </c>
      <c r="AH63" s="30" t="n">
        <f aca="false">IF($L63&lt;&gt;"OK",0,(INDEX(PRESIONES!$J$28:$J$31,$U63)*IF(INDEX(PRESIONES!$J$28:$J$31,$U63)&gt;0,PRESIONES!$C$9*IF($T63&lt;=10,1,($T63/10)^(2/DATOS!$C$56)),PRESIONES!$C$15)-ABERTURAS!$L$66*PRESIONES!$C$12)*$S63/$M63)</f>
        <v>-5.16088931840098</v>
      </c>
      <c r="AI63" s="30" t="n">
        <f aca="false">IF($L63&lt;&gt;"OK",0,(INDEX(PRESIONES!$M$28:$M$31,$U63)*IF(INDEX(PRESIONES!$M$28:$M$31,$U63)&gt;0,PRESIONES!$C$9*IF($T63&lt;=10,1,($T63/10)^(2/DATOS!$C$56)),PRESIONES!$C$15)-ABERTURAS!$L$67*PRESIONES!$C$12)*$S63/$M63)</f>
        <v>-84.2688883519988</v>
      </c>
    </row>
    <row r="64" customFormat="false" ht="16.5" hidden="false" customHeight="true" outlineLevel="0" collapsed="false">
      <c r="B64" s="27" t="s">
        <v>469</v>
      </c>
      <c r="C64" s="17" t="s">
        <v>430</v>
      </c>
      <c r="D64" s="27" t="s">
        <v>470</v>
      </c>
      <c r="E64" s="17" t="s">
        <v>432</v>
      </c>
      <c r="F64" s="49" t="n">
        <v>6.75</v>
      </c>
      <c r="G64" s="49" t="n">
        <v>13.5</v>
      </c>
      <c r="H64" s="49" t="n">
        <v>7.8</v>
      </c>
      <c r="I64" s="49" t="n">
        <v>9</v>
      </c>
      <c r="J64" s="49"/>
      <c r="K64" s="49"/>
      <c r="L64" s="20" t="str">
        <f aca="false">IF($D64="","",IF(LEFT($C64,4)&lt;&gt;"MURO","PON EL MURO",IF(AND($E64&lt;&gt;"HORIZONTAL",$E64&lt;&gt;"VERTICAL"),"PON EL SENTIDO",IF(OR($F64="",$G64="",$H64="",$I64=""),"FALTAN a o b",IF($M64&lt;=0,"a₂ DEBE SER &gt; a₁",IF($N64&lt;=0,"b₂ DEBE SER &gt; b₁","OK"))))))</f>
        <v>OK</v>
      </c>
      <c r="M64" s="30" t="n">
        <f aca="false">IF($D64="",0,MAX(0,$G64-$F64))</f>
        <v>6.75</v>
      </c>
      <c r="N64" s="30" t="n">
        <f aca="false">MAX(0,$W64-$V64)</f>
        <v>1.2</v>
      </c>
      <c r="O64" s="30" t="n">
        <f aca="false">$M64*$N64</f>
        <v>8.1</v>
      </c>
      <c r="P64" s="30" t="n">
        <f aca="false">IF($U64=0,0,SUMPRODUCT((ABERTURAS!$N$7:$N$26=$U64)*ABERTURAS!$U$7:$U$26*(((($Y64)+(ABERTURAS!$P$7:$P$26)-ABS(($Y64)-(ABERTURAS!$P$7:$P$26)))/2-(($X64)+(ABERTURAS!$O$7:$O$26)+ABS(($X64)-(ABERTURAS!$O$7:$O$26)))/2)+ABS((($Y64)+(ABERTURAS!$P$7:$P$26)-ABS(($Y64)-(ABERTURAS!$P$7:$P$26)))/2-(($X64)+(ABERTURAS!$O$7:$O$26)+ABS(($X64)-(ABERTURAS!$O$7:$O$26)))/2))/2*(((($AA64)+(ABERTURAS!$R$7:$R$26)-ABS(($AA64)-(ABERTURAS!$R$7:$R$26)))/2-(($Z64)+(ABERTURAS!$Q$7:$Q$26)+ABS(($Z64)-(ABERTURAS!$Q$7:$Q$26)))/2)+ABS((($AA64)+(ABERTURAS!$R$7:$R$26)-ABS(($AA64)-(ABERTURAS!$R$7:$R$26)))/2-(($Z64)+(ABERTURAS!$Q$7:$Q$26)+ABS(($Z64)-(ABERTURAS!$Q$7:$Q$26)))/2))/2))</f>
        <v>0</v>
      </c>
      <c r="Q64" s="30" t="n">
        <f aca="false">IF($U64=0,0,SUMPRODUCT((ABERTURAS!$N$7:$N$26=$U64)*ABERTURAS!$V$7:$V$26*(((($Y64)+(ABERTURAS!$P$7:$P$26)-ABS(($Y64)-(ABERTURAS!$P$7:$P$26)))/2-(($X64)+(ABERTURAS!$O$7:$O$26)+ABS(($X64)-(ABERTURAS!$O$7:$O$26)))/2)+ABS((($Y64)+(ABERTURAS!$P$7:$P$26)-ABS(($Y64)-(ABERTURAS!$P$7:$P$26)))/2-(($X64)+(ABERTURAS!$O$7:$O$26)+ABS(($X64)-(ABERTURAS!$O$7:$O$26)))/2))/2*(((($AA64)+(ABERTURAS!$R$7:$R$26)-ABS(($AA64)-(ABERTURAS!$R$7:$R$26)))/2-(($Z64)+(ABERTURAS!$Q$7:$Q$26)+ABS(($Z64)-(ABERTURAS!$Q$7:$Q$26)))/2)+ABS((($AA64)+(ABERTURAS!$R$7:$R$26)-ABS(($AA64)-(ABERTURAS!$R$7:$R$26)))/2-(($Z64)+(ABERTURAS!$Q$7:$Q$26)+ABS(($Z64)-(ABERTURAS!$Q$7:$Q$26)))/2))/2))</f>
        <v>0</v>
      </c>
      <c r="R64" s="30" t="n">
        <f aca="false">MAX(0,$O64-$P64)</f>
        <v>8.1</v>
      </c>
      <c r="S64" s="30" t="n">
        <f aca="false">MAX(0,$O64-$Q64)</f>
        <v>8.1</v>
      </c>
      <c r="T64" s="50" t="n">
        <f aca="false">IF($D64="",0,IF($E64="VERTICAL",N($G64),MAX(N($I64),IF($K64="",N($I64),$K64))))</f>
        <v>9</v>
      </c>
      <c r="U64" s="50" t="n">
        <f aca="false">IF($L64&lt;&gt;"OK",0,VALUE(RIGHT($C64,1)))</f>
        <v>3</v>
      </c>
      <c r="V64" s="50" t="n">
        <f aca="false">IF($D64="",0,(N($H64)+IF($J64="",N($H64),$J64))/2)</f>
        <v>7.8</v>
      </c>
      <c r="W64" s="50" t="n">
        <f aca="false">IF($D64="",0,(N($I64)+IF($K64="",N($I64),$K64))/2)</f>
        <v>9</v>
      </c>
      <c r="X64" s="50" t="n">
        <f aca="false">IF($E64="VERTICAL",$V64,N($F64))</f>
        <v>6.75</v>
      </c>
      <c r="Y64" s="50" t="n">
        <f aca="false">IF($E64="VERTICAL",$W64,N($G64))</f>
        <v>13.5</v>
      </c>
      <c r="Z64" s="50" t="n">
        <f aca="false">IF($E64="VERTICAL",N($F64),$V64)</f>
        <v>7.8</v>
      </c>
      <c r="AA64" s="50" t="n">
        <f aca="false">IF($E64="VERTICAL",N($G64),$W64)</f>
        <v>9</v>
      </c>
      <c r="AB64" s="30" t="n">
        <f aca="false">IF($L64&lt;&gt;"OK",0,(INDEX(PRESIONES!$D$28:$D$31,$U64)*IF(INDEX(PRESIONES!$D$28:$D$31,$U64)&gt;0,PRESIONES!$C$9*IF($T64&lt;=10,1,($T64/10)^(2/DATOS!$C$56)),PRESIONES!$C$15)-ABERTURAS!$L$60*PRESIONES!$C$12)*$R64/$M64)</f>
        <v>75.3792589013325</v>
      </c>
      <c r="AC64" s="30" t="n">
        <f aca="false">IF($L64&lt;&gt;"OK",0,(INDEX(PRESIONES!$G$28:$G$31,$U64)*IF(INDEX(PRESIONES!$G$28:$G$31,$U64)&gt;0,PRESIONES!$C$9*IF($T64&lt;=10,1,($T64/10)^(2/DATOS!$C$56)),PRESIONES!$C$15)-ABERTURAS!$L$61*PRESIONES!$C$12)*$R64/$M64)</f>
        <v>0.499258901332516</v>
      </c>
      <c r="AD64" s="30" t="n">
        <f aca="false">IF($L64&lt;&gt;"OK",0,(INDEX(PRESIONES!$J$28:$J$31,$U64)*IF(INDEX(PRESIONES!$J$28:$J$31,$U64)&gt;0,PRESIONES!$C$9*IF($T64&lt;=10,1,($T64/10)^(2/DATOS!$C$56)),PRESIONES!$C$15)-ABERTURAS!$L$62*PRESIONES!$C$12)*$R64/$M64)</f>
        <v>-5.16088931840098</v>
      </c>
      <c r="AE64" s="30" t="n">
        <f aca="false">IF($L64&lt;&gt;"OK",0,(INDEX(PRESIONES!$M$28:$M$31,$U64)*IF(INDEX(PRESIONES!$M$28:$M$31,$U64)&gt;0,PRESIONES!$C$9*IF($T64&lt;=10,1,($T64/10)^(2/DATOS!$C$56)),PRESIONES!$C$15)-ABERTURAS!$L$63*PRESIONES!$C$12)*$R64/$M64)</f>
        <v>-84.2688883519988</v>
      </c>
      <c r="AF64" s="30" t="n">
        <f aca="false">IF($L64&lt;&gt;"OK",0,(INDEX(PRESIONES!$D$28:$D$31,$U64)*IF(INDEX(PRESIONES!$D$28:$D$31,$U64)&gt;0,PRESIONES!$C$9*IF($T64&lt;=10,1,($T64/10)^(2/DATOS!$C$56)),PRESIONES!$C$15)-ABERTURAS!$L$64*PRESIONES!$C$12)*$S64/$M64)</f>
        <v>75.3792589013325</v>
      </c>
      <c r="AG64" s="30" t="n">
        <f aca="false">IF($L64&lt;&gt;"OK",0,(INDEX(PRESIONES!$G$28:$G$31,$U64)*IF(INDEX(PRESIONES!$G$28:$G$31,$U64)&gt;0,PRESIONES!$C$9*IF($T64&lt;=10,1,($T64/10)^(2/DATOS!$C$56)),PRESIONES!$C$15)-ABERTURAS!$L$65*PRESIONES!$C$12)*$S64/$M64)</f>
        <v>0.499258901332516</v>
      </c>
      <c r="AH64" s="30" t="n">
        <f aca="false">IF($L64&lt;&gt;"OK",0,(INDEX(PRESIONES!$J$28:$J$31,$U64)*IF(INDEX(PRESIONES!$J$28:$J$31,$U64)&gt;0,PRESIONES!$C$9*IF($T64&lt;=10,1,($T64/10)^(2/DATOS!$C$56)),PRESIONES!$C$15)-ABERTURAS!$L$66*PRESIONES!$C$12)*$S64/$M64)</f>
        <v>-5.16088931840098</v>
      </c>
      <c r="AI64" s="30" t="n">
        <f aca="false">IF($L64&lt;&gt;"OK",0,(INDEX(PRESIONES!$M$28:$M$31,$U64)*IF(INDEX(PRESIONES!$M$28:$M$31,$U64)&gt;0,PRESIONES!$C$9*IF($T64&lt;=10,1,($T64/10)^(2/DATOS!$C$56)),PRESIONES!$C$15)-ABERTURAS!$L$67*PRESIONES!$C$12)*$S64/$M64)</f>
        <v>-84.2688883519988</v>
      </c>
    </row>
    <row r="65" customFormat="false" ht="16.5" hidden="false" customHeight="true" outlineLevel="0" collapsed="false">
      <c r="B65" s="27" t="s">
        <v>471</v>
      </c>
      <c r="C65" s="17" t="s">
        <v>430</v>
      </c>
      <c r="D65" s="27" t="s">
        <v>472</v>
      </c>
      <c r="E65" s="17" t="s">
        <v>432</v>
      </c>
      <c r="F65" s="49" t="n">
        <v>13.5</v>
      </c>
      <c r="G65" s="49" t="n">
        <v>16</v>
      </c>
      <c r="H65" s="49" t="n">
        <v>7.8</v>
      </c>
      <c r="I65" s="49" t="n">
        <v>9</v>
      </c>
      <c r="J65" s="49"/>
      <c r="K65" s="49"/>
      <c r="L65" s="20" t="str">
        <f aca="false">IF($D65="","",IF(LEFT($C65,4)&lt;&gt;"MURO","PON EL MURO",IF(AND($E65&lt;&gt;"HORIZONTAL",$E65&lt;&gt;"VERTICAL"),"PON EL SENTIDO",IF(OR($F65="",$G65="",$H65="",$I65=""),"FALTAN a o b",IF($M65&lt;=0,"a₂ DEBE SER &gt; a₁",IF($N65&lt;=0,"b₂ DEBE SER &gt; b₁","OK"))))))</f>
        <v>OK</v>
      </c>
      <c r="M65" s="30" t="n">
        <f aca="false">IF($D65="",0,MAX(0,$G65-$F65))</f>
        <v>2.5</v>
      </c>
      <c r="N65" s="30" t="n">
        <f aca="false">MAX(0,$W65-$V65)</f>
        <v>1.2</v>
      </c>
      <c r="O65" s="30" t="n">
        <f aca="false">$M65*$N65</f>
        <v>3</v>
      </c>
      <c r="P65" s="30" t="n">
        <f aca="false">IF($U65=0,0,SUMPRODUCT((ABERTURAS!$N$7:$N$26=$U65)*ABERTURAS!$U$7:$U$26*(((($Y65)+(ABERTURAS!$P$7:$P$26)-ABS(($Y65)-(ABERTURAS!$P$7:$P$26)))/2-(($X65)+(ABERTURAS!$O$7:$O$26)+ABS(($X65)-(ABERTURAS!$O$7:$O$26)))/2)+ABS((($Y65)+(ABERTURAS!$P$7:$P$26)-ABS(($Y65)-(ABERTURAS!$P$7:$P$26)))/2-(($X65)+(ABERTURAS!$O$7:$O$26)+ABS(($X65)-(ABERTURAS!$O$7:$O$26)))/2))/2*(((($AA65)+(ABERTURAS!$R$7:$R$26)-ABS(($AA65)-(ABERTURAS!$R$7:$R$26)))/2-(($Z65)+(ABERTURAS!$Q$7:$Q$26)+ABS(($Z65)-(ABERTURAS!$Q$7:$Q$26)))/2)+ABS((($AA65)+(ABERTURAS!$R$7:$R$26)-ABS(($AA65)-(ABERTURAS!$R$7:$R$26)))/2-(($Z65)+(ABERTURAS!$Q$7:$Q$26)+ABS(($Z65)-(ABERTURAS!$Q$7:$Q$26)))/2))/2))</f>
        <v>0</v>
      </c>
      <c r="Q65" s="30" t="n">
        <f aca="false">IF($U65=0,0,SUMPRODUCT((ABERTURAS!$N$7:$N$26=$U65)*ABERTURAS!$V$7:$V$26*(((($Y65)+(ABERTURAS!$P$7:$P$26)-ABS(($Y65)-(ABERTURAS!$P$7:$P$26)))/2-(($X65)+(ABERTURAS!$O$7:$O$26)+ABS(($X65)-(ABERTURAS!$O$7:$O$26)))/2)+ABS((($Y65)+(ABERTURAS!$P$7:$P$26)-ABS(($Y65)-(ABERTURAS!$P$7:$P$26)))/2-(($X65)+(ABERTURAS!$O$7:$O$26)+ABS(($X65)-(ABERTURAS!$O$7:$O$26)))/2))/2*(((($AA65)+(ABERTURAS!$R$7:$R$26)-ABS(($AA65)-(ABERTURAS!$R$7:$R$26)))/2-(($Z65)+(ABERTURAS!$Q$7:$Q$26)+ABS(($Z65)-(ABERTURAS!$Q$7:$Q$26)))/2)+ABS((($AA65)+(ABERTURAS!$R$7:$R$26)-ABS(($AA65)-(ABERTURAS!$R$7:$R$26)))/2-(($Z65)+(ABERTURAS!$Q$7:$Q$26)+ABS(($Z65)-(ABERTURAS!$Q$7:$Q$26)))/2))/2))</f>
        <v>0</v>
      </c>
      <c r="R65" s="30" t="n">
        <f aca="false">MAX(0,$O65-$P65)</f>
        <v>3</v>
      </c>
      <c r="S65" s="30" t="n">
        <f aca="false">MAX(0,$O65-$Q65)</f>
        <v>3</v>
      </c>
      <c r="T65" s="50" t="n">
        <f aca="false">IF($D65="",0,IF($E65="VERTICAL",N($G65),MAX(N($I65),IF($K65="",N($I65),$K65))))</f>
        <v>9</v>
      </c>
      <c r="U65" s="50" t="n">
        <f aca="false">IF($L65&lt;&gt;"OK",0,VALUE(RIGHT($C65,1)))</f>
        <v>3</v>
      </c>
      <c r="V65" s="50" t="n">
        <f aca="false">IF($D65="",0,(N($H65)+IF($J65="",N($H65),$J65))/2)</f>
        <v>7.8</v>
      </c>
      <c r="W65" s="50" t="n">
        <f aca="false">IF($D65="",0,(N($I65)+IF($K65="",N($I65),$K65))/2)</f>
        <v>9</v>
      </c>
      <c r="X65" s="50" t="n">
        <f aca="false">IF($E65="VERTICAL",$V65,N($F65))</f>
        <v>13.5</v>
      </c>
      <c r="Y65" s="50" t="n">
        <f aca="false">IF($E65="VERTICAL",$W65,N($G65))</f>
        <v>16</v>
      </c>
      <c r="Z65" s="50" t="n">
        <f aca="false">IF($E65="VERTICAL",N($F65),$V65)</f>
        <v>7.8</v>
      </c>
      <c r="AA65" s="50" t="n">
        <f aca="false">IF($E65="VERTICAL",N($G65),$W65)</f>
        <v>9</v>
      </c>
      <c r="AB65" s="30" t="n">
        <f aca="false">IF($L65&lt;&gt;"OK",0,(INDEX(PRESIONES!$D$28:$D$31,$U65)*IF(INDEX(PRESIONES!$D$28:$D$31,$U65)&gt;0,PRESIONES!$C$9*IF($T65&lt;=10,1,($T65/10)^(2/DATOS!$C$56)),PRESIONES!$C$15)-ABERTURAS!$L$60*PRESIONES!$C$12)*$R65/$M65)</f>
        <v>75.3792589013325</v>
      </c>
      <c r="AC65" s="30" t="n">
        <f aca="false">IF($L65&lt;&gt;"OK",0,(INDEX(PRESIONES!$G$28:$G$31,$U65)*IF(INDEX(PRESIONES!$G$28:$G$31,$U65)&gt;0,PRESIONES!$C$9*IF($T65&lt;=10,1,($T65/10)^(2/DATOS!$C$56)),PRESIONES!$C$15)-ABERTURAS!$L$61*PRESIONES!$C$12)*$R65/$M65)</f>
        <v>0.499258901332516</v>
      </c>
      <c r="AD65" s="30" t="n">
        <f aca="false">IF($L65&lt;&gt;"OK",0,(INDEX(PRESIONES!$J$28:$J$31,$U65)*IF(INDEX(PRESIONES!$J$28:$J$31,$U65)&gt;0,PRESIONES!$C$9*IF($T65&lt;=10,1,($T65/10)^(2/DATOS!$C$56)),PRESIONES!$C$15)-ABERTURAS!$L$62*PRESIONES!$C$12)*$R65/$M65)</f>
        <v>-5.16088931840098</v>
      </c>
      <c r="AE65" s="30" t="n">
        <f aca="false">IF($L65&lt;&gt;"OK",0,(INDEX(PRESIONES!$M$28:$M$31,$U65)*IF(INDEX(PRESIONES!$M$28:$M$31,$U65)&gt;0,PRESIONES!$C$9*IF($T65&lt;=10,1,($T65/10)^(2/DATOS!$C$56)),PRESIONES!$C$15)-ABERTURAS!$L$63*PRESIONES!$C$12)*$R65/$M65)</f>
        <v>-84.2688883519988</v>
      </c>
      <c r="AF65" s="30" t="n">
        <f aca="false">IF($L65&lt;&gt;"OK",0,(INDEX(PRESIONES!$D$28:$D$31,$U65)*IF(INDEX(PRESIONES!$D$28:$D$31,$U65)&gt;0,PRESIONES!$C$9*IF($T65&lt;=10,1,($T65/10)^(2/DATOS!$C$56)),PRESIONES!$C$15)-ABERTURAS!$L$64*PRESIONES!$C$12)*$S65/$M65)</f>
        <v>75.3792589013325</v>
      </c>
      <c r="AG65" s="30" t="n">
        <f aca="false">IF($L65&lt;&gt;"OK",0,(INDEX(PRESIONES!$G$28:$G$31,$U65)*IF(INDEX(PRESIONES!$G$28:$G$31,$U65)&gt;0,PRESIONES!$C$9*IF($T65&lt;=10,1,($T65/10)^(2/DATOS!$C$56)),PRESIONES!$C$15)-ABERTURAS!$L$65*PRESIONES!$C$12)*$S65/$M65)</f>
        <v>0.499258901332516</v>
      </c>
      <c r="AH65" s="30" t="n">
        <f aca="false">IF($L65&lt;&gt;"OK",0,(INDEX(PRESIONES!$J$28:$J$31,$U65)*IF(INDEX(PRESIONES!$J$28:$J$31,$U65)&gt;0,PRESIONES!$C$9*IF($T65&lt;=10,1,($T65/10)^(2/DATOS!$C$56)),PRESIONES!$C$15)-ABERTURAS!$L$66*PRESIONES!$C$12)*$S65/$M65)</f>
        <v>-5.16088931840098</v>
      </c>
      <c r="AI65" s="30" t="n">
        <f aca="false">IF($L65&lt;&gt;"OK",0,(INDEX(PRESIONES!$M$28:$M$31,$U65)*IF(INDEX(PRESIONES!$M$28:$M$31,$U65)&gt;0,PRESIONES!$C$9*IF($T65&lt;=10,1,($T65/10)^(2/DATOS!$C$56)),PRESIONES!$C$15)-ABERTURAS!$L$67*PRESIONES!$C$12)*$S65/$M65)</f>
        <v>-84.2688883519988</v>
      </c>
    </row>
    <row r="66" customFormat="false" ht="16.5" hidden="false" customHeight="true" outlineLevel="0" collapsed="false">
      <c r="B66" s="27" t="s">
        <v>473</v>
      </c>
      <c r="C66" s="17" t="s">
        <v>430</v>
      </c>
      <c r="D66" s="27" t="s">
        <v>474</v>
      </c>
      <c r="E66" s="17" t="s">
        <v>432</v>
      </c>
      <c r="F66" s="49" t="n">
        <v>0</v>
      </c>
      <c r="G66" s="49" t="n">
        <v>6.75</v>
      </c>
      <c r="H66" s="49" t="n">
        <v>9</v>
      </c>
      <c r="I66" s="49" t="n">
        <v>10.11</v>
      </c>
      <c r="J66" s="49"/>
      <c r="K66" s="49" t="n">
        <v>9.94</v>
      </c>
      <c r="L66" s="20" t="str">
        <f aca="false">IF($D66="","",IF(LEFT($C66,4)&lt;&gt;"MURO","PON EL MURO",IF(AND($E66&lt;&gt;"HORIZONTAL",$E66&lt;&gt;"VERTICAL"),"PON EL SENTIDO",IF(OR($F66="",$G66="",$H66="",$I66=""),"FALTAN a o b",IF($M66&lt;=0,"a₂ DEBE SER &gt; a₁",IF($N66&lt;=0,"b₂ DEBE SER &gt; b₁","OK"))))))</f>
        <v>OK</v>
      </c>
      <c r="M66" s="30" t="n">
        <f aca="false">IF($D66="",0,MAX(0,$G66-$F66))</f>
        <v>6.75</v>
      </c>
      <c r="N66" s="30" t="n">
        <f aca="false">MAX(0,$W66-$V66)</f>
        <v>1.025</v>
      </c>
      <c r="O66" s="30" t="n">
        <f aca="false">$M66*$N66</f>
        <v>6.91874999999999</v>
      </c>
      <c r="P66" s="30" t="n">
        <f aca="false">IF($U66=0,0,SUMPRODUCT((ABERTURAS!$N$7:$N$26=$U66)*ABERTURAS!$U$7:$U$26*(((($Y66)+(ABERTURAS!$P$7:$P$26)-ABS(($Y66)-(ABERTURAS!$P$7:$P$26)))/2-(($X66)+(ABERTURAS!$O$7:$O$26)+ABS(($X66)-(ABERTURAS!$O$7:$O$26)))/2)+ABS((($Y66)+(ABERTURAS!$P$7:$P$26)-ABS(($Y66)-(ABERTURAS!$P$7:$P$26)))/2-(($X66)+(ABERTURAS!$O$7:$O$26)+ABS(($X66)-(ABERTURAS!$O$7:$O$26)))/2))/2*(((($AA66)+(ABERTURAS!$R$7:$R$26)-ABS(($AA66)-(ABERTURAS!$R$7:$R$26)))/2-(($Z66)+(ABERTURAS!$Q$7:$Q$26)+ABS(($Z66)-(ABERTURAS!$Q$7:$Q$26)))/2)+ABS((($AA66)+(ABERTURAS!$R$7:$R$26)-ABS(($AA66)-(ABERTURAS!$R$7:$R$26)))/2-(($Z66)+(ABERTURAS!$Q$7:$Q$26)+ABS(($Z66)-(ABERTURAS!$Q$7:$Q$26)))/2))/2))</f>
        <v>0</v>
      </c>
      <c r="Q66" s="30" t="n">
        <f aca="false">IF($U66=0,0,SUMPRODUCT((ABERTURAS!$N$7:$N$26=$U66)*ABERTURAS!$V$7:$V$26*(((($Y66)+(ABERTURAS!$P$7:$P$26)-ABS(($Y66)-(ABERTURAS!$P$7:$P$26)))/2-(($X66)+(ABERTURAS!$O$7:$O$26)+ABS(($X66)-(ABERTURAS!$O$7:$O$26)))/2)+ABS((($Y66)+(ABERTURAS!$P$7:$P$26)-ABS(($Y66)-(ABERTURAS!$P$7:$P$26)))/2-(($X66)+(ABERTURAS!$O$7:$O$26)+ABS(($X66)-(ABERTURAS!$O$7:$O$26)))/2))/2*(((($AA66)+(ABERTURAS!$R$7:$R$26)-ABS(($AA66)-(ABERTURAS!$R$7:$R$26)))/2-(($Z66)+(ABERTURAS!$Q$7:$Q$26)+ABS(($Z66)-(ABERTURAS!$Q$7:$Q$26)))/2)+ABS((($AA66)+(ABERTURAS!$R$7:$R$26)-ABS(($AA66)-(ABERTURAS!$R$7:$R$26)))/2-(($Z66)+(ABERTURAS!$Q$7:$Q$26)+ABS(($Z66)-(ABERTURAS!$Q$7:$Q$26)))/2))/2))</f>
        <v>0</v>
      </c>
      <c r="R66" s="30" t="n">
        <f aca="false">MAX(0,$O66-$P66)</f>
        <v>6.91874999999999</v>
      </c>
      <c r="S66" s="30" t="n">
        <f aca="false">MAX(0,$O66-$Q66)</f>
        <v>6.91874999999999</v>
      </c>
      <c r="T66" s="50" t="n">
        <f aca="false">IF($D66="",0,IF($E66="VERTICAL",N($G66),MAX(N($I66),IF($K66="",N($I66),$K66))))</f>
        <v>10.11</v>
      </c>
      <c r="U66" s="50" t="n">
        <f aca="false">IF($L66&lt;&gt;"OK",0,VALUE(RIGHT($C66,1)))</f>
        <v>3</v>
      </c>
      <c r="V66" s="50" t="n">
        <f aca="false">IF($D66="",0,(N($H66)+IF($J66="",N($H66),$J66))/2)</f>
        <v>9</v>
      </c>
      <c r="W66" s="50" t="n">
        <f aca="false">IF($D66="",0,(N($I66)+IF($K66="",N($I66),$K66))/2)</f>
        <v>10.025</v>
      </c>
      <c r="X66" s="50" t="n">
        <f aca="false">IF($E66="VERTICAL",$V66,N($F66))</f>
        <v>0</v>
      </c>
      <c r="Y66" s="50" t="n">
        <f aca="false">IF($E66="VERTICAL",$W66,N($G66))</f>
        <v>6.75</v>
      </c>
      <c r="Z66" s="50" t="n">
        <f aca="false">IF($E66="VERTICAL",N($F66),$V66)</f>
        <v>9</v>
      </c>
      <c r="AA66" s="50" t="n">
        <f aca="false">IF($E66="VERTICAL",N($G66),$W66)</f>
        <v>10.025</v>
      </c>
      <c r="AB66" s="30" t="n">
        <f aca="false">IF($L66&lt;&gt;"OK",0,(INDEX(PRESIONES!$D$28:$D$31,$U66)*IF(INDEX(PRESIONES!$D$28:$D$31,$U66)&gt;0,PRESIONES!$C$9*IF($T66&lt;=10,1,($T66/10)^(2/DATOS!$C$56)),PRESIONES!$C$15)-ABERTURAS!$L$60*PRESIONES!$C$12)*$R66/$M66)</f>
        <v>64.5096702252742</v>
      </c>
      <c r="AC66" s="30" t="n">
        <f aca="false">IF($L66&lt;&gt;"OK",0,(INDEX(PRESIONES!$G$28:$G$31,$U66)*IF(INDEX(PRESIONES!$G$28:$G$31,$U66)&gt;0,PRESIONES!$C$9*IF($T66&lt;=10,1,($T66/10)^(2/DATOS!$C$56)),PRESIONES!$C$15)-ABERTURAS!$L$61*PRESIONES!$C$12)*$R66/$M66)</f>
        <v>0.426450311554857</v>
      </c>
      <c r="AD66" s="30" t="n">
        <f aca="false">IF($L66&lt;&gt;"OK",0,(INDEX(PRESIONES!$J$28:$J$31,$U66)*IF(INDEX(PRESIONES!$J$28:$J$31,$U66)&gt;0,PRESIONES!$C$9*IF($T66&lt;=10,1,($T66/10)^(2/DATOS!$C$56)),PRESIONES!$C$15)-ABERTURAS!$L$62*PRESIONES!$C$12)*$R66/$M66)</f>
        <v>-4.40825962613416</v>
      </c>
      <c r="AE66" s="30" t="n">
        <f aca="false">IF($L66&lt;&gt;"OK",0,(INDEX(PRESIONES!$M$28:$M$31,$U66)*IF(INDEX(PRESIONES!$M$28:$M$31,$U66)&gt;0,PRESIONES!$C$9*IF($T66&lt;=10,1,($T66/10)^(2/DATOS!$C$56)),PRESIONES!$C$15)-ABERTURAS!$L$63*PRESIONES!$C$12)*$R66/$M66)</f>
        <v>-71.9796754673322</v>
      </c>
      <c r="AF66" s="30" t="n">
        <f aca="false">IF($L66&lt;&gt;"OK",0,(INDEX(PRESIONES!$D$28:$D$31,$U66)*IF(INDEX(PRESIONES!$D$28:$D$31,$U66)&gt;0,PRESIONES!$C$9*IF($T66&lt;=10,1,($T66/10)^(2/DATOS!$C$56)),PRESIONES!$C$15)-ABERTURAS!$L$64*PRESIONES!$C$12)*$S66/$M66)</f>
        <v>64.5096702252742</v>
      </c>
      <c r="AG66" s="30" t="n">
        <f aca="false">IF($L66&lt;&gt;"OK",0,(INDEX(PRESIONES!$G$28:$G$31,$U66)*IF(INDEX(PRESIONES!$G$28:$G$31,$U66)&gt;0,PRESIONES!$C$9*IF($T66&lt;=10,1,($T66/10)^(2/DATOS!$C$56)),PRESIONES!$C$15)-ABERTURAS!$L$65*PRESIONES!$C$12)*$S66/$M66)</f>
        <v>0.426450311554857</v>
      </c>
      <c r="AH66" s="30" t="n">
        <f aca="false">IF($L66&lt;&gt;"OK",0,(INDEX(PRESIONES!$J$28:$J$31,$U66)*IF(INDEX(PRESIONES!$J$28:$J$31,$U66)&gt;0,PRESIONES!$C$9*IF($T66&lt;=10,1,($T66/10)^(2/DATOS!$C$56)),PRESIONES!$C$15)-ABERTURAS!$L$66*PRESIONES!$C$12)*$S66/$M66)</f>
        <v>-4.40825962613416</v>
      </c>
      <c r="AI66" s="30" t="n">
        <f aca="false">IF($L66&lt;&gt;"OK",0,(INDEX(PRESIONES!$M$28:$M$31,$U66)*IF(INDEX(PRESIONES!$M$28:$M$31,$U66)&gt;0,PRESIONES!$C$9*IF($T66&lt;=10,1,($T66/10)^(2/DATOS!$C$56)),PRESIONES!$C$15)-ABERTURAS!$L$67*PRESIONES!$C$12)*$S66/$M66)</f>
        <v>-71.9796754673322</v>
      </c>
    </row>
    <row r="67" customFormat="false" ht="16.5" hidden="false" customHeight="true" outlineLevel="0" collapsed="false">
      <c r="B67" s="27" t="s">
        <v>475</v>
      </c>
      <c r="C67" s="17" t="s">
        <v>430</v>
      </c>
      <c r="D67" s="27" t="s">
        <v>476</v>
      </c>
      <c r="E67" s="17" t="s">
        <v>432</v>
      </c>
      <c r="F67" s="49" t="n">
        <v>6.75</v>
      </c>
      <c r="G67" s="49" t="n">
        <v>13.5</v>
      </c>
      <c r="H67" s="49" t="n">
        <v>9</v>
      </c>
      <c r="I67" s="49" t="n">
        <v>9.94</v>
      </c>
      <c r="J67" s="49"/>
      <c r="K67" s="49" t="n">
        <v>9.77</v>
      </c>
      <c r="L67" s="20" t="str">
        <f aca="false">IF($D67="","",IF(LEFT($C67,4)&lt;&gt;"MURO","PON EL MURO",IF(AND($E67&lt;&gt;"HORIZONTAL",$E67&lt;&gt;"VERTICAL"),"PON EL SENTIDO",IF(OR($F67="",$G67="",$H67="",$I67=""),"FALTAN a o b",IF($M67&lt;=0,"a₂ DEBE SER &gt; a₁",IF($N67&lt;=0,"b₂ DEBE SER &gt; b₁","OK"))))))</f>
        <v>OK</v>
      </c>
      <c r="M67" s="30" t="n">
        <f aca="false">IF($D67="",0,MAX(0,$G67-$F67))</f>
        <v>6.75</v>
      </c>
      <c r="N67" s="30" t="n">
        <f aca="false">MAX(0,$W67-$V67)</f>
        <v>0.855</v>
      </c>
      <c r="O67" s="30" t="n">
        <f aca="false">$M67*$N67</f>
        <v>5.77125</v>
      </c>
      <c r="P67" s="30" t="n">
        <f aca="false">IF($U67=0,0,SUMPRODUCT((ABERTURAS!$N$7:$N$26=$U67)*ABERTURAS!$U$7:$U$26*(((($Y67)+(ABERTURAS!$P$7:$P$26)-ABS(($Y67)-(ABERTURAS!$P$7:$P$26)))/2-(($X67)+(ABERTURAS!$O$7:$O$26)+ABS(($X67)-(ABERTURAS!$O$7:$O$26)))/2)+ABS((($Y67)+(ABERTURAS!$P$7:$P$26)-ABS(($Y67)-(ABERTURAS!$P$7:$P$26)))/2-(($X67)+(ABERTURAS!$O$7:$O$26)+ABS(($X67)-(ABERTURAS!$O$7:$O$26)))/2))/2*(((($AA67)+(ABERTURAS!$R$7:$R$26)-ABS(($AA67)-(ABERTURAS!$R$7:$R$26)))/2-(($Z67)+(ABERTURAS!$Q$7:$Q$26)+ABS(($Z67)-(ABERTURAS!$Q$7:$Q$26)))/2)+ABS((($AA67)+(ABERTURAS!$R$7:$R$26)-ABS(($AA67)-(ABERTURAS!$R$7:$R$26)))/2-(($Z67)+(ABERTURAS!$Q$7:$Q$26)+ABS(($Z67)-(ABERTURAS!$Q$7:$Q$26)))/2))/2))</f>
        <v>0</v>
      </c>
      <c r="Q67" s="30" t="n">
        <f aca="false">IF($U67=0,0,SUMPRODUCT((ABERTURAS!$N$7:$N$26=$U67)*ABERTURAS!$V$7:$V$26*(((($Y67)+(ABERTURAS!$P$7:$P$26)-ABS(($Y67)-(ABERTURAS!$P$7:$P$26)))/2-(($X67)+(ABERTURAS!$O$7:$O$26)+ABS(($X67)-(ABERTURAS!$O$7:$O$26)))/2)+ABS((($Y67)+(ABERTURAS!$P$7:$P$26)-ABS(($Y67)-(ABERTURAS!$P$7:$P$26)))/2-(($X67)+(ABERTURAS!$O$7:$O$26)+ABS(($X67)-(ABERTURAS!$O$7:$O$26)))/2))/2*(((($AA67)+(ABERTURAS!$R$7:$R$26)-ABS(($AA67)-(ABERTURAS!$R$7:$R$26)))/2-(($Z67)+(ABERTURAS!$Q$7:$Q$26)+ABS(($Z67)-(ABERTURAS!$Q$7:$Q$26)))/2)+ABS((($AA67)+(ABERTURAS!$R$7:$R$26)-ABS(($AA67)-(ABERTURAS!$R$7:$R$26)))/2-(($Z67)+(ABERTURAS!$Q$7:$Q$26)+ABS(($Z67)-(ABERTURAS!$Q$7:$Q$26)))/2))/2))</f>
        <v>0</v>
      </c>
      <c r="R67" s="30" t="n">
        <f aca="false">MAX(0,$O67-$P67)</f>
        <v>5.77125</v>
      </c>
      <c r="S67" s="30" t="n">
        <f aca="false">MAX(0,$O67-$Q67)</f>
        <v>5.77125</v>
      </c>
      <c r="T67" s="50" t="n">
        <f aca="false">IF($D67="",0,IF($E67="VERTICAL",N($G67),MAX(N($I67),IF($K67="",N($I67),$K67))))</f>
        <v>9.94</v>
      </c>
      <c r="U67" s="50" t="n">
        <f aca="false">IF($L67&lt;&gt;"OK",0,VALUE(RIGHT($C67,1)))</f>
        <v>3</v>
      </c>
      <c r="V67" s="50" t="n">
        <f aca="false">IF($D67="",0,(N($H67)+IF($J67="",N($H67),$J67))/2)</f>
        <v>9</v>
      </c>
      <c r="W67" s="50" t="n">
        <f aca="false">IF($D67="",0,(N($I67)+IF($K67="",N($I67),$K67))/2)</f>
        <v>9.855</v>
      </c>
      <c r="X67" s="50" t="n">
        <f aca="false">IF($E67="VERTICAL",$V67,N($F67))</f>
        <v>6.75</v>
      </c>
      <c r="Y67" s="50" t="n">
        <f aca="false">IF($E67="VERTICAL",$W67,N($G67))</f>
        <v>13.5</v>
      </c>
      <c r="Z67" s="50" t="n">
        <f aca="false">IF($E67="VERTICAL",N($F67),$V67)</f>
        <v>9</v>
      </c>
      <c r="AA67" s="50" t="n">
        <f aca="false">IF($E67="VERTICAL",N($G67),$W67)</f>
        <v>9.855</v>
      </c>
      <c r="AB67" s="30" t="n">
        <f aca="false">IF($L67&lt;&gt;"OK",0,(INDEX(PRESIONES!$D$28:$D$31,$U67)*IF(INDEX(PRESIONES!$D$28:$D$31,$U67)&gt;0,PRESIONES!$C$9*IF($T67&lt;=10,1,($T67/10)^(2/DATOS!$C$56)),PRESIONES!$C$15)-ABERTURAS!$L$60*PRESIONES!$C$12)*$R67/$M67)</f>
        <v>53.7077219671995</v>
      </c>
      <c r="AC67" s="30" t="n">
        <f aca="false">IF($L67&lt;&gt;"OK",0,(INDEX(PRESIONES!$G$28:$G$31,$U67)*IF(INDEX(PRESIONES!$G$28:$G$31,$U67)&gt;0,PRESIONES!$C$9*IF($T67&lt;=10,1,($T67/10)^(2/DATOS!$C$56)),PRESIONES!$C$15)-ABERTURAS!$L$61*PRESIONES!$C$12)*$R67/$M67)</f>
        <v>0.355721967199418</v>
      </c>
      <c r="AD67" s="30" t="n">
        <f aca="false">IF($L67&lt;&gt;"OK",0,(INDEX(PRESIONES!$J$28:$J$31,$U67)*IF(INDEX(PRESIONES!$J$28:$J$31,$U67)&gt;0,PRESIONES!$C$9*IF($T67&lt;=10,1,($T67/10)^(2/DATOS!$C$56)),PRESIONES!$C$15)-ABERTURAS!$L$62*PRESIONES!$C$12)*$R67/$M67)</f>
        <v>-3.6771336393607</v>
      </c>
      <c r="AE67" s="30" t="n">
        <f aca="false">IF($L67&lt;&gt;"OK",0,(INDEX(PRESIONES!$M$28:$M$31,$U67)*IF(INDEX(PRESIONES!$M$28:$M$31,$U67)&gt;0,PRESIONES!$C$9*IF($T67&lt;=10,1,($T67/10)^(2/DATOS!$C$56)),PRESIONES!$C$15)-ABERTURAS!$L$63*PRESIONES!$C$12)*$R67/$M67)</f>
        <v>-60.0415829507992</v>
      </c>
      <c r="AF67" s="30" t="n">
        <f aca="false">IF($L67&lt;&gt;"OK",0,(INDEX(PRESIONES!$D$28:$D$31,$U67)*IF(INDEX(PRESIONES!$D$28:$D$31,$U67)&gt;0,PRESIONES!$C$9*IF($T67&lt;=10,1,($T67/10)^(2/DATOS!$C$56)),PRESIONES!$C$15)-ABERTURAS!$L$64*PRESIONES!$C$12)*$S67/$M67)</f>
        <v>53.7077219671995</v>
      </c>
      <c r="AG67" s="30" t="n">
        <f aca="false">IF($L67&lt;&gt;"OK",0,(INDEX(PRESIONES!$G$28:$G$31,$U67)*IF(INDEX(PRESIONES!$G$28:$G$31,$U67)&gt;0,PRESIONES!$C$9*IF($T67&lt;=10,1,($T67/10)^(2/DATOS!$C$56)),PRESIONES!$C$15)-ABERTURAS!$L$65*PRESIONES!$C$12)*$S67/$M67)</f>
        <v>0.355721967199418</v>
      </c>
      <c r="AH67" s="30" t="n">
        <f aca="false">IF($L67&lt;&gt;"OK",0,(INDEX(PRESIONES!$J$28:$J$31,$U67)*IF(INDEX(PRESIONES!$J$28:$J$31,$U67)&gt;0,PRESIONES!$C$9*IF($T67&lt;=10,1,($T67/10)^(2/DATOS!$C$56)),PRESIONES!$C$15)-ABERTURAS!$L$66*PRESIONES!$C$12)*$S67/$M67)</f>
        <v>-3.6771336393607</v>
      </c>
      <c r="AI67" s="30" t="n">
        <f aca="false">IF($L67&lt;&gt;"OK",0,(INDEX(PRESIONES!$M$28:$M$31,$U67)*IF(INDEX(PRESIONES!$M$28:$M$31,$U67)&gt;0,PRESIONES!$C$9*IF($T67&lt;=10,1,($T67/10)^(2/DATOS!$C$56)),PRESIONES!$C$15)-ABERTURAS!$L$67*PRESIONES!$C$12)*$S67/$M67)</f>
        <v>-60.0415829507992</v>
      </c>
    </row>
    <row r="68" customFormat="false" ht="16.5" hidden="false" customHeight="true" outlineLevel="0" collapsed="false">
      <c r="B68" s="27" t="s">
        <v>477</v>
      </c>
      <c r="C68" s="17" t="s">
        <v>430</v>
      </c>
      <c r="D68" s="27" t="s">
        <v>478</v>
      </c>
      <c r="E68" s="17" t="s">
        <v>432</v>
      </c>
      <c r="F68" s="49" t="n">
        <v>13.5</v>
      </c>
      <c r="G68" s="49" t="n">
        <v>16</v>
      </c>
      <c r="H68" s="49" t="n">
        <v>9</v>
      </c>
      <c r="I68" s="49" t="n">
        <v>9.77</v>
      </c>
      <c r="J68" s="49"/>
      <c r="K68" s="49" t="n">
        <v>9.71</v>
      </c>
      <c r="L68" s="20" t="str">
        <f aca="false">IF($D68="","",IF(LEFT($C68,4)&lt;&gt;"MURO","PON EL MURO",IF(AND($E68&lt;&gt;"HORIZONTAL",$E68&lt;&gt;"VERTICAL"),"PON EL SENTIDO",IF(OR($F68="",$G68="",$H68="",$I68=""),"FALTAN a o b",IF($M68&lt;=0,"a₂ DEBE SER &gt; a₁",IF($N68&lt;=0,"b₂ DEBE SER &gt; b₁","OK"))))))</f>
        <v>OK</v>
      </c>
      <c r="M68" s="30" t="n">
        <f aca="false">IF($D68="",0,MAX(0,$G68-$F68))</f>
        <v>2.5</v>
      </c>
      <c r="N68" s="30" t="n">
        <f aca="false">MAX(0,$W68-$V68)</f>
        <v>0.74</v>
      </c>
      <c r="O68" s="30" t="n">
        <f aca="false">$M68*$N68</f>
        <v>1.85</v>
      </c>
      <c r="P68" s="30" t="n">
        <f aca="false">IF($U68=0,0,SUMPRODUCT((ABERTURAS!$N$7:$N$26=$U68)*ABERTURAS!$U$7:$U$26*(((($Y68)+(ABERTURAS!$P$7:$P$26)-ABS(($Y68)-(ABERTURAS!$P$7:$P$26)))/2-(($X68)+(ABERTURAS!$O$7:$O$26)+ABS(($X68)-(ABERTURAS!$O$7:$O$26)))/2)+ABS((($Y68)+(ABERTURAS!$P$7:$P$26)-ABS(($Y68)-(ABERTURAS!$P$7:$P$26)))/2-(($X68)+(ABERTURAS!$O$7:$O$26)+ABS(($X68)-(ABERTURAS!$O$7:$O$26)))/2))/2*(((($AA68)+(ABERTURAS!$R$7:$R$26)-ABS(($AA68)-(ABERTURAS!$R$7:$R$26)))/2-(($Z68)+(ABERTURAS!$Q$7:$Q$26)+ABS(($Z68)-(ABERTURAS!$Q$7:$Q$26)))/2)+ABS((($AA68)+(ABERTURAS!$R$7:$R$26)-ABS(($AA68)-(ABERTURAS!$R$7:$R$26)))/2-(($Z68)+(ABERTURAS!$Q$7:$Q$26)+ABS(($Z68)-(ABERTURAS!$Q$7:$Q$26)))/2))/2))</f>
        <v>0</v>
      </c>
      <c r="Q68" s="30" t="n">
        <f aca="false">IF($U68=0,0,SUMPRODUCT((ABERTURAS!$N$7:$N$26=$U68)*ABERTURAS!$V$7:$V$26*(((($Y68)+(ABERTURAS!$P$7:$P$26)-ABS(($Y68)-(ABERTURAS!$P$7:$P$26)))/2-(($X68)+(ABERTURAS!$O$7:$O$26)+ABS(($X68)-(ABERTURAS!$O$7:$O$26)))/2)+ABS((($Y68)+(ABERTURAS!$P$7:$P$26)-ABS(($Y68)-(ABERTURAS!$P$7:$P$26)))/2-(($X68)+(ABERTURAS!$O$7:$O$26)+ABS(($X68)-(ABERTURAS!$O$7:$O$26)))/2))/2*(((($AA68)+(ABERTURAS!$R$7:$R$26)-ABS(($AA68)-(ABERTURAS!$R$7:$R$26)))/2-(($Z68)+(ABERTURAS!$Q$7:$Q$26)+ABS(($Z68)-(ABERTURAS!$Q$7:$Q$26)))/2)+ABS((($AA68)+(ABERTURAS!$R$7:$R$26)-ABS(($AA68)-(ABERTURAS!$R$7:$R$26)))/2-(($Z68)+(ABERTURAS!$Q$7:$Q$26)+ABS(($Z68)-(ABERTURAS!$Q$7:$Q$26)))/2))/2))</f>
        <v>0</v>
      </c>
      <c r="R68" s="30" t="n">
        <f aca="false">MAX(0,$O68-$P68)</f>
        <v>1.85</v>
      </c>
      <c r="S68" s="30" t="n">
        <f aca="false">MAX(0,$O68-$Q68)</f>
        <v>1.85</v>
      </c>
      <c r="T68" s="50" t="n">
        <f aca="false">IF($D68="",0,IF($E68="VERTICAL",N($G68),MAX(N($I68),IF($K68="",N($I68),$K68))))</f>
        <v>9.77</v>
      </c>
      <c r="U68" s="50" t="n">
        <f aca="false">IF($L68&lt;&gt;"OK",0,VALUE(RIGHT($C68,1)))</f>
        <v>3</v>
      </c>
      <c r="V68" s="50" t="n">
        <f aca="false">IF($D68="",0,(N($H68)+IF($J68="",N($H68),$J68))/2)</f>
        <v>9</v>
      </c>
      <c r="W68" s="50" t="n">
        <f aca="false">IF($D68="",0,(N($I68)+IF($K68="",N($I68),$K68))/2)</f>
        <v>9.74</v>
      </c>
      <c r="X68" s="50" t="n">
        <f aca="false">IF($E68="VERTICAL",$V68,N($F68))</f>
        <v>13.5</v>
      </c>
      <c r="Y68" s="50" t="n">
        <f aca="false">IF($E68="VERTICAL",$W68,N($G68))</f>
        <v>16</v>
      </c>
      <c r="Z68" s="50" t="n">
        <f aca="false">IF($E68="VERTICAL",N($F68),$V68)</f>
        <v>9</v>
      </c>
      <c r="AA68" s="50" t="n">
        <f aca="false">IF($E68="VERTICAL",N($G68),$W68)</f>
        <v>9.74</v>
      </c>
      <c r="AB68" s="30" t="n">
        <f aca="false">IF($L68&lt;&gt;"OK",0,(INDEX(PRESIONES!$D$28:$D$31,$U68)*IF(INDEX(PRESIONES!$D$28:$D$31,$U68)&gt;0,PRESIONES!$C$9*IF($T68&lt;=10,1,($T68/10)^(2/DATOS!$C$56)),PRESIONES!$C$15)-ABERTURAS!$L$60*PRESIONES!$C$12)*$R68/$M68)</f>
        <v>46.4838763224884</v>
      </c>
      <c r="AC68" s="30" t="n">
        <f aca="false">IF($L68&lt;&gt;"OK",0,(INDEX(PRESIONES!$G$28:$G$31,$U68)*IF(INDEX(PRESIONES!$G$28:$G$31,$U68)&gt;0,PRESIONES!$C$9*IF($T68&lt;=10,1,($T68/10)^(2/DATOS!$C$56)),PRESIONES!$C$15)-ABERTURAS!$L$61*PRESIONES!$C$12)*$R68/$M68)</f>
        <v>0.307876322488385</v>
      </c>
      <c r="AD68" s="30" t="n">
        <f aca="false">IF($L68&lt;&gt;"OK",0,(INDEX(PRESIONES!$J$28:$J$31,$U68)*IF(INDEX(PRESIONES!$J$28:$J$31,$U68)&gt;0,PRESIONES!$C$9*IF($T68&lt;=10,1,($T68/10)^(2/DATOS!$C$56)),PRESIONES!$C$15)-ABERTURAS!$L$62*PRESIONES!$C$12)*$R68/$M68)</f>
        <v>-3.18254841301394</v>
      </c>
      <c r="AE68" s="30" t="n">
        <f aca="false">IF($L68&lt;&gt;"OK",0,(INDEX(PRESIONES!$M$28:$M$31,$U68)*IF(INDEX(PRESIONES!$M$28:$M$31,$U68)&gt;0,PRESIONES!$C$9*IF($T68&lt;=10,1,($T68/10)^(2/DATOS!$C$56)),PRESIONES!$C$15)-ABERTURAS!$L$63*PRESIONES!$C$12)*$R68/$M68)</f>
        <v>-51.9658144837326</v>
      </c>
      <c r="AF68" s="30" t="n">
        <f aca="false">IF($L68&lt;&gt;"OK",0,(INDEX(PRESIONES!$D$28:$D$31,$U68)*IF(INDEX(PRESIONES!$D$28:$D$31,$U68)&gt;0,PRESIONES!$C$9*IF($T68&lt;=10,1,($T68/10)^(2/DATOS!$C$56)),PRESIONES!$C$15)-ABERTURAS!$L$64*PRESIONES!$C$12)*$S68/$M68)</f>
        <v>46.4838763224884</v>
      </c>
      <c r="AG68" s="30" t="n">
        <f aca="false">IF($L68&lt;&gt;"OK",0,(INDEX(PRESIONES!$G$28:$G$31,$U68)*IF(INDEX(PRESIONES!$G$28:$G$31,$U68)&gt;0,PRESIONES!$C$9*IF($T68&lt;=10,1,($T68/10)^(2/DATOS!$C$56)),PRESIONES!$C$15)-ABERTURAS!$L$65*PRESIONES!$C$12)*$S68/$M68)</f>
        <v>0.307876322488385</v>
      </c>
      <c r="AH68" s="30" t="n">
        <f aca="false">IF($L68&lt;&gt;"OK",0,(INDEX(PRESIONES!$J$28:$J$31,$U68)*IF(INDEX(PRESIONES!$J$28:$J$31,$U68)&gt;0,PRESIONES!$C$9*IF($T68&lt;=10,1,($T68/10)^(2/DATOS!$C$56)),PRESIONES!$C$15)-ABERTURAS!$L$66*PRESIONES!$C$12)*$S68/$M68)</f>
        <v>-3.18254841301394</v>
      </c>
      <c r="AI68" s="30" t="n">
        <f aca="false">IF($L68&lt;&gt;"OK",0,(INDEX(PRESIONES!$M$28:$M$31,$U68)*IF(INDEX(PRESIONES!$M$28:$M$31,$U68)&gt;0,PRESIONES!$C$9*IF($T68&lt;=10,1,($T68/10)^(2/DATOS!$C$56)),PRESIONES!$C$15)-ABERTURAS!$L$67*PRESIONES!$C$12)*$S68/$M68)</f>
        <v>-51.9658144837326</v>
      </c>
    </row>
    <row r="69" customFormat="false" ht="16.5" hidden="false" customHeight="true" outlineLevel="0" collapsed="false">
      <c r="B69" s="27" t="s">
        <v>479</v>
      </c>
      <c r="C69" s="17" t="s">
        <v>480</v>
      </c>
      <c r="D69" s="27" t="s">
        <v>481</v>
      </c>
      <c r="E69" s="17" t="s">
        <v>432</v>
      </c>
      <c r="F69" s="49" t="n">
        <v>0</v>
      </c>
      <c r="G69" s="49" t="n">
        <v>6.75</v>
      </c>
      <c r="H69" s="49" t="n">
        <v>0.6</v>
      </c>
      <c r="I69" s="49" t="n">
        <v>1.8</v>
      </c>
      <c r="J69" s="49"/>
      <c r="K69" s="49"/>
      <c r="L69" s="20" t="str">
        <f aca="false">IF($D69="","",IF(LEFT($C69,4)&lt;&gt;"MURO","PON EL MURO",IF(AND($E69&lt;&gt;"HORIZONTAL",$E69&lt;&gt;"VERTICAL"),"PON EL SENTIDO",IF(OR($F69="",$G69="",$H69="",$I69=""),"FALTAN a o b",IF($M69&lt;=0,"a₂ DEBE SER &gt; a₁",IF($N69&lt;=0,"b₂ DEBE SER &gt; b₁","OK"))))))</f>
        <v>OK</v>
      </c>
      <c r="M69" s="30" t="n">
        <f aca="false">IF($D69="",0,MAX(0,$G69-$F69))</f>
        <v>6.75</v>
      </c>
      <c r="N69" s="30" t="n">
        <f aca="false">MAX(0,$W69-$V69)</f>
        <v>1.2</v>
      </c>
      <c r="O69" s="30" t="n">
        <f aca="false">$M69*$N69</f>
        <v>8.1</v>
      </c>
      <c r="P69" s="30" t="n">
        <f aca="false">IF($U69=0,0,SUMPRODUCT((ABERTURAS!$N$7:$N$26=$U69)*ABERTURAS!$U$7:$U$26*(((($Y69)+(ABERTURAS!$P$7:$P$26)-ABS(($Y69)-(ABERTURAS!$P$7:$P$26)))/2-(($X69)+(ABERTURAS!$O$7:$O$26)+ABS(($X69)-(ABERTURAS!$O$7:$O$26)))/2)+ABS((($Y69)+(ABERTURAS!$P$7:$P$26)-ABS(($Y69)-(ABERTURAS!$P$7:$P$26)))/2-(($X69)+(ABERTURAS!$O$7:$O$26)+ABS(($X69)-(ABERTURAS!$O$7:$O$26)))/2))/2*(((($AA69)+(ABERTURAS!$R$7:$R$26)-ABS(($AA69)-(ABERTURAS!$R$7:$R$26)))/2-(($Z69)+(ABERTURAS!$Q$7:$Q$26)+ABS(($Z69)-(ABERTURAS!$Q$7:$Q$26)))/2)+ABS((($AA69)+(ABERTURAS!$R$7:$R$26)-ABS(($AA69)-(ABERTURAS!$R$7:$R$26)))/2-(($Z69)+(ABERTURAS!$Q$7:$Q$26)+ABS(($Z69)-(ABERTURAS!$Q$7:$Q$26)))/2))/2))</f>
        <v>0</v>
      </c>
      <c r="Q69" s="30" t="n">
        <f aca="false">IF($U69=0,0,SUMPRODUCT((ABERTURAS!$N$7:$N$26=$U69)*ABERTURAS!$V$7:$V$26*(((($Y69)+(ABERTURAS!$P$7:$P$26)-ABS(($Y69)-(ABERTURAS!$P$7:$P$26)))/2-(($X69)+(ABERTURAS!$O$7:$O$26)+ABS(($X69)-(ABERTURAS!$O$7:$O$26)))/2)+ABS((($Y69)+(ABERTURAS!$P$7:$P$26)-ABS(($Y69)-(ABERTURAS!$P$7:$P$26)))/2-(($X69)+(ABERTURAS!$O$7:$O$26)+ABS(($X69)-(ABERTURAS!$O$7:$O$26)))/2))/2*(((($AA69)+(ABERTURAS!$R$7:$R$26)-ABS(($AA69)-(ABERTURAS!$R$7:$R$26)))/2-(($Z69)+(ABERTURAS!$Q$7:$Q$26)+ABS(($Z69)-(ABERTURAS!$Q$7:$Q$26)))/2)+ABS((($AA69)+(ABERTURAS!$R$7:$R$26)-ABS(($AA69)-(ABERTURAS!$R$7:$R$26)))/2-(($Z69)+(ABERTURAS!$Q$7:$Q$26)+ABS(($Z69)-(ABERTURAS!$Q$7:$Q$26)))/2))/2))</f>
        <v>0</v>
      </c>
      <c r="R69" s="30" t="n">
        <f aca="false">MAX(0,$O69-$P69)</f>
        <v>8.1</v>
      </c>
      <c r="S69" s="30" t="n">
        <f aca="false">MAX(0,$O69-$Q69)</f>
        <v>8.1</v>
      </c>
      <c r="T69" s="50" t="n">
        <f aca="false">IF($D69="",0,IF($E69="VERTICAL",N($G69),MAX(N($I69),IF($K69="",N($I69),$K69))))</f>
        <v>1.8</v>
      </c>
      <c r="U69" s="50" t="n">
        <f aca="false">IF($L69&lt;&gt;"OK",0,VALUE(RIGHT($C69,1)))</f>
        <v>4</v>
      </c>
      <c r="V69" s="50" t="n">
        <f aca="false">IF($D69="",0,(N($H69)+IF($J69="",N($H69),$J69))/2)</f>
        <v>0.6</v>
      </c>
      <c r="W69" s="50" t="n">
        <f aca="false">IF($D69="",0,(N($I69)+IF($K69="",N($I69),$K69))/2)</f>
        <v>1.8</v>
      </c>
      <c r="X69" s="50" t="n">
        <f aca="false">IF($E69="VERTICAL",$V69,N($F69))</f>
        <v>0</v>
      </c>
      <c r="Y69" s="50" t="n">
        <f aca="false">IF($E69="VERTICAL",$W69,N($G69))</f>
        <v>6.75</v>
      </c>
      <c r="Z69" s="50" t="n">
        <f aca="false">IF($E69="VERTICAL",N($F69),$V69)</f>
        <v>0.6</v>
      </c>
      <c r="AA69" s="50" t="n">
        <f aca="false">IF($E69="VERTICAL",N($G69),$W69)</f>
        <v>1.8</v>
      </c>
      <c r="AB69" s="30" t="n">
        <f aca="false">IF($L69&lt;&gt;"OK",0,(INDEX(PRESIONES!$D$28:$D$31,$U69)*IF(INDEX(PRESIONES!$D$28:$D$31,$U69)&gt;0,PRESIONES!$C$9*IF($T69&lt;=10,1,($T69/10)^(2/DATOS!$C$56)),PRESIONES!$C$15)-ABERTURAS!$L$60*PRESIONES!$C$12)*$R69/$M69)</f>
        <v>0.499258901332516</v>
      </c>
      <c r="AC69" s="30" t="n">
        <f aca="false">IF($L69&lt;&gt;"OK",0,(INDEX(PRESIONES!$G$28:$G$31,$U69)*IF(INDEX(PRESIONES!$G$28:$G$31,$U69)&gt;0,PRESIONES!$C$9*IF($T69&lt;=10,1,($T69/10)^(2/DATOS!$C$56)),PRESIONES!$C$15)-ABERTURAS!$L$61*PRESIONES!$C$12)*$R69/$M69)</f>
        <v>75.3792589013325</v>
      </c>
      <c r="AD69" s="30" t="n">
        <f aca="false">IF($L69&lt;&gt;"OK",0,(INDEX(PRESIONES!$J$28:$J$31,$U69)*IF(INDEX(PRESIONES!$J$28:$J$31,$U69)&gt;0,PRESIONES!$C$9*IF($T69&lt;=10,1,($T69/10)^(2/DATOS!$C$56)),PRESIONES!$C$15)-ABERTURAS!$L$62*PRESIONES!$C$12)*$R69/$M69)</f>
        <v>-5.16088931840098</v>
      </c>
      <c r="AE69" s="30" t="n">
        <f aca="false">IF($L69&lt;&gt;"OK",0,(INDEX(PRESIONES!$M$28:$M$31,$U69)*IF(INDEX(PRESIONES!$M$28:$M$31,$U69)&gt;0,PRESIONES!$C$9*IF($T69&lt;=10,1,($T69/10)^(2/DATOS!$C$56)),PRESIONES!$C$15)-ABERTURAS!$L$63*PRESIONES!$C$12)*$R69/$M69)</f>
        <v>-84.2688883519988</v>
      </c>
      <c r="AF69" s="30" t="n">
        <f aca="false">IF($L69&lt;&gt;"OK",0,(INDEX(PRESIONES!$D$28:$D$31,$U69)*IF(INDEX(PRESIONES!$D$28:$D$31,$U69)&gt;0,PRESIONES!$C$9*IF($T69&lt;=10,1,($T69/10)^(2/DATOS!$C$56)),PRESIONES!$C$15)-ABERTURAS!$L$64*PRESIONES!$C$12)*$S69/$M69)</f>
        <v>0.499258901332516</v>
      </c>
      <c r="AG69" s="30" t="n">
        <f aca="false">IF($L69&lt;&gt;"OK",0,(INDEX(PRESIONES!$G$28:$G$31,$U69)*IF(INDEX(PRESIONES!$G$28:$G$31,$U69)&gt;0,PRESIONES!$C$9*IF($T69&lt;=10,1,($T69/10)^(2/DATOS!$C$56)),PRESIONES!$C$15)-ABERTURAS!$L$65*PRESIONES!$C$12)*$S69/$M69)</f>
        <v>75.3792589013325</v>
      </c>
      <c r="AH69" s="30" t="n">
        <f aca="false">IF($L69&lt;&gt;"OK",0,(INDEX(PRESIONES!$J$28:$J$31,$U69)*IF(INDEX(PRESIONES!$J$28:$J$31,$U69)&gt;0,PRESIONES!$C$9*IF($T69&lt;=10,1,($T69/10)^(2/DATOS!$C$56)),PRESIONES!$C$15)-ABERTURAS!$L$66*PRESIONES!$C$12)*$S69/$M69)</f>
        <v>-5.16088931840098</v>
      </c>
      <c r="AI69" s="30" t="n">
        <f aca="false">IF($L69&lt;&gt;"OK",0,(INDEX(PRESIONES!$M$28:$M$31,$U69)*IF(INDEX(PRESIONES!$M$28:$M$31,$U69)&gt;0,PRESIONES!$C$9*IF($T69&lt;=10,1,($T69/10)^(2/DATOS!$C$56)),PRESIONES!$C$15)-ABERTURAS!$L$67*PRESIONES!$C$12)*$S69/$M69)</f>
        <v>-84.2688883519988</v>
      </c>
    </row>
    <row r="70" customFormat="false" ht="16.5" hidden="false" customHeight="true" outlineLevel="0" collapsed="false">
      <c r="B70" s="27" t="s">
        <v>482</v>
      </c>
      <c r="C70" s="17" t="s">
        <v>480</v>
      </c>
      <c r="D70" s="27" t="s">
        <v>483</v>
      </c>
      <c r="E70" s="17" t="s">
        <v>432</v>
      </c>
      <c r="F70" s="49" t="n">
        <v>6.75</v>
      </c>
      <c r="G70" s="49" t="n">
        <v>13.5</v>
      </c>
      <c r="H70" s="49" t="n">
        <v>0.6</v>
      </c>
      <c r="I70" s="49" t="n">
        <v>1.8</v>
      </c>
      <c r="J70" s="49"/>
      <c r="K70" s="49"/>
      <c r="L70" s="20" t="str">
        <f aca="false">IF($D70="","",IF(LEFT($C70,4)&lt;&gt;"MURO","PON EL MURO",IF(AND($E70&lt;&gt;"HORIZONTAL",$E70&lt;&gt;"VERTICAL"),"PON EL SENTIDO",IF(OR($F70="",$G70="",$H70="",$I70=""),"FALTAN a o b",IF($M70&lt;=0,"a₂ DEBE SER &gt; a₁",IF($N70&lt;=0,"b₂ DEBE SER &gt; b₁","OK"))))))</f>
        <v>OK</v>
      </c>
      <c r="M70" s="30" t="n">
        <f aca="false">IF($D70="",0,MAX(0,$G70-$F70))</f>
        <v>6.75</v>
      </c>
      <c r="N70" s="30" t="n">
        <f aca="false">MAX(0,$W70-$V70)</f>
        <v>1.2</v>
      </c>
      <c r="O70" s="30" t="n">
        <f aca="false">$M70*$N70</f>
        <v>8.1</v>
      </c>
      <c r="P70" s="30" t="n">
        <f aca="false">IF($U70=0,0,SUMPRODUCT((ABERTURAS!$N$7:$N$26=$U70)*ABERTURAS!$U$7:$U$26*(((($Y70)+(ABERTURAS!$P$7:$P$26)-ABS(($Y70)-(ABERTURAS!$P$7:$P$26)))/2-(($X70)+(ABERTURAS!$O$7:$O$26)+ABS(($X70)-(ABERTURAS!$O$7:$O$26)))/2)+ABS((($Y70)+(ABERTURAS!$P$7:$P$26)-ABS(($Y70)-(ABERTURAS!$P$7:$P$26)))/2-(($X70)+(ABERTURAS!$O$7:$O$26)+ABS(($X70)-(ABERTURAS!$O$7:$O$26)))/2))/2*(((($AA70)+(ABERTURAS!$R$7:$R$26)-ABS(($AA70)-(ABERTURAS!$R$7:$R$26)))/2-(($Z70)+(ABERTURAS!$Q$7:$Q$26)+ABS(($Z70)-(ABERTURAS!$Q$7:$Q$26)))/2)+ABS((($AA70)+(ABERTURAS!$R$7:$R$26)-ABS(($AA70)-(ABERTURAS!$R$7:$R$26)))/2-(($Z70)+(ABERTURAS!$Q$7:$Q$26)+ABS(($Z70)-(ABERTURAS!$Q$7:$Q$26)))/2))/2))</f>
        <v>0</v>
      </c>
      <c r="Q70" s="30" t="n">
        <f aca="false">IF($U70=0,0,SUMPRODUCT((ABERTURAS!$N$7:$N$26=$U70)*ABERTURAS!$V$7:$V$26*(((($Y70)+(ABERTURAS!$P$7:$P$26)-ABS(($Y70)-(ABERTURAS!$P$7:$P$26)))/2-(($X70)+(ABERTURAS!$O$7:$O$26)+ABS(($X70)-(ABERTURAS!$O$7:$O$26)))/2)+ABS((($Y70)+(ABERTURAS!$P$7:$P$26)-ABS(($Y70)-(ABERTURAS!$P$7:$P$26)))/2-(($X70)+(ABERTURAS!$O$7:$O$26)+ABS(($X70)-(ABERTURAS!$O$7:$O$26)))/2))/2*(((($AA70)+(ABERTURAS!$R$7:$R$26)-ABS(($AA70)-(ABERTURAS!$R$7:$R$26)))/2-(($Z70)+(ABERTURAS!$Q$7:$Q$26)+ABS(($Z70)-(ABERTURAS!$Q$7:$Q$26)))/2)+ABS((($AA70)+(ABERTURAS!$R$7:$R$26)-ABS(($AA70)-(ABERTURAS!$R$7:$R$26)))/2-(($Z70)+(ABERTURAS!$Q$7:$Q$26)+ABS(($Z70)-(ABERTURAS!$Q$7:$Q$26)))/2))/2))</f>
        <v>0</v>
      </c>
      <c r="R70" s="30" t="n">
        <f aca="false">MAX(0,$O70-$P70)</f>
        <v>8.1</v>
      </c>
      <c r="S70" s="30" t="n">
        <f aca="false">MAX(0,$O70-$Q70)</f>
        <v>8.1</v>
      </c>
      <c r="T70" s="50" t="n">
        <f aca="false">IF($D70="",0,IF($E70="VERTICAL",N($G70),MAX(N($I70),IF($K70="",N($I70),$K70))))</f>
        <v>1.8</v>
      </c>
      <c r="U70" s="50" t="n">
        <f aca="false">IF($L70&lt;&gt;"OK",0,VALUE(RIGHT($C70,1)))</f>
        <v>4</v>
      </c>
      <c r="V70" s="50" t="n">
        <f aca="false">IF($D70="",0,(N($H70)+IF($J70="",N($H70),$J70))/2)</f>
        <v>0.6</v>
      </c>
      <c r="W70" s="50" t="n">
        <f aca="false">IF($D70="",0,(N($I70)+IF($K70="",N($I70),$K70))/2)</f>
        <v>1.8</v>
      </c>
      <c r="X70" s="50" t="n">
        <f aca="false">IF($E70="VERTICAL",$V70,N($F70))</f>
        <v>6.75</v>
      </c>
      <c r="Y70" s="50" t="n">
        <f aca="false">IF($E70="VERTICAL",$W70,N($G70))</f>
        <v>13.5</v>
      </c>
      <c r="Z70" s="50" t="n">
        <f aca="false">IF($E70="VERTICAL",N($F70),$V70)</f>
        <v>0.6</v>
      </c>
      <c r="AA70" s="50" t="n">
        <f aca="false">IF($E70="VERTICAL",N($G70),$W70)</f>
        <v>1.8</v>
      </c>
      <c r="AB70" s="30" t="n">
        <f aca="false">IF($L70&lt;&gt;"OK",0,(INDEX(PRESIONES!$D$28:$D$31,$U70)*IF(INDEX(PRESIONES!$D$28:$D$31,$U70)&gt;0,PRESIONES!$C$9*IF($T70&lt;=10,1,($T70/10)^(2/DATOS!$C$56)),PRESIONES!$C$15)-ABERTURAS!$L$60*PRESIONES!$C$12)*$R70/$M70)</f>
        <v>0.499258901332516</v>
      </c>
      <c r="AC70" s="30" t="n">
        <f aca="false">IF($L70&lt;&gt;"OK",0,(INDEX(PRESIONES!$G$28:$G$31,$U70)*IF(INDEX(PRESIONES!$G$28:$G$31,$U70)&gt;0,PRESIONES!$C$9*IF($T70&lt;=10,1,($T70/10)^(2/DATOS!$C$56)),PRESIONES!$C$15)-ABERTURAS!$L$61*PRESIONES!$C$12)*$R70/$M70)</f>
        <v>75.3792589013325</v>
      </c>
      <c r="AD70" s="30" t="n">
        <f aca="false">IF($L70&lt;&gt;"OK",0,(INDEX(PRESIONES!$J$28:$J$31,$U70)*IF(INDEX(PRESIONES!$J$28:$J$31,$U70)&gt;0,PRESIONES!$C$9*IF($T70&lt;=10,1,($T70/10)^(2/DATOS!$C$56)),PRESIONES!$C$15)-ABERTURAS!$L$62*PRESIONES!$C$12)*$R70/$M70)</f>
        <v>-5.16088931840098</v>
      </c>
      <c r="AE70" s="30" t="n">
        <f aca="false">IF($L70&lt;&gt;"OK",0,(INDEX(PRESIONES!$M$28:$M$31,$U70)*IF(INDEX(PRESIONES!$M$28:$M$31,$U70)&gt;0,PRESIONES!$C$9*IF($T70&lt;=10,1,($T70/10)^(2/DATOS!$C$56)),PRESIONES!$C$15)-ABERTURAS!$L$63*PRESIONES!$C$12)*$R70/$M70)</f>
        <v>-84.2688883519988</v>
      </c>
      <c r="AF70" s="30" t="n">
        <f aca="false">IF($L70&lt;&gt;"OK",0,(INDEX(PRESIONES!$D$28:$D$31,$U70)*IF(INDEX(PRESIONES!$D$28:$D$31,$U70)&gt;0,PRESIONES!$C$9*IF($T70&lt;=10,1,($T70/10)^(2/DATOS!$C$56)),PRESIONES!$C$15)-ABERTURAS!$L$64*PRESIONES!$C$12)*$S70/$M70)</f>
        <v>0.499258901332516</v>
      </c>
      <c r="AG70" s="30" t="n">
        <f aca="false">IF($L70&lt;&gt;"OK",0,(INDEX(PRESIONES!$G$28:$G$31,$U70)*IF(INDEX(PRESIONES!$G$28:$G$31,$U70)&gt;0,PRESIONES!$C$9*IF($T70&lt;=10,1,($T70/10)^(2/DATOS!$C$56)),PRESIONES!$C$15)-ABERTURAS!$L$65*PRESIONES!$C$12)*$S70/$M70)</f>
        <v>75.3792589013325</v>
      </c>
      <c r="AH70" s="30" t="n">
        <f aca="false">IF($L70&lt;&gt;"OK",0,(INDEX(PRESIONES!$J$28:$J$31,$U70)*IF(INDEX(PRESIONES!$J$28:$J$31,$U70)&gt;0,PRESIONES!$C$9*IF($T70&lt;=10,1,($T70/10)^(2/DATOS!$C$56)),PRESIONES!$C$15)-ABERTURAS!$L$66*PRESIONES!$C$12)*$S70/$M70)</f>
        <v>-5.16088931840098</v>
      </c>
      <c r="AI70" s="30" t="n">
        <f aca="false">IF($L70&lt;&gt;"OK",0,(INDEX(PRESIONES!$M$28:$M$31,$U70)*IF(INDEX(PRESIONES!$M$28:$M$31,$U70)&gt;0,PRESIONES!$C$9*IF($T70&lt;=10,1,($T70/10)^(2/DATOS!$C$56)),PRESIONES!$C$15)-ABERTURAS!$L$67*PRESIONES!$C$12)*$S70/$M70)</f>
        <v>-84.2688883519988</v>
      </c>
    </row>
    <row r="71" customFormat="false" ht="16.5" hidden="false" customHeight="true" outlineLevel="0" collapsed="false">
      <c r="B71" s="27" t="s">
        <v>484</v>
      </c>
      <c r="C71" s="17" t="s">
        <v>480</v>
      </c>
      <c r="D71" s="27" t="s">
        <v>485</v>
      </c>
      <c r="E71" s="17" t="s">
        <v>432</v>
      </c>
      <c r="F71" s="49" t="n">
        <v>13.5</v>
      </c>
      <c r="G71" s="49" t="n">
        <v>16</v>
      </c>
      <c r="H71" s="49" t="n">
        <v>0.6</v>
      </c>
      <c r="I71" s="49" t="n">
        <v>1.8</v>
      </c>
      <c r="J71" s="49"/>
      <c r="K71" s="49"/>
      <c r="L71" s="20" t="str">
        <f aca="false">IF($D71="","",IF(LEFT($C71,4)&lt;&gt;"MURO","PON EL MURO",IF(AND($E71&lt;&gt;"HORIZONTAL",$E71&lt;&gt;"VERTICAL"),"PON EL SENTIDO",IF(OR($F71="",$G71="",$H71="",$I71=""),"FALTAN a o b",IF($M71&lt;=0,"a₂ DEBE SER &gt; a₁",IF($N71&lt;=0,"b₂ DEBE SER &gt; b₁","OK"))))))</f>
        <v>OK</v>
      </c>
      <c r="M71" s="30" t="n">
        <f aca="false">IF($D71="",0,MAX(0,$G71-$F71))</f>
        <v>2.5</v>
      </c>
      <c r="N71" s="30" t="n">
        <f aca="false">MAX(0,$W71-$V71)</f>
        <v>1.2</v>
      </c>
      <c r="O71" s="30" t="n">
        <f aca="false">$M71*$N71</f>
        <v>3</v>
      </c>
      <c r="P71" s="30" t="n">
        <f aca="false">IF($U71=0,0,SUMPRODUCT((ABERTURAS!$N$7:$N$26=$U71)*ABERTURAS!$U$7:$U$26*(((($Y71)+(ABERTURAS!$P$7:$P$26)-ABS(($Y71)-(ABERTURAS!$P$7:$P$26)))/2-(($X71)+(ABERTURAS!$O$7:$O$26)+ABS(($X71)-(ABERTURAS!$O$7:$O$26)))/2)+ABS((($Y71)+(ABERTURAS!$P$7:$P$26)-ABS(($Y71)-(ABERTURAS!$P$7:$P$26)))/2-(($X71)+(ABERTURAS!$O$7:$O$26)+ABS(($X71)-(ABERTURAS!$O$7:$O$26)))/2))/2*(((($AA71)+(ABERTURAS!$R$7:$R$26)-ABS(($AA71)-(ABERTURAS!$R$7:$R$26)))/2-(($Z71)+(ABERTURAS!$Q$7:$Q$26)+ABS(($Z71)-(ABERTURAS!$Q$7:$Q$26)))/2)+ABS((($AA71)+(ABERTURAS!$R$7:$R$26)-ABS(($AA71)-(ABERTURAS!$R$7:$R$26)))/2-(($Z71)+(ABERTURAS!$Q$7:$Q$26)+ABS(($Z71)-(ABERTURAS!$Q$7:$Q$26)))/2))/2))</f>
        <v>0</v>
      </c>
      <c r="Q71" s="30" t="n">
        <f aca="false">IF($U71=0,0,SUMPRODUCT((ABERTURAS!$N$7:$N$26=$U71)*ABERTURAS!$V$7:$V$26*(((($Y71)+(ABERTURAS!$P$7:$P$26)-ABS(($Y71)-(ABERTURAS!$P$7:$P$26)))/2-(($X71)+(ABERTURAS!$O$7:$O$26)+ABS(($X71)-(ABERTURAS!$O$7:$O$26)))/2)+ABS((($Y71)+(ABERTURAS!$P$7:$P$26)-ABS(($Y71)-(ABERTURAS!$P$7:$P$26)))/2-(($X71)+(ABERTURAS!$O$7:$O$26)+ABS(($X71)-(ABERTURAS!$O$7:$O$26)))/2))/2*(((($AA71)+(ABERTURAS!$R$7:$R$26)-ABS(($AA71)-(ABERTURAS!$R$7:$R$26)))/2-(($Z71)+(ABERTURAS!$Q$7:$Q$26)+ABS(($Z71)-(ABERTURAS!$Q$7:$Q$26)))/2)+ABS((($AA71)+(ABERTURAS!$R$7:$R$26)-ABS(($AA71)-(ABERTURAS!$R$7:$R$26)))/2-(($Z71)+(ABERTURAS!$Q$7:$Q$26)+ABS(($Z71)-(ABERTURAS!$Q$7:$Q$26)))/2))/2))</f>
        <v>0</v>
      </c>
      <c r="R71" s="30" t="n">
        <f aca="false">MAX(0,$O71-$P71)</f>
        <v>3</v>
      </c>
      <c r="S71" s="30" t="n">
        <f aca="false">MAX(0,$O71-$Q71)</f>
        <v>3</v>
      </c>
      <c r="T71" s="50" t="n">
        <f aca="false">IF($D71="",0,IF($E71="VERTICAL",N($G71),MAX(N($I71),IF($K71="",N($I71),$K71))))</f>
        <v>1.8</v>
      </c>
      <c r="U71" s="50" t="n">
        <f aca="false">IF($L71&lt;&gt;"OK",0,VALUE(RIGHT($C71,1)))</f>
        <v>4</v>
      </c>
      <c r="V71" s="50" t="n">
        <f aca="false">IF($D71="",0,(N($H71)+IF($J71="",N($H71),$J71))/2)</f>
        <v>0.6</v>
      </c>
      <c r="W71" s="50" t="n">
        <f aca="false">IF($D71="",0,(N($I71)+IF($K71="",N($I71),$K71))/2)</f>
        <v>1.8</v>
      </c>
      <c r="X71" s="50" t="n">
        <f aca="false">IF($E71="VERTICAL",$V71,N($F71))</f>
        <v>13.5</v>
      </c>
      <c r="Y71" s="50" t="n">
        <f aca="false">IF($E71="VERTICAL",$W71,N($G71))</f>
        <v>16</v>
      </c>
      <c r="Z71" s="50" t="n">
        <f aca="false">IF($E71="VERTICAL",N($F71),$V71)</f>
        <v>0.6</v>
      </c>
      <c r="AA71" s="50" t="n">
        <f aca="false">IF($E71="VERTICAL",N($G71),$W71)</f>
        <v>1.8</v>
      </c>
      <c r="AB71" s="30" t="n">
        <f aca="false">IF($L71&lt;&gt;"OK",0,(INDEX(PRESIONES!$D$28:$D$31,$U71)*IF(INDEX(PRESIONES!$D$28:$D$31,$U71)&gt;0,PRESIONES!$C$9*IF($T71&lt;=10,1,($T71/10)^(2/DATOS!$C$56)),PRESIONES!$C$15)-ABERTURAS!$L$60*PRESIONES!$C$12)*$R71/$M71)</f>
        <v>0.499258901332516</v>
      </c>
      <c r="AC71" s="30" t="n">
        <f aca="false">IF($L71&lt;&gt;"OK",0,(INDEX(PRESIONES!$G$28:$G$31,$U71)*IF(INDEX(PRESIONES!$G$28:$G$31,$U71)&gt;0,PRESIONES!$C$9*IF($T71&lt;=10,1,($T71/10)^(2/DATOS!$C$56)),PRESIONES!$C$15)-ABERTURAS!$L$61*PRESIONES!$C$12)*$R71/$M71)</f>
        <v>75.3792589013325</v>
      </c>
      <c r="AD71" s="30" t="n">
        <f aca="false">IF($L71&lt;&gt;"OK",0,(INDEX(PRESIONES!$J$28:$J$31,$U71)*IF(INDEX(PRESIONES!$J$28:$J$31,$U71)&gt;0,PRESIONES!$C$9*IF($T71&lt;=10,1,($T71/10)^(2/DATOS!$C$56)),PRESIONES!$C$15)-ABERTURAS!$L$62*PRESIONES!$C$12)*$R71/$M71)</f>
        <v>-5.16088931840098</v>
      </c>
      <c r="AE71" s="30" t="n">
        <f aca="false">IF($L71&lt;&gt;"OK",0,(INDEX(PRESIONES!$M$28:$M$31,$U71)*IF(INDEX(PRESIONES!$M$28:$M$31,$U71)&gt;0,PRESIONES!$C$9*IF($T71&lt;=10,1,($T71/10)^(2/DATOS!$C$56)),PRESIONES!$C$15)-ABERTURAS!$L$63*PRESIONES!$C$12)*$R71/$M71)</f>
        <v>-84.2688883519988</v>
      </c>
      <c r="AF71" s="30" t="n">
        <f aca="false">IF($L71&lt;&gt;"OK",0,(INDEX(PRESIONES!$D$28:$D$31,$U71)*IF(INDEX(PRESIONES!$D$28:$D$31,$U71)&gt;0,PRESIONES!$C$9*IF($T71&lt;=10,1,($T71/10)^(2/DATOS!$C$56)),PRESIONES!$C$15)-ABERTURAS!$L$64*PRESIONES!$C$12)*$S71/$M71)</f>
        <v>0.499258901332516</v>
      </c>
      <c r="AG71" s="30" t="n">
        <f aca="false">IF($L71&lt;&gt;"OK",0,(INDEX(PRESIONES!$G$28:$G$31,$U71)*IF(INDEX(PRESIONES!$G$28:$G$31,$U71)&gt;0,PRESIONES!$C$9*IF($T71&lt;=10,1,($T71/10)^(2/DATOS!$C$56)),PRESIONES!$C$15)-ABERTURAS!$L$65*PRESIONES!$C$12)*$S71/$M71)</f>
        <v>75.3792589013325</v>
      </c>
      <c r="AH71" s="30" t="n">
        <f aca="false">IF($L71&lt;&gt;"OK",0,(INDEX(PRESIONES!$J$28:$J$31,$U71)*IF(INDEX(PRESIONES!$J$28:$J$31,$U71)&gt;0,PRESIONES!$C$9*IF($T71&lt;=10,1,($T71/10)^(2/DATOS!$C$56)),PRESIONES!$C$15)-ABERTURAS!$L$66*PRESIONES!$C$12)*$S71/$M71)</f>
        <v>-5.16088931840098</v>
      </c>
      <c r="AI71" s="30" t="n">
        <f aca="false">IF($L71&lt;&gt;"OK",0,(INDEX(PRESIONES!$M$28:$M$31,$U71)*IF(INDEX(PRESIONES!$M$28:$M$31,$U71)&gt;0,PRESIONES!$C$9*IF($T71&lt;=10,1,($T71/10)^(2/DATOS!$C$56)),PRESIONES!$C$15)-ABERTURAS!$L$67*PRESIONES!$C$12)*$S71/$M71)</f>
        <v>-84.2688883519988</v>
      </c>
    </row>
    <row r="72" customFormat="false" ht="16.5" hidden="false" customHeight="true" outlineLevel="0" collapsed="false">
      <c r="B72" s="27" t="s">
        <v>486</v>
      </c>
      <c r="C72" s="17" t="s">
        <v>480</v>
      </c>
      <c r="D72" s="27" t="s">
        <v>487</v>
      </c>
      <c r="E72" s="17" t="s">
        <v>432</v>
      </c>
      <c r="F72" s="49" t="n">
        <v>0</v>
      </c>
      <c r="G72" s="49" t="n">
        <v>6.75</v>
      </c>
      <c r="H72" s="49" t="n">
        <v>1.8</v>
      </c>
      <c r="I72" s="49" t="n">
        <v>3</v>
      </c>
      <c r="J72" s="49"/>
      <c r="K72" s="49"/>
      <c r="L72" s="20" t="str">
        <f aca="false">IF($D72="","",IF(LEFT($C72,4)&lt;&gt;"MURO","PON EL MURO",IF(AND($E72&lt;&gt;"HORIZONTAL",$E72&lt;&gt;"VERTICAL"),"PON EL SENTIDO",IF(OR($F72="",$G72="",$H72="",$I72=""),"FALTAN a o b",IF($M72&lt;=0,"a₂ DEBE SER &gt; a₁",IF($N72&lt;=0,"b₂ DEBE SER &gt; b₁","OK"))))))</f>
        <v>OK</v>
      </c>
      <c r="M72" s="30" t="n">
        <f aca="false">IF($D72="",0,MAX(0,$G72-$F72))</f>
        <v>6.75</v>
      </c>
      <c r="N72" s="30" t="n">
        <f aca="false">MAX(0,$W72-$V72)</f>
        <v>1.2</v>
      </c>
      <c r="O72" s="30" t="n">
        <f aca="false">$M72*$N72</f>
        <v>8.1</v>
      </c>
      <c r="P72" s="30" t="n">
        <f aca="false">IF($U72=0,0,SUMPRODUCT((ABERTURAS!$N$7:$N$26=$U72)*ABERTURAS!$U$7:$U$26*(((($Y72)+(ABERTURAS!$P$7:$P$26)-ABS(($Y72)-(ABERTURAS!$P$7:$P$26)))/2-(($X72)+(ABERTURAS!$O$7:$O$26)+ABS(($X72)-(ABERTURAS!$O$7:$O$26)))/2)+ABS((($Y72)+(ABERTURAS!$P$7:$P$26)-ABS(($Y72)-(ABERTURAS!$P$7:$P$26)))/2-(($X72)+(ABERTURAS!$O$7:$O$26)+ABS(($X72)-(ABERTURAS!$O$7:$O$26)))/2))/2*(((($AA72)+(ABERTURAS!$R$7:$R$26)-ABS(($AA72)-(ABERTURAS!$R$7:$R$26)))/2-(($Z72)+(ABERTURAS!$Q$7:$Q$26)+ABS(($Z72)-(ABERTURAS!$Q$7:$Q$26)))/2)+ABS((($AA72)+(ABERTURAS!$R$7:$R$26)-ABS(($AA72)-(ABERTURAS!$R$7:$R$26)))/2-(($Z72)+(ABERTURAS!$Q$7:$Q$26)+ABS(($Z72)-(ABERTURAS!$Q$7:$Q$26)))/2))/2))</f>
        <v>0</v>
      </c>
      <c r="Q72" s="30" t="n">
        <f aca="false">IF($U72=0,0,SUMPRODUCT((ABERTURAS!$N$7:$N$26=$U72)*ABERTURAS!$V$7:$V$26*(((($Y72)+(ABERTURAS!$P$7:$P$26)-ABS(($Y72)-(ABERTURAS!$P$7:$P$26)))/2-(($X72)+(ABERTURAS!$O$7:$O$26)+ABS(($X72)-(ABERTURAS!$O$7:$O$26)))/2)+ABS((($Y72)+(ABERTURAS!$P$7:$P$26)-ABS(($Y72)-(ABERTURAS!$P$7:$P$26)))/2-(($X72)+(ABERTURAS!$O$7:$O$26)+ABS(($X72)-(ABERTURAS!$O$7:$O$26)))/2))/2*(((($AA72)+(ABERTURAS!$R$7:$R$26)-ABS(($AA72)-(ABERTURAS!$R$7:$R$26)))/2-(($Z72)+(ABERTURAS!$Q$7:$Q$26)+ABS(($Z72)-(ABERTURAS!$Q$7:$Q$26)))/2)+ABS((($AA72)+(ABERTURAS!$R$7:$R$26)-ABS(($AA72)-(ABERTURAS!$R$7:$R$26)))/2-(($Z72)+(ABERTURAS!$Q$7:$Q$26)+ABS(($Z72)-(ABERTURAS!$Q$7:$Q$26)))/2))/2))</f>
        <v>0</v>
      </c>
      <c r="R72" s="30" t="n">
        <f aca="false">MAX(0,$O72-$P72)</f>
        <v>8.1</v>
      </c>
      <c r="S72" s="30" t="n">
        <f aca="false">MAX(0,$O72-$Q72)</f>
        <v>8.1</v>
      </c>
      <c r="T72" s="50" t="n">
        <f aca="false">IF($D72="",0,IF($E72="VERTICAL",N($G72),MAX(N($I72),IF($K72="",N($I72),$K72))))</f>
        <v>3</v>
      </c>
      <c r="U72" s="50" t="n">
        <f aca="false">IF($L72&lt;&gt;"OK",0,VALUE(RIGHT($C72,1)))</f>
        <v>4</v>
      </c>
      <c r="V72" s="50" t="n">
        <f aca="false">IF($D72="",0,(N($H72)+IF($J72="",N($H72),$J72))/2)</f>
        <v>1.8</v>
      </c>
      <c r="W72" s="50" t="n">
        <f aca="false">IF($D72="",0,(N($I72)+IF($K72="",N($I72),$K72))/2)</f>
        <v>3</v>
      </c>
      <c r="X72" s="50" t="n">
        <f aca="false">IF($E72="VERTICAL",$V72,N($F72))</f>
        <v>0</v>
      </c>
      <c r="Y72" s="50" t="n">
        <f aca="false">IF($E72="VERTICAL",$W72,N($G72))</f>
        <v>6.75</v>
      </c>
      <c r="Z72" s="50" t="n">
        <f aca="false">IF($E72="VERTICAL",N($F72),$V72)</f>
        <v>1.8</v>
      </c>
      <c r="AA72" s="50" t="n">
        <f aca="false">IF($E72="VERTICAL",N($G72),$W72)</f>
        <v>3</v>
      </c>
      <c r="AB72" s="30" t="n">
        <f aca="false">IF($L72&lt;&gt;"OK",0,(INDEX(PRESIONES!$D$28:$D$31,$U72)*IF(INDEX(PRESIONES!$D$28:$D$31,$U72)&gt;0,PRESIONES!$C$9*IF($T72&lt;=10,1,($T72/10)^(2/DATOS!$C$56)),PRESIONES!$C$15)-ABERTURAS!$L$60*PRESIONES!$C$12)*$R72/$M72)</f>
        <v>0.499258901332516</v>
      </c>
      <c r="AC72" s="30" t="n">
        <f aca="false">IF($L72&lt;&gt;"OK",0,(INDEX(PRESIONES!$G$28:$G$31,$U72)*IF(INDEX(PRESIONES!$G$28:$G$31,$U72)&gt;0,PRESIONES!$C$9*IF($T72&lt;=10,1,($T72/10)^(2/DATOS!$C$56)),PRESIONES!$C$15)-ABERTURAS!$L$61*PRESIONES!$C$12)*$R72/$M72)</f>
        <v>75.3792589013325</v>
      </c>
      <c r="AD72" s="30" t="n">
        <f aca="false">IF($L72&lt;&gt;"OK",0,(INDEX(PRESIONES!$J$28:$J$31,$U72)*IF(INDEX(PRESIONES!$J$28:$J$31,$U72)&gt;0,PRESIONES!$C$9*IF($T72&lt;=10,1,($T72/10)^(2/DATOS!$C$56)),PRESIONES!$C$15)-ABERTURAS!$L$62*PRESIONES!$C$12)*$R72/$M72)</f>
        <v>-5.16088931840098</v>
      </c>
      <c r="AE72" s="30" t="n">
        <f aca="false">IF($L72&lt;&gt;"OK",0,(INDEX(PRESIONES!$M$28:$M$31,$U72)*IF(INDEX(PRESIONES!$M$28:$M$31,$U72)&gt;0,PRESIONES!$C$9*IF($T72&lt;=10,1,($T72/10)^(2/DATOS!$C$56)),PRESIONES!$C$15)-ABERTURAS!$L$63*PRESIONES!$C$12)*$R72/$M72)</f>
        <v>-84.2688883519988</v>
      </c>
      <c r="AF72" s="30" t="n">
        <f aca="false">IF($L72&lt;&gt;"OK",0,(INDEX(PRESIONES!$D$28:$D$31,$U72)*IF(INDEX(PRESIONES!$D$28:$D$31,$U72)&gt;0,PRESIONES!$C$9*IF($T72&lt;=10,1,($T72/10)^(2/DATOS!$C$56)),PRESIONES!$C$15)-ABERTURAS!$L$64*PRESIONES!$C$12)*$S72/$M72)</f>
        <v>0.499258901332516</v>
      </c>
      <c r="AG72" s="30" t="n">
        <f aca="false">IF($L72&lt;&gt;"OK",0,(INDEX(PRESIONES!$G$28:$G$31,$U72)*IF(INDEX(PRESIONES!$G$28:$G$31,$U72)&gt;0,PRESIONES!$C$9*IF($T72&lt;=10,1,($T72/10)^(2/DATOS!$C$56)),PRESIONES!$C$15)-ABERTURAS!$L$65*PRESIONES!$C$12)*$S72/$M72)</f>
        <v>75.3792589013325</v>
      </c>
      <c r="AH72" s="30" t="n">
        <f aca="false">IF($L72&lt;&gt;"OK",0,(INDEX(PRESIONES!$J$28:$J$31,$U72)*IF(INDEX(PRESIONES!$J$28:$J$31,$U72)&gt;0,PRESIONES!$C$9*IF($T72&lt;=10,1,($T72/10)^(2/DATOS!$C$56)),PRESIONES!$C$15)-ABERTURAS!$L$66*PRESIONES!$C$12)*$S72/$M72)</f>
        <v>-5.16088931840098</v>
      </c>
      <c r="AI72" s="30" t="n">
        <f aca="false">IF($L72&lt;&gt;"OK",0,(INDEX(PRESIONES!$M$28:$M$31,$U72)*IF(INDEX(PRESIONES!$M$28:$M$31,$U72)&gt;0,PRESIONES!$C$9*IF($T72&lt;=10,1,($T72/10)^(2/DATOS!$C$56)),PRESIONES!$C$15)-ABERTURAS!$L$67*PRESIONES!$C$12)*$S72/$M72)</f>
        <v>-84.2688883519988</v>
      </c>
    </row>
    <row r="73" customFormat="false" ht="16.5" hidden="false" customHeight="true" outlineLevel="0" collapsed="false">
      <c r="B73" s="27" t="s">
        <v>488</v>
      </c>
      <c r="C73" s="17" t="s">
        <v>480</v>
      </c>
      <c r="D73" s="27" t="s">
        <v>489</v>
      </c>
      <c r="E73" s="17" t="s">
        <v>432</v>
      </c>
      <c r="F73" s="49" t="n">
        <v>6.75</v>
      </c>
      <c r="G73" s="49" t="n">
        <v>13.5</v>
      </c>
      <c r="H73" s="49" t="n">
        <v>1.8</v>
      </c>
      <c r="I73" s="49" t="n">
        <v>3</v>
      </c>
      <c r="J73" s="49"/>
      <c r="K73" s="49"/>
      <c r="L73" s="20" t="str">
        <f aca="false">IF($D73="","",IF(LEFT($C73,4)&lt;&gt;"MURO","PON EL MURO",IF(AND($E73&lt;&gt;"HORIZONTAL",$E73&lt;&gt;"VERTICAL"),"PON EL SENTIDO",IF(OR($F73="",$G73="",$H73="",$I73=""),"FALTAN a o b",IF($M73&lt;=0,"a₂ DEBE SER &gt; a₁",IF($N73&lt;=0,"b₂ DEBE SER &gt; b₁","OK"))))))</f>
        <v>OK</v>
      </c>
      <c r="M73" s="30" t="n">
        <f aca="false">IF($D73="",0,MAX(0,$G73-$F73))</f>
        <v>6.75</v>
      </c>
      <c r="N73" s="30" t="n">
        <f aca="false">MAX(0,$W73-$V73)</f>
        <v>1.2</v>
      </c>
      <c r="O73" s="30" t="n">
        <f aca="false">$M73*$N73</f>
        <v>8.1</v>
      </c>
      <c r="P73" s="30" t="n">
        <f aca="false">IF($U73=0,0,SUMPRODUCT((ABERTURAS!$N$7:$N$26=$U73)*ABERTURAS!$U$7:$U$26*(((($Y73)+(ABERTURAS!$P$7:$P$26)-ABS(($Y73)-(ABERTURAS!$P$7:$P$26)))/2-(($X73)+(ABERTURAS!$O$7:$O$26)+ABS(($X73)-(ABERTURAS!$O$7:$O$26)))/2)+ABS((($Y73)+(ABERTURAS!$P$7:$P$26)-ABS(($Y73)-(ABERTURAS!$P$7:$P$26)))/2-(($X73)+(ABERTURAS!$O$7:$O$26)+ABS(($X73)-(ABERTURAS!$O$7:$O$26)))/2))/2*(((($AA73)+(ABERTURAS!$R$7:$R$26)-ABS(($AA73)-(ABERTURAS!$R$7:$R$26)))/2-(($Z73)+(ABERTURAS!$Q$7:$Q$26)+ABS(($Z73)-(ABERTURAS!$Q$7:$Q$26)))/2)+ABS((($AA73)+(ABERTURAS!$R$7:$R$26)-ABS(($AA73)-(ABERTURAS!$R$7:$R$26)))/2-(($Z73)+(ABERTURAS!$Q$7:$Q$26)+ABS(($Z73)-(ABERTURAS!$Q$7:$Q$26)))/2))/2))</f>
        <v>0</v>
      </c>
      <c r="Q73" s="30" t="n">
        <f aca="false">IF($U73=0,0,SUMPRODUCT((ABERTURAS!$N$7:$N$26=$U73)*ABERTURAS!$V$7:$V$26*(((($Y73)+(ABERTURAS!$P$7:$P$26)-ABS(($Y73)-(ABERTURAS!$P$7:$P$26)))/2-(($X73)+(ABERTURAS!$O$7:$O$26)+ABS(($X73)-(ABERTURAS!$O$7:$O$26)))/2)+ABS((($Y73)+(ABERTURAS!$P$7:$P$26)-ABS(($Y73)-(ABERTURAS!$P$7:$P$26)))/2-(($X73)+(ABERTURAS!$O$7:$O$26)+ABS(($X73)-(ABERTURAS!$O$7:$O$26)))/2))/2*(((($AA73)+(ABERTURAS!$R$7:$R$26)-ABS(($AA73)-(ABERTURAS!$R$7:$R$26)))/2-(($Z73)+(ABERTURAS!$Q$7:$Q$26)+ABS(($Z73)-(ABERTURAS!$Q$7:$Q$26)))/2)+ABS((($AA73)+(ABERTURAS!$R$7:$R$26)-ABS(($AA73)-(ABERTURAS!$R$7:$R$26)))/2-(($Z73)+(ABERTURAS!$Q$7:$Q$26)+ABS(($Z73)-(ABERTURAS!$Q$7:$Q$26)))/2))/2))</f>
        <v>0</v>
      </c>
      <c r="R73" s="30" t="n">
        <f aca="false">MAX(0,$O73-$P73)</f>
        <v>8.1</v>
      </c>
      <c r="S73" s="30" t="n">
        <f aca="false">MAX(0,$O73-$Q73)</f>
        <v>8.1</v>
      </c>
      <c r="T73" s="50" t="n">
        <f aca="false">IF($D73="",0,IF($E73="VERTICAL",N($G73),MAX(N($I73),IF($K73="",N($I73),$K73))))</f>
        <v>3</v>
      </c>
      <c r="U73" s="50" t="n">
        <f aca="false">IF($L73&lt;&gt;"OK",0,VALUE(RIGHT($C73,1)))</f>
        <v>4</v>
      </c>
      <c r="V73" s="50" t="n">
        <f aca="false">IF($D73="",0,(N($H73)+IF($J73="",N($H73),$J73))/2)</f>
        <v>1.8</v>
      </c>
      <c r="W73" s="50" t="n">
        <f aca="false">IF($D73="",0,(N($I73)+IF($K73="",N($I73),$K73))/2)</f>
        <v>3</v>
      </c>
      <c r="X73" s="50" t="n">
        <f aca="false">IF($E73="VERTICAL",$V73,N($F73))</f>
        <v>6.75</v>
      </c>
      <c r="Y73" s="50" t="n">
        <f aca="false">IF($E73="VERTICAL",$W73,N($G73))</f>
        <v>13.5</v>
      </c>
      <c r="Z73" s="50" t="n">
        <f aca="false">IF($E73="VERTICAL",N($F73),$V73)</f>
        <v>1.8</v>
      </c>
      <c r="AA73" s="50" t="n">
        <f aca="false">IF($E73="VERTICAL",N($G73),$W73)</f>
        <v>3</v>
      </c>
      <c r="AB73" s="30" t="n">
        <f aca="false">IF($L73&lt;&gt;"OK",0,(INDEX(PRESIONES!$D$28:$D$31,$U73)*IF(INDEX(PRESIONES!$D$28:$D$31,$U73)&gt;0,PRESIONES!$C$9*IF($T73&lt;=10,1,($T73/10)^(2/DATOS!$C$56)),PRESIONES!$C$15)-ABERTURAS!$L$60*PRESIONES!$C$12)*$R73/$M73)</f>
        <v>0.499258901332516</v>
      </c>
      <c r="AC73" s="30" t="n">
        <f aca="false">IF($L73&lt;&gt;"OK",0,(INDEX(PRESIONES!$G$28:$G$31,$U73)*IF(INDEX(PRESIONES!$G$28:$G$31,$U73)&gt;0,PRESIONES!$C$9*IF($T73&lt;=10,1,($T73/10)^(2/DATOS!$C$56)),PRESIONES!$C$15)-ABERTURAS!$L$61*PRESIONES!$C$12)*$R73/$M73)</f>
        <v>75.3792589013325</v>
      </c>
      <c r="AD73" s="30" t="n">
        <f aca="false">IF($L73&lt;&gt;"OK",0,(INDEX(PRESIONES!$J$28:$J$31,$U73)*IF(INDEX(PRESIONES!$J$28:$J$31,$U73)&gt;0,PRESIONES!$C$9*IF($T73&lt;=10,1,($T73/10)^(2/DATOS!$C$56)),PRESIONES!$C$15)-ABERTURAS!$L$62*PRESIONES!$C$12)*$R73/$M73)</f>
        <v>-5.16088931840098</v>
      </c>
      <c r="AE73" s="30" t="n">
        <f aca="false">IF($L73&lt;&gt;"OK",0,(INDEX(PRESIONES!$M$28:$M$31,$U73)*IF(INDEX(PRESIONES!$M$28:$M$31,$U73)&gt;0,PRESIONES!$C$9*IF($T73&lt;=10,1,($T73/10)^(2/DATOS!$C$56)),PRESIONES!$C$15)-ABERTURAS!$L$63*PRESIONES!$C$12)*$R73/$M73)</f>
        <v>-84.2688883519988</v>
      </c>
      <c r="AF73" s="30" t="n">
        <f aca="false">IF($L73&lt;&gt;"OK",0,(INDEX(PRESIONES!$D$28:$D$31,$U73)*IF(INDEX(PRESIONES!$D$28:$D$31,$U73)&gt;0,PRESIONES!$C$9*IF($T73&lt;=10,1,($T73/10)^(2/DATOS!$C$56)),PRESIONES!$C$15)-ABERTURAS!$L$64*PRESIONES!$C$12)*$S73/$M73)</f>
        <v>0.499258901332516</v>
      </c>
      <c r="AG73" s="30" t="n">
        <f aca="false">IF($L73&lt;&gt;"OK",0,(INDEX(PRESIONES!$G$28:$G$31,$U73)*IF(INDEX(PRESIONES!$G$28:$G$31,$U73)&gt;0,PRESIONES!$C$9*IF($T73&lt;=10,1,($T73/10)^(2/DATOS!$C$56)),PRESIONES!$C$15)-ABERTURAS!$L$65*PRESIONES!$C$12)*$S73/$M73)</f>
        <v>75.3792589013325</v>
      </c>
      <c r="AH73" s="30" t="n">
        <f aca="false">IF($L73&lt;&gt;"OK",0,(INDEX(PRESIONES!$J$28:$J$31,$U73)*IF(INDEX(PRESIONES!$J$28:$J$31,$U73)&gt;0,PRESIONES!$C$9*IF($T73&lt;=10,1,($T73/10)^(2/DATOS!$C$56)),PRESIONES!$C$15)-ABERTURAS!$L$66*PRESIONES!$C$12)*$S73/$M73)</f>
        <v>-5.16088931840098</v>
      </c>
      <c r="AI73" s="30" t="n">
        <f aca="false">IF($L73&lt;&gt;"OK",0,(INDEX(PRESIONES!$M$28:$M$31,$U73)*IF(INDEX(PRESIONES!$M$28:$M$31,$U73)&gt;0,PRESIONES!$C$9*IF($T73&lt;=10,1,($T73/10)^(2/DATOS!$C$56)),PRESIONES!$C$15)-ABERTURAS!$L$67*PRESIONES!$C$12)*$S73/$M73)</f>
        <v>-84.2688883519988</v>
      </c>
    </row>
    <row r="74" customFormat="false" ht="16.5" hidden="false" customHeight="true" outlineLevel="0" collapsed="false">
      <c r="B74" s="27" t="s">
        <v>490</v>
      </c>
      <c r="C74" s="17" t="s">
        <v>480</v>
      </c>
      <c r="D74" s="27" t="s">
        <v>491</v>
      </c>
      <c r="E74" s="17" t="s">
        <v>432</v>
      </c>
      <c r="F74" s="49" t="n">
        <v>13.5</v>
      </c>
      <c r="G74" s="49" t="n">
        <v>16</v>
      </c>
      <c r="H74" s="49" t="n">
        <v>1.8</v>
      </c>
      <c r="I74" s="49" t="n">
        <v>3</v>
      </c>
      <c r="J74" s="49"/>
      <c r="K74" s="49"/>
      <c r="L74" s="20" t="str">
        <f aca="false">IF($D74="","",IF(LEFT($C74,4)&lt;&gt;"MURO","PON EL MURO",IF(AND($E74&lt;&gt;"HORIZONTAL",$E74&lt;&gt;"VERTICAL"),"PON EL SENTIDO",IF(OR($F74="",$G74="",$H74="",$I74=""),"FALTAN a o b",IF($M74&lt;=0,"a₂ DEBE SER &gt; a₁",IF($N74&lt;=0,"b₂ DEBE SER &gt; b₁","OK"))))))</f>
        <v>OK</v>
      </c>
      <c r="M74" s="30" t="n">
        <f aca="false">IF($D74="",0,MAX(0,$G74-$F74))</f>
        <v>2.5</v>
      </c>
      <c r="N74" s="30" t="n">
        <f aca="false">MAX(0,$W74-$V74)</f>
        <v>1.2</v>
      </c>
      <c r="O74" s="30" t="n">
        <f aca="false">$M74*$N74</f>
        <v>3</v>
      </c>
      <c r="P74" s="30" t="n">
        <f aca="false">IF($U74=0,0,SUMPRODUCT((ABERTURAS!$N$7:$N$26=$U74)*ABERTURAS!$U$7:$U$26*(((($Y74)+(ABERTURAS!$P$7:$P$26)-ABS(($Y74)-(ABERTURAS!$P$7:$P$26)))/2-(($X74)+(ABERTURAS!$O$7:$O$26)+ABS(($X74)-(ABERTURAS!$O$7:$O$26)))/2)+ABS((($Y74)+(ABERTURAS!$P$7:$P$26)-ABS(($Y74)-(ABERTURAS!$P$7:$P$26)))/2-(($X74)+(ABERTURAS!$O$7:$O$26)+ABS(($X74)-(ABERTURAS!$O$7:$O$26)))/2))/2*(((($AA74)+(ABERTURAS!$R$7:$R$26)-ABS(($AA74)-(ABERTURAS!$R$7:$R$26)))/2-(($Z74)+(ABERTURAS!$Q$7:$Q$26)+ABS(($Z74)-(ABERTURAS!$Q$7:$Q$26)))/2)+ABS((($AA74)+(ABERTURAS!$R$7:$R$26)-ABS(($AA74)-(ABERTURAS!$R$7:$R$26)))/2-(($Z74)+(ABERTURAS!$Q$7:$Q$26)+ABS(($Z74)-(ABERTURAS!$Q$7:$Q$26)))/2))/2))</f>
        <v>0</v>
      </c>
      <c r="Q74" s="30" t="n">
        <f aca="false">IF($U74=0,0,SUMPRODUCT((ABERTURAS!$N$7:$N$26=$U74)*ABERTURAS!$V$7:$V$26*(((($Y74)+(ABERTURAS!$P$7:$P$26)-ABS(($Y74)-(ABERTURAS!$P$7:$P$26)))/2-(($X74)+(ABERTURAS!$O$7:$O$26)+ABS(($X74)-(ABERTURAS!$O$7:$O$26)))/2)+ABS((($Y74)+(ABERTURAS!$P$7:$P$26)-ABS(($Y74)-(ABERTURAS!$P$7:$P$26)))/2-(($X74)+(ABERTURAS!$O$7:$O$26)+ABS(($X74)-(ABERTURAS!$O$7:$O$26)))/2))/2*(((($AA74)+(ABERTURAS!$R$7:$R$26)-ABS(($AA74)-(ABERTURAS!$R$7:$R$26)))/2-(($Z74)+(ABERTURAS!$Q$7:$Q$26)+ABS(($Z74)-(ABERTURAS!$Q$7:$Q$26)))/2)+ABS((($AA74)+(ABERTURAS!$R$7:$R$26)-ABS(($AA74)-(ABERTURAS!$R$7:$R$26)))/2-(($Z74)+(ABERTURAS!$Q$7:$Q$26)+ABS(($Z74)-(ABERTURAS!$Q$7:$Q$26)))/2))/2))</f>
        <v>0</v>
      </c>
      <c r="R74" s="30" t="n">
        <f aca="false">MAX(0,$O74-$P74)</f>
        <v>3</v>
      </c>
      <c r="S74" s="30" t="n">
        <f aca="false">MAX(0,$O74-$Q74)</f>
        <v>3</v>
      </c>
      <c r="T74" s="50" t="n">
        <f aca="false">IF($D74="",0,IF($E74="VERTICAL",N($G74),MAX(N($I74),IF($K74="",N($I74),$K74))))</f>
        <v>3</v>
      </c>
      <c r="U74" s="50" t="n">
        <f aca="false">IF($L74&lt;&gt;"OK",0,VALUE(RIGHT($C74,1)))</f>
        <v>4</v>
      </c>
      <c r="V74" s="50" t="n">
        <f aca="false">IF($D74="",0,(N($H74)+IF($J74="",N($H74),$J74))/2)</f>
        <v>1.8</v>
      </c>
      <c r="W74" s="50" t="n">
        <f aca="false">IF($D74="",0,(N($I74)+IF($K74="",N($I74),$K74))/2)</f>
        <v>3</v>
      </c>
      <c r="X74" s="50" t="n">
        <f aca="false">IF($E74="VERTICAL",$V74,N($F74))</f>
        <v>13.5</v>
      </c>
      <c r="Y74" s="50" t="n">
        <f aca="false">IF($E74="VERTICAL",$W74,N($G74))</f>
        <v>16</v>
      </c>
      <c r="Z74" s="50" t="n">
        <f aca="false">IF($E74="VERTICAL",N($F74),$V74)</f>
        <v>1.8</v>
      </c>
      <c r="AA74" s="50" t="n">
        <f aca="false">IF($E74="VERTICAL",N($G74),$W74)</f>
        <v>3</v>
      </c>
      <c r="AB74" s="30" t="n">
        <f aca="false">IF($L74&lt;&gt;"OK",0,(INDEX(PRESIONES!$D$28:$D$31,$U74)*IF(INDEX(PRESIONES!$D$28:$D$31,$U74)&gt;0,PRESIONES!$C$9*IF($T74&lt;=10,1,($T74/10)^(2/DATOS!$C$56)),PRESIONES!$C$15)-ABERTURAS!$L$60*PRESIONES!$C$12)*$R74/$M74)</f>
        <v>0.499258901332516</v>
      </c>
      <c r="AC74" s="30" t="n">
        <f aca="false">IF($L74&lt;&gt;"OK",0,(INDEX(PRESIONES!$G$28:$G$31,$U74)*IF(INDEX(PRESIONES!$G$28:$G$31,$U74)&gt;0,PRESIONES!$C$9*IF($T74&lt;=10,1,($T74/10)^(2/DATOS!$C$56)),PRESIONES!$C$15)-ABERTURAS!$L$61*PRESIONES!$C$12)*$R74/$M74)</f>
        <v>75.3792589013325</v>
      </c>
      <c r="AD74" s="30" t="n">
        <f aca="false">IF($L74&lt;&gt;"OK",0,(INDEX(PRESIONES!$J$28:$J$31,$U74)*IF(INDEX(PRESIONES!$J$28:$J$31,$U74)&gt;0,PRESIONES!$C$9*IF($T74&lt;=10,1,($T74/10)^(2/DATOS!$C$56)),PRESIONES!$C$15)-ABERTURAS!$L$62*PRESIONES!$C$12)*$R74/$M74)</f>
        <v>-5.16088931840098</v>
      </c>
      <c r="AE74" s="30" t="n">
        <f aca="false">IF($L74&lt;&gt;"OK",0,(INDEX(PRESIONES!$M$28:$M$31,$U74)*IF(INDEX(PRESIONES!$M$28:$M$31,$U74)&gt;0,PRESIONES!$C$9*IF($T74&lt;=10,1,($T74/10)^(2/DATOS!$C$56)),PRESIONES!$C$15)-ABERTURAS!$L$63*PRESIONES!$C$12)*$R74/$M74)</f>
        <v>-84.2688883519988</v>
      </c>
      <c r="AF74" s="30" t="n">
        <f aca="false">IF($L74&lt;&gt;"OK",0,(INDEX(PRESIONES!$D$28:$D$31,$U74)*IF(INDEX(PRESIONES!$D$28:$D$31,$U74)&gt;0,PRESIONES!$C$9*IF($T74&lt;=10,1,($T74/10)^(2/DATOS!$C$56)),PRESIONES!$C$15)-ABERTURAS!$L$64*PRESIONES!$C$12)*$S74/$M74)</f>
        <v>0.499258901332516</v>
      </c>
      <c r="AG74" s="30" t="n">
        <f aca="false">IF($L74&lt;&gt;"OK",0,(INDEX(PRESIONES!$G$28:$G$31,$U74)*IF(INDEX(PRESIONES!$G$28:$G$31,$U74)&gt;0,PRESIONES!$C$9*IF($T74&lt;=10,1,($T74/10)^(2/DATOS!$C$56)),PRESIONES!$C$15)-ABERTURAS!$L$65*PRESIONES!$C$12)*$S74/$M74)</f>
        <v>75.3792589013325</v>
      </c>
      <c r="AH74" s="30" t="n">
        <f aca="false">IF($L74&lt;&gt;"OK",0,(INDEX(PRESIONES!$J$28:$J$31,$U74)*IF(INDEX(PRESIONES!$J$28:$J$31,$U74)&gt;0,PRESIONES!$C$9*IF($T74&lt;=10,1,($T74/10)^(2/DATOS!$C$56)),PRESIONES!$C$15)-ABERTURAS!$L$66*PRESIONES!$C$12)*$S74/$M74)</f>
        <v>-5.16088931840098</v>
      </c>
      <c r="AI74" s="30" t="n">
        <f aca="false">IF($L74&lt;&gt;"OK",0,(INDEX(PRESIONES!$M$28:$M$31,$U74)*IF(INDEX(PRESIONES!$M$28:$M$31,$U74)&gt;0,PRESIONES!$C$9*IF($T74&lt;=10,1,($T74/10)^(2/DATOS!$C$56)),PRESIONES!$C$15)-ABERTURAS!$L$67*PRESIONES!$C$12)*$S74/$M74)</f>
        <v>-84.2688883519988</v>
      </c>
    </row>
    <row r="75" customFormat="false" ht="16.5" hidden="false" customHeight="true" outlineLevel="0" collapsed="false">
      <c r="B75" s="27" t="s">
        <v>492</v>
      </c>
      <c r="C75" s="17" t="s">
        <v>480</v>
      </c>
      <c r="D75" s="27" t="s">
        <v>493</v>
      </c>
      <c r="E75" s="17" t="s">
        <v>432</v>
      </c>
      <c r="F75" s="49" t="n">
        <v>0</v>
      </c>
      <c r="G75" s="49" t="n">
        <v>6.75</v>
      </c>
      <c r="H75" s="49" t="n">
        <v>3</v>
      </c>
      <c r="I75" s="49" t="n">
        <v>4.2</v>
      </c>
      <c r="J75" s="49"/>
      <c r="K75" s="49"/>
      <c r="L75" s="20" t="str">
        <f aca="false">IF($D75="","",IF(LEFT($C75,4)&lt;&gt;"MURO","PON EL MURO",IF(AND($E75&lt;&gt;"HORIZONTAL",$E75&lt;&gt;"VERTICAL"),"PON EL SENTIDO",IF(OR($F75="",$G75="",$H75="",$I75=""),"FALTAN a o b",IF($M75&lt;=0,"a₂ DEBE SER &gt; a₁",IF($N75&lt;=0,"b₂ DEBE SER &gt; b₁","OK"))))))</f>
        <v>OK</v>
      </c>
      <c r="M75" s="30" t="n">
        <f aca="false">IF($D75="",0,MAX(0,$G75-$F75))</f>
        <v>6.75</v>
      </c>
      <c r="N75" s="30" t="n">
        <f aca="false">MAX(0,$W75-$V75)</f>
        <v>1.2</v>
      </c>
      <c r="O75" s="30" t="n">
        <f aca="false">$M75*$N75</f>
        <v>8.1</v>
      </c>
      <c r="P75" s="30" t="n">
        <f aca="false">IF($U75=0,0,SUMPRODUCT((ABERTURAS!$N$7:$N$26=$U75)*ABERTURAS!$U$7:$U$26*(((($Y75)+(ABERTURAS!$P$7:$P$26)-ABS(($Y75)-(ABERTURAS!$P$7:$P$26)))/2-(($X75)+(ABERTURAS!$O$7:$O$26)+ABS(($X75)-(ABERTURAS!$O$7:$O$26)))/2)+ABS((($Y75)+(ABERTURAS!$P$7:$P$26)-ABS(($Y75)-(ABERTURAS!$P$7:$P$26)))/2-(($X75)+(ABERTURAS!$O$7:$O$26)+ABS(($X75)-(ABERTURAS!$O$7:$O$26)))/2))/2*(((($AA75)+(ABERTURAS!$R$7:$R$26)-ABS(($AA75)-(ABERTURAS!$R$7:$R$26)))/2-(($Z75)+(ABERTURAS!$Q$7:$Q$26)+ABS(($Z75)-(ABERTURAS!$Q$7:$Q$26)))/2)+ABS((($AA75)+(ABERTURAS!$R$7:$R$26)-ABS(($AA75)-(ABERTURAS!$R$7:$R$26)))/2-(($Z75)+(ABERTURAS!$Q$7:$Q$26)+ABS(($Z75)-(ABERTURAS!$Q$7:$Q$26)))/2))/2))</f>
        <v>0</v>
      </c>
      <c r="Q75" s="30" t="n">
        <f aca="false">IF($U75=0,0,SUMPRODUCT((ABERTURAS!$N$7:$N$26=$U75)*ABERTURAS!$V$7:$V$26*(((($Y75)+(ABERTURAS!$P$7:$P$26)-ABS(($Y75)-(ABERTURAS!$P$7:$P$26)))/2-(($X75)+(ABERTURAS!$O$7:$O$26)+ABS(($X75)-(ABERTURAS!$O$7:$O$26)))/2)+ABS((($Y75)+(ABERTURAS!$P$7:$P$26)-ABS(($Y75)-(ABERTURAS!$P$7:$P$26)))/2-(($X75)+(ABERTURAS!$O$7:$O$26)+ABS(($X75)-(ABERTURAS!$O$7:$O$26)))/2))/2*(((($AA75)+(ABERTURAS!$R$7:$R$26)-ABS(($AA75)-(ABERTURAS!$R$7:$R$26)))/2-(($Z75)+(ABERTURAS!$Q$7:$Q$26)+ABS(($Z75)-(ABERTURAS!$Q$7:$Q$26)))/2)+ABS((($AA75)+(ABERTURAS!$R$7:$R$26)-ABS(($AA75)-(ABERTURAS!$R$7:$R$26)))/2-(($Z75)+(ABERTURAS!$Q$7:$Q$26)+ABS(($Z75)-(ABERTURAS!$Q$7:$Q$26)))/2))/2))</f>
        <v>0</v>
      </c>
      <c r="R75" s="30" t="n">
        <f aca="false">MAX(0,$O75-$P75)</f>
        <v>8.1</v>
      </c>
      <c r="S75" s="30" t="n">
        <f aca="false">MAX(0,$O75-$Q75)</f>
        <v>8.1</v>
      </c>
      <c r="T75" s="50" t="n">
        <f aca="false">IF($D75="",0,IF($E75="VERTICAL",N($G75),MAX(N($I75),IF($K75="",N($I75),$K75))))</f>
        <v>4.2</v>
      </c>
      <c r="U75" s="50" t="n">
        <f aca="false">IF($L75&lt;&gt;"OK",0,VALUE(RIGHT($C75,1)))</f>
        <v>4</v>
      </c>
      <c r="V75" s="50" t="n">
        <f aca="false">IF($D75="",0,(N($H75)+IF($J75="",N($H75),$J75))/2)</f>
        <v>3</v>
      </c>
      <c r="W75" s="50" t="n">
        <f aca="false">IF($D75="",0,(N($I75)+IF($K75="",N($I75),$K75))/2)</f>
        <v>4.2</v>
      </c>
      <c r="X75" s="50" t="n">
        <f aca="false">IF($E75="VERTICAL",$V75,N($F75))</f>
        <v>0</v>
      </c>
      <c r="Y75" s="50" t="n">
        <f aca="false">IF($E75="VERTICAL",$W75,N($G75))</f>
        <v>6.75</v>
      </c>
      <c r="Z75" s="50" t="n">
        <f aca="false">IF($E75="VERTICAL",N($F75),$V75)</f>
        <v>3</v>
      </c>
      <c r="AA75" s="50" t="n">
        <f aca="false">IF($E75="VERTICAL",N($G75),$W75)</f>
        <v>4.2</v>
      </c>
      <c r="AB75" s="30" t="n">
        <f aca="false">IF($L75&lt;&gt;"OK",0,(INDEX(PRESIONES!$D$28:$D$31,$U75)*IF(INDEX(PRESIONES!$D$28:$D$31,$U75)&gt;0,PRESIONES!$C$9*IF($T75&lt;=10,1,($T75/10)^(2/DATOS!$C$56)),PRESIONES!$C$15)-ABERTURAS!$L$60*PRESIONES!$C$12)*$R75/$M75)</f>
        <v>0.499258901332516</v>
      </c>
      <c r="AC75" s="30" t="n">
        <f aca="false">IF($L75&lt;&gt;"OK",0,(INDEX(PRESIONES!$G$28:$G$31,$U75)*IF(INDEX(PRESIONES!$G$28:$G$31,$U75)&gt;0,PRESIONES!$C$9*IF($T75&lt;=10,1,($T75/10)^(2/DATOS!$C$56)),PRESIONES!$C$15)-ABERTURAS!$L$61*PRESIONES!$C$12)*$R75/$M75)</f>
        <v>75.3792589013325</v>
      </c>
      <c r="AD75" s="30" t="n">
        <f aca="false">IF($L75&lt;&gt;"OK",0,(INDEX(PRESIONES!$J$28:$J$31,$U75)*IF(INDEX(PRESIONES!$J$28:$J$31,$U75)&gt;0,PRESIONES!$C$9*IF($T75&lt;=10,1,($T75/10)^(2/DATOS!$C$56)),PRESIONES!$C$15)-ABERTURAS!$L$62*PRESIONES!$C$12)*$R75/$M75)</f>
        <v>-5.16088931840098</v>
      </c>
      <c r="AE75" s="30" t="n">
        <f aca="false">IF($L75&lt;&gt;"OK",0,(INDEX(PRESIONES!$M$28:$M$31,$U75)*IF(INDEX(PRESIONES!$M$28:$M$31,$U75)&gt;0,PRESIONES!$C$9*IF($T75&lt;=10,1,($T75/10)^(2/DATOS!$C$56)),PRESIONES!$C$15)-ABERTURAS!$L$63*PRESIONES!$C$12)*$R75/$M75)</f>
        <v>-84.2688883519988</v>
      </c>
      <c r="AF75" s="30" t="n">
        <f aca="false">IF($L75&lt;&gt;"OK",0,(INDEX(PRESIONES!$D$28:$D$31,$U75)*IF(INDEX(PRESIONES!$D$28:$D$31,$U75)&gt;0,PRESIONES!$C$9*IF($T75&lt;=10,1,($T75/10)^(2/DATOS!$C$56)),PRESIONES!$C$15)-ABERTURAS!$L$64*PRESIONES!$C$12)*$S75/$M75)</f>
        <v>0.499258901332516</v>
      </c>
      <c r="AG75" s="30" t="n">
        <f aca="false">IF($L75&lt;&gt;"OK",0,(INDEX(PRESIONES!$G$28:$G$31,$U75)*IF(INDEX(PRESIONES!$G$28:$G$31,$U75)&gt;0,PRESIONES!$C$9*IF($T75&lt;=10,1,($T75/10)^(2/DATOS!$C$56)),PRESIONES!$C$15)-ABERTURAS!$L$65*PRESIONES!$C$12)*$S75/$M75)</f>
        <v>75.3792589013325</v>
      </c>
      <c r="AH75" s="30" t="n">
        <f aca="false">IF($L75&lt;&gt;"OK",0,(INDEX(PRESIONES!$J$28:$J$31,$U75)*IF(INDEX(PRESIONES!$J$28:$J$31,$U75)&gt;0,PRESIONES!$C$9*IF($T75&lt;=10,1,($T75/10)^(2/DATOS!$C$56)),PRESIONES!$C$15)-ABERTURAS!$L$66*PRESIONES!$C$12)*$S75/$M75)</f>
        <v>-5.16088931840098</v>
      </c>
      <c r="AI75" s="30" t="n">
        <f aca="false">IF($L75&lt;&gt;"OK",0,(INDEX(PRESIONES!$M$28:$M$31,$U75)*IF(INDEX(PRESIONES!$M$28:$M$31,$U75)&gt;0,PRESIONES!$C$9*IF($T75&lt;=10,1,($T75/10)^(2/DATOS!$C$56)),PRESIONES!$C$15)-ABERTURAS!$L$67*PRESIONES!$C$12)*$S75/$M75)</f>
        <v>-84.2688883519988</v>
      </c>
    </row>
    <row r="76" customFormat="false" ht="16.5" hidden="false" customHeight="true" outlineLevel="0" collapsed="false">
      <c r="B76" s="27" t="s">
        <v>494</v>
      </c>
      <c r="C76" s="17" t="s">
        <v>480</v>
      </c>
      <c r="D76" s="27" t="s">
        <v>495</v>
      </c>
      <c r="E76" s="17" t="s">
        <v>432</v>
      </c>
      <c r="F76" s="49" t="n">
        <v>6.75</v>
      </c>
      <c r="G76" s="49" t="n">
        <v>13.5</v>
      </c>
      <c r="H76" s="49" t="n">
        <v>3</v>
      </c>
      <c r="I76" s="49" t="n">
        <v>4.2</v>
      </c>
      <c r="J76" s="49"/>
      <c r="K76" s="49"/>
      <c r="L76" s="20" t="str">
        <f aca="false">IF($D76="","",IF(LEFT($C76,4)&lt;&gt;"MURO","PON EL MURO",IF(AND($E76&lt;&gt;"HORIZONTAL",$E76&lt;&gt;"VERTICAL"),"PON EL SENTIDO",IF(OR($F76="",$G76="",$H76="",$I76=""),"FALTAN a o b",IF($M76&lt;=0,"a₂ DEBE SER &gt; a₁",IF($N76&lt;=0,"b₂ DEBE SER &gt; b₁","OK"))))))</f>
        <v>OK</v>
      </c>
      <c r="M76" s="30" t="n">
        <f aca="false">IF($D76="",0,MAX(0,$G76-$F76))</f>
        <v>6.75</v>
      </c>
      <c r="N76" s="30" t="n">
        <f aca="false">MAX(0,$W76-$V76)</f>
        <v>1.2</v>
      </c>
      <c r="O76" s="30" t="n">
        <f aca="false">$M76*$N76</f>
        <v>8.1</v>
      </c>
      <c r="P76" s="30" t="n">
        <f aca="false">IF($U76=0,0,SUMPRODUCT((ABERTURAS!$N$7:$N$26=$U76)*ABERTURAS!$U$7:$U$26*(((($Y76)+(ABERTURAS!$P$7:$P$26)-ABS(($Y76)-(ABERTURAS!$P$7:$P$26)))/2-(($X76)+(ABERTURAS!$O$7:$O$26)+ABS(($X76)-(ABERTURAS!$O$7:$O$26)))/2)+ABS((($Y76)+(ABERTURAS!$P$7:$P$26)-ABS(($Y76)-(ABERTURAS!$P$7:$P$26)))/2-(($X76)+(ABERTURAS!$O$7:$O$26)+ABS(($X76)-(ABERTURAS!$O$7:$O$26)))/2))/2*(((($AA76)+(ABERTURAS!$R$7:$R$26)-ABS(($AA76)-(ABERTURAS!$R$7:$R$26)))/2-(($Z76)+(ABERTURAS!$Q$7:$Q$26)+ABS(($Z76)-(ABERTURAS!$Q$7:$Q$26)))/2)+ABS((($AA76)+(ABERTURAS!$R$7:$R$26)-ABS(($AA76)-(ABERTURAS!$R$7:$R$26)))/2-(($Z76)+(ABERTURAS!$Q$7:$Q$26)+ABS(($Z76)-(ABERTURAS!$Q$7:$Q$26)))/2))/2))</f>
        <v>0</v>
      </c>
      <c r="Q76" s="30" t="n">
        <f aca="false">IF($U76=0,0,SUMPRODUCT((ABERTURAS!$N$7:$N$26=$U76)*ABERTURAS!$V$7:$V$26*(((($Y76)+(ABERTURAS!$P$7:$P$26)-ABS(($Y76)-(ABERTURAS!$P$7:$P$26)))/2-(($X76)+(ABERTURAS!$O$7:$O$26)+ABS(($X76)-(ABERTURAS!$O$7:$O$26)))/2)+ABS((($Y76)+(ABERTURAS!$P$7:$P$26)-ABS(($Y76)-(ABERTURAS!$P$7:$P$26)))/2-(($X76)+(ABERTURAS!$O$7:$O$26)+ABS(($X76)-(ABERTURAS!$O$7:$O$26)))/2))/2*(((($AA76)+(ABERTURAS!$R$7:$R$26)-ABS(($AA76)-(ABERTURAS!$R$7:$R$26)))/2-(($Z76)+(ABERTURAS!$Q$7:$Q$26)+ABS(($Z76)-(ABERTURAS!$Q$7:$Q$26)))/2)+ABS((($AA76)+(ABERTURAS!$R$7:$R$26)-ABS(($AA76)-(ABERTURAS!$R$7:$R$26)))/2-(($Z76)+(ABERTURAS!$Q$7:$Q$26)+ABS(($Z76)-(ABERTURAS!$Q$7:$Q$26)))/2))/2))</f>
        <v>0</v>
      </c>
      <c r="R76" s="30" t="n">
        <f aca="false">MAX(0,$O76-$P76)</f>
        <v>8.1</v>
      </c>
      <c r="S76" s="30" t="n">
        <f aca="false">MAX(0,$O76-$Q76)</f>
        <v>8.1</v>
      </c>
      <c r="T76" s="50" t="n">
        <f aca="false">IF($D76="",0,IF($E76="VERTICAL",N($G76),MAX(N($I76),IF($K76="",N($I76),$K76))))</f>
        <v>4.2</v>
      </c>
      <c r="U76" s="50" t="n">
        <f aca="false">IF($L76&lt;&gt;"OK",0,VALUE(RIGHT($C76,1)))</f>
        <v>4</v>
      </c>
      <c r="V76" s="50" t="n">
        <f aca="false">IF($D76="",0,(N($H76)+IF($J76="",N($H76),$J76))/2)</f>
        <v>3</v>
      </c>
      <c r="W76" s="50" t="n">
        <f aca="false">IF($D76="",0,(N($I76)+IF($K76="",N($I76),$K76))/2)</f>
        <v>4.2</v>
      </c>
      <c r="X76" s="50" t="n">
        <f aca="false">IF($E76="VERTICAL",$V76,N($F76))</f>
        <v>6.75</v>
      </c>
      <c r="Y76" s="50" t="n">
        <f aca="false">IF($E76="VERTICAL",$W76,N($G76))</f>
        <v>13.5</v>
      </c>
      <c r="Z76" s="50" t="n">
        <f aca="false">IF($E76="VERTICAL",N($F76),$V76)</f>
        <v>3</v>
      </c>
      <c r="AA76" s="50" t="n">
        <f aca="false">IF($E76="VERTICAL",N($G76),$W76)</f>
        <v>4.2</v>
      </c>
      <c r="AB76" s="30" t="n">
        <f aca="false">IF($L76&lt;&gt;"OK",0,(INDEX(PRESIONES!$D$28:$D$31,$U76)*IF(INDEX(PRESIONES!$D$28:$D$31,$U76)&gt;0,PRESIONES!$C$9*IF($T76&lt;=10,1,($T76/10)^(2/DATOS!$C$56)),PRESIONES!$C$15)-ABERTURAS!$L$60*PRESIONES!$C$12)*$R76/$M76)</f>
        <v>0.499258901332516</v>
      </c>
      <c r="AC76" s="30" t="n">
        <f aca="false">IF($L76&lt;&gt;"OK",0,(INDEX(PRESIONES!$G$28:$G$31,$U76)*IF(INDEX(PRESIONES!$G$28:$G$31,$U76)&gt;0,PRESIONES!$C$9*IF($T76&lt;=10,1,($T76/10)^(2/DATOS!$C$56)),PRESIONES!$C$15)-ABERTURAS!$L$61*PRESIONES!$C$12)*$R76/$M76)</f>
        <v>75.3792589013325</v>
      </c>
      <c r="AD76" s="30" t="n">
        <f aca="false">IF($L76&lt;&gt;"OK",0,(INDEX(PRESIONES!$J$28:$J$31,$U76)*IF(INDEX(PRESIONES!$J$28:$J$31,$U76)&gt;0,PRESIONES!$C$9*IF($T76&lt;=10,1,($T76/10)^(2/DATOS!$C$56)),PRESIONES!$C$15)-ABERTURAS!$L$62*PRESIONES!$C$12)*$R76/$M76)</f>
        <v>-5.16088931840098</v>
      </c>
      <c r="AE76" s="30" t="n">
        <f aca="false">IF($L76&lt;&gt;"OK",0,(INDEX(PRESIONES!$M$28:$M$31,$U76)*IF(INDEX(PRESIONES!$M$28:$M$31,$U76)&gt;0,PRESIONES!$C$9*IF($T76&lt;=10,1,($T76/10)^(2/DATOS!$C$56)),PRESIONES!$C$15)-ABERTURAS!$L$63*PRESIONES!$C$12)*$R76/$M76)</f>
        <v>-84.2688883519988</v>
      </c>
      <c r="AF76" s="30" t="n">
        <f aca="false">IF($L76&lt;&gt;"OK",0,(INDEX(PRESIONES!$D$28:$D$31,$U76)*IF(INDEX(PRESIONES!$D$28:$D$31,$U76)&gt;0,PRESIONES!$C$9*IF($T76&lt;=10,1,($T76/10)^(2/DATOS!$C$56)),PRESIONES!$C$15)-ABERTURAS!$L$64*PRESIONES!$C$12)*$S76/$M76)</f>
        <v>0.499258901332516</v>
      </c>
      <c r="AG76" s="30" t="n">
        <f aca="false">IF($L76&lt;&gt;"OK",0,(INDEX(PRESIONES!$G$28:$G$31,$U76)*IF(INDEX(PRESIONES!$G$28:$G$31,$U76)&gt;0,PRESIONES!$C$9*IF($T76&lt;=10,1,($T76/10)^(2/DATOS!$C$56)),PRESIONES!$C$15)-ABERTURAS!$L$65*PRESIONES!$C$12)*$S76/$M76)</f>
        <v>75.3792589013325</v>
      </c>
      <c r="AH76" s="30" t="n">
        <f aca="false">IF($L76&lt;&gt;"OK",0,(INDEX(PRESIONES!$J$28:$J$31,$U76)*IF(INDEX(PRESIONES!$J$28:$J$31,$U76)&gt;0,PRESIONES!$C$9*IF($T76&lt;=10,1,($T76/10)^(2/DATOS!$C$56)),PRESIONES!$C$15)-ABERTURAS!$L$66*PRESIONES!$C$12)*$S76/$M76)</f>
        <v>-5.16088931840098</v>
      </c>
      <c r="AI76" s="30" t="n">
        <f aca="false">IF($L76&lt;&gt;"OK",0,(INDEX(PRESIONES!$M$28:$M$31,$U76)*IF(INDEX(PRESIONES!$M$28:$M$31,$U76)&gt;0,PRESIONES!$C$9*IF($T76&lt;=10,1,($T76/10)^(2/DATOS!$C$56)),PRESIONES!$C$15)-ABERTURAS!$L$67*PRESIONES!$C$12)*$S76/$M76)</f>
        <v>-84.2688883519988</v>
      </c>
    </row>
    <row r="77" customFormat="false" ht="16.5" hidden="false" customHeight="true" outlineLevel="0" collapsed="false">
      <c r="B77" s="27" t="s">
        <v>496</v>
      </c>
      <c r="C77" s="17" t="s">
        <v>480</v>
      </c>
      <c r="D77" s="27" t="s">
        <v>497</v>
      </c>
      <c r="E77" s="17" t="s">
        <v>432</v>
      </c>
      <c r="F77" s="49" t="n">
        <v>13.5</v>
      </c>
      <c r="G77" s="49" t="n">
        <v>16</v>
      </c>
      <c r="H77" s="49" t="n">
        <v>3</v>
      </c>
      <c r="I77" s="49" t="n">
        <v>4.2</v>
      </c>
      <c r="J77" s="49"/>
      <c r="K77" s="49"/>
      <c r="L77" s="20" t="str">
        <f aca="false">IF($D77="","",IF(LEFT($C77,4)&lt;&gt;"MURO","PON EL MURO",IF(AND($E77&lt;&gt;"HORIZONTAL",$E77&lt;&gt;"VERTICAL"),"PON EL SENTIDO",IF(OR($F77="",$G77="",$H77="",$I77=""),"FALTAN a o b",IF($M77&lt;=0,"a₂ DEBE SER &gt; a₁",IF($N77&lt;=0,"b₂ DEBE SER &gt; b₁","OK"))))))</f>
        <v>OK</v>
      </c>
      <c r="M77" s="30" t="n">
        <f aca="false">IF($D77="",0,MAX(0,$G77-$F77))</f>
        <v>2.5</v>
      </c>
      <c r="N77" s="30" t="n">
        <f aca="false">MAX(0,$W77-$V77)</f>
        <v>1.2</v>
      </c>
      <c r="O77" s="30" t="n">
        <f aca="false">$M77*$N77</f>
        <v>3</v>
      </c>
      <c r="P77" s="30" t="n">
        <f aca="false">IF($U77=0,0,SUMPRODUCT((ABERTURAS!$N$7:$N$26=$U77)*ABERTURAS!$U$7:$U$26*(((($Y77)+(ABERTURAS!$P$7:$P$26)-ABS(($Y77)-(ABERTURAS!$P$7:$P$26)))/2-(($X77)+(ABERTURAS!$O$7:$O$26)+ABS(($X77)-(ABERTURAS!$O$7:$O$26)))/2)+ABS((($Y77)+(ABERTURAS!$P$7:$P$26)-ABS(($Y77)-(ABERTURAS!$P$7:$P$26)))/2-(($X77)+(ABERTURAS!$O$7:$O$26)+ABS(($X77)-(ABERTURAS!$O$7:$O$26)))/2))/2*(((($AA77)+(ABERTURAS!$R$7:$R$26)-ABS(($AA77)-(ABERTURAS!$R$7:$R$26)))/2-(($Z77)+(ABERTURAS!$Q$7:$Q$26)+ABS(($Z77)-(ABERTURAS!$Q$7:$Q$26)))/2)+ABS((($AA77)+(ABERTURAS!$R$7:$R$26)-ABS(($AA77)-(ABERTURAS!$R$7:$R$26)))/2-(($Z77)+(ABERTURAS!$Q$7:$Q$26)+ABS(($Z77)-(ABERTURAS!$Q$7:$Q$26)))/2))/2))</f>
        <v>0</v>
      </c>
      <c r="Q77" s="30" t="n">
        <f aca="false">IF($U77=0,0,SUMPRODUCT((ABERTURAS!$N$7:$N$26=$U77)*ABERTURAS!$V$7:$V$26*(((($Y77)+(ABERTURAS!$P$7:$P$26)-ABS(($Y77)-(ABERTURAS!$P$7:$P$26)))/2-(($X77)+(ABERTURAS!$O$7:$O$26)+ABS(($X77)-(ABERTURAS!$O$7:$O$26)))/2)+ABS((($Y77)+(ABERTURAS!$P$7:$P$26)-ABS(($Y77)-(ABERTURAS!$P$7:$P$26)))/2-(($X77)+(ABERTURAS!$O$7:$O$26)+ABS(($X77)-(ABERTURAS!$O$7:$O$26)))/2))/2*(((($AA77)+(ABERTURAS!$R$7:$R$26)-ABS(($AA77)-(ABERTURAS!$R$7:$R$26)))/2-(($Z77)+(ABERTURAS!$Q$7:$Q$26)+ABS(($Z77)-(ABERTURAS!$Q$7:$Q$26)))/2)+ABS((($AA77)+(ABERTURAS!$R$7:$R$26)-ABS(($AA77)-(ABERTURAS!$R$7:$R$26)))/2-(($Z77)+(ABERTURAS!$Q$7:$Q$26)+ABS(($Z77)-(ABERTURAS!$Q$7:$Q$26)))/2))/2))</f>
        <v>0</v>
      </c>
      <c r="R77" s="30" t="n">
        <f aca="false">MAX(0,$O77-$P77)</f>
        <v>3</v>
      </c>
      <c r="S77" s="30" t="n">
        <f aca="false">MAX(0,$O77-$Q77)</f>
        <v>3</v>
      </c>
      <c r="T77" s="50" t="n">
        <f aca="false">IF($D77="",0,IF($E77="VERTICAL",N($G77),MAX(N($I77),IF($K77="",N($I77),$K77))))</f>
        <v>4.2</v>
      </c>
      <c r="U77" s="50" t="n">
        <f aca="false">IF($L77&lt;&gt;"OK",0,VALUE(RIGHT($C77,1)))</f>
        <v>4</v>
      </c>
      <c r="V77" s="50" t="n">
        <f aca="false">IF($D77="",0,(N($H77)+IF($J77="",N($H77),$J77))/2)</f>
        <v>3</v>
      </c>
      <c r="W77" s="50" t="n">
        <f aca="false">IF($D77="",0,(N($I77)+IF($K77="",N($I77),$K77))/2)</f>
        <v>4.2</v>
      </c>
      <c r="X77" s="50" t="n">
        <f aca="false">IF($E77="VERTICAL",$V77,N($F77))</f>
        <v>13.5</v>
      </c>
      <c r="Y77" s="50" t="n">
        <f aca="false">IF($E77="VERTICAL",$W77,N($G77))</f>
        <v>16</v>
      </c>
      <c r="Z77" s="50" t="n">
        <f aca="false">IF($E77="VERTICAL",N($F77),$V77)</f>
        <v>3</v>
      </c>
      <c r="AA77" s="50" t="n">
        <f aca="false">IF($E77="VERTICAL",N($G77),$W77)</f>
        <v>4.2</v>
      </c>
      <c r="AB77" s="30" t="n">
        <f aca="false">IF($L77&lt;&gt;"OK",0,(INDEX(PRESIONES!$D$28:$D$31,$U77)*IF(INDEX(PRESIONES!$D$28:$D$31,$U77)&gt;0,PRESIONES!$C$9*IF($T77&lt;=10,1,($T77/10)^(2/DATOS!$C$56)),PRESIONES!$C$15)-ABERTURAS!$L$60*PRESIONES!$C$12)*$R77/$M77)</f>
        <v>0.499258901332516</v>
      </c>
      <c r="AC77" s="30" t="n">
        <f aca="false">IF($L77&lt;&gt;"OK",0,(INDEX(PRESIONES!$G$28:$G$31,$U77)*IF(INDEX(PRESIONES!$G$28:$G$31,$U77)&gt;0,PRESIONES!$C$9*IF($T77&lt;=10,1,($T77/10)^(2/DATOS!$C$56)),PRESIONES!$C$15)-ABERTURAS!$L$61*PRESIONES!$C$12)*$R77/$M77)</f>
        <v>75.3792589013325</v>
      </c>
      <c r="AD77" s="30" t="n">
        <f aca="false">IF($L77&lt;&gt;"OK",0,(INDEX(PRESIONES!$J$28:$J$31,$U77)*IF(INDEX(PRESIONES!$J$28:$J$31,$U77)&gt;0,PRESIONES!$C$9*IF($T77&lt;=10,1,($T77/10)^(2/DATOS!$C$56)),PRESIONES!$C$15)-ABERTURAS!$L$62*PRESIONES!$C$12)*$R77/$M77)</f>
        <v>-5.16088931840098</v>
      </c>
      <c r="AE77" s="30" t="n">
        <f aca="false">IF($L77&lt;&gt;"OK",0,(INDEX(PRESIONES!$M$28:$M$31,$U77)*IF(INDEX(PRESIONES!$M$28:$M$31,$U77)&gt;0,PRESIONES!$C$9*IF($T77&lt;=10,1,($T77/10)^(2/DATOS!$C$56)),PRESIONES!$C$15)-ABERTURAS!$L$63*PRESIONES!$C$12)*$R77/$M77)</f>
        <v>-84.2688883519988</v>
      </c>
      <c r="AF77" s="30" t="n">
        <f aca="false">IF($L77&lt;&gt;"OK",0,(INDEX(PRESIONES!$D$28:$D$31,$U77)*IF(INDEX(PRESIONES!$D$28:$D$31,$U77)&gt;0,PRESIONES!$C$9*IF($T77&lt;=10,1,($T77/10)^(2/DATOS!$C$56)),PRESIONES!$C$15)-ABERTURAS!$L$64*PRESIONES!$C$12)*$S77/$M77)</f>
        <v>0.499258901332516</v>
      </c>
      <c r="AG77" s="30" t="n">
        <f aca="false">IF($L77&lt;&gt;"OK",0,(INDEX(PRESIONES!$G$28:$G$31,$U77)*IF(INDEX(PRESIONES!$G$28:$G$31,$U77)&gt;0,PRESIONES!$C$9*IF($T77&lt;=10,1,($T77/10)^(2/DATOS!$C$56)),PRESIONES!$C$15)-ABERTURAS!$L$65*PRESIONES!$C$12)*$S77/$M77)</f>
        <v>75.3792589013325</v>
      </c>
      <c r="AH77" s="30" t="n">
        <f aca="false">IF($L77&lt;&gt;"OK",0,(INDEX(PRESIONES!$J$28:$J$31,$U77)*IF(INDEX(PRESIONES!$J$28:$J$31,$U77)&gt;0,PRESIONES!$C$9*IF($T77&lt;=10,1,($T77/10)^(2/DATOS!$C$56)),PRESIONES!$C$15)-ABERTURAS!$L$66*PRESIONES!$C$12)*$S77/$M77)</f>
        <v>-5.16088931840098</v>
      </c>
      <c r="AI77" s="30" t="n">
        <f aca="false">IF($L77&lt;&gt;"OK",0,(INDEX(PRESIONES!$M$28:$M$31,$U77)*IF(INDEX(PRESIONES!$M$28:$M$31,$U77)&gt;0,PRESIONES!$C$9*IF($T77&lt;=10,1,($T77/10)^(2/DATOS!$C$56)),PRESIONES!$C$15)-ABERTURAS!$L$67*PRESIONES!$C$12)*$S77/$M77)</f>
        <v>-84.2688883519988</v>
      </c>
    </row>
    <row r="78" customFormat="false" ht="16.5" hidden="false" customHeight="true" outlineLevel="0" collapsed="false">
      <c r="B78" s="27" t="s">
        <v>498</v>
      </c>
      <c r="C78" s="17" t="s">
        <v>480</v>
      </c>
      <c r="D78" s="27" t="s">
        <v>499</v>
      </c>
      <c r="E78" s="17" t="s">
        <v>432</v>
      </c>
      <c r="F78" s="49" t="n">
        <v>0</v>
      </c>
      <c r="G78" s="49" t="n">
        <v>6.75</v>
      </c>
      <c r="H78" s="49" t="n">
        <v>4.2</v>
      </c>
      <c r="I78" s="49" t="n">
        <v>5.4</v>
      </c>
      <c r="J78" s="49"/>
      <c r="K78" s="49"/>
      <c r="L78" s="20" t="str">
        <f aca="false">IF($D78="","",IF(LEFT($C78,4)&lt;&gt;"MURO","PON EL MURO",IF(AND($E78&lt;&gt;"HORIZONTAL",$E78&lt;&gt;"VERTICAL"),"PON EL SENTIDO",IF(OR($F78="",$G78="",$H78="",$I78=""),"FALTAN a o b",IF($M78&lt;=0,"a₂ DEBE SER &gt; a₁",IF($N78&lt;=0,"b₂ DEBE SER &gt; b₁","OK"))))))</f>
        <v>OK</v>
      </c>
      <c r="M78" s="30" t="n">
        <f aca="false">IF($D78="",0,MAX(0,$G78-$F78))</f>
        <v>6.75</v>
      </c>
      <c r="N78" s="30" t="n">
        <f aca="false">MAX(0,$W78-$V78)</f>
        <v>1.2</v>
      </c>
      <c r="O78" s="30" t="n">
        <f aca="false">$M78*$N78</f>
        <v>8.1</v>
      </c>
      <c r="P78" s="30" t="n">
        <f aca="false">IF($U78=0,0,SUMPRODUCT((ABERTURAS!$N$7:$N$26=$U78)*ABERTURAS!$U$7:$U$26*(((($Y78)+(ABERTURAS!$P$7:$P$26)-ABS(($Y78)-(ABERTURAS!$P$7:$P$26)))/2-(($X78)+(ABERTURAS!$O$7:$O$26)+ABS(($X78)-(ABERTURAS!$O$7:$O$26)))/2)+ABS((($Y78)+(ABERTURAS!$P$7:$P$26)-ABS(($Y78)-(ABERTURAS!$P$7:$P$26)))/2-(($X78)+(ABERTURAS!$O$7:$O$26)+ABS(($X78)-(ABERTURAS!$O$7:$O$26)))/2))/2*(((($AA78)+(ABERTURAS!$R$7:$R$26)-ABS(($AA78)-(ABERTURAS!$R$7:$R$26)))/2-(($Z78)+(ABERTURAS!$Q$7:$Q$26)+ABS(($Z78)-(ABERTURAS!$Q$7:$Q$26)))/2)+ABS((($AA78)+(ABERTURAS!$R$7:$R$26)-ABS(($AA78)-(ABERTURAS!$R$7:$R$26)))/2-(($Z78)+(ABERTURAS!$Q$7:$Q$26)+ABS(($Z78)-(ABERTURAS!$Q$7:$Q$26)))/2))/2))</f>
        <v>0</v>
      </c>
      <c r="Q78" s="30" t="n">
        <f aca="false">IF($U78=0,0,SUMPRODUCT((ABERTURAS!$N$7:$N$26=$U78)*ABERTURAS!$V$7:$V$26*(((($Y78)+(ABERTURAS!$P$7:$P$26)-ABS(($Y78)-(ABERTURAS!$P$7:$P$26)))/2-(($X78)+(ABERTURAS!$O$7:$O$26)+ABS(($X78)-(ABERTURAS!$O$7:$O$26)))/2)+ABS((($Y78)+(ABERTURAS!$P$7:$P$26)-ABS(($Y78)-(ABERTURAS!$P$7:$P$26)))/2-(($X78)+(ABERTURAS!$O$7:$O$26)+ABS(($X78)-(ABERTURAS!$O$7:$O$26)))/2))/2*(((($AA78)+(ABERTURAS!$R$7:$R$26)-ABS(($AA78)-(ABERTURAS!$R$7:$R$26)))/2-(($Z78)+(ABERTURAS!$Q$7:$Q$26)+ABS(($Z78)-(ABERTURAS!$Q$7:$Q$26)))/2)+ABS((($AA78)+(ABERTURAS!$R$7:$R$26)-ABS(($AA78)-(ABERTURAS!$R$7:$R$26)))/2-(($Z78)+(ABERTURAS!$Q$7:$Q$26)+ABS(($Z78)-(ABERTURAS!$Q$7:$Q$26)))/2))/2))</f>
        <v>0</v>
      </c>
      <c r="R78" s="30" t="n">
        <f aca="false">MAX(0,$O78-$P78)</f>
        <v>8.1</v>
      </c>
      <c r="S78" s="30" t="n">
        <f aca="false">MAX(0,$O78-$Q78)</f>
        <v>8.1</v>
      </c>
      <c r="T78" s="50" t="n">
        <f aca="false">IF($D78="",0,IF($E78="VERTICAL",N($G78),MAX(N($I78),IF($K78="",N($I78),$K78))))</f>
        <v>5.4</v>
      </c>
      <c r="U78" s="50" t="n">
        <f aca="false">IF($L78&lt;&gt;"OK",0,VALUE(RIGHT($C78,1)))</f>
        <v>4</v>
      </c>
      <c r="V78" s="50" t="n">
        <f aca="false">IF($D78="",0,(N($H78)+IF($J78="",N($H78),$J78))/2)</f>
        <v>4.2</v>
      </c>
      <c r="W78" s="50" t="n">
        <f aca="false">IF($D78="",0,(N($I78)+IF($K78="",N($I78),$K78))/2)</f>
        <v>5.4</v>
      </c>
      <c r="X78" s="50" t="n">
        <f aca="false">IF($E78="VERTICAL",$V78,N($F78))</f>
        <v>0</v>
      </c>
      <c r="Y78" s="50" t="n">
        <f aca="false">IF($E78="VERTICAL",$W78,N($G78))</f>
        <v>6.75</v>
      </c>
      <c r="Z78" s="50" t="n">
        <f aca="false">IF($E78="VERTICAL",N($F78),$V78)</f>
        <v>4.2</v>
      </c>
      <c r="AA78" s="50" t="n">
        <f aca="false">IF($E78="VERTICAL",N($G78),$W78)</f>
        <v>5.4</v>
      </c>
      <c r="AB78" s="30" t="n">
        <f aca="false">IF($L78&lt;&gt;"OK",0,(INDEX(PRESIONES!$D$28:$D$31,$U78)*IF(INDEX(PRESIONES!$D$28:$D$31,$U78)&gt;0,PRESIONES!$C$9*IF($T78&lt;=10,1,($T78/10)^(2/DATOS!$C$56)),PRESIONES!$C$15)-ABERTURAS!$L$60*PRESIONES!$C$12)*$R78/$M78)</f>
        <v>0.499258901332516</v>
      </c>
      <c r="AC78" s="30" t="n">
        <f aca="false">IF($L78&lt;&gt;"OK",0,(INDEX(PRESIONES!$G$28:$G$31,$U78)*IF(INDEX(PRESIONES!$G$28:$G$31,$U78)&gt;0,PRESIONES!$C$9*IF($T78&lt;=10,1,($T78/10)^(2/DATOS!$C$56)),PRESIONES!$C$15)-ABERTURAS!$L$61*PRESIONES!$C$12)*$R78/$M78)</f>
        <v>75.3792589013325</v>
      </c>
      <c r="AD78" s="30" t="n">
        <f aca="false">IF($L78&lt;&gt;"OK",0,(INDEX(PRESIONES!$J$28:$J$31,$U78)*IF(INDEX(PRESIONES!$J$28:$J$31,$U78)&gt;0,PRESIONES!$C$9*IF($T78&lt;=10,1,($T78/10)^(2/DATOS!$C$56)),PRESIONES!$C$15)-ABERTURAS!$L$62*PRESIONES!$C$12)*$R78/$M78)</f>
        <v>-5.16088931840098</v>
      </c>
      <c r="AE78" s="30" t="n">
        <f aca="false">IF($L78&lt;&gt;"OK",0,(INDEX(PRESIONES!$M$28:$M$31,$U78)*IF(INDEX(PRESIONES!$M$28:$M$31,$U78)&gt;0,PRESIONES!$C$9*IF($T78&lt;=10,1,($T78/10)^(2/DATOS!$C$56)),PRESIONES!$C$15)-ABERTURAS!$L$63*PRESIONES!$C$12)*$R78/$M78)</f>
        <v>-84.2688883519988</v>
      </c>
      <c r="AF78" s="30" t="n">
        <f aca="false">IF($L78&lt;&gt;"OK",0,(INDEX(PRESIONES!$D$28:$D$31,$U78)*IF(INDEX(PRESIONES!$D$28:$D$31,$U78)&gt;0,PRESIONES!$C$9*IF($T78&lt;=10,1,($T78/10)^(2/DATOS!$C$56)),PRESIONES!$C$15)-ABERTURAS!$L$64*PRESIONES!$C$12)*$S78/$M78)</f>
        <v>0.499258901332516</v>
      </c>
      <c r="AG78" s="30" t="n">
        <f aca="false">IF($L78&lt;&gt;"OK",0,(INDEX(PRESIONES!$G$28:$G$31,$U78)*IF(INDEX(PRESIONES!$G$28:$G$31,$U78)&gt;0,PRESIONES!$C$9*IF($T78&lt;=10,1,($T78/10)^(2/DATOS!$C$56)),PRESIONES!$C$15)-ABERTURAS!$L$65*PRESIONES!$C$12)*$S78/$M78)</f>
        <v>75.3792589013325</v>
      </c>
      <c r="AH78" s="30" t="n">
        <f aca="false">IF($L78&lt;&gt;"OK",0,(INDEX(PRESIONES!$J$28:$J$31,$U78)*IF(INDEX(PRESIONES!$J$28:$J$31,$U78)&gt;0,PRESIONES!$C$9*IF($T78&lt;=10,1,($T78/10)^(2/DATOS!$C$56)),PRESIONES!$C$15)-ABERTURAS!$L$66*PRESIONES!$C$12)*$S78/$M78)</f>
        <v>-5.16088931840098</v>
      </c>
      <c r="AI78" s="30" t="n">
        <f aca="false">IF($L78&lt;&gt;"OK",0,(INDEX(PRESIONES!$M$28:$M$31,$U78)*IF(INDEX(PRESIONES!$M$28:$M$31,$U78)&gt;0,PRESIONES!$C$9*IF($T78&lt;=10,1,($T78/10)^(2/DATOS!$C$56)),PRESIONES!$C$15)-ABERTURAS!$L$67*PRESIONES!$C$12)*$S78/$M78)</f>
        <v>-84.2688883519988</v>
      </c>
    </row>
    <row r="79" customFormat="false" ht="16.5" hidden="false" customHeight="true" outlineLevel="0" collapsed="false">
      <c r="B79" s="27" t="s">
        <v>500</v>
      </c>
      <c r="C79" s="17" t="s">
        <v>480</v>
      </c>
      <c r="D79" s="27" t="s">
        <v>501</v>
      </c>
      <c r="E79" s="17" t="s">
        <v>432</v>
      </c>
      <c r="F79" s="49" t="n">
        <v>6.75</v>
      </c>
      <c r="G79" s="49" t="n">
        <v>13.5</v>
      </c>
      <c r="H79" s="49" t="n">
        <v>4.2</v>
      </c>
      <c r="I79" s="49" t="n">
        <v>5.4</v>
      </c>
      <c r="J79" s="49"/>
      <c r="K79" s="49"/>
      <c r="L79" s="20" t="str">
        <f aca="false">IF($D79="","",IF(LEFT($C79,4)&lt;&gt;"MURO","PON EL MURO",IF(AND($E79&lt;&gt;"HORIZONTAL",$E79&lt;&gt;"VERTICAL"),"PON EL SENTIDO",IF(OR($F79="",$G79="",$H79="",$I79=""),"FALTAN a o b",IF($M79&lt;=0,"a₂ DEBE SER &gt; a₁",IF($N79&lt;=0,"b₂ DEBE SER &gt; b₁","OK"))))))</f>
        <v>OK</v>
      </c>
      <c r="M79" s="30" t="n">
        <f aca="false">IF($D79="",0,MAX(0,$G79-$F79))</f>
        <v>6.75</v>
      </c>
      <c r="N79" s="30" t="n">
        <f aca="false">MAX(0,$W79-$V79)</f>
        <v>1.2</v>
      </c>
      <c r="O79" s="30" t="n">
        <f aca="false">$M79*$N79</f>
        <v>8.1</v>
      </c>
      <c r="P79" s="30" t="n">
        <f aca="false">IF($U79=0,0,SUMPRODUCT((ABERTURAS!$N$7:$N$26=$U79)*ABERTURAS!$U$7:$U$26*(((($Y79)+(ABERTURAS!$P$7:$P$26)-ABS(($Y79)-(ABERTURAS!$P$7:$P$26)))/2-(($X79)+(ABERTURAS!$O$7:$O$26)+ABS(($X79)-(ABERTURAS!$O$7:$O$26)))/2)+ABS((($Y79)+(ABERTURAS!$P$7:$P$26)-ABS(($Y79)-(ABERTURAS!$P$7:$P$26)))/2-(($X79)+(ABERTURAS!$O$7:$O$26)+ABS(($X79)-(ABERTURAS!$O$7:$O$26)))/2))/2*(((($AA79)+(ABERTURAS!$R$7:$R$26)-ABS(($AA79)-(ABERTURAS!$R$7:$R$26)))/2-(($Z79)+(ABERTURAS!$Q$7:$Q$26)+ABS(($Z79)-(ABERTURAS!$Q$7:$Q$26)))/2)+ABS((($AA79)+(ABERTURAS!$R$7:$R$26)-ABS(($AA79)-(ABERTURAS!$R$7:$R$26)))/2-(($Z79)+(ABERTURAS!$Q$7:$Q$26)+ABS(($Z79)-(ABERTURAS!$Q$7:$Q$26)))/2))/2))</f>
        <v>0</v>
      </c>
      <c r="Q79" s="30" t="n">
        <f aca="false">IF($U79=0,0,SUMPRODUCT((ABERTURAS!$N$7:$N$26=$U79)*ABERTURAS!$V$7:$V$26*(((($Y79)+(ABERTURAS!$P$7:$P$26)-ABS(($Y79)-(ABERTURAS!$P$7:$P$26)))/2-(($X79)+(ABERTURAS!$O$7:$O$26)+ABS(($X79)-(ABERTURAS!$O$7:$O$26)))/2)+ABS((($Y79)+(ABERTURAS!$P$7:$P$26)-ABS(($Y79)-(ABERTURAS!$P$7:$P$26)))/2-(($X79)+(ABERTURAS!$O$7:$O$26)+ABS(($X79)-(ABERTURAS!$O$7:$O$26)))/2))/2*(((($AA79)+(ABERTURAS!$R$7:$R$26)-ABS(($AA79)-(ABERTURAS!$R$7:$R$26)))/2-(($Z79)+(ABERTURAS!$Q$7:$Q$26)+ABS(($Z79)-(ABERTURAS!$Q$7:$Q$26)))/2)+ABS((($AA79)+(ABERTURAS!$R$7:$R$26)-ABS(($AA79)-(ABERTURAS!$R$7:$R$26)))/2-(($Z79)+(ABERTURAS!$Q$7:$Q$26)+ABS(($Z79)-(ABERTURAS!$Q$7:$Q$26)))/2))/2))</f>
        <v>0</v>
      </c>
      <c r="R79" s="30" t="n">
        <f aca="false">MAX(0,$O79-$P79)</f>
        <v>8.1</v>
      </c>
      <c r="S79" s="30" t="n">
        <f aca="false">MAX(0,$O79-$Q79)</f>
        <v>8.1</v>
      </c>
      <c r="T79" s="50" t="n">
        <f aca="false">IF($D79="",0,IF($E79="VERTICAL",N($G79),MAX(N($I79),IF($K79="",N($I79),$K79))))</f>
        <v>5.4</v>
      </c>
      <c r="U79" s="50" t="n">
        <f aca="false">IF($L79&lt;&gt;"OK",0,VALUE(RIGHT($C79,1)))</f>
        <v>4</v>
      </c>
      <c r="V79" s="50" t="n">
        <f aca="false">IF($D79="",0,(N($H79)+IF($J79="",N($H79),$J79))/2)</f>
        <v>4.2</v>
      </c>
      <c r="W79" s="50" t="n">
        <f aca="false">IF($D79="",0,(N($I79)+IF($K79="",N($I79),$K79))/2)</f>
        <v>5.4</v>
      </c>
      <c r="X79" s="50" t="n">
        <f aca="false">IF($E79="VERTICAL",$V79,N($F79))</f>
        <v>6.75</v>
      </c>
      <c r="Y79" s="50" t="n">
        <f aca="false">IF($E79="VERTICAL",$W79,N($G79))</f>
        <v>13.5</v>
      </c>
      <c r="Z79" s="50" t="n">
        <f aca="false">IF($E79="VERTICAL",N($F79),$V79)</f>
        <v>4.2</v>
      </c>
      <c r="AA79" s="50" t="n">
        <f aca="false">IF($E79="VERTICAL",N($G79),$W79)</f>
        <v>5.4</v>
      </c>
      <c r="AB79" s="30" t="n">
        <f aca="false">IF($L79&lt;&gt;"OK",0,(INDEX(PRESIONES!$D$28:$D$31,$U79)*IF(INDEX(PRESIONES!$D$28:$D$31,$U79)&gt;0,PRESIONES!$C$9*IF($T79&lt;=10,1,($T79/10)^(2/DATOS!$C$56)),PRESIONES!$C$15)-ABERTURAS!$L$60*PRESIONES!$C$12)*$R79/$M79)</f>
        <v>0.499258901332516</v>
      </c>
      <c r="AC79" s="30" t="n">
        <f aca="false">IF($L79&lt;&gt;"OK",0,(INDEX(PRESIONES!$G$28:$G$31,$U79)*IF(INDEX(PRESIONES!$G$28:$G$31,$U79)&gt;0,PRESIONES!$C$9*IF($T79&lt;=10,1,($T79/10)^(2/DATOS!$C$56)),PRESIONES!$C$15)-ABERTURAS!$L$61*PRESIONES!$C$12)*$R79/$M79)</f>
        <v>75.3792589013325</v>
      </c>
      <c r="AD79" s="30" t="n">
        <f aca="false">IF($L79&lt;&gt;"OK",0,(INDEX(PRESIONES!$J$28:$J$31,$U79)*IF(INDEX(PRESIONES!$J$28:$J$31,$U79)&gt;0,PRESIONES!$C$9*IF($T79&lt;=10,1,($T79/10)^(2/DATOS!$C$56)),PRESIONES!$C$15)-ABERTURAS!$L$62*PRESIONES!$C$12)*$R79/$M79)</f>
        <v>-5.16088931840098</v>
      </c>
      <c r="AE79" s="30" t="n">
        <f aca="false">IF($L79&lt;&gt;"OK",0,(INDEX(PRESIONES!$M$28:$M$31,$U79)*IF(INDEX(PRESIONES!$M$28:$M$31,$U79)&gt;0,PRESIONES!$C$9*IF($T79&lt;=10,1,($T79/10)^(2/DATOS!$C$56)),PRESIONES!$C$15)-ABERTURAS!$L$63*PRESIONES!$C$12)*$R79/$M79)</f>
        <v>-84.2688883519988</v>
      </c>
      <c r="AF79" s="30" t="n">
        <f aca="false">IF($L79&lt;&gt;"OK",0,(INDEX(PRESIONES!$D$28:$D$31,$U79)*IF(INDEX(PRESIONES!$D$28:$D$31,$U79)&gt;0,PRESIONES!$C$9*IF($T79&lt;=10,1,($T79/10)^(2/DATOS!$C$56)),PRESIONES!$C$15)-ABERTURAS!$L$64*PRESIONES!$C$12)*$S79/$M79)</f>
        <v>0.499258901332516</v>
      </c>
      <c r="AG79" s="30" t="n">
        <f aca="false">IF($L79&lt;&gt;"OK",0,(INDEX(PRESIONES!$G$28:$G$31,$U79)*IF(INDEX(PRESIONES!$G$28:$G$31,$U79)&gt;0,PRESIONES!$C$9*IF($T79&lt;=10,1,($T79/10)^(2/DATOS!$C$56)),PRESIONES!$C$15)-ABERTURAS!$L$65*PRESIONES!$C$12)*$S79/$M79)</f>
        <v>75.3792589013325</v>
      </c>
      <c r="AH79" s="30" t="n">
        <f aca="false">IF($L79&lt;&gt;"OK",0,(INDEX(PRESIONES!$J$28:$J$31,$U79)*IF(INDEX(PRESIONES!$J$28:$J$31,$U79)&gt;0,PRESIONES!$C$9*IF($T79&lt;=10,1,($T79/10)^(2/DATOS!$C$56)),PRESIONES!$C$15)-ABERTURAS!$L$66*PRESIONES!$C$12)*$S79/$M79)</f>
        <v>-5.16088931840098</v>
      </c>
      <c r="AI79" s="30" t="n">
        <f aca="false">IF($L79&lt;&gt;"OK",0,(INDEX(PRESIONES!$M$28:$M$31,$U79)*IF(INDEX(PRESIONES!$M$28:$M$31,$U79)&gt;0,PRESIONES!$C$9*IF($T79&lt;=10,1,($T79/10)^(2/DATOS!$C$56)),PRESIONES!$C$15)-ABERTURAS!$L$67*PRESIONES!$C$12)*$S79/$M79)</f>
        <v>-84.2688883519988</v>
      </c>
    </row>
    <row r="80" customFormat="false" ht="16.5" hidden="false" customHeight="true" outlineLevel="0" collapsed="false">
      <c r="B80" s="27" t="s">
        <v>502</v>
      </c>
      <c r="C80" s="17" t="s">
        <v>480</v>
      </c>
      <c r="D80" s="27" t="s">
        <v>503</v>
      </c>
      <c r="E80" s="17" t="s">
        <v>432</v>
      </c>
      <c r="F80" s="49" t="n">
        <v>13.5</v>
      </c>
      <c r="G80" s="49" t="n">
        <v>16</v>
      </c>
      <c r="H80" s="49" t="n">
        <v>4.2</v>
      </c>
      <c r="I80" s="49" t="n">
        <v>5.4</v>
      </c>
      <c r="J80" s="49"/>
      <c r="K80" s="49"/>
      <c r="L80" s="20" t="str">
        <f aca="false">IF($D80="","",IF(LEFT($C80,4)&lt;&gt;"MURO","PON EL MURO",IF(AND($E80&lt;&gt;"HORIZONTAL",$E80&lt;&gt;"VERTICAL"),"PON EL SENTIDO",IF(OR($F80="",$G80="",$H80="",$I80=""),"FALTAN a o b",IF($M80&lt;=0,"a₂ DEBE SER &gt; a₁",IF($N80&lt;=0,"b₂ DEBE SER &gt; b₁","OK"))))))</f>
        <v>OK</v>
      </c>
      <c r="M80" s="30" t="n">
        <f aca="false">IF($D80="",0,MAX(0,$G80-$F80))</f>
        <v>2.5</v>
      </c>
      <c r="N80" s="30" t="n">
        <f aca="false">MAX(0,$W80-$V80)</f>
        <v>1.2</v>
      </c>
      <c r="O80" s="30" t="n">
        <f aca="false">$M80*$N80</f>
        <v>3</v>
      </c>
      <c r="P80" s="30" t="n">
        <f aca="false">IF($U80=0,0,SUMPRODUCT((ABERTURAS!$N$7:$N$26=$U80)*ABERTURAS!$U$7:$U$26*(((($Y80)+(ABERTURAS!$P$7:$P$26)-ABS(($Y80)-(ABERTURAS!$P$7:$P$26)))/2-(($X80)+(ABERTURAS!$O$7:$O$26)+ABS(($X80)-(ABERTURAS!$O$7:$O$26)))/2)+ABS((($Y80)+(ABERTURAS!$P$7:$P$26)-ABS(($Y80)-(ABERTURAS!$P$7:$P$26)))/2-(($X80)+(ABERTURAS!$O$7:$O$26)+ABS(($X80)-(ABERTURAS!$O$7:$O$26)))/2))/2*(((($AA80)+(ABERTURAS!$R$7:$R$26)-ABS(($AA80)-(ABERTURAS!$R$7:$R$26)))/2-(($Z80)+(ABERTURAS!$Q$7:$Q$26)+ABS(($Z80)-(ABERTURAS!$Q$7:$Q$26)))/2)+ABS((($AA80)+(ABERTURAS!$R$7:$R$26)-ABS(($AA80)-(ABERTURAS!$R$7:$R$26)))/2-(($Z80)+(ABERTURAS!$Q$7:$Q$26)+ABS(($Z80)-(ABERTURAS!$Q$7:$Q$26)))/2))/2))</f>
        <v>0</v>
      </c>
      <c r="Q80" s="30" t="n">
        <f aca="false">IF($U80=0,0,SUMPRODUCT((ABERTURAS!$N$7:$N$26=$U80)*ABERTURAS!$V$7:$V$26*(((($Y80)+(ABERTURAS!$P$7:$P$26)-ABS(($Y80)-(ABERTURAS!$P$7:$P$26)))/2-(($X80)+(ABERTURAS!$O$7:$O$26)+ABS(($X80)-(ABERTURAS!$O$7:$O$26)))/2)+ABS((($Y80)+(ABERTURAS!$P$7:$P$26)-ABS(($Y80)-(ABERTURAS!$P$7:$P$26)))/2-(($X80)+(ABERTURAS!$O$7:$O$26)+ABS(($X80)-(ABERTURAS!$O$7:$O$26)))/2))/2*(((($AA80)+(ABERTURAS!$R$7:$R$26)-ABS(($AA80)-(ABERTURAS!$R$7:$R$26)))/2-(($Z80)+(ABERTURAS!$Q$7:$Q$26)+ABS(($Z80)-(ABERTURAS!$Q$7:$Q$26)))/2)+ABS((($AA80)+(ABERTURAS!$R$7:$R$26)-ABS(($AA80)-(ABERTURAS!$R$7:$R$26)))/2-(($Z80)+(ABERTURAS!$Q$7:$Q$26)+ABS(($Z80)-(ABERTURAS!$Q$7:$Q$26)))/2))/2))</f>
        <v>0</v>
      </c>
      <c r="R80" s="30" t="n">
        <f aca="false">MAX(0,$O80-$P80)</f>
        <v>3</v>
      </c>
      <c r="S80" s="30" t="n">
        <f aca="false">MAX(0,$O80-$Q80)</f>
        <v>3</v>
      </c>
      <c r="T80" s="50" t="n">
        <f aca="false">IF($D80="",0,IF($E80="VERTICAL",N($G80),MAX(N($I80),IF($K80="",N($I80),$K80))))</f>
        <v>5.4</v>
      </c>
      <c r="U80" s="50" t="n">
        <f aca="false">IF($L80&lt;&gt;"OK",0,VALUE(RIGHT($C80,1)))</f>
        <v>4</v>
      </c>
      <c r="V80" s="50" t="n">
        <f aca="false">IF($D80="",0,(N($H80)+IF($J80="",N($H80),$J80))/2)</f>
        <v>4.2</v>
      </c>
      <c r="W80" s="50" t="n">
        <f aca="false">IF($D80="",0,(N($I80)+IF($K80="",N($I80),$K80))/2)</f>
        <v>5.4</v>
      </c>
      <c r="X80" s="50" t="n">
        <f aca="false">IF($E80="VERTICAL",$V80,N($F80))</f>
        <v>13.5</v>
      </c>
      <c r="Y80" s="50" t="n">
        <f aca="false">IF($E80="VERTICAL",$W80,N($G80))</f>
        <v>16</v>
      </c>
      <c r="Z80" s="50" t="n">
        <f aca="false">IF($E80="VERTICAL",N($F80),$V80)</f>
        <v>4.2</v>
      </c>
      <c r="AA80" s="50" t="n">
        <f aca="false">IF($E80="VERTICAL",N($G80),$W80)</f>
        <v>5.4</v>
      </c>
      <c r="AB80" s="30" t="n">
        <f aca="false">IF($L80&lt;&gt;"OK",0,(INDEX(PRESIONES!$D$28:$D$31,$U80)*IF(INDEX(PRESIONES!$D$28:$D$31,$U80)&gt;0,PRESIONES!$C$9*IF($T80&lt;=10,1,($T80/10)^(2/DATOS!$C$56)),PRESIONES!$C$15)-ABERTURAS!$L$60*PRESIONES!$C$12)*$R80/$M80)</f>
        <v>0.499258901332516</v>
      </c>
      <c r="AC80" s="30" t="n">
        <f aca="false">IF($L80&lt;&gt;"OK",0,(INDEX(PRESIONES!$G$28:$G$31,$U80)*IF(INDEX(PRESIONES!$G$28:$G$31,$U80)&gt;0,PRESIONES!$C$9*IF($T80&lt;=10,1,($T80/10)^(2/DATOS!$C$56)),PRESIONES!$C$15)-ABERTURAS!$L$61*PRESIONES!$C$12)*$R80/$M80)</f>
        <v>75.3792589013325</v>
      </c>
      <c r="AD80" s="30" t="n">
        <f aca="false">IF($L80&lt;&gt;"OK",0,(INDEX(PRESIONES!$J$28:$J$31,$U80)*IF(INDEX(PRESIONES!$J$28:$J$31,$U80)&gt;0,PRESIONES!$C$9*IF($T80&lt;=10,1,($T80/10)^(2/DATOS!$C$56)),PRESIONES!$C$15)-ABERTURAS!$L$62*PRESIONES!$C$12)*$R80/$M80)</f>
        <v>-5.16088931840098</v>
      </c>
      <c r="AE80" s="30" t="n">
        <f aca="false">IF($L80&lt;&gt;"OK",0,(INDEX(PRESIONES!$M$28:$M$31,$U80)*IF(INDEX(PRESIONES!$M$28:$M$31,$U80)&gt;0,PRESIONES!$C$9*IF($T80&lt;=10,1,($T80/10)^(2/DATOS!$C$56)),PRESIONES!$C$15)-ABERTURAS!$L$63*PRESIONES!$C$12)*$R80/$M80)</f>
        <v>-84.2688883519988</v>
      </c>
      <c r="AF80" s="30" t="n">
        <f aca="false">IF($L80&lt;&gt;"OK",0,(INDEX(PRESIONES!$D$28:$D$31,$U80)*IF(INDEX(PRESIONES!$D$28:$D$31,$U80)&gt;0,PRESIONES!$C$9*IF($T80&lt;=10,1,($T80/10)^(2/DATOS!$C$56)),PRESIONES!$C$15)-ABERTURAS!$L$64*PRESIONES!$C$12)*$S80/$M80)</f>
        <v>0.499258901332516</v>
      </c>
      <c r="AG80" s="30" t="n">
        <f aca="false">IF($L80&lt;&gt;"OK",0,(INDEX(PRESIONES!$G$28:$G$31,$U80)*IF(INDEX(PRESIONES!$G$28:$G$31,$U80)&gt;0,PRESIONES!$C$9*IF($T80&lt;=10,1,($T80/10)^(2/DATOS!$C$56)),PRESIONES!$C$15)-ABERTURAS!$L$65*PRESIONES!$C$12)*$S80/$M80)</f>
        <v>75.3792589013325</v>
      </c>
      <c r="AH80" s="30" t="n">
        <f aca="false">IF($L80&lt;&gt;"OK",0,(INDEX(PRESIONES!$J$28:$J$31,$U80)*IF(INDEX(PRESIONES!$J$28:$J$31,$U80)&gt;0,PRESIONES!$C$9*IF($T80&lt;=10,1,($T80/10)^(2/DATOS!$C$56)),PRESIONES!$C$15)-ABERTURAS!$L$66*PRESIONES!$C$12)*$S80/$M80)</f>
        <v>-5.16088931840098</v>
      </c>
      <c r="AI80" s="30" t="n">
        <f aca="false">IF($L80&lt;&gt;"OK",0,(INDEX(PRESIONES!$M$28:$M$31,$U80)*IF(INDEX(PRESIONES!$M$28:$M$31,$U80)&gt;0,PRESIONES!$C$9*IF($T80&lt;=10,1,($T80/10)^(2/DATOS!$C$56)),PRESIONES!$C$15)-ABERTURAS!$L$67*PRESIONES!$C$12)*$S80/$M80)</f>
        <v>-84.2688883519988</v>
      </c>
    </row>
    <row r="81" customFormat="false" ht="16.5" hidden="false" customHeight="true" outlineLevel="0" collapsed="false">
      <c r="B81" s="27" t="s">
        <v>504</v>
      </c>
      <c r="C81" s="17" t="s">
        <v>480</v>
      </c>
      <c r="D81" s="27" t="s">
        <v>505</v>
      </c>
      <c r="E81" s="17" t="s">
        <v>432</v>
      </c>
      <c r="F81" s="49" t="n">
        <v>0</v>
      </c>
      <c r="G81" s="49" t="n">
        <v>6.75</v>
      </c>
      <c r="H81" s="49" t="n">
        <v>5.4</v>
      </c>
      <c r="I81" s="49" t="n">
        <v>6.6</v>
      </c>
      <c r="J81" s="49"/>
      <c r="K81" s="49"/>
      <c r="L81" s="20" t="str">
        <f aca="false">IF($D81="","",IF(LEFT($C81,4)&lt;&gt;"MURO","PON EL MURO",IF(AND($E81&lt;&gt;"HORIZONTAL",$E81&lt;&gt;"VERTICAL"),"PON EL SENTIDO",IF(OR($F81="",$G81="",$H81="",$I81=""),"FALTAN a o b",IF($M81&lt;=0,"a₂ DEBE SER &gt; a₁",IF($N81&lt;=0,"b₂ DEBE SER &gt; b₁","OK"))))))</f>
        <v>OK</v>
      </c>
      <c r="M81" s="30" t="n">
        <f aca="false">IF($D81="",0,MAX(0,$G81-$F81))</f>
        <v>6.75</v>
      </c>
      <c r="N81" s="30" t="n">
        <f aca="false">MAX(0,$W81-$V81)</f>
        <v>1.2</v>
      </c>
      <c r="O81" s="30" t="n">
        <f aca="false">$M81*$N81</f>
        <v>8.09999999999999</v>
      </c>
      <c r="P81" s="30" t="n">
        <f aca="false">IF($U81=0,0,SUMPRODUCT((ABERTURAS!$N$7:$N$26=$U81)*ABERTURAS!$U$7:$U$26*(((($Y81)+(ABERTURAS!$P$7:$P$26)-ABS(($Y81)-(ABERTURAS!$P$7:$P$26)))/2-(($X81)+(ABERTURAS!$O$7:$O$26)+ABS(($X81)-(ABERTURAS!$O$7:$O$26)))/2)+ABS((($Y81)+(ABERTURAS!$P$7:$P$26)-ABS(($Y81)-(ABERTURAS!$P$7:$P$26)))/2-(($X81)+(ABERTURAS!$O$7:$O$26)+ABS(($X81)-(ABERTURAS!$O$7:$O$26)))/2))/2*(((($AA81)+(ABERTURAS!$R$7:$R$26)-ABS(($AA81)-(ABERTURAS!$R$7:$R$26)))/2-(($Z81)+(ABERTURAS!$Q$7:$Q$26)+ABS(($Z81)-(ABERTURAS!$Q$7:$Q$26)))/2)+ABS((($AA81)+(ABERTURAS!$R$7:$R$26)-ABS(($AA81)-(ABERTURAS!$R$7:$R$26)))/2-(($Z81)+(ABERTURAS!$Q$7:$Q$26)+ABS(($Z81)-(ABERTURAS!$Q$7:$Q$26)))/2))/2))</f>
        <v>0</v>
      </c>
      <c r="Q81" s="30" t="n">
        <f aca="false">IF($U81=0,0,SUMPRODUCT((ABERTURAS!$N$7:$N$26=$U81)*ABERTURAS!$V$7:$V$26*(((($Y81)+(ABERTURAS!$P$7:$P$26)-ABS(($Y81)-(ABERTURAS!$P$7:$P$26)))/2-(($X81)+(ABERTURAS!$O$7:$O$26)+ABS(($X81)-(ABERTURAS!$O$7:$O$26)))/2)+ABS((($Y81)+(ABERTURAS!$P$7:$P$26)-ABS(($Y81)-(ABERTURAS!$P$7:$P$26)))/2-(($X81)+(ABERTURAS!$O$7:$O$26)+ABS(($X81)-(ABERTURAS!$O$7:$O$26)))/2))/2*(((($AA81)+(ABERTURAS!$R$7:$R$26)-ABS(($AA81)-(ABERTURAS!$R$7:$R$26)))/2-(($Z81)+(ABERTURAS!$Q$7:$Q$26)+ABS(($Z81)-(ABERTURAS!$Q$7:$Q$26)))/2)+ABS((($AA81)+(ABERTURAS!$R$7:$R$26)-ABS(($AA81)-(ABERTURAS!$R$7:$R$26)))/2-(($Z81)+(ABERTURAS!$Q$7:$Q$26)+ABS(($Z81)-(ABERTURAS!$Q$7:$Q$26)))/2))/2))</f>
        <v>0</v>
      </c>
      <c r="R81" s="30" t="n">
        <f aca="false">MAX(0,$O81-$P81)</f>
        <v>8.09999999999999</v>
      </c>
      <c r="S81" s="30" t="n">
        <f aca="false">MAX(0,$O81-$Q81)</f>
        <v>8.09999999999999</v>
      </c>
      <c r="T81" s="50" t="n">
        <f aca="false">IF($D81="",0,IF($E81="VERTICAL",N($G81),MAX(N($I81),IF($K81="",N($I81),$K81))))</f>
        <v>6.6</v>
      </c>
      <c r="U81" s="50" t="n">
        <f aca="false">IF($L81&lt;&gt;"OK",0,VALUE(RIGHT($C81,1)))</f>
        <v>4</v>
      </c>
      <c r="V81" s="50" t="n">
        <f aca="false">IF($D81="",0,(N($H81)+IF($J81="",N($H81),$J81))/2)</f>
        <v>5.4</v>
      </c>
      <c r="W81" s="50" t="n">
        <f aca="false">IF($D81="",0,(N($I81)+IF($K81="",N($I81),$K81))/2)</f>
        <v>6.6</v>
      </c>
      <c r="X81" s="50" t="n">
        <f aca="false">IF($E81="VERTICAL",$V81,N($F81))</f>
        <v>0</v>
      </c>
      <c r="Y81" s="50" t="n">
        <f aca="false">IF($E81="VERTICAL",$W81,N($G81))</f>
        <v>6.75</v>
      </c>
      <c r="Z81" s="50" t="n">
        <f aca="false">IF($E81="VERTICAL",N($F81),$V81)</f>
        <v>5.4</v>
      </c>
      <c r="AA81" s="50" t="n">
        <f aca="false">IF($E81="VERTICAL",N($G81),$W81)</f>
        <v>6.6</v>
      </c>
      <c r="AB81" s="30" t="n">
        <f aca="false">IF($L81&lt;&gt;"OK",0,(INDEX(PRESIONES!$D$28:$D$31,$U81)*IF(INDEX(PRESIONES!$D$28:$D$31,$U81)&gt;0,PRESIONES!$C$9*IF($T81&lt;=10,1,($T81/10)^(2/DATOS!$C$56)),PRESIONES!$C$15)-ABERTURAS!$L$60*PRESIONES!$C$12)*$R81/$M81)</f>
        <v>0.499258901332516</v>
      </c>
      <c r="AC81" s="30" t="n">
        <f aca="false">IF($L81&lt;&gt;"OK",0,(INDEX(PRESIONES!$G$28:$G$31,$U81)*IF(INDEX(PRESIONES!$G$28:$G$31,$U81)&gt;0,PRESIONES!$C$9*IF($T81&lt;=10,1,($T81/10)^(2/DATOS!$C$56)),PRESIONES!$C$15)-ABERTURAS!$L$61*PRESIONES!$C$12)*$R81/$M81)</f>
        <v>75.3792589013325</v>
      </c>
      <c r="AD81" s="30" t="n">
        <f aca="false">IF($L81&lt;&gt;"OK",0,(INDEX(PRESIONES!$J$28:$J$31,$U81)*IF(INDEX(PRESIONES!$J$28:$J$31,$U81)&gt;0,PRESIONES!$C$9*IF($T81&lt;=10,1,($T81/10)^(2/DATOS!$C$56)),PRESIONES!$C$15)-ABERTURAS!$L$62*PRESIONES!$C$12)*$R81/$M81)</f>
        <v>-5.16088931840097</v>
      </c>
      <c r="AE81" s="30" t="n">
        <f aca="false">IF($L81&lt;&gt;"OK",0,(INDEX(PRESIONES!$M$28:$M$31,$U81)*IF(INDEX(PRESIONES!$M$28:$M$31,$U81)&gt;0,PRESIONES!$C$9*IF($T81&lt;=10,1,($T81/10)^(2/DATOS!$C$56)),PRESIONES!$C$15)-ABERTURAS!$L$63*PRESIONES!$C$12)*$R81/$M81)</f>
        <v>-84.2688883519987</v>
      </c>
      <c r="AF81" s="30" t="n">
        <f aca="false">IF($L81&lt;&gt;"OK",0,(INDEX(PRESIONES!$D$28:$D$31,$U81)*IF(INDEX(PRESIONES!$D$28:$D$31,$U81)&gt;0,PRESIONES!$C$9*IF($T81&lt;=10,1,($T81/10)^(2/DATOS!$C$56)),PRESIONES!$C$15)-ABERTURAS!$L$64*PRESIONES!$C$12)*$S81/$M81)</f>
        <v>0.499258901332516</v>
      </c>
      <c r="AG81" s="30" t="n">
        <f aca="false">IF($L81&lt;&gt;"OK",0,(INDEX(PRESIONES!$G$28:$G$31,$U81)*IF(INDEX(PRESIONES!$G$28:$G$31,$U81)&gt;0,PRESIONES!$C$9*IF($T81&lt;=10,1,($T81/10)^(2/DATOS!$C$56)),PRESIONES!$C$15)-ABERTURAS!$L$65*PRESIONES!$C$12)*$S81/$M81)</f>
        <v>75.3792589013325</v>
      </c>
      <c r="AH81" s="30" t="n">
        <f aca="false">IF($L81&lt;&gt;"OK",0,(INDEX(PRESIONES!$J$28:$J$31,$U81)*IF(INDEX(PRESIONES!$J$28:$J$31,$U81)&gt;0,PRESIONES!$C$9*IF($T81&lt;=10,1,($T81/10)^(2/DATOS!$C$56)),PRESIONES!$C$15)-ABERTURAS!$L$66*PRESIONES!$C$12)*$S81/$M81)</f>
        <v>-5.16088931840097</v>
      </c>
      <c r="AI81" s="30" t="n">
        <f aca="false">IF($L81&lt;&gt;"OK",0,(INDEX(PRESIONES!$M$28:$M$31,$U81)*IF(INDEX(PRESIONES!$M$28:$M$31,$U81)&gt;0,PRESIONES!$C$9*IF($T81&lt;=10,1,($T81/10)^(2/DATOS!$C$56)),PRESIONES!$C$15)-ABERTURAS!$L$67*PRESIONES!$C$12)*$S81/$M81)</f>
        <v>-84.2688883519987</v>
      </c>
    </row>
    <row r="82" customFormat="false" ht="16.5" hidden="false" customHeight="true" outlineLevel="0" collapsed="false">
      <c r="B82" s="27" t="s">
        <v>506</v>
      </c>
      <c r="C82" s="17" t="s">
        <v>480</v>
      </c>
      <c r="D82" s="27" t="s">
        <v>507</v>
      </c>
      <c r="E82" s="17" t="s">
        <v>432</v>
      </c>
      <c r="F82" s="49" t="n">
        <v>6.75</v>
      </c>
      <c r="G82" s="49" t="n">
        <v>13.5</v>
      </c>
      <c r="H82" s="49" t="n">
        <v>5.4</v>
      </c>
      <c r="I82" s="49" t="n">
        <v>6.6</v>
      </c>
      <c r="J82" s="49"/>
      <c r="K82" s="49"/>
      <c r="L82" s="20" t="str">
        <f aca="false">IF($D82="","",IF(LEFT($C82,4)&lt;&gt;"MURO","PON EL MURO",IF(AND($E82&lt;&gt;"HORIZONTAL",$E82&lt;&gt;"VERTICAL"),"PON EL SENTIDO",IF(OR($F82="",$G82="",$H82="",$I82=""),"FALTAN a o b",IF($M82&lt;=0,"a₂ DEBE SER &gt; a₁",IF($N82&lt;=0,"b₂ DEBE SER &gt; b₁","OK"))))))</f>
        <v>OK</v>
      </c>
      <c r="M82" s="30" t="n">
        <f aca="false">IF($D82="",0,MAX(0,$G82-$F82))</f>
        <v>6.75</v>
      </c>
      <c r="N82" s="30" t="n">
        <f aca="false">MAX(0,$W82-$V82)</f>
        <v>1.2</v>
      </c>
      <c r="O82" s="30" t="n">
        <f aca="false">$M82*$N82</f>
        <v>8.09999999999999</v>
      </c>
      <c r="P82" s="30" t="n">
        <f aca="false">IF($U82=0,0,SUMPRODUCT((ABERTURAS!$N$7:$N$26=$U82)*ABERTURAS!$U$7:$U$26*(((($Y82)+(ABERTURAS!$P$7:$P$26)-ABS(($Y82)-(ABERTURAS!$P$7:$P$26)))/2-(($X82)+(ABERTURAS!$O$7:$O$26)+ABS(($X82)-(ABERTURAS!$O$7:$O$26)))/2)+ABS((($Y82)+(ABERTURAS!$P$7:$P$26)-ABS(($Y82)-(ABERTURAS!$P$7:$P$26)))/2-(($X82)+(ABERTURAS!$O$7:$O$26)+ABS(($X82)-(ABERTURAS!$O$7:$O$26)))/2))/2*(((($AA82)+(ABERTURAS!$R$7:$R$26)-ABS(($AA82)-(ABERTURAS!$R$7:$R$26)))/2-(($Z82)+(ABERTURAS!$Q$7:$Q$26)+ABS(($Z82)-(ABERTURAS!$Q$7:$Q$26)))/2)+ABS((($AA82)+(ABERTURAS!$R$7:$R$26)-ABS(($AA82)-(ABERTURAS!$R$7:$R$26)))/2-(($Z82)+(ABERTURAS!$Q$7:$Q$26)+ABS(($Z82)-(ABERTURAS!$Q$7:$Q$26)))/2))/2))</f>
        <v>0</v>
      </c>
      <c r="Q82" s="30" t="n">
        <f aca="false">IF($U82=0,0,SUMPRODUCT((ABERTURAS!$N$7:$N$26=$U82)*ABERTURAS!$V$7:$V$26*(((($Y82)+(ABERTURAS!$P$7:$P$26)-ABS(($Y82)-(ABERTURAS!$P$7:$P$26)))/2-(($X82)+(ABERTURAS!$O$7:$O$26)+ABS(($X82)-(ABERTURAS!$O$7:$O$26)))/2)+ABS((($Y82)+(ABERTURAS!$P$7:$P$26)-ABS(($Y82)-(ABERTURAS!$P$7:$P$26)))/2-(($X82)+(ABERTURAS!$O$7:$O$26)+ABS(($X82)-(ABERTURAS!$O$7:$O$26)))/2))/2*(((($AA82)+(ABERTURAS!$R$7:$R$26)-ABS(($AA82)-(ABERTURAS!$R$7:$R$26)))/2-(($Z82)+(ABERTURAS!$Q$7:$Q$26)+ABS(($Z82)-(ABERTURAS!$Q$7:$Q$26)))/2)+ABS((($AA82)+(ABERTURAS!$R$7:$R$26)-ABS(($AA82)-(ABERTURAS!$R$7:$R$26)))/2-(($Z82)+(ABERTURAS!$Q$7:$Q$26)+ABS(($Z82)-(ABERTURAS!$Q$7:$Q$26)))/2))/2))</f>
        <v>0</v>
      </c>
      <c r="R82" s="30" t="n">
        <f aca="false">MAX(0,$O82-$P82)</f>
        <v>8.09999999999999</v>
      </c>
      <c r="S82" s="30" t="n">
        <f aca="false">MAX(0,$O82-$Q82)</f>
        <v>8.09999999999999</v>
      </c>
      <c r="T82" s="50" t="n">
        <f aca="false">IF($D82="",0,IF($E82="VERTICAL",N($G82),MAX(N($I82),IF($K82="",N($I82),$K82))))</f>
        <v>6.6</v>
      </c>
      <c r="U82" s="50" t="n">
        <f aca="false">IF($L82&lt;&gt;"OK",0,VALUE(RIGHT($C82,1)))</f>
        <v>4</v>
      </c>
      <c r="V82" s="50" t="n">
        <f aca="false">IF($D82="",0,(N($H82)+IF($J82="",N($H82),$J82))/2)</f>
        <v>5.4</v>
      </c>
      <c r="W82" s="50" t="n">
        <f aca="false">IF($D82="",0,(N($I82)+IF($K82="",N($I82),$K82))/2)</f>
        <v>6.6</v>
      </c>
      <c r="X82" s="50" t="n">
        <f aca="false">IF($E82="VERTICAL",$V82,N($F82))</f>
        <v>6.75</v>
      </c>
      <c r="Y82" s="50" t="n">
        <f aca="false">IF($E82="VERTICAL",$W82,N($G82))</f>
        <v>13.5</v>
      </c>
      <c r="Z82" s="50" t="n">
        <f aca="false">IF($E82="VERTICAL",N($F82),$V82)</f>
        <v>5.4</v>
      </c>
      <c r="AA82" s="50" t="n">
        <f aca="false">IF($E82="VERTICAL",N($G82),$W82)</f>
        <v>6.6</v>
      </c>
      <c r="AB82" s="30" t="n">
        <f aca="false">IF($L82&lt;&gt;"OK",0,(INDEX(PRESIONES!$D$28:$D$31,$U82)*IF(INDEX(PRESIONES!$D$28:$D$31,$U82)&gt;0,PRESIONES!$C$9*IF($T82&lt;=10,1,($T82/10)^(2/DATOS!$C$56)),PRESIONES!$C$15)-ABERTURAS!$L$60*PRESIONES!$C$12)*$R82/$M82)</f>
        <v>0.499258901332516</v>
      </c>
      <c r="AC82" s="30" t="n">
        <f aca="false">IF($L82&lt;&gt;"OK",0,(INDEX(PRESIONES!$G$28:$G$31,$U82)*IF(INDEX(PRESIONES!$G$28:$G$31,$U82)&gt;0,PRESIONES!$C$9*IF($T82&lt;=10,1,($T82/10)^(2/DATOS!$C$56)),PRESIONES!$C$15)-ABERTURAS!$L$61*PRESIONES!$C$12)*$R82/$M82)</f>
        <v>75.3792589013325</v>
      </c>
      <c r="AD82" s="30" t="n">
        <f aca="false">IF($L82&lt;&gt;"OK",0,(INDEX(PRESIONES!$J$28:$J$31,$U82)*IF(INDEX(PRESIONES!$J$28:$J$31,$U82)&gt;0,PRESIONES!$C$9*IF($T82&lt;=10,1,($T82/10)^(2/DATOS!$C$56)),PRESIONES!$C$15)-ABERTURAS!$L$62*PRESIONES!$C$12)*$R82/$M82)</f>
        <v>-5.16088931840097</v>
      </c>
      <c r="AE82" s="30" t="n">
        <f aca="false">IF($L82&lt;&gt;"OK",0,(INDEX(PRESIONES!$M$28:$M$31,$U82)*IF(INDEX(PRESIONES!$M$28:$M$31,$U82)&gt;0,PRESIONES!$C$9*IF($T82&lt;=10,1,($T82/10)^(2/DATOS!$C$56)),PRESIONES!$C$15)-ABERTURAS!$L$63*PRESIONES!$C$12)*$R82/$M82)</f>
        <v>-84.2688883519987</v>
      </c>
      <c r="AF82" s="30" t="n">
        <f aca="false">IF($L82&lt;&gt;"OK",0,(INDEX(PRESIONES!$D$28:$D$31,$U82)*IF(INDEX(PRESIONES!$D$28:$D$31,$U82)&gt;0,PRESIONES!$C$9*IF($T82&lt;=10,1,($T82/10)^(2/DATOS!$C$56)),PRESIONES!$C$15)-ABERTURAS!$L$64*PRESIONES!$C$12)*$S82/$M82)</f>
        <v>0.499258901332516</v>
      </c>
      <c r="AG82" s="30" t="n">
        <f aca="false">IF($L82&lt;&gt;"OK",0,(INDEX(PRESIONES!$G$28:$G$31,$U82)*IF(INDEX(PRESIONES!$G$28:$G$31,$U82)&gt;0,PRESIONES!$C$9*IF($T82&lt;=10,1,($T82/10)^(2/DATOS!$C$56)),PRESIONES!$C$15)-ABERTURAS!$L$65*PRESIONES!$C$12)*$S82/$M82)</f>
        <v>75.3792589013325</v>
      </c>
      <c r="AH82" s="30" t="n">
        <f aca="false">IF($L82&lt;&gt;"OK",0,(INDEX(PRESIONES!$J$28:$J$31,$U82)*IF(INDEX(PRESIONES!$J$28:$J$31,$U82)&gt;0,PRESIONES!$C$9*IF($T82&lt;=10,1,($T82/10)^(2/DATOS!$C$56)),PRESIONES!$C$15)-ABERTURAS!$L$66*PRESIONES!$C$12)*$S82/$M82)</f>
        <v>-5.16088931840097</v>
      </c>
      <c r="AI82" s="30" t="n">
        <f aca="false">IF($L82&lt;&gt;"OK",0,(INDEX(PRESIONES!$M$28:$M$31,$U82)*IF(INDEX(PRESIONES!$M$28:$M$31,$U82)&gt;0,PRESIONES!$C$9*IF($T82&lt;=10,1,($T82/10)^(2/DATOS!$C$56)),PRESIONES!$C$15)-ABERTURAS!$L$67*PRESIONES!$C$12)*$S82/$M82)</f>
        <v>-84.2688883519987</v>
      </c>
    </row>
    <row r="83" customFormat="false" ht="16.5" hidden="false" customHeight="true" outlineLevel="0" collapsed="false">
      <c r="B83" s="27" t="s">
        <v>508</v>
      </c>
      <c r="C83" s="17" t="s">
        <v>480</v>
      </c>
      <c r="D83" s="27" t="s">
        <v>509</v>
      </c>
      <c r="E83" s="17" t="s">
        <v>432</v>
      </c>
      <c r="F83" s="49" t="n">
        <v>13.5</v>
      </c>
      <c r="G83" s="49" t="n">
        <v>16</v>
      </c>
      <c r="H83" s="49" t="n">
        <v>5.4</v>
      </c>
      <c r="I83" s="49" t="n">
        <v>6.6</v>
      </c>
      <c r="J83" s="49"/>
      <c r="K83" s="49"/>
      <c r="L83" s="20" t="str">
        <f aca="false">IF($D83="","",IF(LEFT($C83,4)&lt;&gt;"MURO","PON EL MURO",IF(AND($E83&lt;&gt;"HORIZONTAL",$E83&lt;&gt;"VERTICAL"),"PON EL SENTIDO",IF(OR($F83="",$G83="",$H83="",$I83=""),"FALTAN a o b",IF($M83&lt;=0,"a₂ DEBE SER &gt; a₁",IF($N83&lt;=0,"b₂ DEBE SER &gt; b₁","OK"))))))</f>
        <v>OK</v>
      </c>
      <c r="M83" s="30" t="n">
        <f aca="false">IF($D83="",0,MAX(0,$G83-$F83))</f>
        <v>2.5</v>
      </c>
      <c r="N83" s="30" t="n">
        <f aca="false">MAX(0,$W83-$V83)</f>
        <v>1.2</v>
      </c>
      <c r="O83" s="30" t="n">
        <f aca="false">$M83*$N83</f>
        <v>3</v>
      </c>
      <c r="P83" s="30" t="n">
        <f aca="false">IF($U83=0,0,SUMPRODUCT((ABERTURAS!$N$7:$N$26=$U83)*ABERTURAS!$U$7:$U$26*(((($Y83)+(ABERTURAS!$P$7:$P$26)-ABS(($Y83)-(ABERTURAS!$P$7:$P$26)))/2-(($X83)+(ABERTURAS!$O$7:$O$26)+ABS(($X83)-(ABERTURAS!$O$7:$O$26)))/2)+ABS((($Y83)+(ABERTURAS!$P$7:$P$26)-ABS(($Y83)-(ABERTURAS!$P$7:$P$26)))/2-(($X83)+(ABERTURAS!$O$7:$O$26)+ABS(($X83)-(ABERTURAS!$O$7:$O$26)))/2))/2*(((($AA83)+(ABERTURAS!$R$7:$R$26)-ABS(($AA83)-(ABERTURAS!$R$7:$R$26)))/2-(($Z83)+(ABERTURAS!$Q$7:$Q$26)+ABS(($Z83)-(ABERTURAS!$Q$7:$Q$26)))/2)+ABS((($AA83)+(ABERTURAS!$R$7:$R$26)-ABS(($AA83)-(ABERTURAS!$R$7:$R$26)))/2-(($Z83)+(ABERTURAS!$Q$7:$Q$26)+ABS(($Z83)-(ABERTURAS!$Q$7:$Q$26)))/2))/2))</f>
        <v>0</v>
      </c>
      <c r="Q83" s="30" t="n">
        <f aca="false">IF($U83=0,0,SUMPRODUCT((ABERTURAS!$N$7:$N$26=$U83)*ABERTURAS!$V$7:$V$26*(((($Y83)+(ABERTURAS!$P$7:$P$26)-ABS(($Y83)-(ABERTURAS!$P$7:$P$26)))/2-(($X83)+(ABERTURAS!$O$7:$O$26)+ABS(($X83)-(ABERTURAS!$O$7:$O$26)))/2)+ABS((($Y83)+(ABERTURAS!$P$7:$P$26)-ABS(($Y83)-(ABERTURAS!$P$7:$P$26)))/2-(($X83)+(ABERTURAS!$O$7:$O$26)+ABS(($X83)-(ABERTURAS!$O$7:$O$26)))/2))/2*(((($AA83)+(ABERTURAS!$R$7:$R$26)-ABS(($AA83)-(ABERTURAS!$R$7:$R$26)))/2-(($Z83)+(ABERTURAS!$Q$7:$Q$26)+ABS(($Z83)-(ABERTURAS!$Q$7:$Q$26)))/2)+ABS((($AA83)+(ABERTURAS!$R$7:$R$26)-ABS(($AA83)-(ABERTURAS!$R$7:$R$26)))/2-(($Z83)+(ABERTURAS!$Q$7:$Q$26)+ABS(($Z83)-(ABERTURAS!$Q$7:$Q$26)))/2))/2))</f>
        <v>0</v>
      </c>
      <c r="R83" s="30" t="n">
        <f aca="false">MAX(0,$O83-$P83)</f>
        <v>3</v>
      </c>
      <c r="S83" s="30" t="n">
        <f aca="false">MAX(0,$O83-$Q83)</f>
        <v>3</v>
      </c>
      <c r="T83" s="50" t="n">
        <f aca="false">IF($D83="",0,IF($E83="VERTICAL",N($G83),MAX(N($I83),IF($K83="",N($I83),$K83))))</f>
        <v>6.6</v>
      </c>
      <c r="U83" s="50" t="n">
        <f aca="false">IF($L83&lt;&gt;"OK",0,VALUE(RIGHT($C83,1)))</f>
        <v>4</v>
      </c>
      <c r="V83" s="50" t="n">
        <f aca="false">IF($D83="",0,(N($H83)+IF($J83="",N($H83),$J83))/2)</f>
        <v>5.4</v>
      </c>
      <c r="W83" s="50" t="n">
        <f aca="false">IF($D83="",0,(N($I83)+IF($K83="",N($I83),$K83))/2)</f>
        <v>6.6</v>
      </c>
      <c r="X83" s="50" t="n">
        <f aca="false">IF($E83="VERTICAL",$V83,N($F83))</f>
        <v>13.5</v>
      </c>
      <c r="Y83" s="50" t="n">
        <f aca="false">IF($E83="VERTICAL",$W83,N($G83))</f>
        <v>16</v>
      </c>
      <c r="Z83" s="50" t="n">
        <f aca="false">IF($E83="VERTICAL",N($F83),$V83)</f>
        <v>5.4</v>
      </c>
      <c r="AA83" s="50" t="n">
        <f aca="false">IF($E83="VERTICAL",N($G83),$W83)</f>
        <v>6.6</v>
      </c>
      <c r="AB83" s="30" t="n">
        <f aca="false">IF($L83&lt;&gt;"OK",0,(INDEX(PRESIONES!$D$28:$D$31,$U83)*IF(INDEX(PRESIONES!$D$28:$D$31,$U83)&gt;0,PRESIONES!$C$9*IF($T83&lt;=10,1,($T83/10)^(2/DATOS!$C$56)),PRESIONES!$C$15)-ABERTURAS!$L$60*PRESIONES!$C$12)*$R83/$M83)</f>
        <v>0.499258901332516</v>
      </c>
      <c r="AC83" s="30" t="n">
        <f aca="false">IF($L83&lt;&gt;"OK",0,(INDEX(PRESIONES!$G$28:$G$31,$U83)*IF(INDEX(PRESIONES!$G$28:$G$31,$U83)&gt;0,PRESIONES!$C$9*IF($T83&lt;=10,1,($T83/10)^(2/DATOS!$C$56)),PRESIONES!$C$15)-ABERTURAS!$L$61*PRESIONES!$C$12)*$R83/$M83)</f>
        <v>75.3792589013325</v>
      </c>
      <c r="AD83" s="30" t="n">
        <f aca="false">IF($L83&lt;&gt;"OK",0,(INDEX(PRESIONES!$J$28:$J$31,$U83)*IF(INDEX(PRESIONES!$J$28:$J$31,$U83)&gt;0,PRESIONES!$C$9*IF($T83&lt;=10,1,($T83/10)^(2/DATOS!$C$56)),PRESIONES!$C$15)-ABERTURAS!$L$62*PRESIONES!$C$12)*$R83/$M83)</f>
        <v>-5.16088931840097</v>
      </c>
      <c r="AE83" s="30" t="n">
        <f aca="false">IF($L83&lt;&gt;"OK",0,(INDEX(PRESIONES!$M$28:$M$31,$U83)*IF(INDEX(PRESIONES!$M$28:$M$31,$U83)&gt;0,PRESIONES!$C$9*IF($T83&lt;=10,1,($T83/10)^(2/DATOS!$C$56)),PRESIONES!$C$15)-ABERTURAS!$L$63*PRESIONES!$C$12)*$R83/$M83)</f>
        <v>-84.2688883519987</v>
      </c>
      <c r="AF83" s="30" t="n">
        <f aca="false">IF($L83&lt;&gt;"OK",0,(INDEX(PRESIONES!$D$28:$D$31,$U83)*IF(INDEX(PRESIONES!$D$28:$D$31,$U83)&gt;0,PRESIONES!$C$9*IF($T83&lt;=10,1,($T83/10)^(2/DATOS!$C$56)),PRESIONES!$C$15)-ABERTURAS!$L$64*PRESIONES!$C$12)*$S83/$M83)</f>
        <v>0.499258901332516</v>
      </c>
      <c r="AG83" s="30" t="n">
        <f aca="false">IF($L83&lt;&gt;"OK",0,(INDEX(PRESIONES!$G$28:$G$31,$U83)*IF(INDEX(PRESIONES!$G$28:$G$31,$U83)&gt;0,PRESIONES!$C$9*IF($T83&lt;=10,1,($T83/10)^(2/DATOS!$C$56)),PRESIONES!$C$15)-ABERTURAS!$L$65*PRESIONES!$C$12)*$S83/$M83)</f>
        <v>75.3792589013325</v>
      </c>
      <c r="AH83" s="30" t="n">
        <f aca="false">IF($L83&lt;&gt;"OK",0,(INDEX(PRESIONES!$J$28:$J$31,$U83)*IF(INDEX(PRESIONES!$J$28:$J$31,$U83)&gt;0,PRESIONES!$C$9*IF($T83&lt;=10,1,($T83/10)^(2/DATOS!$C$56)),PRESIONES!$C$15)-ABERTURAS!$L$66*PRESIONES!$C$12)*$S83/$M83)</f>
        <v>-5.16088931840097</v>
      </c>
      <c r="AI83" s="30" t="n">
        <f aca="false">IF($L83&lt;&gt;"OK",0,(INDEX(PRESIONES!$M$28:$M$31,$U83)*IF(INDEX(PRESIONES!$M$28:$M$31,$U83)&gt;0,PRESIONES!$C$9*IF($T83&lt;=10,1,($T83/10)^(2/DATOS!$C$56)),PRESIONES!$C$15)-ABERTURAS!$L$67*PRESIONES!$C$12)*$S83/$M83)</f>
        <v>-84.2688883519987</v>
      </c>
    </row>
    <row r="84" customFormat="false" ht="16.5" hidden="false" customHeight="true" outlineLevel="0" collapsed="false">
      <c r="B84" s="27" t="s">
        <v>510</v>
      </c>
      <c r="C84" s="17" t="s">
        <v>480</v>
      </c>
      <c r="D84" s="27" t="s">
        <v>511</v>
      </c>
      <c r="E84" s="17" t="s">
        <v>432</v>
      </c>
      <c r="F84" s="49" t="n">
        <v>0</v>
      </c>
      <c r="G84" s="49" t="n">
        <v>6.75</v>
      </c>
      <c r="H84" s="49" t="n">
        <v>6.6</v>
      </c>
      <c r="I84" s="49" t="n">
        <v>7.8</v>
      </c>
      <c r="J84" s="49"/>
      <c r="K84" s="49"/>
      <c r="L84" s="20" t="str">
        <f aca="false">IF($D84="","",IF(LEFT($C84,4)&lt;&gt;"MURO","PON EL MURO",IF(AND($E84&lt;&gt;"HORIZONTAL",$E84&lt;&gt;"VERTICAL"),"PON EL SENTIDO",IF(OR($F84="",$G84="",$H84="",$I84=""),"FALTAN a o b",IF($M84&lt;=0,"a₂ DEBE SER &gt; a₁",IF($N84&lt;=0,"b₂ DEBE SER &gt; b₁","OK"))))))</f>
        <v>OK</v>
      </c>
      <c r="M84" s="30" t="n">
        <f aca="false">IF($D84="",0,MAX(0,$G84-$F84))</f>
        <v>6.75</v>
      </c>
      <c r="N84" s="30" t="n">
        <f aca="false">MAX(0,$W84-$V84)</f>
        <v>1.2</v>
      </c>
      <c r="O84" s="30" t="n">
        <f aca="false">$M84*$N84</f>
        <v>8.1</v>
      </c>
      <c r="P84" s="30" t="n">
        <f aca="false">IF($U84=0,0,SUMPRODUCT((ABERTURAS!$N$7:$N$26=$U84)*ABERTURAS!$U$7:$U$26*(((($Y84)+(ABERTURAS!$P$7:$P$26)-ABS(($Y84)-(ABERTURAS!$P$7:$P$26)))/2-(($X84)+(ABERTURAS!$O$7:$O$26)+ABS(($X84)-(ABERTURAS!$O$7:$O$26)))/2)+ABS((($Y84)+(ABERTURAS!$P$7:$P$26)-ABS(($Y84)-(ABERTURAS!$P$7:$P$26)))/2-(($X84)+(ABERTURAS!$O$7:$O$26)+ABS(($X84)-(ABERTURAS!$O$7:$O$26)))/2))/2*(((($AA84)+(ABERTURAS!$R$7:$R$26)-ABS(($AA84)-(ABERTURAS!$R$7:$R$26)))/2-(($Z84)+(ABERTURAS!$Q$7:$Q$26)+ABS(($Z84)-(ABERTURAS!$Q$7:$Q$26)))/2)+ABS((($AA84)+(ABERTURAS!$R$7:$R$26)-ABS(($AA84)-(ABERTURAS!$R$7:$R$26)))/2-(($Z84)+(ABERTURAS!$Q$7:$Q$26)+ABS(($Z84)-(ABERTURAS!$Q$7:$Q$26)))/2))/2))</f>
        <v>0</v>
      </c>
      <c r="Q84" s="30" t="n">
        <f aca="false">IF($U84=0,0,SUMPRODUCT((ABERTURAS!$N$7:$N$26=$U84)*ABERTURAS!$V$7:$V$26*(((($Y84)+(ABERTURAS!$P$7:$P$26)-ABS(($Y84)-(ABERTURAS!$P$7:$P$26)))/2-(($X84)+(ABERTURAS!$O$7:$O$26)+ABS(($X84)-(ABERTURAS!$O$7:$O$26)))/2)+ABS((($Y84)+(ABERTURAS!$P$7:$P$26)-ABS(($Y84)-(ABERTURAS!$P$7:$P$26)))/2-(($X84)+(ABERTURAS!$O$7:$O$26)+ABS(($X84)-(ABERTURAS!$O$7:$O$26)))/2))/2*(((($AA84)+(ABERTURAS!$R$7:$R$26)-ABS(($AA84)-(ABERTURAS!$R$7:$R$26)))/2-(($Z84)+(ABERTURAS!$Q$7:$Q$26)+ABS(($Z84)-(ABERTURAS!$Q$7:$Q$26)))/2)+ABS((($AA84)+(ABERTURAS!$R$7:$R$26)-ABS(($AA84)-(ABERTURAS!$R$7:$R$26)))/2-(($Z84)+(ABERTURAS!$Q$7:$Q$26)+ABS(($Z84)-(ABERTURAS!$Q$7:$Q$26)))/2))/2))</f>
        <v>0</v>
      </c>
      <c r="R84" s="30" t="n">
        <f aca="false">MAX(0,$O84-$P84)</f>
        <v>8.1</v>
      </c>
      <c r="S84" s="30" t="n">
        <f aca="false">MAX(0,$O84-$Q84)</f>
        <v>8.1</v>
      </c>
      <c r="T84" s="50" t="n">
        <f aca="false">IF($D84="",0,IF($E84="VERTICAL",N($G84),MAX(N($I84),IF($K84="",N($I84),$K84))))</f>
        <v>7.8</v>
      </c>
      <c r="U84" s="50" t="n">
        <f aca="false">IF($L84&lt;&gt;"OK",0,VALUE(RIGHT($C84,1)))</f>
        <v>4</v>
      </c>
      <c r="V84" s="50" t="n">
        <f aca="false">IF($D84="",0,(N($H84)+IF($J84="",N($H84),$J84))/2)</f>
        <v>6.6</v>
      </c>
      <c r="W84" s="50" t="n">
        <f aca="false">IF($D84="",0,(N($I84)+IF($K84="",N($I84),$K84))/2)</f>
        <v>7.8</v>
      </c>
      <c r="X84" s="50" t="n">
        <f aca="false">IF($E84="VERTICAL",$V84,N($F84))</f>
        <v>0</v>
      </c>
      <c r="Y84" s="50" t="n">
        <f aca="false">IF($E84="VERTICAL",$W84,N($G84))</f>
        <v>6.75</v>
      </c>
      <c r="Z84" s="50" t="n">
        <f aca="false">IF($E84="VERTICAL",N($F84),$V84)</f>
        <v>6.6</v>
      </c>
      <c r="AA84" s="50" t="n">
        <f aca="false">IF($E84="VERTICAL",N($G84),$W84)</f>
        <v>7.8</v>
      </c>
      <c r="AB84" s="30" t="n">
        <f aca="false">IF($L84&lt;&gt;"OK",0,(INDEX(PRESIONES!$D$28:$D$31,$U84)*IF(INDEX(PRESIONES!$D$28:$D$31,$U84)&gt;0,PRESIONES!$C$9*IF($T84&lt;=10,1,($T84/10)^(2/DATOS!$C$56)),PRESIONES!$C$15)-ABERTURAS!$L$60*PRESIONES!$C$12)*$R84/$M84)</f>
        <v>0.499258901332516</v>
      </c>
      <c r="AC84" s="30" t="n">
        <f aca="false">IF($L84&lt;&gt;"OK",0,(INDEX(PRESIONES!$G$28:$G$31,$U84)*IF(INDEX(PRESIONES!$G$28:$G$31,$U84)&gt;0,PRESIONES!$C$9*IF($T84&lt;=10,1,($T84/10)^(2/DATOS!$C$56)),PRESIONES!$C$15)-ABERTURAS!$L$61*PRESIONES!$C$12)*$R84/$M84)</f>
        <v>75.3792589013325</v>
      </c>
      <c r="AD84" s="30" t="n">
        <f aca="false">IF($L84&lt;&gt;"OK",0,(INDEX(PRESIONES!$J$28:$J$31,$U84)*IF(INDEX(PRESIONES!$J$28:$J$31,$U84)&gt;0,PRESIONES!$C$9*IF($T84&lt;=10,1,($T84/10)^(2/DATOS!$C$56)),PRESIONES!$C$15)-ABERTURAS!$L$62*PRESIONES!$C$12)*$R84/$M84)</f>
        <v>-5.16088931840098</v>
      </c>
      <c r="AE84" s="30" t="n">
        <f aca="false">IF($L84&lt;&gt;"OK",0,(INDEX(PRESIONES!$M$28:$M$31,$U84)*IF(INDEX(PRESIONES!$M$28:$M$31,$U84)&gt;0,PRESIONES!$C$9*IF($T84&lt;=10,1,($T84/10)^(2/DATOS!$C$56)),PRESIONES!$C$15)-ABERTURAS!$L$63*PRESIONES!$C$12)*$R84/$M84)</f>
        <v>-84.2688883519988</v>
      </c>
      <c r="AF84" s="30" t="n">
        <f aca="false">IF($L84&lt;&gt;"OK",0,(INDEX(PRESIONES!$D$28:$D$31,$U84)*IF(INDEX(PRESIONES!$D$28:$D$31,$U84)&gt;0,PRESIONES!$C$9*IF($T84&lt;=10,1,($T84/10)^(2/DATOS!$C$56)),PRESIONES!$C$15)-ABERTURAS!$L$64*PRESIONES!$C$12)*$S84/$M84)</f>
        <v>0.499258901332516</v>
      </c>
      <c r="AG84" s="30" t="n">
        <f aca="false">IF($L84&lt;&gt;"OK",0,(INDEX(PRESIONES!$G$28:$G$31,$U84)*IF(INDEX(PRESIONES!$G$28:$G$31,$U84)&gt;0,PRESIONES!$C$9*IF($T84&lt;=10,1,($T84/10)^(2/DATOS!$C$56)),PRESIONES!$C$15)-ABERTURAS!$L$65*PRESIONES!$C$12)*$S84/$M84)</f>
        <v>75.3792589013325</v>
      </c>
      <c r="AH84" s="30" t="n">
        <f aca="false">IF($L84&lt;&gt;"OK",0,(INDEX(PRESIONES!$J$28:$J$31,$U84)*IF(INDEX(PRESIONES!$J$28:$J$31,$U84)&gt;0,PRESIONES!$C$9*IF($T84&lt;=10,1,($T84/10)^(2/DATOS!$C$56)),PRESIONES!$C$15)-ABERTURAS!$L$66*PRESIONES!$C$12)*$S84/$M84)</f>
        <v>-5.16088931840098</v>
      </c>
      <c r="AI84" s="30" t="n">
        <f aca="false">IF($L84&lt;&gt;"OK",0,(INDEX(PRESIONES!$M$28:$M$31,$U84)*IF(INDEX(PRESIONES!$M$28:$M$31,$U84)&gt;0,PRESIONES!$C$9*IF($T84&lt;=10,1,($T84/10)^(2/DATOS!$C$56)),PRESIONES!$C$15)-ABERTURAS!$L$67*PRESIONES!$C$12)*$S84/$M84)</f>
        <v>-84.2688883519988</v>
      </c>
    </row>
    <row r="85" customFormat="false" ht="16.5" hidden="false" customHeight="true" outlineLevel="0" collapsed="false">
      <c r="B85" s="27" t="s">
        <v>512</v>
      </c>
      <c r="C85" s="17" t="s">
        <v>480</v>
      </c>
      <c r="D85" s="27" t="s">
        <v>513</v>
      </c>
      <c r="E85" s="17" t="s">
        <v>432</v>
      </c>
      <c r="F85" s="49" t="n">
        <v>6.75</v>
      </c>
      <c r="G85" s="49" t="n">
        <v>13.5</v>
      </c>
      <c r="H85" s="49" t="n">
        <v>6.6</v>
      </c>
      <c r="I85" s="49" t="n">
        <v>7.8</v>
      </c>
      <c r="J85" s="49"/>
      <c r="K85" s="49"/>
      <c r="L85" s="20" t="str">
        <f aca="false">IF($D85="","",IF(LEFT($C85,4)&lt;&gt;"MURO","PON EL MURO",IF(AND($E85&lt;&gt;"HORIZONTAL",$E85&lt;&gt;"VERTICAL"),"PON EL SENTIDO",IF(OR($F85="",$G85="",$H85="",$I85=""),"FALTAN a o b",IF($M85&lt;=0,"a₂ DEBE SER &gt; a₁",IF($N85&lt;=0,"b₂ DEBE SER &gt; b₁","OK"))))))</f>
        <v>OK</v>
      </c>
      <c r="M85" s="30" t="n">
        <f aca="false">IF($D85="",0,MAX(0,$G85-$F85))</f>
        <v>6.75</v>
      </c>
      <c r="N85" s="30" t="n">
        <f aca="false">MAX(0,$W85-$V85)</f>
        <v>1.2</v>
      </c>
      <c r="O85" s="30" t="n">
        <f aca="false">$M85*$N85</f>
        <v>8.1</v>
      </c>
      <c r="P85" s="30" t="n">
        <f aca="false">IF($U85=0,0,SUMPRODUCT((ABERTURAS!$N$7:$N$26=$U85)*ABERTURAS!$U$7:$U$26*(((($Y85)+(ABERTURAS!$P$7:$P$26)-ABS(($Y85)-(ABERTURAS!$P$7:$P$26)))/2-(($X85)+(ABERTURAS!$O$7:$O$26)+ABS(($X85)-(ABERTURAS!$O$7:$O$26)))/2)+ABS((($Y85)+(ABERTURAS!$P$7:$P$26)-ABS(($Y85)-(ABERTURAS!$P$7:$P$26)))/2-(($X85)+(ABERTURAS!$O$7:$O$26)+ABS(($X85)-(ABERTURAS!$O$7:$O$26)))/2))/2*(((($AA85)+(ABERTURAS!$R$7:$R$26)-ABS(($AA85)-(ABERTURAS!$R$7:$R$26)))/2-(($Z85)+(ABERTURAS!$Q$7:$Q$26)+ABS(($Z85)-(ABERTURAS!$Q$7:$Q$26)))/2)+ABS((($AA85)+(ABERTURAS!$R$7:$R$26)-ABS(($AA85)-(ABERTURAS!$R$7:$R$26)))/2-(($Z85)+(ABERTURAS!$Q$7:$Q$26)+ABS(($Z85)-(ABERTURAS!$Q$7:$Q$26)))/2))/2))</f>
        <v>0</v>
      </c>
      <c r="Q85" s="30" t="n">
        <f aca="false">IF($U85=0,0,SUMPRODUCT((ABERTURAS!$N$7:$N$26=$U85)*ABERTURAS!$V$7:$V$26*(((($Y85)+(ABERTURAS!$P$7:$P$26)-ABS(($Y85)-(ABERTURAS!$P$7:$P$26)))/2-(($X85)+(ABERTURAS!$O$7:$O$26)+ABS(($X85)-(ABERTURAS!$O$7:$O$26)))/2)+ABS((($Y85)+(ABERTURAS!$P$7:$P$26)-ABS(($Y85)-(ABERTURAS!$P$7:$P$26)))/2-(($X85)+(ABERTURAS!$O$7:$O$26)+ABS(($X85)-(ABERTURAS!$O$7:$O$26)))/2))/2*(((($AA85)+(ABERTURAS!$R$7:$R$26)-ABS(($AA85)-(ABERTURAS!$R$7:$R$26)))/2-(($Z85)+(ABERTURAS!$Q$7:$Q$26)+ABS(($Z85)-(ABERTURAS!$Q$7:$Q$26)))/2)+ABS((($AA85)+(ABERTURAS!$R$7:$R$26)-ABS(($AA85)-(ABERTURAS!$R$7:$R$26)))/2-(($Z85)+(ABERTURAS!$Q$7:$Q$26)+ABS(($Z85)-(ABERTURAS!$Q$7:$Q$26)))/2))/2))</f>
        <v>0</v>
      </c>
      <c r="R85" s="30" t="n">
        <f aca="false">MAX(0,$O85-$P85)</f>
        <v>8.1</v>
      </c>
      <c r="S85" s="30" t="n">
        <f aca="false">MAX(0,$O85-$Q85)</f>
        <v>8.1</v>
      </c>
      <c r="T85" s="50" t="n">
        <f aca="false">IF($D85="",0,IF($E85="VERTICAL",N($G85),MAX(N($I85),IF($K85="",N($I85),$K85))))</f>
        <v>7.8</v>
      </c>
      <c r="U85" s="50" t="n">
        <f aca="false">IF($L85&lt;&gt;"OK",0,VALUE(RIGHT($C85,1)))</f>
        <v>4</v>
      </c>
      <c r="V85" s="50" t="n">
        <f aca="false">IF($D85="",0,(N($H85)+IF($J85="",N($H85),$J85))/2)</f>
        <v>6.6</v>
      </c>
      <c r="W85" s="50" t="n">
        <f aca="false">IF($D85="",0,(N($I85)+IF($K85="",N($I85),$K85))/2)</f>
        <v>7.8</v>
      </c>
      <c r="X85" s="50" t="n">
        <f aca="false">IF($E85="VERTICAL",$V85,N($F85))</f>
        <v>6.75</v>
      </c>
      <c r="Y85" s="50" t="n">
        <f aca="false">IF($E85="VERTICAL",$W85,N($G85))</f>
        <v>13.5</v>
      </c>
      <c r="Z85" s="50" t="n">
        <f aca="false">IF($E85="VERTICAL",N($F85),$V85)</f>
        <v>6.6</v>
      </c>
      <c r="AA85" s="50" t="n">
        <f aca="false">IF($E85="VERTICAL",N($G85),$W85)</f>
        <v>7.8</v>
      </c>
      <c r="AB85" s="30" t="n">
        <f aca="false">IF($L85&lt;&gt;"OK",0,(INDEX(PRESIONES!$D$28:$D$31,$U85)*IF(INDEX(PRESIONES!$D$28:$D$31,$U85)&gt;0,PRESIONES!$C$9*IF($T85&lt;=10,1,($T85/10)^(2/DATOS!$C$56)),PRESIONES!$C$15)-ABERTURAS!$L$60*PRESIONES!$C$12)*$R85/$M85)</f>
        <v>0.499258901332516</v>
      </c>
      <c r="AC85" s="30" t="n">
        <f aca="false">IF($L85&lt;&gt;"OK",0,(INDEX(PRESIONES!$G$28:$G$31,$U85)*IF(INDEX(PRESIONES!$G$28:$G$31,$U85)&gt;0,PRESIONES!$C$9*IF($T85&lt;=10,1,($T85/10)^(2/DATOS!$C$56)),PRESIONES!$C$15)-ABERTURAS!$L$61*PRESIONES!$C$12)*$R85/$M85)</f>
        <v>75.3792589013325</v>
      </c>
      <c r="AD85" s="30" t="n">
        <f aca="false">IF($L85&lt;&gt;"OK",0,(INDEX(PRESIONES!$J$28:$J$31,$U85)*IF(INDEX(PRESIONES!$J$28:$J$31,$U85)&gt;0,PRESIONES!$C$9*IF($T85&lt;=10,1,($T85/10)^(2/DATOS!$C$56)),PRESIONES!$C$15)-ABERTURAS!$L$62*PRESIONES!$C$12)*$R85/$M85)</f>
        <v>-5.16088931840098</v>
      </c>
      <c r="AE85" s="30" t="n">
        <f aca="false">IF($L85&lt;&gt;"OK",0,(INDEX(PRESIONES!$M$28:$M$31,$U85)*IF(INDEX(PRESIONES!$M$28:$M$31,$U85)&gt;0,PRESIONES!$C$9*IF($T85&lt;=10,1,($T85/10)^(2/DATOS!$C$56)),PRESIONES!$C$15)-ABERTURAS!$L$63*PRESIONES!$C$12)*$R85/$M85)</f>
        <v>-84.2688883519988</v>
      </c>
      <c r="AF85" s="30" t="n">
        <f aca="false">IF($L85&lt;&gt;"OK",0,(INDEX(PRESIONES!$D$28:$D$31,$U85)*IF(INDEX(PRESIONES!$D$28:$D$31,$U85)&gt;0,PRESIONES!$C$9*IF($T85&lt;=10,1,($T85/10)^(2/DATOS!$C$56)),PRESIONES!$C$15)-ABERTURAS!$L$64*PRESIONES!$C$12)*$S85/$M85)</f>
        <v>0.499258901332516</v>
      </c>
      <c r="AG85" s="30" t="n">
        <f aca="false">IF($L85&lt;&gt;"OK",0,(INDEX(PRESIONES!$G$28:$G$31,$U85)*IF(INDEX(PRESIONES!$G$28:$G$31,$U85)&gt;0,PRESIONES!$C$9*IF($T85&lt;=10,1,($T85/10)^(2/DATOS!$C$56)),PRESIONES!$C$15)-ABERTURAS!$L$65*PRESIONES!$C$12)*$S85/$M85)</f>
        <v>75.3792589013325</v>
      </c>
      <c r="AH85" s="30" t="n">
        <f aca="false">IF($L85&lt;&gt;"OK",0,(INDEX(PRESIONES!$J$28:$J$31,$U85)*IF(INDEX(PRESIONES!$J$28:$J$31,$U85)&gt;0,PRESIONES!$C$9*IF($T85&lt;=10,1,($T85/10)^(2/DATOS!$C$56)),PRESIONES!$C$15)-ABERTURAS!$L$66*PRESIONES!$C$12)*$S85/$M85)</f>
        <v>-5.16088931840098</v>
      </c>
      <c r="AI85" s="30" t="n">
        <f aca="false">IF($L85&lt;&gt;"OK",0,(INDEX(PRESIONES!$M$28:$M$31,$U85)*IF(INDEX(PRESIONES!$M$28:$M$31,$U85)&gt;0,PRESIONES!$C$9*IF($T85&lt;=10,1,($T85/10)^(2/DATOS!$C$56)),PRESIONES!$C$15)-ABERTURAS!$L$67*PRESIONES!$C$12)*$S85/$M85)</f>
        <v>-84.2688883519988</v>
      </c>
    </row>
    <row r="86" customFormat="false" ht="16.5" hidden="false" customHeight="true" outlineLevel="0" collapsed="false">
      <c r="B86" s="27" t="s">
        <v>514</v>
      </c>
      <c r="C86" s="17" t="s">
        <v>480</v>
      </c>
      <c r="D86" s="27" t="s">
        <v>515</v>
      </c>
      <c r="E86" s="17" t="s">
        <v>432</v>
      </c>
      <c r="F86" s="49" t="n">
        <v>13.5</v>
      </c>
      <c r="G86" s="49" t="n">
        <v>16</v>
      </c>
      <c r="H86" s="49" t="n">
        <v>6.6</v>
      </c>
      <c r="I86" s="49" t="n">
        <v>7.8</v>
      </c>
      <c r="J86" s="49"/>
      <c r="K86" s="49"/>
      <c r="L86" s="20" t="str">
        <f aca="false">IF($D86="","",IF(LEFT($C86,4)&lt;&gt;"MURO","PON EL MURO",IF(AND($E86&lt;&gt;"HORIZONTAL",$E86&lt;&gt;"VERTICAL"),"PON EL SENTIDO",IF(OR($F86="",$G86="",$H86="",$I86=""),"FALTAN a o b",IF($M86&lt;=0,"a₂ DEBE SER &gt; a₁",IF($N86&lt;=0,"b₂ DEBE SER &gt; b₁","OK"))))))</f>
        <v>OK</v>
      </c>
      <c r="M86" s="30" t="n">
        <f aca="false">IF($D86="",0,MAX(0,$G86-$F86))</f>
        <v>2.5</v>
      </c>
      <c r="N86" s="30" t="n">
        <f aca="false">MAX(0,$W86-$V86)</f>
        <v>1.2</v>
      </c>
      <c r="O86" s="30" t="n">
        <f aca="false">$M86*$N86</f>
        <v>3</v>
      </c>
      <c r="P86" s="30" t="n">
        <f aca="false">IF($U86=0,0,SUMPRODUCT((ABERTURAS!$N$7:$N$26=$U86)*ABERTURAS!$U$7:$U$26*(((($Y86)+(ABERTURAS!$P$7:$P$26)-ABS(($Y86)-(ABERTURAS!$P$7:$P$26)))/2-(($X86)+(ABERTURAS!$O$7:$O$26)+ABS(($X86)-(ABERTURAS!$O$7:$O$26)))/2)+ABS((($Y86)+(ABERTURAS!$P$7:$P$26)-ABS(($Y86)-(ABERTURAS!$P$7:$P$26)))/2-(($X86)+(ABERTURAS!$O$7:$O$26)+ABS(($X86)-(ABERTURAS!$O$7:$O$26)))/2))/2*(((($AA86)+(ABERTURAS!$R$7:$R$26)-ABS(($AA86)-(ABERTURAS!$R$7:$R$26)))/2-(($Z86)+(ABERTURAS!$Q$7:$Q$26)+ABS(($Z86)-(ABERTURAS!$Q$7:$Q$26)))/2)+ABS((($AA86)+(ABERTURAS!$R$7:$R$26)-ABS(($AA86)-(ABERTURAS!$R$7:$R$26)))/2-(($Z86)+(ABERTURAS!$Q$7:$Q$26)+ABS(($Z86)-(ABERTURAS!$Q$7:$Q$26)))/2))/2))</f>
        <v>0</v>
      </c>
      <c r="Q86" s="30" t="n">
        <f aca="false">IF($U86=0,0,SUMPRODUCT((ABERTURAS!$N$7:$N$26=$U86)*ABERTURAS!$V$7:$V$26*(((($Y86)+(ABERTURAS!$P$7:$P$26)-ABS(($Y86)-(ABERTURAS!$P$7:$P$26)))/2-(($X86)+(ABERTURAS!$O$7:$O$26)+ABS(($X86)-(ABERTURAS!$O$7:$O$26)))/2)+ABS((($Y86)+(ABERTURAS!$P$7:$P$26)-ABS(($Y86)-(ABERTURAS!$P$7:$P$26)))/2-(($X86)+(ABERTURAS!$O$7:$O$26)+ABS(($X86)-(ABERTURAS!$O$7:$O$26)))/2))/2*(((($AA86)+(ABERTURAS!$R$7:$R$26)-ABS(($AA86)-(ABERTURAS!$R$7:$R$26)))/2-(($Z86)+(ABERTURAS!$Q$7:$Q$26)+ABS(($Z86)-(ABERTURAS!$Q$7:$Q$26)))/2)+ABS((($AA86)+(ABERTURAS!$R$7:$R$26)-ABS(($AA86)-(ABERTURAS!$R$7:$R$26)))/2-(($Z86)+(ABERTURAS!$Q$7:$Q$26)+ABS(($Z86)-(ABERTURAS!$Q$7:$Q$26)))/2))/2))</f>
        <v>0</v>
      </c>
      <c r="R86" s="30" t="n">
        <f aca="false">MAX(0,$O86-$P86)</f>
        <v>3</v>
      </c>
      <c r="S86" s="30" t="n">
        <f aca="false">MAX(0,$O86-$Q86)</f>
        <v>3</v>
      </c>
      <c r="T86" s="50" t="n">
        <f aca="false">IF($D86="",0,IF($E86="VERTICAL",N($G86),MAX(N($I86),IF($K86="",N($I86),$K86))))</f>
        <v>7.8</v>
      </c>
      <c r="U86" s="50" t="n">
        <f aca="false">IF($L86&lt;&gt;"OK",0,VALUE(RIGHT($C86,1)))</f>
        <v>4</v>
      </c>
      <c r="V86" s="50" t="n">
        <f aca="false">IF($D86="",0,(N($H86)+IF($J86="",N($H86),$J86))/2)</f>
        <v>6.6</v>
      </c>
      <c r="W86" s="50" t="n">
        <f aca="false">IF($D86="",0,(N($I86)+IF($K86="",N($I86),$K86))/2)</f>
        <v>7.8</v>
      </c>
      <c r="X86" s="50" t="n">
        <f aca="false">IF($E86="VERTICAL",$V86,N($F86))</f>
        <v>13.5</v>
      </c>
      <c r="Y86" s="50" t="n">
        <f aca="false">IF($E86="VERTICAL",$W86,N($G86))</f>
        <v>16</v>
      </c>
      <c r="Z86" s="50" t="n">
        <f aca="false">IF($E86="VERTICAL",N($F86),$V86)</f>
        <v>6.6</v>
      </c>
      <c r="AA86" s="50" t="n">
        <f aca="false">IF($E86="VERTICAL",N($G86),$W86)</f>
        <v>7.8</v>
      </c>
      <c r="AB86" s="30" t="n">
        <f aca="false">IF($L86&lt;&gt;"OK",0,(INDEX(PRESIONES!$D$28:$D$31,$U86)*IF(INDEX(PRESIONES!$D$28:$D$31,$U86)&gt;0,PRESIONES!$C$9*IF($T86&lt;=10,1,($T86/10)^(2/DATOS!$C$56)),PRESIONES!$C$15)-ABERTURAS!$L$60*PRESIONES!$C$12)*$R86/$M86)</f>
        <v>0.499258901332516</v>
      </c>
      <c r="AC86" s="30" t="n">
        <f aca="false">IF($L86&lt;&gt;"OK",0,(INDEX(PRESIONES!$G$28:$G$31,$U86)*IF(INDEX(PRESIONES!$G$28:$G$31,$U86)&gt;0,PRESIONES!$C$9*IF($T86&lt;=10,1,($T86/10)^(2/DATOS!$C$56)),PRESIONES!$C$15)-ABERTURAS!$L$61*PRESIONES!$C$12)*$R86/$M86)</f>
        <v>75.3792589013325</v>
      </c>
      <c r="AD86" s="30" t="n">
        <f aca="false">IF($L86&lt;&gt;"OK",0,(INDEX(PRESIONES!$J$28:$J$31,$U86)*IF(INDEX(PRESIONES!$J$28:$J$31,$U86)&gt;0,PRESIONES!$C$9*IF($T86&lt;=10,1,($T86/10)^(2/DATOS!$C$56)),PRESIONES!$C$15)-ABERTURAS!$L$62*PRESIONES!$C$12)*$R86/$M86)</f>
        <v>-5.16088931840098</v>
      </c>
      <c r="AE86" s="30" t="n">
        <f aca="false">IF($L86&lt;&gt;"OK",0,(INDEX(PRESIONES!$M$28:$M$31,$U86)*IF(INDEX(PRESIONES!$M$28:$M$31,$U86)&gt;0,PRESIONES!$C$9*IF($T86&lt;=10,1,($T86/10)^(2/DATOS!$C$56)),PRESIONES!$C$15)-ABERTURAS!$L$63*PRESIONES!$C$12)*$R86/$M86)</f>
        <v>-84.2688883519988</v>
      </c>
      <c r="AF86" s="30" t="n">
        <f aca="false">IF($L86&lt;&gt;"OK",0,(INDEX(PRESIONES!$D$28:$D$31,$U86)*IF(INDEX(PRESIONES!$D$28:$D$31,$U86)&gt;0,PRESIONES!$C$9*IF($T86&lt;=10,1,($T86/10)^(2/DATOS!$C$56)),PRESIONES!$C$15)-ABERTURAS!$L$64*PRESIONES!$C$12)*$S86/$M86)</f>
        <v>0.499258901332516</v>
      </c>
      <c r="AG86" s="30" t="n">
        <f aca="false">IF($L86&lt;&gt;"OK",0,(INDEX(PRESIONES!$G$28:$G$31,$U86)*IF(INDEX(PRESIONES!$G$28:$G$31,$U86)&gt;0,PRESIONES!$C$9*IF($T86&lt;=10,1,($T86/10)^(2/DATOS!$C$56)),PRESIONES!$C$15)-ABERTURAS!$L$65*PRESIONES!$C$12)*$S86/$M86)</f>
        <v>75.3792589013325</v>
      </c>
      <c r="AH86" s="30" t="n">
        <f aca="false">IF($L86&lt;&gt;"OK",0,(INDEX(PRESIONES!$J$28:$J$31,$U86)*IF(INDEX(PRESIONES!$J$28:$J$31,$U86)&gt;0,PRESIONES!$C$9*IF($T86&lt;=10,1,($T86/10)^(2/DATOS!$C$56)),PRESIONES!$C$15)-ABERTURAS!$L$66*PRESIONES!$C$12)*$S86/$M86)</f>
        <v>-5.16088931840098</v>
      </c>
      <c r="AI86" s="30" t="n">
        <f aca="false">IF($L86&lt;&gt;"OK",0,(INDEX(PRESIONES!$M$28:$M$31,$U86)*IF(INDEX(PRESIONES!$M$28:$M$31,$U86)&gt;0,PRESIONES!$C$9*IF($T86&lt;=10,1,($T86/10)^(2/DATOS!$C$56)),PRESIONES!$C$15)-ABERTURAS!$L$67*PRESIONES!$C$12)*$S86/$M86)</f>
        <v>-84.2688883519988</v>
      </c>
    </row>
    <row r="87" customFormat="false" ht="16.5" hidden="false" customHeight="true" outlineLevel="0" collapsed="false">
      <c r="B87" s="27" t="s">
        <v>516</v>
      </c>
      <c r="C87" s="17" t="s">
        <v>480</v>
      </c>
      <c r="D87" s="27" t="s">
        <v>517</v>
      </c>
      <c r="E87" s="17" t="s">
        <v>432</v>
      </c>
      <c r="F87" s="49" t="n">
        <v>0</v>
      </c>
      <c r="G87" s="49" t="n">
        <v>6.75</v>
      </c>
      <c r="H87" s="49" t="n">
        <v>7.8</v>
      </c>
      <c r="I87" s="49" t="n">
        <v>9</v>
      </c>
      <c r="J87" s="49"/>
      <c r="K87" s="49"/>
      <c r="L87" s="20" t="str">
        <f aca="false">IF($D87="","",IF(LEFT($C87,4)&lt;&gt;"MURO","PON EL MURO",IF(AND($E87&lt;&gt;"HORIZONTAL",$E87&lt;&gt;"VERTICAL"),"PON EL SENTIDO",IF(OR($F87="",$G87="",$H87="",$I87=""),"FALTAN a o b",IF($M87&lt;=0,"a₂ DEBE SER &gt; a₁",IF($N87&lt;=0,"b₂ DEBE SER &gt; b₁","OK"))))))</f>
        <v>OK</v>
      </c>
      <c r="M87" s="30" t="n">
        <f aca="false">IF($D87="",0,MAX(0,$G87-$F87))</f>
        <v>6.75</v>
      </c>
      <c r="N87" s="30" t="n">
        <f aca="false">MAX(0,$W87-$V87)</f>
        <v>1.2</v>
      </c>
      <c r="O87" s="30" t="n">
        <f aca="false">$M87*$N87</f>
        <v>8.1</v>
      </c>
      <c r="P87" s="30" t="n">
        <f aca="false">IF($U87=0,0,SUMPRODUCT((ABERTURAS!$N$7:$N$26=$U87)*ABERTURAS!$U$7:$U$26*(((($Y87)+(ABERTURAS!$P$7:$P$26)-ABS(($Y87)-(ABERTURAS!$P$7:$P$26)))/2-(($X87)+(ABERTURAS!$O$7:$O$26)+ABS(($X87)-(ABERTURAS!$O$7:$O$26)))/2)+ABS((($Y87)+(ABERTURAS!$P$7:$P$26)-ABS(($Y87)-(ABERTURAS!$P$7:$P$26)))/2-(($X87)+(ABERTURAS!$O$7:$O$26)+ABS(($X87)-(ABERTURAS!$O$7:$O$26)))/2))/2*(((($AA87)+(ABERTURAS!$R$7:$R$26)-ABS(($AA87)-(ABERTURAS!$R$7:$R$26)))/2-(($Z87)+(ABERTURAS!$Q$7:$Q$26)+ABS(($Z87)-(ABERTURAS!$Q$7:$Q$26)))/2)+ABS((($AA87)+(ABERTURAS!$R$7:$R$26)-ABS(($AA87)-(ABERTURAS!$R$7:$R$26)))/2-(($Z87)+(ABERTURAS!$Q$7:$Q$26)+ABS(($Z87)-(ABERTURAS!$Q$7:$Q$26)))/2))/2))</f>
        <v>0</v>
      </c>
      <c r="Q87" s="30" t="n">
        <f aca="false">IF($U87=0,0,SUMPRODUCT((ABERTURAS!$N$7:$N$26=$U87)*ABERTURAS!$V$7:$V$26*(((($Y87)+(ABERTURAS!$P$7:$P$26)-ABS(($Y87)-(ABERTURAS!$P$7:$P$26)))/2-(($X87)+(ABERTURAS!$O$7:$O$26)+ABS(($X87)-(ABERTURAS!$O$7:$O$26)))/2)+ABS((($Y87)+(ABERTURAS!$P$7:$P$26)-ABS(($Y87)-(ABERTURAS!$P$7:$P$26)))/2-(($X87)+(ABERTURAS!$O$7:$O$26)+ABS(($X87)-(ABERTURAS!$O$7:$O$26)))/2))/2*(((($AA87)+(ABERTURAS!$R$7:$R$26)-ABS(($AA87)-(ABERTURAS!$R$7:$R$26)))/2-(($Z87)+(ABERTURAS!$Q$7:$Q$26)+ABS(($Z87)-(ABERTURAS!$Q$7:$Q$26)))/2)+ABS((($AA87)+(ABERTURAS!$R$7:$R$26)-ABS(($AA87)-(ABERTURAS!$R$7:$R$26)))/2-(($Z87)+(ABERTURAS!$Q$7:$Q$26)+ABS(($Z87)-(ABERTURAS!$Q$7:$Q$26)))/2))/2))</f>
        <v>0</v>
      </c>
      <c r="R87" s="30" t="n">
        <f aca="false">MAX(0,$O87-$P87)</f>
        <v>8.1</v>
      </c>
      <c r="S87" s="30" t="n">
        <f aca="false">MAX(0,$O87-$Q87)</f>
        <v>8.1</v>
      </c>
      <c r="T87" s="50" t="n">
        <f aca="false">IF($D87="",0,IF($E87="VERTICAL",N($G87),MAX(N($I87),IF($K87="",N($I87),$K87))))</f>
        <v>9</v>
      </c>
      <c r="U87" s="50" t="n">
        <f aca="false">IF($L87&lt;&gt;"OK",0,VALUE(RIGHT($C87,1)))</f>
        <v>4</v>
      </c>
      <c r="V87" s="50" t="n">
        <f aca="false">IF($D87="",0,(N($H87)+IF($J87="",N($H87),$J87))/2)</f>
        <v>7.8</v>
      </c>
      <c r="W87" s="50" t="n">
        <f aca="false">IF($D87="",0,(N($I87)+IF($K87="",N($I87),$K87))/2)</f>
        <v>9</v>
      </c>
      <c r="X87" s="50" t="n">
        <f aca="false">IF($E87="VERTICAL",$V87,N($F87))</f>
        <v>0</v>
      </c>
      <c r="Y87" s="50" t="n">
        <f aca="false">IF($E87="VERTICAL",$W87,N($G87))</f>
        <v>6.75</v>
      </c>
      <c r="Z87" s="50" t="n">
        <f aca="false">IF($E87="VERTICAL",N($F87),$V87)</f>
        <v>7.8</v>
      </c>
      <c r="AA87" s="50" t="n">
        <f aca="false">IF($E87="VERTICAL",N($G87),$W87)</f>
        <v>9</v>
      </c>
      <c r="AB87" s="30" t="n">
        <f aca="false">IF($L87&lt;&gt;"OK",0,(INDEX(PRESIONES!$D$28:$D$31,$U87)*IF(INDEX(PRESIONES!$D$28:$D$31,$U87)&gt;0,PRESIONES!$C$9*IF($T87&lt;=10,1,($T87/10)^(2/DATOS!$C$56)),PRESIONES!$C$15)-ABERTURAS!$L$60*PRESIONES!$C$12)*$R87/$M87)</f>
        <v>0.499258901332516</v>
      </c>
      <c r="AC87" s="30" t="n">
        <f aca="false">IF($L87&lt;&gt;"OK",0,(INDEX(PRESIONES!$G$28:$G$31,$U87)*IF(INDEX(PRESIONES!$G$28:$G$31,$U87)&gt;0,PRESIONES!$C$9*IF($T87&lt;=10,1,($T87/10)^(2/DATOS!$C$56)),PRESIONES!$C$15)-ABERTURAS!$L$61*PRESIONES!$C$12)*$R87/$M87)</f>
        <v>75.3792589013325</v>
      </c>
      <c r="AD87" s="30" t="n">
        <f aca="false">IF($L87&lt;&gt;"OK",0,(INDEX(PRESIONES!$J$28:$J$31,$U87)*IF(INDEX(PRESIONES!$J$28:$J$31,$U87)&gt;0,PRESIONES!$C$9*IF($T87&lt;=10,1,($T87/10)^(2/DATOS!$C$56)),PRESIONES!$C$15)-ABERTURAS!$L$62*PRESIONES!$C$12)*$R87/$M87)</f>
        <v>-5.16088931840098</v>
      </c>
      <c r="AE87" s="30" t="n">
        <f aca="false">IF($L87&lt;&gt;"OK",0,(INDEX(PRESIONES!$M$28:$M$31,$U87)*IF(INDEX(PRESIONES!$M$28:$M$31,$U87)&gt;0,PRESIONES!$C$9*IF($T87&lt;=10,1,($T87/10)^(2/DATOS!$C$56)),PRESIONES!$C$15)-ABERTURAS!$L$63*PRESIONES!$C$12)*$R87/$M87)</f>
        <v>-84.2688883519988</v>
      </c>
      <c r="AF87" s="30" t="n">
        <f aca="false">IF($L87&lt;&gt;"OK",0,(INDEX(PRESIONES!$D$28:$D$31,$U87)*IF(INDEX(PRESIONES!$D$28:$D$31,$U87)&gt;0,PRESIONES!$C$9*IF($T87&lt;=10,1,($T87/10)^(2/DATOS!$C$56)),PRESIONES!$C$15)-ABERTURAS!$L$64*PRESIONES!$C$12)*$S87/$M87)</f>
        <v>0.499258901332516</v>
      </c>
      <c r="AG87" s="30" t="n">
        <f aca="false">IF($L87&lt;&gt;"OK",0,(INDEX(PRESIONES!$G$28:$G$31,$U87)*IF(INDEX(PRESIONES!$G$28:$G$31,$U87)&gt;0,PRESIONES!$C$9*IF($T87&lt;=10,1,($T87/10)^(2/DATOS!$C$56)),PRESIONES!$C$15)-ABERTURAS!$L$65*PRESIONES!$C$12)*$S87/$M87)</f>
        <v>75.3792589013325</v>
      </c>
      <c r="AH87" s="30" t="n">
        <f aca="false">IF($L87&lt;&gt;"OK",0,(INDEX(PRESIONES!$J$28:$J$31,$U87)*IF(INDEX(PRESIONES!$J$28:$J$31,$U87)&gt;0,PRESIONES!$C$9*IF($T87&lt;=10,1,($T87/10)^(2/DATOS!$C$56)),PRESIONES!$C$15)-ABERTURAS!$L$66*PRESIONES!$C$12)*$S87/$M87)</f>
        <v>-5.16088931840098</v>
      </c>
      <c r="AI87" s="30" t="n">
        <f aca="false">IF($L87&lt;&gt;"OK",0,(INDEX(PRESIONES!$M$28:$M$31,$U87)*IF(INDEX(PRESIONES!$M$28:$M$31,$U87)&gt;0,PRESIONES!$C$9*IF($T87&lt;=10,1,($T87/10)^(2/DATOS!$C$56)),PRESIONES!$C$15)-ABERTURAS!$L$67*PRESIONES!$C$12)*$S87/$M87)</f>
        <v>-84.2688883519988</v>
      </c>
    </row>
    <row r="88" customFormat="false" ht="16.5" hidden="false" customHeight="true" outlineLevel="0" collapsed="false">
      <c r="B88" s="27" t="s">
        <v>518</v>
      </c>
      <c r="C88" s="17" t="s">
        <v>480</v>
      </c>
      <c r="D88" s="27" t="s">
        <v>519</v>
      </c>
      <c r="E88" s="17" t="s">
        <v>432</v>
      </c>
      <c r="F88" s="49" t="n">
        <v>6.75</v>
      </c>
      <c r="G88" s="49" t="n">
        <v>13.5</v>
      </c>
      <c r="H88" s="49" t="n">
        <v>7.8</v>
      </c>
      <c r="I88" s="49" t="n">
        <v>9</v>
      </c>
      <c r="J88" s="49"/>
      <c r="K88" s="49"/>
      <c r="L88" s="20" t="str">
        <f aca="false">IF($D88="","",IF(LEFT($C88,4)&lt;&gt;"MURO","PON EL MURO",IF(AND($E88&lt;&gt;"HORIZONTAL",$E88&lt;&gt;"VERTICAL"),"PON EL SENTIDO",IF(OR($F88="",$G88="",$H88="",$I88=""),"FALTAN a o b",IF($M88&lt;=0,"a₂ DEBE SER &gt; a₁",IF($N88&lt;=0,"b₂ DEBE SER &gt; b₁","OK"))))))</f>
        <v>OK</v>
      </c>
      <c r="M88" s="30" t="n">
        <f aca="false">IF($D88="",0,MAX(0,$G88-$F88))</f>
        <v>6.75</v>
      </c>
      <c r="N88" s="30" t="n">
        <f aca="false">MAX(0,$W88-$V88)</f>
        <v>1.2</v>
      </c>
      <c r="O88" s="30" t="n">
        <f aca="false">$M88*$N88</f>
        <v>8.1</v>
      </c>
      <c r="P88" s="30" t="n">
        <f aca="false">IF($U88=0,0,SUMPRODUCT((ABERTURAS!$N$7:$N$26=$U88)*ABERTURAS!$U$7:$U$26*(((($Y88)+(ABERTURAS!$P$7:$P$26)-ABS(($Y88)-(ABERTURAS!$P$7:$P$26)))/2-(($X88)+(ABERTURAS!$O$7:$O$26)+ABS(($X88)-(ABERTURAS!$O$7:$O$26)))/2)+ABS((($Y88)+(ABERTURAS!$P$7:$P$26)-ABS(($Y88)-(ABERTURAS!$P$7:$P$26)))/2-(($X88)+(ABERTURAS!$O$7:$O$26)+ABS(($X88)-(ABERTURAS!$O$7:$O$26)))/2))/2*(((($AA88)+(ABERTURAS!$R$7:$R$26)-ABS(($AA88)-(ABERTURAS!$R$7:$R$26)))/2-(($Z88)+(ABERTURAS!$Q$7:$Q$26)+ABS(($Z88)-(ABERTURAS!$Q$7:$Q$26)))/2)+ABS((($AA88)+(ABERTURAS!$R$7:$R$26)-ABS(($AA88)-(ABERTURAS!$R$7:$R$26)))/2-(($Z88)+(ABERTURAS!$Q$7:$Q$26)+ABS(($Z88)-(ABERTURAS!$Q$7:$Q$26)))/2))/2))</f>
        <v>0</v>
      </c>
      <c r="Q88" s="30" t="n">
        <f aca="false">IF($U88=0,0,SUMPRODUCT((ABERTURAS!$N$7:$N$26=$U88)*ABERTURAS!$V$7:$V$26*(((($Y88)+(ABERTURAS!$P$7:$P$26)-ABS(($Y88)-(ABERTURAS!$P$7:$P$26)))/2-(($X88)+(ABERTURAS!$O$7:$O$26)+ABS(($X88)-(ABERTURAS!$O$7:$O$26)))/2)+ABS((($Y88)+(ABERTURAS!$P$7:$P$26)-ABS(($Y88)-(ABERTURAS!$P$7:$P$26)))/2-(($X88)+(ABERTURAS!$O$7:$O$26)+ABS(($X88)-(ABERTURAS!$O$7:$O$26)))/2))/2*(((($AA88)+(ABERTURAS!$R$7:$R$26)-ABS(($AA88)-(ABERTURAS!$R$7:$R$26)))/2-(($Z88)+(ABERTURAS!$Q$7:$Q$26)+ABS(($Z88)-(ABERTURAS!$Q$7:$Q$26)))/2)+ABS((($AA88)+(ABERTURAS!$R$7:$R$26)-ABS(($AA88)-(ABERTURAS!$R$7:$R$26)))/2-(($Z88)+(ABERTURAS!$Q$7:$Q$26)+ABS(($Z88)-(ABERTURAS!$Q$7:$Q$26)))/2))/2))</f>
        <v>0</v>
      </c>
      <c r="R88" s="30" t="n">
        <f aca="false">MAX(0,$O88-$P88)</f>
        <v>8.1</v>
      </c>
      <c r="S88" s="30" t="n">
        <f aca="false">MAX(0,$O88-$Q88)</f>
        <v>8.1</v>
      </c>
      <c r="T88" s="50" t="n">
        <f aca="false">IF($D88="",0,IF($E88="VERTICAL",N($G88),MAX(N($I88),IF($K88="",N($I88),$K88))))</f>
        <v>9</v>
      </c>
      <c r="U88" s="50" t="n">
        <f aca="false">IF($L88&lt;&gt;"OK",0,VALUE(RIGHT($C88,1)))</f>
        <v>4</v>
      </c>
      <c r="V88" s="50" t="n">
        <f aca="false">IF($D88="",0,(N($H88)+IF($J88="",N($H88),$J88))/2)</f>
        <v>7.8</v>
      </c>
      <c r="W88" s="50" t="n">
        <f aca="false">IF($D88="",0,(N($I88)+IF($K88="",N($I88),$K88))/2)</f>
        <v>9</v>
      </c>
      <c r="X88" s="50" t="n">
        <f aca="false">IF($E88="VERTICAL",$V88,N($F88))</f>
        <v>6.75</v>
      </c>
      <c r="Y88" s="50" t="n">
        <f aca="false">IF($E88="VERTICAL",$W88,N($G88))</f>
        <v>13.5</v>
      </c>
      <c r="Z88" s="50" t="n">
        <f aca="false">IF($E88="VERTICAL",N($F88),$V88)</f>
        <v>7.8</v>
      </c>
      <c r="AA88" s="50" t="n">
        <f aca="false">IF($E88="VERTICAL",N($G88),$W88)</f>
        <v>9</v>
      </c>
      <c r="AB88" s="30" t="n">
        <f aca="false">IF($L88&lt;&gt;"OK",0,(INDEX(PRESIONES!$D$28:$D$31,$U88)*IF(INDEX(PRESIONES!$D$28:$D$31,$U88)&gt;0,PRESIONES!$C$9*IF($T88&lt;=10,1,($T88/10)^(2/DATOS!$C$56)),PRESIONES!$C$15)-ABERTURAS!$L$60*PRESIONES!$C$12)*$R88/$M88)</f>
        <v>0.499258901332516</v>
      </c>
      <c r="AC88" s="30" t="n">
        <f aca="false">IF($L88&lt;&gt;"OK",0,(INDEX(PRESIONES!$G$28:$G$31,$U88)*IF(INDEX(PRESIONES!$G$28:$G$31,$U88)&gt;0,PRESIONES!$C$9*IF($T88&lt;=10,1,($T88/10)^(2/DATOS!$C$56)),PRESIONES!$C$15)-ABERTURAS!$L$61*PRESIONES!$C$12)*$R88/$M88)</f>
        <v>75.3792589013325</v>
      </c>
      <c r="AD88" s="30" t="n">
        <f aca="false">IF($L88&lt;&gt;"OK",0,(INDEX(PRESIONES!$J$28:$J$31,$U88)*IF(INDEX(PRESIONES!$J$28:$J$31,$U88)&gt;0,PRESIONES!$C$9*IF($T88&lt;=10,1,($T88/10)^(2/DATOS!$C$56)),PRESIONES!$C$15)-ABERTURAS!$L$62*PRESIONES!$C$12)*$R88/$M88)</f>
        <v>-5.16088931840098</v>
      </c>
      <c r="AE88" s="30" t="n">
        <f aca="false">IF($L88&lt;&gt;"OK",0,(INDEX(PRESIONES!$M$28:$M$31,$U88)*IF(INDEX(PRESIONES!$M$28:$M$31,$U88)&gt;0,PRESIONES!$C$9*IF($T88&lt;=10,1,($T88/10)^(2/DATOS!$C$56)),PRESIONES!$C$15)-ABERTURAS!$L$63*PRESIONES!$C$12)*$R88/$M88)</f>
        <v>-84.2688883519988</v>
      </c>
      <c r="AF88" s="30" t="n">
        <f aca="false">IF($L88&lt;&gt;"OK",0,(INDEX(PRESIONES!$D$28:$D$31,$U88)*IF(INDEX(PRESIONES!$D$28:$D$31,$U88)&gt;0,PRESIONES!$C$9*IF($T88&lt;=10,1,($T88/10)^(2/DATOS!$C$56)),PRESIONES!$C$15)-ABERTURAS!$L$64*PRESIONES!$C$12)*$S88/$M88)</f>
        <v>0.499258901332516</v>
      </c>
      <c r="AG88" s="30" t="n">
        <f aca="false">IF($L88&lt;&gt;"OK",0,(INDEX(PRESIONES!$G$28:$G$31,$U88)*IF(INDEX(PRESIONES!$G$28:$G$31,$U88)&gt;0,PRESIONES!$C$9*IF($T88&lt;=10,1,($T88/10)^(2/DATOS!$C$56)),PRESIONES!$C$15)-ABERTURAS!$L$65*PRESIONES!$C$12)*$S88/$M88)</f>
        <v>75.3792589013325</v>
      </c>
      <c r="AH88" s="30" t="n">
        <f aca="false">IF($L88&lt;&gt;"OK",0,(INDEX(PRESIONES!$J$28:$J$31,$U88)*IF(INDEX(PRESIONES!$J$28:$J$31,$U88)&gt;0,PRESIONES!$C$9*IF($T88&lt;=10,1,($T88/10)^(2/DATOS!$C$56)),PRESIONES!$C$15)-ABERTURAS!$L$66*PRESIONES!$C$12)*$S88/$M88)</f>
        <v>-5.16088931840098</v>
      </c>
      <c r="AI88" s="30" t="n">
        <f aca="false">IF($L88&lt;&gt;"OK",0,(INDEX(PRESIONES!$M$28:$M$31,$U88)*IF(INDEX(PRESIONES!$M$28:$M$31,$U88)&gt;0,PRESIONES!$C$9*IF($T88&lt;=10,1,($T88/10)^(2/DATOS!$C$56)),PRESIONES!$C$15)-ABERTURAS!$L$67*PRESIONES!$C$12)*$S88/$M88)</f>
        <v>-84.2688883519988</v>
      </c>
    </row>
    <row r="89" customFormat="false" ht="16.5" hidden="false" customHeight="true" outlineLevel="0" collapsed="false">
      <c r="B89" s="27" t="s">
        <v>520</v>
      </c>
      <c r="C89" s="17" t="s">
        <v>480</v>
      </c>
      <c r="D89" s="27" t="s">
        <v>521</v>
      </c>
      <c r="E89" s="17" t="s">
        <v>432</v>
      </c>
      <c r="F89" s="49" t="n">
        <v>13.5</v>
      </c>
      <c r="G89" s="49" t="n">
        <v>16</v>
      </c>
      <c r="H89" s="49" t="n">
        <v>7.8</v>
      </c>
      <c r="I89" s="49" t="n">
        <v>9</v>
      </c>
      <c r="J89" s="49"/>
      <c r="K89" s="49"/>
      <c r="L89" s="20" t="str">
        <f aca="false">IF($D89="","",IF(LEFT($C89,4)&lt;&gt;"MURO","PON EL MURO",IF(AND($E89&lt;&gt;"HORIZONTAL",$E89&lt;&gt;"VERTICAL"),"PON EL SENTIDO",IF(OR($F89="",$G89="",$H89="",$I89=""),"FALTAN a o b",IF($M89&lt;=0,"a₂ DEBE SER &gt; a₁",IF($N89&lt;=0,"b₂ DEBE SER &gt; b₁","OK"))))))</f>
        <v>OK</v>
      </c>
      <c r="M89" s="30" t="n">
        <f aca="false">IF($D89="",0,MAX(0,$G89-$F89))</f>
        <v>2.5</v>
      </c>
      <c r="N89" s="30" t="n">
        <f aca="false">MAX(0,$W89-$V89)</f>
        <v>1.2</v>
      </c>
      <c r="O89" s="30" t="n">
        <f aca="false">$M89*$N89</f>
        <v>3</v>
      </c>
      <c r="P89" s="30" t="n">
        <f aca="false">IF($U89=0,0,SUMPRODUCT((ABERTURAS!$N$7:$N$26=$U89)*ABERTURAS!$U$7:$U$26*(((($Y89)+(ABERTURAS!$P$7:$P$26)-ABS(($Y89)-(ABERTURAS!$P$7:$P$26)))/2-(($X89)+(ABERTURAS!$O$7:$O$26)+ABS(($X89)-(ABERTURAS!$O$7:$O$26)))/2)+ABS((($Y89)+(ABERTURAS!$P$7:$P$26)-ABS(($Y89)-(ABERTURAS!$P$7:$P$26)))/2-(($X89)+(ABERTURAS!$O$7:$O$26)+ABS(($X89)-(ABERTURAS!$O$7:$O$26)))/2))/2*(((($AA89)+(ABERTURAS!$R$7:$R$26)-ABS(($AA89)-(ABERTURAS!$R$7:$R$26)))/2-(($Z89)+(ABERTURAS!$Q$7:$Q$26)+ABS(($Z89)-(ABERTURAS!$Q$7:$Q$26)))/2)+ABS((($AA89)+(ABERTURAS!$R$7:$R$26)-ABS(($AA89)-(ABERTURAS!$R$7:$R$26)))/2-(($Z89)+(ABERTURAS!$Q$7:$Q$26)+ABS(($Z89)-(ABERTURAS!$Q$7:$Q$26)))/2))/2))</f>
        <v>0</v>
      </c>
      <c r="Q89" s="30" t="n">
        <f aca="false">IF($U89=0,0,SUMPRODUCT((ABERTURAS!$N$7:$N$26=$U89)*ABERTURAS!$V$7:$V$26*(((($Y89)+(ABERTURAS!$P$7:$P$26)-ABS(($Y89)-(ABERTURAS!$P$7:$P$26)))/2-(($X89)+(ABERTURAS!$O$7:$O$26)+ABS(($X89)-(ABERTURAS!$O$7:$O$26)))/2)+ABS((($Y89)+(ABERTURAS!$P$7:$P$26)-ABS(($Y89)-(ABERTURAS!$P$7:$P$26)))/2-(($X89)+(ABERTURAS!$O$7:$O$26)+ABS(($X89)-(ABERTURAS!$O$7:$O$26)))/2))/2*(((($AA89)+(ABERTURAS!$R$7:$R$26)-ABS(($AA89)-(ABERTURAS!$R$7:$R$26)))/2-(($Z89)+(ABERTURAS!$Q$7:$Q$26)+ABS(($Z89)-(ABERTURAS!$Q$7:$Q$26)))/2)+ABS((($AA89)+(ABERTURAS!$R$7:$R$26)-ABS(($AA89)-(ABERTURAS!$R$7:$R$26)))/2-(($Z89)+(ABERTURAS!$Q$7:$Q$26)+ABS(($Z89)-(ABERTURAS!$Q$7:$Q$26)))/2))/2))</f>
        <v>0</v>
      </c>
      <c r="R89" s="30" t="n">
        <f aca="false">MAX(0,$O89-$P89)</f>
        <v>3</v>
      </c>
      <c r="S89" s="30" t="n">
        <f aca="false">MAX(0,$O89-$Q89)</f>
        <v>3</v>
      </c>
      <c r="T89" s="50" t="n">
        <f aca="false">IF($D89="",0,IF($E89="VERTICAL",N($G89),MAX(N($I89),IF($K89="",N($I89),$K89))))</f>
        <v>9</v>
      </c>
      <c r="U89" s="50" t="n">
        <f aca="false">IF($L89&lt;&gt;"OK",0,VALUE(RIGHT($C89,1)))</f>
        <v>4</v>
      </c>
      <c r="V89" s="50" t="n">
        <f aca="false">IF($D89="",0,(N($H89)+IF($J89="",N($H89),$J89))/2)</f>
        <v>7.8</v>
      </c>
      <c r="W89" s="50" t="n">
        <f aca="false">IF($D89="",0,(N($I89)+IF($K89="",N($I89),$K89))/2)</f>
        <v>9</v>
      </c>
      <c r="X89" s="50" t="n">
        <f aca="false">IF($E89="VERTICAL",$V89,N($F89))</f>
        <v>13.5</v>
      </c>
      <c r="Y89" s="50" t="n">
        <f aca="false">IF($E89="VERTICAL",$W89,N($G89))</f>
        <v>16</v>
      </c>
      <c r="Z89" s="50" t="n">
        <f aca="false">IF($E89="VERTICAL",N($F89),$V89)</f>
        <v>7.8</v>
      </c>
      <c r="AA89" s="50" t="n">
        <f aca="false">IF($E89="VERTICAL",N($G89),$W89)</f>
        <v>9</v>
      </c>
      <c r="AB89" s="30" t="n">
        <f aca="false">IF($L89&lt;&gt;"OK",0,(INDEX(PRESIONES!$D$28:$D$31,$U89)*IF(INDEX(PRESIONES!$D$28:$D$31,$U89)&gt;0,PRESIONES!$C$9*IF($T89&lt;=10,1,($T89/10)^(2/DATOS!$C$56)),PRESIONES!$C$15)-ABERTURAS!$L$60*PRESIONES!$C$12)*$R89/$M89)</f>
        <v>0.499258901332516</v>
      </c>
      <c r="AC89" s="30" t="n">
        <f aca="false">IF($L89&lt;&gt;"OK",0,(INDEX(PRESIONES!$G$28:$G$31,$U89)*IF(INDEX(PRESIONES!$G$28:$G$31,$U89)&gt;0,PRESIONES!$C$9*IF($T89&lt;=10,1,($T89/10)^(2/DATOS!$C$56)),PRESIONES!$C$15)-ABERTURAS!$L$61*PRESIONES!$C$12)*$R89/$M89)</f>
        <v>75.3792589013325</v>
      </c>
      <c r="AD89" s="30" t="n">
        <f aca="false">IF($L89&lt;&gt;"OK",0,(INDEX(PRESIONES!$J$28:$J$31,$U89)*IF(INDEX(PRESIONES!$J$28:$J$31,$U89)&gt;0,PRESIONES!$C$9*IF($T89&lt;=10,1,($T89/10)^(2/DATOS!$C$56)),PRESIONES!$C$15)-ABERTURAS!$L$62*PRESIONES!$C$12)*$R89/$M89)</f>
        <v>-5.16088931840098</v>
      </c>
      <c r="AE89" s="30" t="n">
        <f aca="false">IF($L89&lt;&gt;"OK",0,(INDEX(PRESIONES!$M$28:$M$31,$U89)*IF(INDEX(PRESIONES!$M$28:$M$31,$U89)&gt;0,PRESIONES!$C$9*IF($T89&lt;=10,1,($T89/10)^(2/DATOS!$C$56)),PRESIONES!$C$15)-ABERTURAS!$L$63*PRESIONES!$C$12)*$R89/$M89)</f>
        <v>-84.2688883519988</v>
      </c>
      <c r="AF89" s="30" t="n">
        <f aca="false">IF($L89&lt;&gt;"OK",0,(INDEX(PRESIONES!$D$28:$D$31,$U89)*IF(INDEX(PRESIONES!$D$28:$D$31,$U89)&gt;0,PRESIONES!$C$9*IF($T89&lt;=10,1,($T89/10)^(2/DATOS!$C$56)),PRESIONES!$C$15)-ABERTURAS!$L$64*PRESIONES!$C$12)*$S89/$M89)</f>
        <v>0.499258901332516</v>
      </c>
      <c r="AG89" s="30" t="n">
        <f aca="false">IF($L89&lt;&gt;"OK",0,(INDEX(PRESIONES!$G$28:$G$31,$U89)*IF(INDEX(PRESIONES!$G$28:$G$31,$U89)&gt;0,PRESIONES!$C$9*IF($T89&lt;=10,1,($T89/10)^(2/DATOS!$C$56)),PRESIONES!$C$15)-ABERTURAS!$L$65*PRESIONES!$C$12)*$S89/$M89)</f>
        <v>75.3792589013325</v>
      </c>
      <c r="AH89" s="30" t="n">
        <f aca="false">IF($L89&lt;&gt;"OK",0,(INDEX(PRESIONES!$J$28:$J$31,$U89)*IF(INDEX(PRESIONES!$J$28:$J$31,$U89)&gt;0,PRESIONES!$C$9*IF($T89&lt;=10,1,($T89/10)^(2/DATOS!$C$56)),PRESIONES!$C$15)-ABERTURAS!$L$66*PRESIONES!$C$12)*$S89/$M89)</f>
        <v>-5.16088931840098</v>
      </c>
      <c r="AI89" s="30" t="n">
        <f aca="false">IF($L89&lt;&gt;"OK",0,(INDEX(PRESIONES!$M$28:$M$31,$U89)*IF(INDEX(PRESIONES!$M$28:$M$31,$U89)&gt;0,PRESIONES!$C$9*IF($T89&lt;=10,1,($T89/10)^(2/DATOS!$C$56)),PRESIONES!$C$15)-ABERTURAS!$L$67*PRESIONES!$C$12)*$S89/$M89)</f>
        <v>-84.2688883519988</v>
      </c>
    </row>
    <row r="90" customFormat="false" ht="16.5" hidden="false" customHeight="true" outlineLevel="0" collapsed="false">
      <c r="B90" s="27" t="s">
        <v>522</v>
      </c>
      <c r="C90" s="17" t="s">
        <v>480</v>
      </c>
      <c r="D90" s="27" t="s">
        <v>523</v>
      </c>
      <c r="E90" s="17" t="s">
        <v>432</v>
      </c>
      <c r="F90" s="49" t="n">
        <v>0</v>
      </c>
      <c r="G90" s="49" t="n">
        <v>6.75</v>
      </c>
      <c r="H90" s="49" t="n">
        <v>9</v>
      </c>
      <c r="I90" s="49" t="n">
        <v>10.11</v>
      </c>
      <c r="J90" s="49"/>
      <c r="K90" s="49" t="n">
        <v>9.94</v>
      </c>
      <c r="L90" s="20" t="str">
        <f aca="false">IF($D90="","",IF(LEFT($C90,4)&lt;&gt;"MURO","PON EL MURO",IF(AND($E90&lt;&gt;"HORIZONTAL",$E90&lt;&gt;"VERTICAL"),"PON EL SENTIDO",IF(OR($F90="",$G90="",$H90="",$I90=""),"FALTAN a o b",IF($M90&lt;=0,"a₂ DEBE SER &gt; a₁",IF($N90&lt;=0,"b₂ DEBE SER &gt; b₁","OK"))))))</f>
        <v>OK</v>
      </c>
      <c r="M90" s="30" t="n">
        <f aca="false">IF($D90="",0,MAX(0,$G90-$F90))</f>
        <v>6.75</v>
      </c>
      <c r="N90" s="30" t="n">
        <f aca="false">MAX(0,$W90-$V90)</f>
        <v>1.025</v>
      </c>
      <c r="O90" s="30" t="n">
        <f aca="false">$M90*$N90</f>
        <v>6.91874999999999</v>
      </c>
      <c r="P90" s="30" t="n">
        <f aca="false">IF($U90=0,0,SUMPRODUCT((ABERTURAS!$N$7:$N$26=$U90)*ABERTURAS!$U$7:$U$26*(((($Y90)+(ABERTURAS!$P$7:$P$26)-ABS(($Y90)-(ABERTURAS!$P$7:$P$26)))/2-(($X90)+(ABERTURAS!$O$7:$O$26)+ABS(($X90)-(ABERTURAS!$O$7:$O$26)))/2)+ABS((($Y90)+(ABERTURAS!$P$7:$P$26)-ABS(($Y90)-(ABERTURAS!$P$7:$P$26)))/2-(($X90)+(ABERTURAS!$O$7:$O$26)+ABS(($X90)-(ABERTURAS!$O$7:$O$26)))/2))/2*(((($AA90)+(ABERTURAS!$R$7:$R$26)-ABS(($AA90)-(ABERTURAS!$R$7:$R$26)))/2-(($Z90)+(ABERTURAS!$Q$7:$Q$26)+ABS(($Z90)-(ABERTURAS!$Q$7:$Q$26)))/2)+ABS((($AA90)+(ABERTURAS!$R$7:$R$26)-ABS(($AA90)-(ABERTURAS!$R$7:$R$26)))/2-(($Z90)+(ABERTURAS!$Q$7:$Q$26)+ABS(($Z90)-(ABERTURAS!$Q$7:$Q$26)))/2))/2))</f>
        <v>0</v>
      </c>
      <c r="Q90" s="30" t="n">
        <f aca="false">IF($U90=0,0,SUMPRODUCT((ABERTURAS!$N$7:$N$26=$U90)*ABERTURAS!$V$7:$V$26*(((($Y90)+(ABERTURAS!$P$7:$P$26)-ABS(($Y90)-(ABERTURAS!$P$7:$P$26)))/2-(($X90)+(ABERTURAS!$O$7:$O$26)+ABS(($X90)-(ABERTURAS!$O$7:$O$26)))/2)+ABS((($Y90)+(ABERTURAS!$P$7:$P$26)-ABS(($Y90)-(ABERTURAS!$P$7:$P$26)))/2-(($X90)+(ABERTURAS!$O$7:$O$26)+ABS(($X90)-(ABERTURAS!$O$7:$O$26)))/2))/2*(((($AA90)+(ABERTURAS!$R$7:$R$26)-ABS(($AA90)-(ABERTURAS!$R$7:$R$26)))/2-(($Z90)+(ABERTURAS!$Q$7:$Q$26)+ABS(($Z90)-(ABERTURAS!$Q$7:$Q$26)))/2)+ABS((($AA90)+(ABERTURAS!$R$7:$R$26)-ABS(($AA90)-(ABERTURAS!$R$7:$R$26)))/2-(($Z90)+(ABERTURAS!$Q$7:$Q$26)+ABS(($Z90)-(ABERTURAS!$Q$7:$Q$26)))/2))/2))</f>
        <v>0</v>
      </c>
      <c r="R90" s="30" t="n">
        <f aca="false">MAX(0,$O90-$P90)</f>
        <v>6.91874999999999</v>
      </c>
      <c r="S90" s="30" t="n">
        <f aca="false">MAX(0,$O90-$Q90)</f>
        <v>6.91874999999999</v>
      </c>
      <c r="T90" s="50" t="n">
        <f aca="false">IF($D90="",0,IF($E90="VERTICAL",N($G90),MAX(N($I90),IF($K90="",N($I90),$K90))))</f>
        <v>10.11</v>
      </c>
      <c r="U90" s="50" t="n">
        <f aca="false">IF($L90&lt;&gt;"OK",0,VALUE(RIGHT($C90,1)))</f>
        <v>4</v>
      </c>
      <c r="V90" s="50" t="n">
        <f aca="false">IF($D90="",0,(N($H90)+IF($J90="",N($H90),$J90))/2)</f>
        <v>9</v>
      </c>
      <c r="W90" s="50" t="n">
        <f aca="false">IF($D90="",0,(N($I90)+IF($K90="",N($I90),$K90))/2)</f>
        <v>10.025</v>
      </c>
      <c r="X90" s="50" t="n">
        <f aca="false">IF($E90="VERTICAL",$V90,N($F90))</f>
        <v>0</v>
      </c>
      <c r="Y90" s="50" t="n">
        <f aca="false">IF($E90="VERTICAL",$W90,N($G90))</f>
        <v>6.75</v>
      </c>
      <c r="Z90" s="50" t="n">
        <f aca="false">IF($E90="VERTICAL",N($F90),$V90)</f>
        <v>9</v>
      </c>
      <c r="AA90" s="50" t="n">
        <f aca="false">IF($E90="VERTICAL",N($G90),$W90)</f>
        <v>10.025</v>
      </c>
      <c r="AB90" s="30" t="n">
        <f aca="false">IF($L90&lt;&gt;"OK",0,(INDEX(PRESIONES!$D$28:$D$31,$U90)*IF(INDEX(PRESIONES!$D$28:$D$31,$U90)&gt;0,PRESIONES!$C$9*IF($T90&lt;=10,1,($T90/10)^(2/DATOS!$C$56)),PRESIONES!$C$15)-ABERTURAS!$L$60*PRESIONES!$C$12)*$R90/$M90)</f>
        <v>0.426450311554857</v>
      </c>
      <c r="AC90" s="30" t="n">
        <f aca="false">IF($L90&lt;&gt;"OK",0,(INDEX(PRESIONES!$G$28:$G$31,$U90)*IF(INDEX(PRESIONES!$G$28:$G$31,$U90)&gt;0,PRESIONES!$C$9*IF($T90&lt;=10,1,($T90/10)^(2/DATOS!$C$56)),PRESIONES!$C$15)-ABERTURAS!$L$61*PRESIONES!$C$12)*$R90/$M90)</f>
        <v>64.5096702252742</v>
      </c>
      <c r="AD90" s="30" t="n">
        <f aca="false">IF($L90&lt;&gt;"OK",0,(INDEX(PRESIONES!$J$28:$J$31,$U90)*IF(INDEX(PRESIONES!$J$28:$J$31,$U90)&gt;0,PRESIONES!$C$9*IF($T90&lt;=10,1,($T90/10)^(2/DATOS!$C$56)),PRESIONES!$C$15)-ABERTURAS!$L$62*PRESIONES!$C$12)*$R90/$M90)</f>
        <v>-4.40825962613416</v>
      </c>
      <c r="AE90" s="30" t="n">
        <f aca="false">IF($L90&lt;&gt;"OK",0,(INDEX(PRESIONES!$M$28:$M$31,$U90)*IF(INDEX(PRESIONES!$M$28:$M$31,$U90)&gt;0,PRESIONES!$C$9*IF($T90&lt;=10,1,($T90/10)^(2/DATOS!$C$56)),PRESIONES!$C$15)-ABERTURAS!$L$63*PRESIONES!$C$12)*$R90/$M90)</f>
        <v>-71.9796754673322</v>
      </c>
      <c r="AF90" s="30" t="n">
        <f aca="false">IF($L90&lt;&gt;"OK",0,(INDEX(PRESIONES!$D$28:$D$31,$U90)*IF(INDEX(PRESIONES!$D$28:$D$31,$U90)&gt;0,PRESIONES!$C$9*IF($T90&lt;=10,1,($T90/10)^(2/DATOS!$C$56)),PRESIONES!$C$15)-ABERTURAS!$L$64*PRESIONES!$C$12)*$S90/$M90)</f>
        <v>0.426450311554857</v>
      </c>
      <c r="AG90" s="30" t="n">
        <f aca="false">IF($L90&lt;&gt;"OK",0,(INDEX(PRESIONES!$G$28:$G$31,$U90)*IF(INDEX(PRESIONES!$G$28:$G$31,$U90)&gt;0,PRESIONES!$C$9*IF($T90&lt;=10,1,($T90/10)^(2/DATOS!$C$56)),PRESIONES!$C$15)-ABERTURAS!$L$65*PRESIONES!$C$12)*$S90/$M90)</f>
        <v>64.5096702252742</v>
      </c>
      <c r="AH90" s="30" t="n">
        <f aca="false">IF($L90&lt;&gt;"OK",0,(INDEX(PRESIONES!$J$28:$J$31,$U90)*IF(INDEX(PRESIONES!$J$28:$J$31,$U90)&gt;0,PRESIONES!$C$9*IF($T90&lt;=10,1,($T90/10)^(2/DATOS!$C$56)),PRESIONES!$C$15)-ABERTURAS!$L$66*PRESIONES!$C$12)*$S90/$M90)</f>
        <v>-4.40825962613416</v>
      </c>
      <c r="AI90" s="30" t="n">
        <f aca="false">IF($L90&lt;&gt;"OK",0,(INDEX(PRESIONES!$M$28:$M$31,$U90)*IF(INDEX(PRESIONES!$M$28:$M$31,$U90)&gt;0,PRESIONES!$C$9*IF($T90&lt;=10,1,($T90/10)^(2/DATOS!$C$56)),PRESIONES!$C$15)-ABERTURAS!$L$67*PRESIONES!$C$12)*$S90/$M90)</f>
        <v>-71.9796754673322</v>
      </c>
    </row>
    <row r="91" customFormat="false" ht="16.5" hidden="false" customHeight="true" outlineLevel="0" collapsed="false">
      <c r="B91" s="27" t="s">
        <v>524</v>
      </c>
      <c r="C91" s="17" t="s">
        <v>480</v>
      </c>
      <c r="D91" s="27" t="s">
        <v>525</v>
      </c>
      <c r="E91" s="17" t="s">
        <v>432</v>
      </c>
      <c r="F91" s="49" t="n">
        <v>6.75</v>
      </c>
      <c r="G91" s="49" t="n">
        <v>13.5</v>
      </c>
      <c r="H91" s="49" t="n">
        <v>9</v>
      </c>
      <c r="I91" s="49" t="n">
        <v>9.94</v>
      </c>
      <c r="J91" s="49"/>
      <c r="K91" s="49" t="n">
        <v>9.77</v>
      </c>
      <c r="L91" s="20" t="str">
        <f aca="false">IF($D91="","",IF(LEFT($C91,4)&lt;&gt;"MURO","PON EL MURO",IF(AND($E91&lt;&gt;"HORIZONTAL",$E91&lt;&gt;"VERTICAL"),"PON EL SENTIDO",IF(OR($F91="",$G91="",$H91="",$I91=""),"FALTAN a o b",IF($M91&lt;=0,"a₂ DEBE SER &gt; a₁",IF($N91&lt;=0,"b₂ DEBE SER &gt; b₁","OK"))))))</f>
        <v>OK</v>
      </c>
      <c r="M91" s="30" t="n">
        <f aca="false">IF($D91="",0,MAX(0,$G91-$F91))</f>
        <v>6.75</v>
      </c>
      <c r="N91" s="30" t="n">
        <f aca="false">MAX(0,$W91-$V91)</f>
        <v>0.855</v>
      </c>
      <c r="O91" s="30" t="n">
        <f aca="false">$M91*$N91</f>
        <v>5.77125</v>
      </c>
      <c r="P91" s="30" t="n">
        <f aca="false">IF($U91=0,0,SUMPRODUCT((ABERTURAS!$N$7:$N$26=$U91)*ABERTURAS!$U$7:$U$26*(((($Y91)+(ABERTURAS!$P$7:$P$26)-ABS(($Y91)-(ABERTURAS!$P$7:$P$26)))/2-(($X91)+(ABERTURAS!$O$7:$O$26)+ABS(($X91)-(ABERTURAS!$O$7:$O$26)))/2)+ABS((($Y91)+(ABERTURAS!$P$7:$P$26)-ABS(($Y91)-(ABERTURAS!$P$7:$P$26)))/2-(($X91)+(ABERTURAS!$O$7:$O$26)+ABS(($X91)-(ABERTURAS!$O$7:$O$26)))/2))/2*(((($AA91)+(ABERTURAS!$R$7:$R$26)-ABS(($AA91)-(ABERTURAS!$R$7:$R$26)))/2-(($Z91)+(ABERTURAS!$Q$7:$Q$26)+ABS(($Z91)-(ABERTURAS!$Q$7:$Q$26)))/2)+ABS((($AA91)+(ABERTURAS!$R$7:$R$26)-ABS(($AA91)-(ABERTURAS!$R$7:$R$26)))/2-(($Z91)+(ABERTURAS!$Q$7:$Q$26)+ABS(($Z91)-(ABERTURAS!$Q$7:$Q$26)))/2))/2))</f>
        <v>0</v>
      </c>
      <c r="Q91" s="30" t="n">
        <f aca="false">IF($U91=0,0,SUMPRODUCT((ABERTURAS!$N$7:$N$26=$U91)*ABERTURAS!$V$7:$V$26*(((($Y91)+(ABERTURAS!$P$7:$P$26)-ABS(($Y91)-(ABERTURAS!$P$7:$P$26)))/2-(($X91)+(ABERTURAS!$O$7:$O$26)+ABS(($X91)-(ABERTURAS!$O$7:$O$26)))/2)+ABS((($Y91)+(ABERTURAS!$P$7:$P$26)-ABS(($Y91)-(ABERTURAS!$P$7:$P$26)))/2-(($X91)+(ABERTURAS!$O$7:$O$26)+ABS(($X91)-(ABERTURAS!$O$7:$O$26)))/2))/2*(((($AA91)+(ABERTURAS!$R$7:$R$26)-ABS(($AA91)-(ABERTURAS!$R$7:$R$26)))/2-(($Z91)+(ABERTURAS!$Q$7:$Q$26)+ABS(($Z91)-(ABERTURAS!$Q$7:$Q$26)))/2)+ABS((($AA91)+(ABERTURAS!$R$7:$R$26)-ABS(($AA91)-(ABERTURAS!$R$7:$R$26)))/2-(($Z91)+(ABERTURAS!$Q$7:$Q$26)+ABS(($Z91)-(ABERTURAS!$Q$7:$Q$26)))/2))/2))</f>
        <v>0</v>
      </c>
      <c r="R91" s="30" t="n">
        <f aca="false">MAX(0,$O91-$P91)</f>
        <v>5.77125</v>
      </c>
      <c r="S91" s="30" t="n">
        <f aca="false">MAX(0,$O91-$Q91)</f>
        <v>5.77125</v>
      </c>
      <c r="T91" s="50" t="n">
        <f aca="false">IF($D91="",0,IF($E91="VERTICAL",N($G91),MAX(N($I91),IF($K91="",N($I91),$K91))))</f>
        <v>9.94</v>
      </c>
      <c r="U91" s="50" t="n">
        <f aca="false">IF($L91&lt;&gt;"OK",0,VALUE(RIGHT($C91,1)))</f>
        <v>4</v>
      </c>
      <c r="V91" s="50" t="n">
        <f aca="false">IF($D91="",0,(N($H91)+IF($J91="",N($H91),$J91))/2)</f>
        <v>9</v>
      </c>
      <c r="W91" s="50" t="n">
        <f aca="false">IF($D91="",0,(N($I91)+IF($K91="",N($I91),$K91))/2)</f>
        <v>9.855</v>
      </c>
      <c r="X91" s="50" t="n">
        <f aca="false">IF($E91="VERTICAL",$V91,N($F91))</f>
        <v>6.75</v>
      </c>
      <c r="Y91" s="50" t="n">
        <f aca="false">IF($E91="VERTICAL",$W91,N($G91))</f>
        <v>13.5</v>
      </c>
      <c r="Z91" s="50" t="n">
        <f aca="false">IF($E91="VERTICAL",N($F91),$V91)</f>
        <v>9</v>
      </c>
      <c r="AA91" s="50" t="n">
        <f aca="false">IF($E91="VERTICAL",N($G91),$W91)</f>
        <v>9.855</v>
      </c>
      <c r="AB91" s="30" t="n">
        <f aca="false">IF($L91&lt;&gt;"OK",0,(INDEX(PRESIONES!$D$28:$D$31,$U91)*IF(INDEX(PRESIONES!$D$28:$D$31,$U91)&gt;0,PRESIONES!$C$9*IF($T91&lt;=10,1,($T91/10)^(2/DATOS!$C$56)),PRESIONES!$C$15)-ABERTURAS!$L$60*PRESIONES!$C$12)*$R91/$M91)</f>
        <v>0.355721967199418</v>
      </c>
      <c r="AC91" s="30" t="n">
        <f aca="false">IF($L91&lt;&gt;"OK",0,(INDEX(PRESIONES!$G$28:$G$31,$U91)*IF(INDEX(PRESIONES!$G$28:$G$31,$U91)&gt;0,PRESIONES!$C$9*IF($T91&lt;=10,1,($T91/10)^(2/DATOS!$C$56)),PRESIONES!$C$15)-ABERTURAS!$L$61*PRESIONES!$C$12)*$R91/$M91)</f>
        <v>53.7077219671995</v>
      </c>
      <c r="AD91" s="30" t="n">
        <f aca="false">IF($L91&lt;&gt;"OK",0,(INDEX(PRESIONES!$J$28:$J$31,$U91)*IF(INDEX(PRESIONES!$J$28:$J$31,$U91)&gt;0,PRESIONES!$C$9*IF($T91&lt;=10,1,($T91/10)^(2/DATOS!$C$56)),PRESIONES!$C$15)-ABERTURAS!$L$62*PRESIONES!$C$12)*$R91/$M91)</f>
        <v>-3.6771336393607</v>
      </c>
      <c r="AE91" s="30" t="n">
        <f aca="false">IF($L91&lt;&gt;"OK",0,(INDEX(PRESIONES!$M$28:$M$31,$U91)*IF(INDEX(PRESIONES!$M$28:$M$31,$U91)&gt;0,PRESIONES!$C$9*IF($T91&lt;=10,1,($T91/10)^(2/DATOS!$C$56)),PRESIONES!$C$15)-ABERTURAS!$L$63*PRESIONES!$C$12)*$R91/$M91)</f>
        <v>-60.0415829507992</v>
      </c>
      <c r="AF91" s="30" t="n">
        <f aca="false">IF($L91&lt;&gt;"OK",0,(INDEX(PRESIONES!$D$28:$D$31,$U91)*IF(INDEX(PRESIONES!$D$28:$D$31,$U91)&gt;0,PRESIONES!$C$9*IF($T91&lt;=10,1,($T91/10)^(2/DATOS!$C$56)),PRESIONES!$C$15)-ABERTURAS!$L$64*PRESIONES!$C$12)*$S91/$M91)</f>
        <v>0.355721967199418</v>
      </c>
      <c r="AG91" s="30" t="n">
        <f aca="false">IF($L91&lt;&gt;"OK",0,(INDEX(PRESIONES!$G$28:$G$31,$U91)*IF(INDEX(PRESIONES!$G$28:$G$31,$U91)&gt;0,PRESIONES!$C$9*IF($T91&lt;=10,1,($T91/10)^(2/DATOS!$C$56)),PRESIONES!$C$15)-ABERTURAS!$L$65*PRESIONES!$C$12)*$S91/$M91)</f>
        <v>53.7077219671995</v>
      </c>
      <c r="AH91" s="30" t="n">
        <f aca="false">IF($L91&lt;&gt;"OK",0,(INDEX(PRESIONES!$J$28:$J$31,$U91)*IF(INDEX(PRESIONES!$J$28:$J$31,$U91)&gt;0,PRESIONES!$C$9*IF($T91&lt;=10,1,($T91/10)^(2/DATOS!$C$56)),PRESIONES!$C$15)-ABERTURAS!$L$66*PRESIONES!$C$12)*$S91/$M91)</f>
        <v>-3.6771336393607</v>
      </c>
      <c r="AI91" s="30" t="n">
        <f aca="false">IF($L91&lt;&gt;"OK",0,(INDEX(PRESIONES!$M$28:$M$31,$U91)*IF(INDEX(PRESIONES!$M$28:$M$31,$U91)&gt;0,PRESIONES!$C$9*IF($T91&lt;=10,1,($T91/10)^(2/DATOS!$C$56)),PRESIONES!$C$15)-ABERTURAS!$L$67*PRESIONES!$C$12)*$S91/$M91)</f>
        <v>-60.0415829507992</v>
      </c>
    </row>
    <row r="92" customFormat="false" ht="16.5" hidden="false" customHeight="true" outlineLevel="0" collapsed="false">
      <c r="B92" s="27" t="s">
        <v>526</v>
      </c>
      <c r="C92" s="17" t="s">
        <v>480</v>
      </c>
      <c r="D92" s="27" t="s">
        <v>527</v>
      </c>
      <c r="E92" s="17" t="s">
        <v>432</v>
      </c>
      <c r="F92" s="49" t="n">
        <v>13.5</v>
      </c>
      <c r="G92" s="49" t="n">
        <v>16</v>
      </c>
      <c r="H92" s="49" t="n">
        <v>9</v>
      </c>
      <c r="I92" s="49" t="n">
        <v>9.77</v>
      </c>
      <c r="J92" s="49"/>
      <c r="K92" s="49" t="n">
        <v>9.71</v>
      </c>
      <c r="L92" s="20" t="str">
        <f aca="false">IF($D92="","",IF(LEFT($C92,4)&lt;&gt;"MURO","PON EL MURO",IF(AND($E92&lt;&gt;"HORIZONTAL",$E92&lt;&gt;"VERTICAL"),"PON EL SENTIDO",IF(OR($F92="",$G92="",$H92="",$I92=""),"FALTAN a o b",IF($M92&lt;=0,"a₂ DEBE SER &gt; a₁",IF($N92&lt;=0,"b₂ DEBE SER &gt; b₁","OK"))))))</f>
        <v>OK</v>
      </c>
      <c r="M92" s="30" t="n">
        <f aca="false">IF($D92="",0,MAX(0,$G92-$F92))</f>
        <v>2.5</v>
      </c>
      <c r="N92" s="30" t="n">
        <f aca="false">MAX(0,$W92-$V92)</f>
        <v>0.74</v>
      </c>
      <c r="O92" s="30" t="n">
        <f aca="false">$M92*$N92</f>
        <v>1.85</v>
      </c>
      <c r="P92" s="30" t="n">
        <f aca="false">IF($U92=0,0,SUMPRODUCT((ABERTURAS!$N$7:$N$26=$U92)*ABERTURAS!$U$7:$U$26*(((($Y92)+(ABERTURAS!$P$7:$P$26)-ABS(($Y92)-(ABERTURAS!$P$7:$P$26)))/2-(($X92)+(ABERTURAS!$O$7:$O$26)+ABS(($X92)-(ABERTURAS!$O$7:$O$26)))/2)+ABS((($Y92)+(ABERTURAS!$P$7:$P$26)-ABS(($Y92)-(ABERTURAS!$P$7:$P$26)))/2-(($X92)+(ABERTURAS!$O$7:$O$26)+ABS(($X92)-(ABERTURAS!$O$7:$O$26)))/2))/2*(((($AA92)+(ABERTURAS!$R$7:$R$26)-ABS(($AA92)-(ABERTURAS!$R$7:$R$26)))/2-(($Z92)+(ABERTURAS!$Q$7:$Q$26)+ABS(($Z92)-(ABERTURAS!$Q$7:$Q$26)))/2)+ABS((($AA92)+(ABERTURAS!$R$7:$R$26)-ABS(($AA92)-(ABERTURAS!$R$7:$R$26)))/2-(($Z92)+(ABERTURAS!$Q$7:$Q$26)+ABS(($Z92)-(ABERTURAS!$Q$7:$Q$26)))/2))/2))</f>
        <v>0</v>
      </c>
      <c r="Q92" s="30" t="n">
        <f aca="false">IF($U92=0,0,SUMPRODUCT((ABERTURAS!$N$7:$N$26=$U92)*ABERTURAS!$V$7:$V$26*(((($Y92)+(ABERTURAS!$P$7:$P$26)-ABS(($Y92)-(ABERTURAS!$P$7:$P$26)))/2-(($X92)+(ABERTURAS!$O$7:$O$26)+ABS(($X92)-(ABERTURAS!$O$7:$O$26)))/2)+ABS((($Y92)+(ABERTURAS!$P$7:$P$26)-ABS(($Y92)-(ABERTURAS!$P$7:$P$26)))/2-(($X92)+(ABERTURAS!$O$7:$O$26)+ABS(($X92)-(ABERTURAS!$O$7:$O$26)))/2))/2*(((($AA92)+(ABERTURAS!$R$7:$R$26)-ABS(($AA92)-(ABERTURAS!$R$7:$R$26)))/2-(($Z92)+(ABERTURAS!$Q$7:$Q$26)+ABS(($Z92)-(ABERTURAS!$Q$7:$Q$26)))/2)+ABS((($AA92)+(ABERTURAS!$R$7:$R$26)-ABS(($AA92)-(ABERTURAS!$R$7:$R$26)))/2-(($Z92)+(ABERTURAS!$Q$7:$Q$26)+ABS(($Z92)-(ABERTURAS!$Q$7:$Q$26)))/2))/2))</f>
        <v>0</v>
      </c>
      <c r="R92" s="30" t="n">
        <f aca="false">MAX(0,$O92-$P92)</f>
        <v>1.85</v>
      </c>
      <c r="S92" s="30" t="n">
        <f aca="false">MAX(0,$O92-$Q92)</f>
        <v>1.85</v>
      </c>
      <c r="T92" s="50" t="n">
        <f aca="false">IF($D92="",0,IF($E92="VERTICAL",N($G92),MAX(N($I92),IF($K92="",N($I92),$K92))))</f>
        <v>9.77</v>
      </c>
      <c r="U92" s="50" t="n">
        <f aca="false">IF($L92&lt;&gt;"OK",0,VALUE(RIGHT($C92,1)))</f>
        <v>4</v>
      </c>
      <c r="V92" s="50" t="n">
        <f aca="false">IF($D92="",0,(N($H92)+IF($J92="",N($H92),$J92))/2)</f>
        <v>9</v>
      </c>
      <c r="W92" s="50" t="n">
        <f aca="false">IF($D92="",0,(N($I92)+IF($K92="",N($I92),$K92))/2)</f>
        <v>9.74</v>
      </c>
      <c r="X92" s="50" t="n">
        <f aca="false">IF($E92="VERTICAL",$V92,N($F92))</f>
        <v>13.5</v>
      </c>
      <c r="Y92" s="50" t="n">
        <f aca="false">IF($E92="VERTICAL",$W92,N($G92))</f>
        <v>16</v>
      </c>
      <c r="Z92" s="50" t="n">
        <f aca="false">IF($E92="VERTICAL",N($F92),$V92)</f>
        <v>9</v>
      </c>
      <c r="AA92" s="50" t="n">
        <f aca="false">IF($E92="VERTICAL",N($G92),$W92)</f>
        <v>9.74</v>
      </c>
      <c r="AB92" s="30" t="n">
        <f aca="false">IF($L92&lt;&gt;"OK",0,(INDEX(PRESIONES!$D$28:$D$31,$U92)*IF(INDEX(PRESIONES!$D$28:$D$31,$U92)&gt;0,PRESIONES!$C$9*IF($T92&lt;=10,1,($T92/10)^(2/DATOS!$C$56)),PRESIONES!$C$15)-ABERTURAS!$L$60*PRESIONES!$C$12)*$R92/$M92)</f>
        <v>0.307876322488385</v>
      </c>
      <c r="AC92" s="30" t="n">
        <f aca="false">IF($L92&lt;&gt;"OK",0,(INDEX(PRESIONES!$G$28:$G$31,$U92)*IF(INDEX(PRESIONES!$G$28:$G$31,$U92)&gt;0,PRESIONES!$C$9*IF($T92&lt;=10,1,($T92/10)^(2/DATOS!$C$56)),PRESIONES!$C$15)-ABERTURAS!$L$61*PRESIONES!$C$12)*$R92/$M92)</f>
        <v>46.4838763224884</v>
      </c>
      <c r="AD92" s="30" t="n">
        <f aca="false">IF($L92&lt;&gt;"OK",0,(INDEX(PRESIONES!$J$28:$J$31,$U92)*IF(INDEX(PRESIONES!$J$28:$J$31,$U92)&gt;0,PRESIONES!$C$9*IF($T92&lt;=10,1,($T92/10)^(2/DATOS!$C$56)),PRESIONES!$C$15)-ABERTURAS!$L$62*PRESIONES!$C$12)*$R92/$M92)</f>
        <v>-3.18254841301394</v>
      </c>
      <c r="AE92" s="30" t="n">
        <f aca="false">IF($L92&lt;&gt;"OK",0,(INDEX(PRESIONES!$M$28:$M$31,$U92)*IF(INDEX(PRESIONES!$M$28:$M$31,$U92)&gt;0,PRESIONES!$C$9*IF($T92&lt;=10,1,($T92/10)^(2/DATOS!$C$56)),PRESIONES!$C$15)-ABERTURAS!$L$63*PRESIONES!$C$12)*$R92/$M92)</f>
        <v>-51.9658144837326</v>
      </c>
      <c r="AF92" s="30" t="n">
        <f aca="false">IF($L92&lt;&gt;"OK",0,(INDEX(PRESIONES!$D$28:$D$31,$U92)*IF(INDEX(PRESIONES!$D$28:$D$31,$U92)&gt;0,PRESIONES!$C$9*IF($T92&lt;=10,1,($T92/10)^(2/DATOS!$C$56)),PRESIONES!$C$15)-ABERTURAS!$L$64*PRESIONES!$C$12)*$S92/$M92)</f>
        <v>0.307876322488385</v>
      </c>
      <c r="AG92" s="30" t="n">
        <f aca="false">IF($L92&lt;&gt;"OK",0,(INDEX(PRESIONES!$G$28:$G$31,$U92)*IF(INDEX(PRESIONES!$G$28:$G$31,$U92)&gt;0,PRESIONES!$C$9*IF($T92&lt;=10,1,($T92/10)^(2/DATOS!$C$56)),PRESIONES!$C$15)-ABERTURAS!$L$65*PRESIONES!$C$12)*$S92/$M92)</f>
        <v>46.4838763224884</v>
      </c>
      <c r="AH92" s="30" t="n">
        <f aca="false">IF($L92&lt;&gt;"OK",0,(INDEX(PRESIONES!$J$28:$J$31,$U92)*IF(INDEX(PRESIONES!$J$28:$J$31,$U92)&gt;0,PRESIONES!$C$9*IF($T92&lt;=10,1,($T92/10)^(2/DATOS!$C$56)),PRESIONES!$C$15)-ABERTURAS!$L$66*PRESIONES!$C$12)*$S92/$M92)</f>
        <v>-3.18254841301394</v>
      </c>
      <c r="AI92" s="30" t="n">
        <f aca="false">IF($L92&lt;&gt;"OK",0,(INDEX(PRESIONES!$M$28:$M$31,$U92)*IF(INDEX(PRESIONES!$M$28:$M$31,$U92)&gt;0,PRESIONES!$C$9*IF($T92&lt;=10,1,($T92/10)^(2/DATOS!$C$56)),PRESIONES!$C$15)-ABERTURAS!$L$67*PRESIONES!$C$12)*$S92/$M92)</f>
        <v>-51.9658144837326</v>
      </c>
    </row>
    <row r="93" customFormat="false" ht="16.5" hidden="false" customHeight="true" outlineLevel="0" collapsed="false">
      <c r="B93" s="27" t="s">
        <v>528</v>
      </c>
      <c r="C93" s="17" t="s">
        <v>430</v>
      </c>
      <c r="D93" s="27" t="s">
        <v>529</v>
      </c>
      <c r="E93" s="17" t="s">
        <v>432</v>
      </c>
      <c r="F93" s="49" t="n">
        <v>0</v>
      </c>
      <c r="G93" s="49" t="n">
        <v>1.35</v>
      </c>
      <c r="H93" s="49" t="n">
        <v>10.11</v>
      </c>
      <c r="I93" s="49" t="n">
        <v>10.62</v>
      </c>
      <c r="J93" s="49" t="n">
        <v>10.0763</v>
      </c>
      <c r="K93" s="49" t="n">
        <v>10.5525</v>
      </c>
      <c r="L93" s="20" t="str">
        <f aca="false">IF($D93="","",IF(LEFT($C93,4)&lt;&gt;"MURO","PON EL MURO",IF(AND($E93&lt;&gt;"HORIZONTAL",$E93&lt;&gt;"VERTICAL"),"PON EL SENTIDO",IF(OR($F93="",$G93="",$H93="",$I93=""),"FALTAN a o b",IF($M93&lt;=0,"a₂ DEBE SER &gt; a₁",IF($N93&lt;=0,"b₂ DEBE SER &gt; b₁","OK"))))))</f>
        <v>OK</v>
      </c>
      <c r="M93" s="30" t="n">
        <f aca="false">IF($D93="",0,MAX(0,$G93-$F93))</f>
        <v>1.35</v>
      </c>
      <c r="N93" s="30" t="n">
        <f aca="false">MAX(0,$W93-$V93)</f>
        <v>0.4931</v>
      </c>
      <c r="O93" s="30" t="n">
        <f aca="false">$M93*$N93</f>
        <v>0.665685</v>
      </c>
      <c r="P93" s="30" t="n">
        <f aca="false">IF($U93=0,0,SUMPRODUCT((ABERTURAS!$N$7:$N$26=$U93)*ABERTURAS!$U$7:$U$26*(((($Y93)+(ABERTURAS!$P$7:$P$26)-ABS(($Y93)-(ABERTURAS!$P$7:$P$26)))/2-(($X93)+(ABERTURAS!$O$7:$O$26)+ABS(($X93)-(ABERTURAS!$O$7:$O$26)))/2)+ABS((($Y93)+(ABERTURAS!$P$7:$P$26)-ABS(($Y93)-(ABERTURAS!$P$7:$P$26)))/2-(($X93)+(ABERTURAS!$O$7:$O$26)+ABS(($X93)-(ABERTURAS!$O$7:$O$26)))/2))/2*(((($AA93)+(ABERTURAS!$R$7:$R$26)-ABS(($AA93)-(ABERTURAS!$R$7:$R$26)))/2-(($Z93)+(ABERTURAS!$Q$7:$Q$26)+ABS(($Z93)-(ABERTURAS!$Q$7:$Q$26)))/2)+ABS((($AA93)+(ABERTURAS!$R$7:$R$26)-ABS(($AA93)-(ABERTURAS!$R$7:$R$26)))/2-(($Z93)+(ABERTURAS!$Q$7:$Q$26)+ABS(($Z93)-(ABERTURAS!$Q$7:$Q$26)))/2))/2))</f>
        <v>0</v>
      </c>
      <c r="Q93" s="30" t="n">
        <f aca="false">IF($U93=0,0,SUMPRODUCT((ABERTURAS!$N$7:$N$26=$U93)*ABERTURAS!$V$7:$V$26*(((($Y93)+(ABERTURAS!$P$7:$P$26)-ABS(($Y93)-(ABERTURAS!$P$7:$P$26)))/2-(($X93)+(ABERTURAS!$O$7:$O$26)+ABS(($X93)-(ABERTURAS!$O$7:$O$26)))/2)+ABS((($Y93)+(ABERTURAS!$P$7:$P$26)-ABS(($Y93)-(ABERTURAS!$P$7:$P$26)))/2-(($X93)+(ABERTURAS!$O$7:$O$26)+ABS(($X93)-(ABERTURAS!$O$7:$O$26)))/2))/2*(((($AA93)+(ABERTURAS!$R$7:$R$26)-ABS(($AA93)-(ABERTURAS!$R$7:$R$26)))/2-(($Z93)+(ABERTURAS!$Q$7:$Q$26)+ABS(($Z93)-(ABERTURAS!$Q$7:$Q$26)))/2)+ABS((($AA93)+(ABERTURAS!$R$7:$R$26)-ABS(($AA93)-(ABERTURAS!$R$7:$R$26)))/2-(($Z93)+(ABERTURAS!$Q$7:$Q$26)+ABS(($Z93)-(ABERTURAS!$Q$7:$Q$26)))/2))/2))</f>
        <v>0</v>
      </c>
      <c r="R93" s="30" t="n">
        <f aca="false">MAX(0,$O93-$P93)</f>
        <v>0.665685</v>
      </c>
      <c r="S93" s="30" t="n">
        <f aca="false">MAX(0,$O93-$Q93)</f>
        <v>0.665685</v>
      </c>
      <c r="T93" s="50" t="n">
        <f aca="false">IF($D93="",0,IF($E93="VERTICAL",N($G93),MAX(N($I93),IF($K93="",N($I93),$K93))))</f>
        <v>10.62</v>
      </c>
      <c r="U93" s="50" t="n">
        <f aca="false">IF($L93&lt;&gt;"OK",0,VALUE(RIGHT($C93,1)))</f>
        <v>3</v>
      </c>
      <c r="V93" s="50" t="n">
        <f aca="false">IF($D93="",0,(N($H93)+IF($J93="",N($H93),$J93))/2)</f>
        <v>10.09315</v>
      </c>
      <c r="W93" s="50" t="n">
        <f aca="false">IF($D93="",0,(N($I93)+IF($K93="",N($I93),$K93))/2)</f>
        <v>10.58625</v>
      </c>
      <c r="X93" s="50" t="n">
        <f aca="false">IF($E93="VERTICAL",$V93,N($F93))</f>
        <v>0</v>
      </c>
      <c r="Y93" s="50" t="n">
        <f aca="false">IF($E93="VERTICAL",$W93,N($G93))</f>
        <v>1.35</v>
      </c>
      <c r="Z93" s="50" t="n">
        <f aca="false">IF($E93="VERTICAL",N($F93),$V93)</f>
        <v>10.09315</v>
      </c>
      <c r="AA93" s="50" t="n">
        <f aca="false">IF($E93="VERTICAL",N($G93),$W93)</f>
        <v>10.58625</v>
      </c>
      <c r="AB93" s="30" t="n">
        <f aca="false">IF($L93&lt;&gt;"OK",0,(INDEX(PRESIONES!$D$28:$D$31,$U93)*IF(INDEX(PRESIONES!$D$28:$D$31,$U93)&gt;0,PRESIONES!$C$9*IF($T93&lt;=10,1,($T93/10)^(2/DATOS!$C$56)),PRESIONES!$C$15)-ABERTURAS!$L$60*PRESIONES!$C$12)*$R93/$M93)</f>
        <v>31.302839889202</v>
      </c>
      <c r="AC93" s="30" t="n">
        <f aca="false">IF($L93&lt;&gt;"OK",0,(INDEX(PRESIONES!$G$28:$G$31,$U93)*IF(INDEX(PRESIONES!$G$28:$G$31,$U93)&gt;0,PRESIONES!$C$9*IF($T93&lt;=10,1,($T93/10)^(2/DATOS!$C$56)),PRESIONES!$C$15)-ABERTURAS!$L$61*PRESIONES!$C$12)*$R93/$M93)</f>
        <v>0.20515380353922</v>
      </c>
      <c r="AD93" s="30" t="n">
        <f aca="false">IF($L93&lt;&gt;"OK",0,(INDEX(PRESIONES!$J$28:$J$31,$U93)*IF(INDEX(PRESIONES!$J$28:$J$31,$U93)&gt;0,PRESIONES!$C$9*IF($T93&lt;=10,1,($T93/10)^(2/DATOS!$C$56)),PRESIONES!$C$15)-ABERTURAS!$L$62*PRESIONES!$C$12)*$R93/$M93)</f>
        <v>-2.12069543575294</v>
      </c>
      <c r="AE93" s="30" t="n">
        <f aca="false">IF($L93&lt;&gt;"OK",0,(INDEX(PRESIONES!$M$28:$M$31,$U93)*IF(INDEX(PRESIONES!$M$28:$M$31,$U93)&gt;0,PRESIONES!$C$9*IF($T93&lt;=10,1,($T93/10)^(2/DATOS!$C$56)),PRESIONES!$C$15)-ABERTURAS!$L$63*PRESIONES!$C$12)*$R93/$M93)</f>
        <v>-34.6274907053088</v>
      </c>
      <c r="AF93" s="30" t="n">
        <f aca="false">IF($L93&lt;&gt;"OK",0,(INDEX(PRESIONES!$D$28:$D$31,$U93)*IF(INDEX(PRESIONES!$D$28:$D$31,$U93)&gt;0,PRESIONES!$C$9*IF($T93&lt;=10,1,($T93/10)^(2/DATOS!$C$56)),PRESIONES!$C$15)-ABERTURAS!$L$64*PRESIONES!$C$12)*$S93/$M93)</f>
        <v>31.302839889202</v>
      </c>
      <c r="AG93" s="30" t="n">
        <f aca="false">IF($L93&lt;&gt;"OK",0,(INDEX(PRESIONES!$G$28:$G$31,$U93)*IF(INDEX(PRESIONES!$G$28:$G$31,$U93)&gt;0,PRESIONES!$C$9*IF($T93&lt;=10,1,($T93/10)^(2/DATOS!$C$56)),PRESIONES!$C$15)-ABERTURAS!$L$65*PRESIONES!$C$12)*$S93/$M93)</f>
        <v>0.20515380353922</v>
      </c>
      <c r="AH93" s="30" t="n">
        <f aca="false">IF($L93&lt;&gt;"OK",0,(INDEX(PRESIONES!$J$28:$J$31,$U93)*IF(INDEX(PRESIONES!$J$28:$J$31,$U93)&gt;0,PRESIONES!$C$9*IF($T93&lt;=10,1,($T93/10)^(2/DATOS!$C$56)),PRESIONES!$C$15)-ABERTURAS!$L$66*PRESIONES!$C$12)*$S93/$M93)</f>
        <v>-2.12069543575294</v>
      </c>
      <c r="AI93" s="30" t="n">
        <f aca="false">IF($L93&lt;&gt;"OK",0,(INDEX(PRESIONES!$M$28:$M$31,$U93)*IF(INDEX(PRESIONES!$M$28:$M$31,$U93)&gt;0,PRESIONES!$C$9*IF($T93&lt;=10,1,($T93/10)^(2/DATOS!$C$56)),PRESIONES!$C$15)-ABERTURAS!$L$67*PRESIONES!$C$12)*$S93/$M93)</f>
        <v>-34.6274907053088</v>
      </c>
    </row>
    <row r="94" customFormat="false" ht="16.5" hidden="false" customHeight="true" outlineLevel="0" collapsed="false">
      <c r="B94" s="27" t="s">
        <v>530</v>
      </c>
      <c r="C94" s="17" t="s">
        <v>430</v>
      </c>
      <c r="D94" s="27" t="s">
        <v>531</v>
      </c>
      <c r="E94" s="17" t="s">
        <v>432</v>
      </c>
      <c r="F94" s="49" t="n">
        <v>1.35</v>
      </c>
      <c r="G94" s="49" t="n">
        <v>2.7</v>
      </c>
      <c r="H94" s="49" t="n">
        <v>10.0763</v>
      </c>
      <c r="I94" s="49" t="n">
        <v>10.5525</v>
      </c>
      <c r="J94" s="49" t="n">
        <v>10.0425</v>
      </c>
      <c r="K94" s="49" t="n">
        <v>10.485</v>
      </c>
      <c r="L94" s="20" t="str">
        <f aca="false">IF($D94="","",IF(LEFT($C94,4)&lt;&gt;"MURO","PON EL MURO",IF(AND($E94&lt;&gt;"HORIZONTAL",$E94&lt;&gt;"VERTICAL"),"PON EL SENTIDO",IF(OR($F94="",$G94="",$H94="",$I94=""),"FALTAN a o b",IF($M94&lt;=0,"a₂ DEBE SER &gt; a₁",IF($N94&lt;=0,"b₂ DEBE SER &gt; b₁","OK"))))))</f>
        <v>OK</v>
      </c>
      <c r="M94" s="30" t="n">
        <f aca="false">IF($D94="",0,MAX(0,$G94-$F94))</f>
        <v>1.35</v>
      </c>
      <c r="N94" s="30" t="n">
        <f aca="false">MAX(0,$W94-$V94)</f>
        <v>0.459350000000001</v>
      </c>
      <c r="O94" s="30" t="n">
        <f aca="false">$M94*$N94</f>
        <v>0.620122500000001</v>
      </c>
      <c r="P94" s="30" t="n">
        <f aca="false">IF($U94=0,0,SUMPRODUCT((ABERTURAS!$N$7:$N$26=$U94)*ABERTURAS!$U$7:$U$26*(((($Y94)+(ABERTURAS!$P$7:$P$26)-ABS(($Y94)-(ABERTURAS!$P$7:$P$26)))/2-(($X94)+(ABERTURAS!$O$7:$O$26)+ABS(($X94)-(ABERTURAS!$O$7:$O$26)))/2)+ABS((($Y94)+(ABERTURAS!$P$7:$P$26)-ABS(($Y94)-(ABERTURAS!$P$7:$P$26)))/2-(($X94)+(ABERTURAS!$O$7:$O$26)+ABS(($X94)-(ABERTURAS!$O$7:$O$26)))/2))/2*(((($AA94)+(ABERTURAS!$R$7:$R$26)-ABS(($AA94)-(ABERTURAS!$R$7:$R$26)))/2-(($Z94)+(ABERTURAS!$Q$7:$Q$26)+ABS(($Z94)-(ABERTURAS!$Q$7:$Q$26)))/2)+ABS((($AA94)+(ABERTURAS!$R$7:$R$26)-ABS(($AA94)-(ABERTURAS!$R$7:$R$26)))/2-(($Z94)+(ABERTURAS!$Q$7:$Q$26)+ABS(($Z94)-(ABERTURAS!$Q$7:$Q$26)))/2))/2))</f>
        <v>0</v>
      </c>
      <c r="Q94" s="30" t="n">
        <f aca="false">IF($U94=0,0,SUMPRODUCT((ABERTURAS!$N$7:$N$26=$U94)*ABERTURAS!$V$7:$V$26*(((($Y94)+(ABERTURAS!$P$7:$P$26)-ABS(($Y94)-(ABERTURAS!$P$7:$P$26)))/2-(($X94)+(ABERTURAS!$O$7:$O$26)+ABS(($X94)-(ABERTURAS!$O$7:$O$26)))/2)+ABS((($Y94)+(ABERTURAS!$P$7:$P$26)-ABS(($Y94)-(ABERTURAS!$P$7:$P$26)))/2-(($X94)+(ABERTURAS!$O$7:$O$26)+ABS(($X94)-(ABERTURAS!$O$7:$O$26)))/2))/2*(((($AA94)+(ABERTURAS!$R$7:$R$26)-ABS(($AA94)-(ABERTURAS!$R$7:$R$26)))/2-(($Z94)+(ABERTURAS!$Q$7:$Q$26)+ABS(($Z94)-(ABERTURAS!$Q$7:$Q$26)))/2)+ABS((($AA94)+(ABERTURAS!$R$7:$R$26)-ABS(($AA94)-(ABERTURAS!$R$7:$R$26)))/2-(($Z94)+(ABERTURAS!$Q$7:$Q$26)+ABS(($Z94)-(ABERTURAS!$Q$7:$Q$26)))/2))/2))</f>
        <v>0</v>
      </c>
      <c r="R94" s="30" t="n">
        <f aca="false">MAX(0,$O94-$P94)</f>
        <v>0.620122500000001</v>
      </c>
      <c r="S94" s="30" t="n">
        <f aca="false">MAX(0,$O94-$Q94)</f>
        <v>0.620122500000001</v>
      </c>
      <c r="T94" s="50" t="n">
        <f aca="false">IF($D94="",0,IF($E94="VERTICAL",N($G94),MAX(N($I94),IF($K94="",N($I94),$K94))))</f>
        <v>10.5525</v>
      </c>
      <c r="U94" s="50" t="n">
        <f aca="false">IF($L94&lt;&gt;"OK",0,VALUE(RIGHT($C94,1)))</f>
        <v>3</v>
      </c>
      <c r="V94" s="50" t="n">
        <f aca="false">IF($D94="",0,(N($H94)+IF($J94="",N($H94),$J94))/2)</f>
        <v>10.0594</v>
      </c>
      <c r="W94" s="50" t="n">
        <f aca="false">IF($D94="",0,(N($I94)+IF($K94="",N($I94),$K94))/2)</f>
        <v>10.51875</v>
      </c>
      <c r="X94" s="50" t="n">
        <f aca="false">IF($E94="VERTICAL",$V94,N($F94))</f>
        <v>1.35</v>
      </c>
      <c r="Y94" s="50" t="n">
        <f aca="false">IF($E94="VERTICAL",$W94,N($G94))</f>
        <v>2.7</v>
      </c>
      <c r="Z94" s="50" t="n">
        <f aca="false">IF($E94="VERTICAL",N($F94),$V94)</f>
        <v>10.0594</v>
      </c>
      <c r="AA94" s="50" t="n">
        <f aca="false">IF($E94="VERTICAL",N($G94),$W94)</f>
        <v>10.51875</v>
      </c>
      <c r="AB94" s="30" t="n">
        <f aca="false">IF($L94&lt;&gt;"OK",0,(INDEX(PRESIONES!$D$28:$D$31,$U94)*IF(INDEX(PRESIONES!$D$28:$D$31,$U94)&gt;0,PRESIONES!$C$9*IF($T94&lt;=10,1,($T94/10)^(2/DATOS!$C$56)),PRESIONES!$C$15)-ABERTURAS!$L$60*PRESIONES!$C$12)*$R94/$M94)</f>
        <v>29.1276698950071</v>
      </c>
      <c r="AC94" s="30" t="n">
        <f aca="false">IF($L94&lt;&gt;"OK",0,(INDEX(PRESIONES!$G$28:$G$31,$U94)*IF(INDEX(PRESIONES!$G$28:$G$31,$U94)&gt;0,PRESIONES!$C$9*IF($T94&lt;=10,1,($T94/10)^(2/DATOS!$C$56)),PRESIONES!$C$15)-ABERTURAS!$L$61*PRESIONES!$C$12)*$R94/$M94)</f>
        <v>0.191112146939243</v>
      </c>
      <c r="AD94" s="30" t="n">
        <f aca="false">IF($L94&lt;&gt;"OK",0,(INDEX(PRESIONES!$J$28:$J$31,$U94)*IF(INDEX(PRESIONES!$J$28:$J$31,$U94)&gt;0,PRESIONES!$C$9*IF($T94&lt;=10,1,($T94/10)^(2/DATOS!$C$56)),PRESIONES!$C$15)-ABERTURAS!$L$62*PRESIONES!$C$12)*$R94/$M94)</f>
        <v>-1.97554542367291</v>
      </c>
      <c r="AE94" s="30" t="n">
        <f aca="false">IF($L94&lt;&gt;"OK",0,(INDEX(PRESIONES!$M$28:$M$31,$U94)*IF(INDEX(PRESIONES!$M$28:$M$31,$U94)&gt;0,PRESIONES!$C$9*IF($T94&lt;=10,1,($T94/10)^(2/DATOS!$C$56)),PRESIONES!$C$15)-ABERTURAS!$L$63*PRESIONES!$C$12)*$R94/$M94)</f>
        <v>-32.2574282204089</v>
      </c>
      <c r="AF94" s="30" t="n">
        <f aca="false">IF($L94&lt;&gt;"OK",0,(INDEX(PRESIONES!$D$28:$D$31,$U94)*IF(INDEX(PRESIONES!$D$28:$D$31,$U94)&gt;0,PRESIONES!$C$9*IF($T94&lt;=10,1,($T94/10)^(2/DATOS!$C$56)),PRESIONES!$C$15)-ABERTURAS!$L$64*PRESIONES!$C$12)*$S94/$M94)</f>
        <v>29.1276698950071</v>
      </c>
      <c r="AG94" s="30" t="n">
        <f aca="false">IF($L94&lt;&gt;"OK",0,(INDEX(PRESIONES!$G$28:$G$31,$U94)*IF(INDEX(PRESIONES!$G$28:$G$31,$U94)&gt;0,PRESIONES!$C$9*IF($T94&lt;=10,1,($T94/10)^(2/DATOS!$C$56)),PRESIONES!$C$15)-ABERTURAS!$L$65*PRESIONES!$C$12)*$S94/$M94)</f>
        <v>0.191112146939243</v>
      </c>
      <c r="AH94" s="30" t="n">
        <f aca="false">IF($L94&lt;&gt;"OK",0,(INDEX(PRESIONES!$J$28:$J$31,$U94)*IF(INDEX(PRESIONES!$J$28:$J$31,$U94)&gt;0,PRESIONES!$C$9*IF($T94&lt;=10,1,($T94/10)^(2/DATOS!$C$56)),PRESIONES!$C$15)-ABERTURAS!$L$66*PRESIONES!$C$12)*$S94/$M94)</f>
        <v>-1.97554542367291</v>
      </c>
      <c r="AI94" s="30" t="n">
        <f aca="false">IF($L94&lt;&gt;"OK",0,(INDEX(PRESIONES!$M$28:$M$31,$U94)*IF(INDEX(PRESIONES!$M$28:$M$31,$U94)&gt;0,PRESIONES!$C$9*IF($T94&lt;=10,1,($T94/10)^(2/DATOS!$C$56)),PRESIONES!$C$15)-ABERTURAS!$L$67*PRESIONES!$C$12)*$S94/$M94)</f>
        <v>-32.2574282204089</v>
      </c>
    </row>
    <row r="95" customFormat="false" ht="16.5" hidden="false" customHeight="true" outlineLevel="0" collapsed="false">
      <c r="B95" s="27" t="s">
        <v>532</v>
      </c>
      <c r="C95" s="17" t="s">
        <v>430</v>
      </c>
      <c r="D95" s="27" t="s">
        <v>533</v>
      </c>
      <c r="E95" s="17" t="s">
        <v>432</v>
      </c>
      <c r="F95" s="49" t="n">
        <v>2.7</v>
      </c>
      <c r="G95" s="49" t="n">
        <v>4.05</v>
      </c>
      <c r="H95" s="49" t="n">
        <v>10.0425</v>
      </c>
      <c r="I95" s="49" t="n">
        <v>10.485</v>
      </c>
      <c r="J95" s="49" t="n">
        <v>10.0088</v>
      </c>
      <c r="K95" s="49" t="n">
        <v>10.4175</v>
      </c>
      <c r="L95" s="20" t="str">
        <f aca="false">IF($D95="","",IF(LEFT($C95,4)&lt;&gt;"MURO","PON EL MURO",IF(AND($E95&lt;&gt;"HORIZONTAL",$E95&lt;&gt;"VERTICAL"),"PON EL SENTIDO",IF(OR($F95="",$G95="",$H95="",$I95=""),"FALTAN a o b",IF($M95&lt;=0,"a₂ DEBE SER &gt; a₁",IF($N95&lt;=0,"b₂ DEBE SER &gt; b₁","OK"))))))</f>
        <v>OK</v>
      </c>
      <c r="M95" s="30" t="n">
        <f aca="false">IF($D95="",0,MAX(0,$G95-$F95))</f>
        <v>1.35</v>
      </c>
      <c r="N95" s="30" t="n">
        <f aca="false">MAX(0,$W95-$V95)</f>
        <v>0.425599999999999</v>
      </c>
      <c r="O95" s="30" t="n">
        <f aca="false">$M95*$N95</f>
        <v>0.574559999999999</v>
      </c>
      <c r="P95" s="30" t="n">
        <f aca="false">IF($U95=0,0,SUMPRODUCT((ABERTURAS!$N$7:$N$26=$U95)*ABERTURAS!$U$7:$U$26*(((($Y95)+(ABERTURAS!$P$7:$P$26)-ABS(($Y95)-(ABERTURAS!$P$7:$P$26)))/2-(($X95)+(ABERTURAS!$O$7:$O$26)+ABS(($X95)-(ABERTURAS!$O$7:$O$26)))/2)+ABS((($Y95)+(ABERTURAS!$P$7:$P$26)-ABS(($Y95)-(ABERTURAS!$P$7:$P$26)))/2-(($X95)+(ABERTURAS!$O$7:$O$26)+ABS(($X95)-(ABERTURAS!$O$7:$O$26)))/2))/2*(((($AA95)+(ABERTURAS!$R$7:$R$26)-ABS(($AA95)-(ABERTURAS!$R$7:$R$26)))/2-(($Z95)+(ABERTURAS!$Q$7:$Q$26)+ABS(($Z95)-(ABERTURAS!$Q$7:$Q$26)))/2)+ABS((($AA95)+(ABERTURAS!$R$7:$R$26)-ABS(($AA95)-(ABERTURAS!$R$7:$R$26)))/2-(($Z95)+(ABERTURAS!$Q$7:$Q$26)+ABS(($Z95)-(ABERTURAS!$Q$7:$Q$26)))/2))/2))</f>
        <v>0</v>
      </c>
      <c r="Q95" s="30" t="n">
        <f aca="false">IF($U95=0,0,SUMPRODUCT((ABERTURAS!$N$7:$N$26=$U95)*ABERTURAS!$V$7:$V$26*(((($Y95)+(ABERTURAS!$P$7:$P$26)-ABS(($Y95)-(ABERTURAS!$P$7:$P$26)))/2-(($X95)+(ABERTURAS!$O$7:$O$26)+ABS(($X95)-(ABERTURAS!$O$7:$O$26)))/2)+ABS((($Y95)+(ABERTURAS!$P$7:$P$26)-ABS(($Y95)-(ABERTURAS!$P$7:$P$26)))/2-(($X95)+(ABERTURAS!$O$7:$O$26)+ABS(($X95)-(ABERTURAS!$O$7:$O$26)))/2))/2*(((($AA95)+(ABERTURAS!$R$7:$R$26)-ABS(($AA95)-(ABERTURAS!$R$7:$R$26)))/2-(($Z95)+(ABERTURAS!$Q$7:$Q$26)+ABS(($Z95)-(ABERTURAS!$Q$7:$Q$26)))/2)+ABS((($AA95)+(ABERTURAS!$R$7:$R$26)-ABS(($AA95)-(ABERTURAS!$R$7:$R$26)))/2-(($Z95)+(ABERTURAS!$Q$7:$Q$26)+ABS(($Z95)-(ABERTURAS!$Q$7:$Q$26)))/2))/2))</f>
        <v>0</v>
      </c>
      <c r="R95" s="30" t="n">
        <f aca="false">MAX(0,$O95-$P95)</f>
        <v>0.574559999999999</v>
      </c>
      <c r="S95" s="30" t="n">
        <f aca="false">MAX(0,$O95-$Q95)</f>
        <v>0.574559999999999</v>
      </c>
      <c r="T95" s="50" t="n">
        <f aca="false">IF($D95="",0,IF($E95="VERTICAL",N($G95),MAX(N($I95),IF($K95="",N($I95),$K95))))</f>
        <v>10.485</v>
      </c>
      <c r="U95" s="50" t="n">
        <f aca="false">IF($L95&lt;&gt;"OK",0,VALUE(RIGHT($C95,1)))</f>
        <v>3</v>
      </c>
      <c r="V95" s="50" t="n">
        <f aca="false">IF($D95="",0,(N($H95)+IF($J95="",N($H95),$J95))/2)</f>
        <v>10.02565</v>
      </c>
      <c r="W95" s="50" t="n">
        <f aca="false">IF($D95="",0,(N($I95)+IF($K95="",N($I95),$K95))/2)</f>
        <v>10.45125</v>
      </c>
      <c r="X95" s="50" t="n">
        <f aca="false">IF($E95="VERTICAL",$V95,N($F95))</f>
        <v>2.7</v>
      </c>
      <c r="Y95" s="50" t="n">
        <f aca="false">IF($E95="VERTICAL",$W95,N($G95))</f>
        <v>4.05</v>
      </c>
      <c r="Z95" s="50" t="n">
        <f aca="false">IF($E95="VERTICAL",N($F95),$V95)</f>
        <v>10.02565</v>
      </c>
      <c r="AA95" s="50" t="n">
        <f aca="false">IF($E95="VERTICAL",N($G95),$W95)</f>
        <v>10.45125</v>
      </c>
      <c r="AB95" s="30" t="n">
        <f aca="false">IF($L95&lt;&gt;"OK",0,(INDEX(PRESIONES!$D$28:$D$31,$U95)*IF(INDEX(PRESIONES!$D$28:$D$31,$U95)&gt;0,PRESIONES!$C$9*IF($T95&lt;=10,1,($T95/10)^(2/DATOS!$C$56)),PRESIONES!$C$15)-ABERTURAS!$L$60*PRESIONES!$C$12)*$R95/$M95)</f>
        <v>26.9571608461997</v>
      </c>
      <c r="AC95" s="30" t="n">
        <f aca="false">IF($L95&lt;&gt;"OK",0,(INDEX(PRESIONES!$G$28:$G$31,$U95)*IF(INDEX(PRESIONES!$G$28:$G$31,$U95)&gt;0,PRESIONES!$C$9*IF($T95&lt;=10,1,($T95/10)^(2/DATOS!$C$56)),PRESIONES!$C$15)-ABERTURAS!$L$61*PRESIONES!$C$12)*$R95/$M95)</f>
        <v>0.177070490339265</v>
      </c>
      <c r="AD95" s="30" t="n">
        <f aca="false">IF($L95&lt;&gt;"OK",0,(INDEX(PRESIONES!$J$28:$J$31,$U95)*IF(INDEX(PRESIONES!$J$28:$J$31,$U95)&gt;0,PRESIONES!$C$9*IF($T95&lt;=10,1,($T95/10)^(2/DATOS!$C$56)),PRESIONES!$C$15)-ABERTURAS!$L$62*PRESIONES!$C$12)*$R95/$M95)</f>
        <v>-1.83039541159288</v>
      </c>
      <c r="AE95" s="30" t="n">
        <f aca="false">IF($L95&lt;&gt;"OK",0,(INDEX(PRESIONES!$M$28:$M$31,$U95)*IF(INDEX(PRESIONES!$M$28:$M$31,$U95)&gt;0,PRESIONES!$C$9*IF($T95&lt;=10,1,($T95/10)^(2/DATOS!$C$56)),PRESIONES!$C$15)-ABERTURAS!$L$63*PRESIONES!$C$12)*$R95/$M95)</f>
        <v>-29.8873657355089</v>
      </c>
      <c r="AF95" s="30" t="n">
        <f aca="false">IF($L95&lt;&gt;"OK",0,(INDEX(PRESIONES!$D$28:$D$31,$U95)*IF(INDEX(PRESIONES!$D$28:$D$31,$U95)&gt;0,PRESIONES!$C$9*IF($T95&lt;=10,1,($T95/10)^(2/DATOS!$C$56)),PRESIONES!$C$15)-ABERTURAS!$L$64*PRESIONES!$C$12)*$S95/$M95)</f>
        <v>26.9571608461997</v>
      </c>
      <c r="AG95" s="30" t="n">
        <f aca="false">IF($L95&lt;&gt;"OK",0,(INDEX(PRESIONES!$G$28:$G$31,$U95)*IF(INDEX(PRESIONES!$G$28:$G$31,$U95)&gt;0,PRESIONES!$C$9*IF($T95&lt;=10,1,($T95/10)^(2/DATOS!$C$56)),PRESIONES!$C$15)-ABERTURAS!$L$65*PRESIONES!$C$12)*$S95/$M95)</f>
        <v>0.177070490339265</v>
      </c>
      <c r="AH95" s="30" t="n">
        <f aca="false">IF($L95&lt;&gt;"OK",0,(INDEX(PRESIONES!$J$28:$J$31,$U95)*IF(INDEX(PRESIONES!$J$28:$J$31,$U95)&gt;0,PRESIONES!$C$9*IF($T95&lt;=10,1,($T95/10)^(2/DATOS!$C$56)),PRESIONES!$C$15)-ABERTURAS!$L$66*PRESIONES!$C$12)*$S95/$M95)</f>
        <v>-1.83039541159288</v>
      </c>
      <c r="AI95" s="30" t="n">
        <f aca="false">IF($L95&lt;&gt;"OK",0,(INDEX(PRESIONES!$M$28:$M$31,$U95)*IF(INDEX(PRESIONES!$M$28:$M$31,$U95)&gt;0,PRESIONES!$C$9*IF($T95&lt;=10,1,($T95/10)^(2/DATOS!$C$56)),PRESIONES!$C$15)-ABERTURAS!$L$67*PRESIONES!$C$12)*$S95/$M95)</f>
        <v>-29.8873657355089</v>
      </c>
    </row>
    <row r="96" customFormat="false" ht="16.5" hidden="false" customHeight="true" outlineLevel="0" collapsed="false">
      <c r="B96" s="27" t="s">
        <v>534</v>
      </c>
      <c r="C96" s="17" t="s">
        <v>430</v>
      </c>
      <c r="D96" s="27" t="s">
        <v>535</v>
      </c>
      <c r="E96" s="17" t="s">
        <v>432</v>
      </c>
      <c r="F96" s="49" t="n">
        <v>4.05</v>
      </c>
      <c r="G96" s="49" t="n">
        <v>5.4</v>
      </c>
      <c r="H96" s="49" t="n">
        <v>10.0088</v>
      </c>
      <c r="I96" s="49" t="n">
        <v>10.4175</v>
      </c>
      <c r="J96" s="49" t="n">
        <v>9.975</v>
      </c>
      <c r="K96" s="49" t="n">
        <v>10.35</v>
      </c>
      <c r="L96" s="20" t="str">
        <f aca="false">IF($D96="","",IF(LEFT($C96,4)&lt;&gt;"MURO","PON EL MURO",IF(AND($E96&lt;&gt;"HORIZONTAL",$E96&lt;&gt;"VERTICAL"),"PON EL SENTIDO",IF(OR($F96="",$G96="",$H96="",$I96=""),"FALTAN a o b",IF($M96&lt;=0,"a₂ DEBE SER &gt; a₁",IF($N96&lt;=0,"b₂ DEBE SER &gt; b₁","OK"))))))</f>
        <v>OK</v>
      </c>
      <c r="M96" s="30" t="n">
        <f aca="false">IF($D96="",0,MAX(0,$G96-$F96))</f>
        <v>1.35</v>
      </c>
      <c r="N96" s="30" t="n">
        <f aca="false">MAX(0,$W96-$V96)</f>
        <v>0.391849999999998</v>
      </c>
      <c r="O96" s="30" t="n">
        <f aca="false">$M96*$N96</f>
        <v>0.528997499999998</v>
      </c>
      <c r="P96" s="30" t="n">
        <f aca="false">IF($U96=0,0,SUMPRODUCT((ABERTURAS!$N$7:$N$26=$U96)*ABERTURAS!$U$7:$U$26*(((($Y96)+(ABERTURAS!$P$7:$P$26)-ABS(($Y96)-(ABERTURAS!$P$7:$P$26)))/2-(($X96)+(ABERTURAS!$O$7:$O$26)+ABS(($X96)-(ABERTURAS!$O$7:$O$26)))/2)+ABS((($Y96)+(ABERTURAS!$P$7:$P$26)-ABS(($Y96)-(ABERTURAS!$P$7:$P$26)))/2-(($X96)+(ABERTURAS!$O$7:$O$26)+ABS(($X96)-(ABERTURAS!$O$7:$O$26)))/2))/2*(((($AA96)+(ABERTURAS!$R$7:$R$26)-ABS(($AA96)-(ABERTURAS!$R$7:$R$26)))/2-(($Z96)+(ABERTURAS!$Q$7:$Q$26)+ABS(($Z96)-(ABERTURAS!$Q$7:$Q$26)))/2)+ABS((($AA96)+(ABERTURAS!$R$7:$R$26)-ABS(($AA96)-(ABERTURAS!$R$7:$R$26)))/2-(($Z96)+(ABERTURAS!$Q$7:$Q$26)+ABS(($Z96)-(ABERTURAS!$Q$7:$Q$26)))/2))/2))</f>
        <v>0</v>
      </c>
      <c r="Q96" s="30" t="n">
        <f aca="false">IF($U96=0,0,SUMPRODUCT((ABERTURAS!$N$7:$N$26=$U96)*ABERTURAS!$V$7:$V$26*(((($Y96)+(ABERTURAS!$P$7:$P$26)-ABS(($Y96)-(ABERTURAS!$P$7:$P$26)))/2-(($X96)+(ABERTURAS!$O$7:$O$26)+ABS(($X96)-(ABERTURAS!$O$7:$O$26)))/2)+ABS((($Y96)+(ABERTURAS!$P$7:$P$26)-ABS(($Y96)-(ABERTURAS!$P$7:$P$26)))/2-(($X96)+(ABERTURAS!$O$7:$O$26)+ABS(($X96)-(ABERTURAS!$O$7:$O$26)))/2))/2*(((($AA96)+(ABERTURAS!$R$7:$R$26)-ABS(($AA96)-(ABERTURAS!$R$7:$R$26)))/2-(($Z96)+(ABERTURAS!$Q$7:$Q$26)+ABS(($Z96)-(ABERTURAS!$Q$7:$Q$26)))/2)+ABS((($AA96)+(ABERTURAS!$R$7:$R$26)-ABS(($AA96)-(ABERTURAS!$R$7:$R$26)))/2-(($Z96)+(ABERTURAS!$Q$7:$Q$26)+ABS(($Z96)-(ABERTURAS!$Q$7:$Q$26)))/2))/2))</f>
        <v>0</v>
      </c>
      <c r="R96" s="30" t="n">
        <f aca="false">MAX(0,$O96-$P96)</f>
        <v>0.528997499999998</v>
      </c>
      <c r="S96" s="30" t="n">
        <f aca="false">MAX(0,$O96-$Q96)</f>
        <v>0.528997499999998</v>
      </c>
      <c r="T96" s="50" t="n">
        <f aca="false">IF($D96="",0,IF($E96="VERTICAL",N($G96),MAX(N($I96),IF($K96="",N($I96),$K96))))</f>
        <v>10.4175</v>
      </c>
      <c r="U96" s="50" t="n">
        <f aca="false">IF($L96&lt;&gt;"OK",0,VALUE(RIGHT($C96,1)))</f>
        <v>3</v>
      </c>
      <c r="V96" s="50" t="n">
        <f aca="false">IF($D96="",0,(N($H96)+IF($J96="",N($H96),$J96))/2)</f>
        <v>9.9919</v>
      </c>
      <c r="W96" s="50" t="n">
        <f aca="false">IF($D96="",0,(N($I96)+IF($K96="",N($I96),$K96))/2)</f>
        <v>10.38375</v>
      </c>
      <c r="X96" s="50" t="n">
        <f aca="false">IF($E96="VERTICAL",$V96,N($F96))</f>
        <v>4.05</v>
      </c>
      <c r="Y96" s="50" t="n">
        <f aca="false">IF($E96="VERTICAL",$W96,N($G96))</f>
        <v>5.4</v>
      </c>
      <c r="Z96" s="50" t="n">
        <f aca="false">IF($E96="VERTICAL",N($F96),$V96)</f>
        <v>9.9919</v>
      </c>
      <c r="AA96" s="50" t="n">
        <f aca="false">IF($E96="VERTICAL",N($G96),$W96)</f>
        <v>10.38375</v>
      </c>
      <c r="AB96" s="30" t="n">
        <f aca="false">IF($L96&lt;&gt;"OK",0,(INDEX(PRESIONES!$D$28:$D$31,$U96)*IF(INDEX(PRESIONES!$D$28:$D$31,$U96)&gt;0,PRESIONES!$C$9*IF($T96&lt;=10,1,($T96/10)^(2/DATOS!$C$56)),PRESIONES!$C$15)-ABERTURAS!$L$60*PRESIONES!$C$12)*$R96/$M96)</f>
        <v>24.7913443004451</v>
      </c>
      <c r="AC96" s="30" t="n">
        <f aca="false">IF($L96&lt;&gt;"OK",0,(INDEX(PRESIONES!$G$28:$G$31,$U96)*IF(INDEX(PRESIONES!$G$28:$G$31,$U96)&gt;0,PRESIONES!$C$9*IF($T96&lt;=10,1,($T96/10)^(2/DATOS!$C$56)),PRESIONES!$C$15)-ABERTURAS!$L$61*PRESIONES!$C$12)*$R96/$M96)</f>
        <v>0.163028833739288</v>
      </c>
      <c r="AD96" s="30" t="n">
        <f aca="false">IF($L96&lt;&gt;"OK",0,(INDEX(PRESIONES!$J$28:$J$31,$U96)*IF(INDEX(PRESIONES!$J$28:$J$31,$U96)&gt;0,PRESIONES!$C$9*IF($T96&lt;=10,1,($T96/10)^(2/DATOS!$C$56)),PRESIONES!$C$15)-ABERTURAS!$L$62*PRESIONES!$C$12)*$R96/$M96)</f>
        <v>-1.68524539951284</v>
      </c>
      <c r="AE96" s="30" t="n">
        <f aca="false">IF($L96&lt;&gt;"OK",0,(INDEX(PRESIONES!$M$28:$M$31,$U96)*IF(INDEX(PRESIONES!$M$28:$M$31,$U96)&gt;0,PRESIONES!$C$9*IF($T96&lt;=10,1,($T96/10)^(2/DATOS!$C$56)),PRESIONES!$C$15)-ABERTURAS!$L$63*PRESIONES!$C$12)*$R96/$M96)</f>
        <v>-27.5173032506088</v>
      </c>
      <c r="AF96" s="30" t="n">
        <f aca="false">IF($L96&lt;&gt;"OK",0,(INDEX(PRESIONES!$D$28:$D$31,$U96)*IF(INDEX(PRESIONES!$D$28:$D$31,$U96)&gt;0,PRESIONES!$C$9*IF($T96&lt;=10,1,($T96/10)^(2/DATOS!$C$56)),PRESIONES!$C$15)-ABERTURAS!$L$64*PRESIONES!$C$12)*$S96/$M96)</f>
        <v>24.7913443004451</v>
      </c>
      <c r="AG96" s="30" t="n">
        <f aca="false">IF($L96&lt;&gt;"OK",0,(INDEX(PRESIONES!$G$28:$G$31,$U96)*IF(INDEX(PRESIONES!$G$28:$G$31,$U96)&gt;0,PRESIONES!$C$9*IF($T96&lt;=10,1,($T96/10)^(2/DATOS!$C$56)),PRESIONES!$C$15)-ABERTURAS!$L$65*PRESIONES!$C$12)*$S96/$M96)</f>
        <v>0.163028833739288</v>
      </c>
      <c r="AH96" s="30" t="n">
        <f aca="false">IF($L96&lt;&gt;"OK",0,(INDEX(PRESIONES!$J$28:$J$31,$U96)*IF(INDEX(PRESIONES!$J$28:$J$31,$U96)&gt;0,PRESIONES!$C$9*IF($T96&lt;=10,1,($T96/10)^(2/DATOS!$C$56)),PRESIONES!$C$15)-ABERTURAS!$L$66*PRESIONES!$C$12)*$S96/$M96)</f>
        <v>-1.68524539951284</v>
      </c>
      <c r="AI96" s="30" t="n">
        <f aca="false">IF($L96&lt;&gt;"OK",0,(INDEX(PRESIONES!$M$28:$M$31,$U96)*IF(INDEX(PRESIONES!$M$28:$M$31,$U96)&gt;0,PRESIONES!$C$9*IF($T96&lt;=10,1,($T96/10)^(2/DATOS!$C$56)),PRESIONES!$C$15)-ABERTURAS!$L$67*PRESIONES!$C$12)*$S96/$M96)</f>
        <v>-27.5173032506088</v>
      </c>
    </row>
    <row r="97" customFormat="false" ht="16.5" hidden="false" customHeight="true" outlineLevel="0" collapsed="false">
      <c r="B97" s="27" t="s">
        <v>536</v>
      </c>
      <c r="C97" s="17" t="s">
        <v>430</v>
      </c>
      <c r="D97" s="27" t="s">
        <v>537</v>
      </c>
      <c r="E97" s="17" t="s">
        <v>432</v>
      </c>
      <c r="F97" s="49" t="n">
        <v>5.4</v>
      </c>
      <c r="G97" s="49" t="n">
        <v>6.75</v>
      </c>
      <c r="H97" s="49" t="n">
        <v>9.975</v>
      </c>
      <c r="I97" s="49" t="n">
        <v>10.35</v>
      </c>
      <c r="J97" s="49" t="n">
        <v>9.9413</v>
      </c>
      <c r="K97" s="49" t="n">
        <v>10.2825</v>
      </c>
      <c r="L97" s="20" t="str">
        <f aca="false">IF($D97="","",IF(LEFT($C97,4)&lt;&gt;"MURO","PON EL MURO",IF(AND($E97&lt;&gt;"HORIZONTAL",$E97&lt;&gt;"VERTICAL"),"PON EL SENTIDO",IF(OR($F97="",$G97="",$H97="",$I97=""),"FALTAN a o b",IF($M97&lt;=0,"a₂ DEBE SER &gt; a₁",IF($N97&lt;=0,"b₂ DEBE SER &gt; b₁","OK"))))))</f>
        <v>OK</v>
      </c>
      <c r="M97" s="30" t="n">
        <f aca="false">IF($D97="",0,MAX(0,$G97-$F97))</f>
        <v>1.35</v>
      </c>
      <c r="N97" s="30" t="n">
        <f aca="false">MAX(0,$W97-$V97)</f>
        <v>0.3581</v>
      </c>
      <c r="O97" s="30" t="n">
        <f aca="false">$M97*$N97</f>
        <v>0.483435</v>
      </c>
      <c r="P97" s="30" t="n">
        <f aca="false">IF($U97=0,0,SUMPRODUCT((ABERTURAS!$N$7:$N$26=$U97)*ABERTURAS!$U$7:$U$26*(((($Y97)+(ABERTURAS!$P$7:$P$26)-ABS(($Y97)-(ABERTURAS!$P$7:$P$26)))/2-(($X97)+(ABERTURAS!$O$7:$O$26)+ABS(($X97)-(ABERTURAS!$O$7:$O$26)))/2)+ABS((($Y97)+(ABERTURAS!$P$7:$P$26)-ABS(($Y97)-(ABERTURAS!$P$7:$P$26)))/2-(($X97)+(ABERTURAS!$O$7:$O$26)+ABS(($X97)-(ABERTURAS!$O$7:$O$26)))/2))/2*(((($AA97)+(ABERTURAS!$R$7:$R$26)-ABS(($AA97)-(ABERTURAS!$R$7:$R$26)))/2-(($Z97)+(ABERTURAS!$Q$7:$Q$26)+ABS(($Z97)-(ABERTURAS!$Q$7:$Q$26)))/2)+ABS((($AA97)+(ABERTURAS!$R$7:$R$26)-ABS(($AA97)-(ABERTURAS!$R$7:$R$26)))/2-(($Z97)+(ABERTURAS!$Q$7:$Q$26)+ABS(($Z97)-(ABERTURAS!$Q$7:$Q$26)))/2))/2))</f>
        <v>0</v>
      </c>
      <c r="Q97" s="30" t="n">
        <f aca="false">IF($U97=0,0,SUMPRODUCT((ABERTURAS!$N$7:$N$26=$U97)*ABERTURAS!$V$7:$V$26*(((($Y97)+(ABERTURAS!$P$7:$P$26)-ABS(($Y97)-(ABERTURAS!$P$7:$P$26)))/2-(($X97)+(ABERTURAS!$O$7:$O$26)+ABS(($X97)-(ABERTURAS!$O$7:$O$26)))/2)+ABS((($Y97)+(ABERTURAS!$P$7:$P$26)-ABS(($Y97)-(ABERTURAS!$P$7:$P$26)))/2-(($X97)+(ABERTURAS!$O$7:$O$26)+ABS(($X97)-(ABERTURAS!$O$7:$O$26)))/2))/2*(((($AA97)+(ABERTURAS!$R$7:$R$26)-ABS(($AA97)-(ABERTURAS!$R$7:$R$26)))/2-(($Z97)+(ABERTURAS!$Q$7:$Q$26)+ABS(($Z97)-(ABERTURAS!$Q$7:$Q$26)))/2)+ABS((($AA97)+(ABERTURAS!$R$7:$R$26)-ABS(($AA97)-(ABERTURAS!$R$7:$R$26)))/2-(($Z97)+(ABERTURAS!$Q$7:$Q$26)+ABS(($Z97)-(ABERTURAS!$Q$7:$Q$26)))/2))/2))</f>
        <v>0</v>
      </c>
      <c r="R97" s="30" t="n">
        <f aca="false">MAX(0,$O97-$P97)</f>
        <v>0.483435</v>
      </c>
      <c r="S97" s="30" t="n">
        <f aca="false">MAX(0,$O97-$Q97)</f>
        <v>0.483435</v>
      </c>
      <c r="T97" s="50" t="n">
        <f aca="false">IF($D97="",0,IF($E97="VERTICAL",N($G97),MAX(N($I97),IF($K97="",N($I97),$K97))))</f>
        <v>10.35</v>
      </c>
      <c r="U97" s="50" t="n">
        <f aca="false">IF($L97&lt;&gt;"OK",0,VALUE(RIGHT($C97,1)))</f>
        <v>3</v>
      </c>
      <c r="V97" s="50" t="n">
        <f aca="false">IF($D97="",0,(N($H97)+IF($J97="",N($H97),$J97))/2)</f>
        <v>9.95815</v>
      </c>
      <c r="W97" s="50" t="n">
        <f aca="false">IF($D97="",0,(N($I97)+IF($K97="",N($I97),$K97))/2)</f>
        <v>10.31625</v>
      </c>
      <c r="X97" s="50" t="n">
        <f aca="false">IF($E97="VERTICAL",$V97,N($F97))</f>
        <v>5.4</v>
      </c>
      <c r="Y97" s="50" t="n">
        <f aca="false">IF($E97="VERTICAL",$W97,N($G97))</f>
        <v>6.75</v>
      </c>
      <c r="Z97" s="50" t="n">
        <f aca="false">IF($E97="VERTICAL",N($F97),$V97)</f>
        <v>9.95815</v>
      </c>
      <c r="AA97" s="50" t="n">
        <f aca="false">IF($E97="VERTICAL",N($G97),$W97)</f>
        <v>10.31625</v>
      </c>
      <c r="AB97" s="30" t="n">
        <f aca="false">IF($L97&lt;&gt;"OK",0,(INDEX(PRESIONES!$D$28:$D$31,$U97)*IF(INDEX(PRESIONES!$D$28:$D$31,$U97)&gt;0,PRESIONES!$C$9*IF($T97&lt;=10,1,($T97/10)^(2/DATOS!$C$56)),PRESIONES!$C$15)-ABERTURAS!$L$60*PRESIONES!$C$12)*$R97/$M97)</f>
        <v>22.6302522789319</v>
      </c>
      <c r="AC97" s="30" t="n">
        <f aca="false">IF($L97&lt;&gt;"OK",0,(INDEX(PRESIONES!$G$28:$G$31,$U97)*IF(INDEX(PRESIONES!$G$28:$G$31,$U97)&gt;0,PRESIONES!$C$9*IF($T97&lt;=10,1,($T97/10)^(2/DATOS!$C$56)),PRESIONES!$C$15)-ABERTURAS!$L$61*PRESIONES!$C$12)*$R97/$M97)</f>
        <v>0.148987177139312</v>
      </c>
      <c r="AD97" s="30" t="n">
        <f aca="false">IF($L97&lt;&gt;"OK",0,(INDEX(PRESIONES!$J$28:$J$31,$U97)*IF(INDEX(PRESIONES!$J$28:$J$31,$U97)&gt;0,PRESIONES!$C$9*IF($T97&lt;=10,1,($T97/10)^(2/DATOS!$C$56)),PRESIONES!$C$15)-ABERTURAS!$L$62*PRESIONES!$C$12)*$R97/$M97)</f>
        <v>-1.54009538743283</v>
      </c>
      <c r="AE97" s="30" t="n">
        <f aca="false">IF($L97&lt;&gt;"OK",0,(INDEX(PRESIONES!$M$28:$M$31,$U97)*IF(INDEX(PRESIONES!$M$28:$M$31,$U97)&gt;0,PRESIONES!$C$9*IF($T97&lt;=10,1,($T97/10)^(2/DATOS!$C$56)),PRESIONES!$C$15)-ABERTURAS!$L$63*PRESIONES!$C$12)*$R97/$M97)</f>
        <v>-25.147240765709</v>
      </c>
      <c r="AF97" s="30" t="n">
        <f aca="false">IF($L97&lt;&gt;"OK",0,(INDEX(PRESIONES!$D$28:$D$31,$U97)*IF(INDEX(PRESIONES!$D$28:$D$31,$U97)&gt;0,PRESIONES!$C$9*IF($T97&lt;=10,1,($T97/10)^(2/DATOS!$C$56)),PRESIONES!$C$15)-ABERTURAS!$L$64*PRESIONES!$C$12)*$S97/$M97)</f>
        <v>22.6302522789319</v>
      </c>
      <c r="AG97" s="30" t="n">
        <f aca="false">IF($L97&lt;&gt;"OK",0,(INDEX(PRESIONES!$G$28:$G$31,$U97)*IF(INDEX(PRESIONES!$G$28:$G$31,$U97)&gt;0,PRESIONES!$C$9*IF($T97&lt;=10,1,($T97/10)^(2/DATOS!$C$56)),PRESIONES!$C$15)-ABERTURAS!$L$65*PRESIONES!$C$12)*$S97/$M97)</f>
        <v>0.148987177139312</v>
      </c>
      <c r="AH97" s="30" t="n">
        <f aca="false">IF($L97&lt;&gt;"OK",0,(INDEX(PRESIONES!$J$28:$J$31,$U97)*IF(INDEX(PRESIONES!$J$28:$J$31,$U97)&gt;0,PRESIONES!$C$9*IF($T97&lt;=10,1,($T97/10)^(2/DATOS!$C$56)),PRESIONES!$C$15)-ABERTURAS!$L$66*PRESIONES!$C$12)*$S97/$M97)</f>
        <v>-1.54009538743283</v>
      </c>
      <c r="AI97" s="30" t="n">
        <f aca="false">IF($L97&lt;&gt;"OK",0,(INDEX(PRESIONES!$M$28:$M$31,$U97)*IF(INDEX(PRESIONES!$M$28:$M$31,$U97)&gt;0,PRESIONES!$C$9*IF($T97&lt;=10,1,($T97/10)^(2/DATOS!$C$56)),PRESIONES!$C$15)-ABERTURAS!$L$67*PRESIONES!$C$12)*$S97/$M97)</f>
        <v>-25.147240765709</v>
      </c>
    </row>
    <row r="98" customFormat="false" ht="16.5" hidden="false" customHeight="true" outlineLevel="0" collapsed="false">
      <c r="B98" s="27" t="s">
        <v>538</v>
      </c>
      <c r="C98" s="17" t="s">
        <v>430</v>
      </c>
      <c r="D98" s="27" t="s">
        <v>539</v>
      </c>
      <c r="E98" s="17" t="s">
        <v>432</v>
      </c>
      <c r="F98" s="49" t="n">
        <v>6.75</v>
      </c>
      <c r="G98" s="49" t="n">
        <v>8.1</v>
      </c>
      <c r="H98" s="49" t="n">
        <v>9.9413</v>
      </c>
      <c r="I98" s="49" t="n">
        <v>10.2825</v>
      </c>
      <c r="J98" s="49" t="n">
        <v>9.9075</v>
      </c>
      <c r="K98" s="49" t="n">
        <v>10.215</v>
      </c>
      <c r="L98" s="20" t="str">
        <f aca="false">IF($D98="","",IF(LEFT($C98,4)&lt;&gt;"MURO","PON EL MURO",IF(AND($E98&lt;&gt;"HORIZONTAL",$E98&lt;&gt;"VERTICAL"),"PON EL SENTIDO",IF(OR($F98="",$G98="",$H98="",$I98=""),"FALTAN a o b",IF($M98&lt;=0,"a₂ DEBE SER &gt; a₁",IF($N98&lt;=0,"b₂ DEBE SER &gt; b₁","OK"))))))</f>
        <v>OK</v>
      </c>
      <c r="M98" s="30" t="n">
        <f aca="false">IF($D98="",0,MAX(0,$G98-$F98))</f>
        <v>1.35</v>
      </c>
      <c r="N98" s="30" t="n">
        <f aca="false">MAX(0,$W98-$V98)</f>
        <v>0.324350000000001</v>
      </c>
      <c r="O98" s="30" t="n">
        <f aca="false">$M98*$N98</f>
        <v>0.437872500000001</v>
      </c>
      <c r="P98" s="30" t="n">
        <f aca="false">IF($U98=0,0,SUMPRODUCT((ABERTURAS!$N$7:$N$26=$U98)*ABERTURAS!$U$7:$U$26*(((($Y98)+(ABERTURAS!$P$7:$P$26)-ABS(($Y98)-(ABERTURAS!$P$7:$P$26)))/2-(($X98)+(ABERTURAS!$O$7:$O$26)+ABS(($X98)-(ABERTURAS!$O$7:$O$26)))/2)+ABS((($Y98)+(ABERTURAS!$P$7:$P$26)-ABS(($Y98)-(ABERTURAS!$P$7:$P$26)))/2-(($X98)+(ABERTURAS!$O$7:$O$26)+ABS(($X98)-(ABERTURAS!$O$7:$O$26)))/2))/2*(((($AA98)+(ABERTURAS!$R$7:$R$26)-ABS(($AA98)-(ABERTURAS!$R$7:$R$26)))/2-(($Z98)+(ABERTURAS!$Q$7:$Q$26)+ABS(($Z98)-(ABERTURAS!$Q$7:$Q$26)))/2)+ABS((($AA98)+(ABERTURAS!$R$7:$R$26)-ABS(($AA98)-(ABERTURAS!$R$7:$R$26)))/2-(($Z98)+(ABERTURAS!$Q$7:$Q$26)+ABS(($Z98)-(ABERTURAS!$Q$7:$Q$26)))/2))/2))</f>
        <v>0</v>
      </c>
      <c r="Q98" s="30" t="n">
        <f aca="false">IF($U98=0,0,SUMPRODUCT((ABERTURAS!$N$7:$N$26=$U98)*ABERTURAS!$V$7:$V$26*(((($Y98)+(ABERTURAS!$P$7:$P$26)-ABS(($Y98)-(ABERTURAS!$P$7:$P$26)))/2-(($X98)+(ABERTURAS!$O$7:$O$26)+ABS(($X98)-(ABERTURAS!$O$7:$O$26)))/2)+ABS((($Y98)+(ABERTURAS!$P$7:$P$26)-ABS(($Y98)-(ABERTURAS!$P$7:$P$26)))/2-(($X98)+(ABERTURAS!$O$7:$O$26)+ABS(($X98)-(ABERTURAS!$O$7:$O$26)))/2))/2*(((($AA98)+(ABERTURAS!$R$7:$R$26)-ABS(($AA98)-(ABERTURAS!$R$7:$R$26)))/2-(($Z98)+(ABERTURAS!$Q$7:$Q$26)+ABS(($Z98)-(ABERTURAS!$Q$7:$Q$26)))/2)+ABS((($AA98)+(ABERTURAS!$R$7:$R$26)-ABS(($AA98)-(ABERTURAS!$R$7:$R$26)))/2-(($Z98)+(ABERTURAS!$Q$7:$Q$26)+ABS(($Z98)-(ABERTURAS!$Q$7:$Q$26)))/2))/2))</f>
        <v>0</v>
      </c>
      <c r="R98" s="30" t="n">
        <f aca="false">MAX(0,$O98-$P98)</f>
        <v>0.437872500000001</v>
      </c>
      <c r="S98" s="30" t="n">
        <f aca="false">MAX(0,$O98-$Q98)</f>
        <v>0.437872500000001</v>
      </c>
      <c r="T98" s="50" t="n">
        <f aca="false">IF($D98="",0,IF($E98="VERTICAL",N($G98),MAX(N($I98),IF($K98="",N($I98),$K98))))</f>
        <v>10.2825</v>
      </c>
      <c r="U98" s="50" t="n">
        <f aca="false">IF($L98&lt;&gt;"OK",0,VALUE(RIGHT($C98,1)))</f>
        <v>3</v>
      </c>
      <c r="V98" s="50" t="n">
        <f aca="false">IF($D98="",0,(N($H98)+IF($J98="",N($H98),$J98))/2)</f>
        <v>9.9244</v>
      </c>
      <c r="W98" s="50" t="n">
        <f aca="false">IF($D98="",0,(N($I98)+IF($K98="",N($I98),$K98))/2)</f>
        <v>10.24875</v>
      </c>
      <c r="X98" s="50" t="n">
        <f aca="false">IF($E98="VERTICAL",$V98,N($F98))</f>
        <v>6.75</v>
      </c>
      <c r="Y98" s="50" t="n">
        <f aca="false">IF($E98="VERTICAL",$W98,N($G98))</f>
        <v>8.1</v>
      </c>
      <c r="Z98" s="50" t="n">
        <f aca="false">IF($E98="VERTICAL",N($F98),$V98)</f>
        <v>9.9244</v>
      </c>
      <c r="AA98" s="50" t="n">
        <f aca="false">IF($E98="VERTICAL",N($G98),$W98)</f>
        <v>10.24875</v>
      </c>
      <c r="AB98" s="30" t="n">
        <f aca="false">IF($L98&lt;&gt;"OK",0,(INDEX(PRESIONES!$D$28:$D$31,$U98)*IF(INDEX(PRESIONES!$D$28:$D$31,$U98)&gt;0,PRESIONES!$C$9*IF($T98&lt;=10,1,($T98/10)^(2/DATOS!$C$56)),PRESIONES!$C$15)-ABERTURAS!$L$60*PRESIONES!$C$12)*$R98/$M98)</f>
        <v>20.4739172765855</v>
      </c>
      <c r="AC98" s="30" t="n">
        <f aca="false">IF($L98&lt;&gt;"OK",0,(INDEX(PRESIONES!$G$28:$G$31,$U98)*IF(INDEX(PRESIONES!$G$28:$G$31,$U98)&gt;0,PRESIONES!$C$9*IF($T98&lt;=10,1,($T98/10)^(2/DATOS!$C$56)),PRESIONES!$C$15)-ABERTURAS!$L$61*PRESIONES!$C$12)*$R98/$M98)</f>
        <v>0.134945520539335</v>
      </c>
      <c r="AD98" s="30" t="n">
        <f aca="false">IF($L98&lt;&gt;"OK",0,(INDEX(PRESIONES!$J$28:$J$31,$U98)*IF(INDEX(PRESIONES!$J$28:$J$31,$U98)&gt;0,PRESIONES!$C$9*IF($T98&lt;=10,1,($T98/10)^(2/DATOS!$C$56)),PRESIONES!$C$15)-ABERTURAS!$L$62*PRESIONES!$C$12)*$R98/$M98)</f>
        <v>-1.3949453753528</v>
      </c>
      <c r="AE98" s="30" t="n">
        <f aca="false">IF($L98&lt;&gt;"OK",0,(INDEX(PRESIONES!$M$28:$M$31,$U98)*IF(INDEX(PRESIONES!$M$28:$M$31,$U98)&gt;0,PRESIONES!$C$9*IF($T98&lt;=10,1,($T98/10)^(2/DATOS!$C$56)),PRESIONES!$C$15)-ABERTURAS!$L$63*PRESIONES!$C$12)*$R98/$M98)</f>
        <v>-22.7771782808091</v>
      </c>
      <c r="AF98" s="30" t="n">
        <f aca="false">IF($L98&lt;&gt;"OK",0,(INDEX(PRESIONES!$D$28:$D$31,$U98)*IF(INDEX(PRESIONES!$D$28:$D$31,$U98)&gt;0,PRESIONES!$C$9*IF($T98&lt;=10,1,($T98/10)^(2/DATOS!$C$56)),PRESIONES!$C$15)-ABERTURAS!$L$64*PRESIONES!$C$12)*$S98/$M98)</f>
        <v>20.4739172765855</v>
      </c>
      <c r="AG98" s="30" t="n">
        <f aca="false">IF($L98&lt;&gt;"OK",0,(INDEX(PRESIONES!$G$28:$G$31,$U98)*IF(INDEX(PRESIONES!$G$28:$G$31,$U98)&gt;0,PRESIONES!$C$9*IF($T98&lt;=10,1,($T98/10)^(2/DATOS!$C$56)),PRESIONES!$C$15)-ABERTURAS!$L$65*PRESIONES!$C$12)*$S98/$M98)</f>
        <v>0.134945520539335</v>
      </c>
      <c r="AH98" s="30" t="n">
        <f aca="false">IF($L98&lt;&gt;"OK",0,(INDEX(PRESIONES!$J$28:$J$31,$U98)*IF(INDEX(PRESIONES!$J$28:$J$31,$U98)&gt;0,PRESIONES!$C$9*IF($T98&lt;=10,1,($T98/10)^(2/DATOS!$C$56)),PRESIONES!$C$15)-ABERTURAS!$L$66*PRESIONES!$C$12)*$S98/$M98)</f>
        <v>-1.3949453753528</v>
      </c>
      <c r="AI98" s="30" t="n">
        <f aca="false">IF($L98&lt;&gt;"OK",0,(INDEX(PRESIONES!$M$28:$M$31,$U98)*IF(INDEX(PRESIONES!$M$28:$M$31,$U98)&gt;0,PRESIONES!$C$9*IF($T98&lt;=10,1,($T98/10)^(2/DATOS!$C$56)),PRESIONES!$C$15)-ABERTURAS!$L$67*PRESIONES!$C$12)*$S98/$M98)</f>
        <v>-22.7771782808091</v>
      </c>
    </row>
    <row r="99" customFormat="false" ht="16.5" hidden="false" customHeight="true" outlineLevel="0" collapsed="false">
      <c r="B99" s="27" t="s">
        <v>540</v>
      </c>
      <c r="C99" s="17" t="s">
        <v>430</v>
      </c>
      <c r="D99" s="27" t="s">
        <v>541</v>
      </c>
      <c r="E99" s="17" t="s">
        <v>432</v>
      </c>
      <c r="F99" s="49" t="n">
        <v>8.1</v>
      </c>
      <c r="G99" s="49" t="n">
        <v>9.45</v>
      </c>
      <c r="H99" s="49" t="n">
        <v>9.9075</v>
      </c>
      <c r="I99" s="49" t="n">
        <v>10.215</v>
      </c>
      <c r="J99" s="49" t="n">
        <v>9.8738</v>
      </c>
      <c r="K99" s="49" t="n">
        <v>10.1475</v>
      </c>
      <c r="L99" s="20" t="str">
        <f aca="false">IF($D99="","",IF(LEFT($C99,4)&lt;&gt;"MURO","PON EL MURO",IF(AND($E99&lt;&gt;"HORIZONTAL",$E99&lt;&gt;"VERTICAL"),"PON EL SENTIDO",IF(OR($F99="",$G99="",$H99="",$I99=""),"FALTAN a o b",IF($M99&lt;=0,"a₂ DEBE SER &gt; a₁",IF($N99&lt;=0,"b₂ DEBE SER &gt; b₁","OK"))))))</f>
        <v>OK</v>
      </c>
      <c r="M99" s="30" t="n">
        <f aca="false">IF($D99="",0,MAX(0,$G99-$F99))</f>
        <v>1.35</v>
      </c>
      <c r="N99" s="30" t="n">
        <f aca="false">MAX(0,$W99-$V99)</f>
        <v>0.2906</v>
      </c>
      <c r="O99" s="30" t="n">
        <f aca="false">$M99*$N99</f>
        <v>0.392309999999999</v>
      </c>
      <c r="P99" s="30" t="n">
        <f aca="false">IF($U99=0,0,SUMPRODUCT((ABERTURAS!$N$7:$N$26=$U99)*ABERTURAS!$U$7:$U$26*(((($Y99)+(ABERTURAS!$P$7:$P$26)-ABS(($Y99)-(ABERTURAS!$P$7:$P$26)))/2-(($X99)+(ABERTURAS!$O$7:$O$26)+ABS(($X99)-(ABERTURAS!$O$7:$O$26)))/2)+ABS((($Y99)+(ABERTURAS!$P$7:$P$26)-ABS(($Y99)-(ABERTURAS!$P$7:$P$26)))/2-(($X99)+(ABERTURAS!$O$7:$O$26)+ABS(($X99)-(ABERTURAS!$O$7:$O$26)))/2))/2*(((($AA99)+(ABERTURAS!$R$7:$R$26)-ABS(($AA99)-(ABERTURAS!$R$7:$R$26)))/2-(($Z99)+(ABERTURAS!$Q$7:$Q$26)+ABS(($Z99)-(ABERTURAS!$Q$7:$Q$26)))/2)+ABS((($AA99)+(ABERTURAS!$R$7:$R$26)-ABS(($AA99)-(ABERTURAS!$R$7:$R$26)))/2-(($Z99)+(ABERTURAS!$Q$7:$Q$26)+ABS(($Z99)-(ABERTURAS!$Q$7:$Q$26)))/2))/2))</f>
        <v>0</v>
      </c>
      <c r="Q99" s="30" t="n">
        <f aca="false">IF($U99=0,0,SUMPRODUCT((ABERTURAS!$N$7:$N$26=$U99)*ABERTURAS!$V$7:$V$26*(((($Y99)+(ABERTURAS!$P$7:$P$26)-ABS(($Y99)-(ABERTURAS!$P$7:$P$26)))/2-(($X99)+(ABERTURAS!$O$7:$O$26)+ABS(($X99)-(ABERTURAS!$O$7:$O$26)))/2)+ABS((($Y99)+(ABERTURAS!$P$7:$P$26)-ABS(($Y99)-(ABERTURAS!$P$7:$P$26)))/2-(($X99)+(ABERTURAS!$O$7:$O$26)+ABS(($X99)-(ABERTURAS!$O$7:$O$26)))/2))/2*(((($AA99)+(ABERTURAS!$R$7:$R$26)-ABS(($AA99)-(ABERTURAS!$R$7:$R$26)))/2-(($Z99)+(ABERTURAS!$Q$7:$Q$26)+ABS(($Z99)-(ABERTURAS!$Q$7:$Q$26)))/2)+ABS((($AA99)+(ABERTURAS!$R$7:$R$26)-ABS(($AA99)-(ABERTURAS!$R$7:$R$26)))/2-(($Z99)+(ABERTURAS!$Q$7:$Q$26)+ABS(($Z99)-(ABERTURAS!$Q$7:$Q$26)))/2))/2))</f>
        <v>0</v>
      </c>
      <c r="R99" s="30" t="n">
        <f aca="false">MAX(0,$O99-$P99)</f>
        <v>0.392309999999999</v>
      </c>
      <c r="S99" s="30" t="n">
        <f aca="false">MAX(0,$O99-$Q99)</f>
        <v>0.392309999999999</v>
      </c>
      <c r="T99" s="50" t="n">
        <f aca="false">IF($D99="",0,IF($E99="VERTICAL",N($G99),MAX(N($I99),IF($K99="",N($I99),$K99))))</f>
        <v>10.215</v>
      </c>
      <c r="U99" s="50" t="n">
        <f aca="false">IF($L99&lt;&gt;"OK",0,VALUE(RIGHT($C99,1)))</f>
        <v>3</v>
      </c>
      <c r="V99" s="50" t="n">
        <f aca="false">IF($D99="",0,(N($H99)+IF($J99="",N($H99),$J99))/2)</f>
        <v>9.89065</v>
      </c>
      <c r="W99" s="50" t="n">
        <f aca="false">IF($D99="",0,(N($I99)+IF($K99="",N($I99),$K99))/2)</f>
        <v>10.18125</v>
      </c>
      <c r="X99" s="50" t="n">
        <f aca="false">IF($E99="VERTICAL",$V99,N($F99))</f>
        <v>8.1</v>
      </c>
      <c r="Y99" s="50" t="n">
        <f aca="false">IF($E99="VERTICAL",$W99,N($G99))</f>
        <v>9.45</v>
      </c>
      <c r="Z99" s="50" t="n">
        <f aca="false">IF($E99="VERTICAL",N($F99),$V99)</f>
        <v>9.89065</v>
      </c>
      <c r="AA99" s="50" t="n">
        <f aca="false">IF($E99="VERTICAL",N($G99),$W99)</f>
        <v>10.18125</v>
      </c>
      <c r="AB99" s="30" t="n">
        <f aca="false">IF($L99&lt;&gt;"OK",0,(INDEX(PRESIONES!$D$28:$D$31,$U99)*IF(INDEX(PRESIONES!$D$28:$D$31,$U99)&gt;0,PRESIONES!$C$9*IF($T99&lt;=10,1,($T99/10)^(2/DATOS!$C$56)),PRESIONES!$C$15)-ABERTURAS!$L$60*PRESIONES!$C$12)*$R99/$M99)</f>
        <v>18.3223722725822</v>
      </c>
      <c r="AC99" s="30" t="n">
        <f aca="false">IF($L99&lt;&gt;"OK",0,(INDEX(PRESIONES!$G$28:$G$31,$U99)*IF(INDEX(PRESIONES!$G$28:$G$31,$U99)&gt;0,PRESIONES!$C$9*IF($T99&lt;=10,1,($T99/10)^(2/DATOS!$C$56)),PRESIONES!$C$15)-ABERTURAS!$L$61*PRESIONES!$C$12)*$R99/$M99)</f>
        <v>0.120903863939357</v>
      </c>
      <c r="AD99" s="30" t="n">
        <f aca="false">IF($L99&lt;&gt;"OK",0,(INDEX(PRESIONES!$J$28:$J$31,$U99)*IF(INDEX(PRESIONES!$J$28:$J$31,$U99)&gt;0,PRESIONES!$C$9*IF($T99&lt;=10,1,($T99/10)^(2/DATOS!$C$56)),PRESIONES!$C$15)-ABERTURAS!$L$62*PRESIONES!$C$12)*$R99/$M99)</f>
        <v>-1.24979536327277</v>
      </c>
      <c r="AE99" s="30" t="n">
        <f aca="false">IF($L99&lt;&gt;"OK",0,(INDEX(PRESIONES!$M$28:$M$31,$U99)*IF(INDEX(PRESIONES!$M$28:$M$31,$U99)&gt;0,PRESIONES!$C$9*IF($T99&lt;=10,1,($T99/10)^(2/DATOS!$C$56)),PRESIONES!$C$15)-ABERTURAS!$L$63*PRESIONES!$C$12)*$R99/$M99)</f>
        <v>-20.407115795909</v>
      </c>
      <c r="AF99" s="30" t="n">
        <f aca="false">IF($L99&lt;&gt;"OK",0,(INDEX(PRESIONES!$D$28:$D$31,$U99)*IF(INDEX(PRESIONES!$D$28:$D$31,$U99)&gt;0,PRESIONES!$C$9*IF($T99&lt;=10,1,($T99/10)^(2/DATOS!$C$56)),PRESIONES!$C$15)-ABERTURAS!$L$64*PRESIONES!$C$12)*$S99/$M99)</f>
        <v>18.3223722725822</v>
      </c>
      <c r="AG99" s="30" t="n">
        <f aca="false">IF($L99&lt;&gt;"OK",0,(INDEX(PRESIONES!$G$28:$G$31,$U99)*IF(INDEX(PRESIONES!$G$28:$G$31,$U99)&gt;0,PRESIONES!$C$9*IF($T99&lt;=10,1,($T99/10)^(2/DATOS!$C$56)),PRESIONES!$C$15)-ABERTURAS!$L$65*PRESIONES!$C$12)*$S99/$M99)</f>
        <v>0.120903863939357</v>
      </c>
      <c r="AH99" s="30" t="n">
        <f aca="false">IF($L99&lt;&gt;"OK",0,(INDEX(PRESIONES!$J$28:$J$31,$U99)*IF(INDEX(PRESIONES!$J$28:$J$31,$U99)&gt;0,PRESIONES!$C$9*IF($T99&lt;=10,1,($T99/10)^(2/DATOS!$C$56)),PRESIONES!$C$15)-ABERTURAS!$L$66*PRESIONES!$C$12)*$S99/$M99)</f>
        <v>-1.24979536327277</v>
      </c>
      <c r="AI99" s="30" t="n">
        <f aca="false">IF($L99&lt;&gt;"OK",0,(INDEX(PRESIONES!$M$28:$M$31,$U99)*IF(INDEX(PRESIONES!$M$28:$M$31,$U99)&gt;0,PRESIONES!$C$9*IF($T99&lt;=10,1,($T99/10)^(2/DATOS!$C$56)),PRESIONES!$C$15)-ABERTURAS!$L$67*PRESIONES!$C$12)*$S99/$M99)</f>
        <v>-20.407115795909</v>
      </c>
    </row>
    <row r="100" customFormat="false" ht="16.5" hidden="false" customHeight="true" outlineLevel="0" collapsed="false">
      <c r="B100" s="27" t="s">
        <v>542</v>
      </c>
      <c r="C100" s="17" t="s">
        <v>430</v>
      </c>
      <c r="D100" s="27" t="s">
        <v>543</v>
      </c>
      <c r="E100" s="17" t="s">
        <v>432</v>
      </c>
      <c r="F100" s="49" t="n">
        <v>9.45</v>
      </c>
      <c r="G100" s="49" t="n">
        <v>10.8</v>
      </c>
      <c r="H100" s="49" t="n">
        <v>9.8738</v>
      </c>
      <c r="I100" s="49" t="n">
        <v>10.1475</v>
      </c>
      <c r="J100" s="49" t="n">
        <v>9.84</v>
      </c>
      <c r="K100" s="49" t="n">
        <v>10.08</v>
      </c>
      <c r="L100" s="20" t="str">
        <f aca="false">IF($D100="","",IF(LEFT($C100,4)&lt;&gt;"MURO","PON EL MURO",IF(AND($E100&lt;&gt;"HORIZONTAL",$E100&lt;&gt;"VERTICAL"),"PON EL SENTIDO",IF(OR($F100="",$G100="",$H100="",$I100=""),"FALTAN a o b",IF($M100&lt;=0,"a₂ DEBE SER &gt; a₁",IF($N100&lt;=0,"b₂ DEBE SER &gt; b₁","OK"))))))</f>
        <v>OK</v>
      </c>
      <c r="M100" s="30" t="n">
        <f aca="false">IF($D100="",0,MAX(0,$G100-$F100))</f>
        <v>1.35</v>
      </c>
      <c r="N100" s="30" t="n">
        <f aca="false">MAX(0,$W100-$V100)</f>
        <v>0.25685</v>
      </c>
      <c r="O100" s="30" t="n">
        <f aca="false">$M100*$N100</f>
        <v>0.3467475</v>
      </c>
      <c r="P100" s="30" t="n">
        <f aca="false">IF($U100=0,0,SUMPRODUCT((ABERTURAS!$N$7:$N$26=$U100)*ABERTURAS!$U$7:$U$26*(((($Y100)+(ABERTURAS!$P$7:$P$26)-ABS(($Y100)-(ABERTURAS!$P$7:$P$26)))/2-(($X100)+(ABERTURAS!$O$7:$O$26)+ABS(($X100)-(ABERTURAS!$O$7:$O$26)))/2)+ABS((($Y100)+(ABERTURAS!$P$7:$P$26)-ABS(($Y100)-(ABERTURAS!$P$7:$P$26)))/2-(($X100)+(ABERTURAS!$O$7:$O$26)+ABS(($X100)-(ABERTURAS!$O$7:$O$26)))/2))/2*(((($AA100)+(ABERTURAS!$R$7:$R$26)-ABS(($AA100)-(ABERTURAS!$R$7:$R$26)))/2-(($Z100)+(ABERTURAS!$Q$7:$Q$26)+ABS(($Z100)-(ABERTURAS!$Q$7:$Q$26)))/2)+ABS((($AA100)+(ABERTURAS!$R$7:$R$26)-ABS(($AA100)-(ABERTURAS!$R$7:$R$26)))/2-(($Z100)+(ABERTURAS!$Q$7:$Q$26)+ABS(($Z100)-(ABERTURAS!$Q$7:$Q$26)))/2))/2))</f>
        <v>0</v>
      </c>
      <c r="Q100" s="30" t="n">
        <f aca="false">IF($U100=0,0,SUMPRODUCT((ABERTURAS!$N$7:$N$26=$U100)*ABERTURAS!$V$7:$V$26*(((($Y100)+(ABERTURAS!$P$7:$P$26)-ABS(($Y100)-(ABERTURAS!$P$7:$P$26)))/2-(($X100)+(ABERTURAS!$O$7:$O$26)+ABS(($X100)-(ABERTURAS!$O$7:$O$26)))/2)+ABS((($Y100)+(ABERTURAS!$P$7:$P$26)-ABS(($Y100)-(ABERTURAS!$P$7:$P$26)))/2-(($X100)+(ABERTURAS!$O$7:$O$26)+ABS(($X100)-(ABERTURAS!$O$7:$O$26)))/2))/2*(((($AA100)+(ABERTURAS!$R$7:$R$26)-ABS(($AA100)-(ABERTURAS!$R$7:$R$26)))/2-(($Z100)+(ABERTURAS!$Q$7:$Q$26)+ABS(($Z100)-(ABERTURAS!$Q$7:$Q$26)))/2)+ABS((($AA100)+(ABERTURAS!$R$7:$R$26)-ABS(($AA100)-(ABERTURAS!$R$7:$R$26)))/2-(($Z100)+(ABERTURAS!$Q$7:$Q$26)+ABS(($Z100)-(ABERTURAS!$Q$7:$Q$26)))/2))/2))</f>
        <v>0</v>
      </c>
      <c r="R100" s="30" t="n">
        <f aca="false">MAX(0,$O100-$P100)</f>
        <v>0.3467475</v>
      </c>
      <c r="S100" s="30" t="n">
        <f aca="false">MAX(0,$O100-$Q100)</f>
        <v>0.3467475</v>
      </c>
      <c r="T100" s="50" t="n">
        <f aca="false">IF($D100="",0,IF($E100="VERTICAL",N($G100),MAX(N($I100),IF($K100="",N($I100),$K100))))</f>
        <v>10.1475</v>
      </c>
      <c r="U100" s="50" t="n">
        <f aca="false">IF($L100&lt;&gt;"OK",0,VALUE(RIGHT($C100,1)))</f>
        <v>3</v>
      </c>
      <c r="V100" s="50" t="n">
        <f aca="false">IF($D100="",0,(N($H100)+IF($J100="",N($H100),$J100))/2)</f>
        <v>9.8569</v>
      </c>
      <c r="W100" s="50" t="n">
        <f aca="false">IF($D100="",0,(N($I100)+IF($K100="",N($I100),$K100))/2)</f>
        <v>10.11375</v>
      </c>
      <c r="X100" s="50" t="n">
        <f aca="false">IF($E100="VERTICAL",$V100,N($F100))</f>
        <v>9.45</v>
      </c>
      <c r="Y100" s="50" t="n">
        <f aca="false">IF($E100="VERTICAL",$W100,N($G100))</f>
        <v>10.8</v>
      </c>
      <c r="Z100" s="50" t="n">
        <f aca="false">IF($E100="VERTICAL",N($F100),$V100)</f>
        <v>9.8569</v>
      </c>
      <c r="AA100" s="50" t="n">
        <f aca="false">IF($E100="VERTICAL",N($G100),$W100)</f>
        <v>10.11375</v>
      </c>
      <c r="AB100" s="30" t="n">
        <f aca="false">IF($L100&lt;&gt;"OK",0,(INDEX(PRESIONES!$D$28:$D$31,$U100)*IF(INDEX(PRESIONES!$D$28:$D$31,$U100)&gt;0,PRESIONES!$C$9*IF($T100&lt;=10,1,($T100/10)^(2/DATOS!$C$56)),PRESIONES!$C$15)-ABERTURAS!$L$60*PRESIONES!$C$12)*$R100/$M100)</f>
        <v>16.1756507411719</v>
      </c>
      <c r="AC100" s="30" t="n">
        <f aca="false">IF($L100&lt;&gt;"OK",0,(INDEX(PRESIONES!$G$28:$G$31,$U100)*IF(INDEX(PRESIONES!$G$28:$G$31,$U100)&gt;0,PRESIONES!$C$9*IF($T100&lt;=10,1,($T100/10)^(2/DATOS!$C$56)),PRESIONES!$C$15)-ABERTURAS!$L$61*PRESIONES!$C$12)*$R100/$M100)</f>
        <v>0.106862207339381</v>
      </c>
      <c r="AD100" s="30" t="n">
        <f aca="false">IF($L100&lt;&gt;"OK",0,(INDEX(PRESIONES!$J$28:$J$31,$U100)*IF(INDEX(PRESIONES!$J$28:$J$31,$U100)&gt;0,PRESIONES!$C$9*IF($T100&lt;=10,1,($T100/10)^(2/DATOS!$C$56)),PRESIONES!$C$15)-ABERTURAS!$L$62*PRESIONES!$C$12)*$R100/$M100)</f>
        <v>-1.10464535119274</v>
      </c>
      <c r="AE100" s="30" t="n">
        <f aca="false">IF($L100&lt;&gt;"OK",0,(INDEX(PRESIONES!$M$28:$M$31,$U100)*IF(INDEX(PRESIONES!$M$28:$M$31,$U100)&gt;0,PRESIONES!$C$9*IF($T100&lt;=10,1,($T100/10)^(2/DATOS!$C$56)),PRESIONES!$C$15)-ABERTURAS!$L$63*PRESIONES!$C$12)*$R100/$M100)</f>
        <v>-18.0370533110091</v>
      </c>
      <c r="AF100" s="30" t="n">
        <f aca="false">IF($L100&lt;&gt;"OK",0,(INDEX(PRESIONES!$D$28:$D$31,$U100)*IF(INDEX(PRESIONES!$D$28:$D$31,$U100)&gt;0,PRESIONES!$C$9*IF($T100&lt;=10,1,($T100/10)^(2/DATOS!$C$56)),PRESIONES!$C$15)-ABERTURAS!$L$64*PRESIONES!$C$12)*$S100/$M100)</f>
        <v>16.1756507411719</v>
      </c>
      <c r="AG100" s="30" t="n">
        <f aca="false">IF($L100&lt;&gt;"OK",0,(INDEX(PRESIONES!$G$28:$G$31,$U100)*IF(INDEX(PRESIONES!$G$28:$G$31,$U100)&gt;0,PRESIONES!$C$9*IF($T100&lt;=10,1,($T100/10)^(2/DATOS!$C$56)),PRESIONES!$C$15)-ABERTURAS!$L$65*PRESIONES!$C$12)*$S100/$M100)</f>
        <v>0.106862207339381</v>
      </c>
      <c r="AH100" s="30" t="n">
        <f aca="false">IF($L100&lt;&gt;"OK",0,(INDEX(PRESIONES!$J$28:$J$31,$U100)*IF(INDEX(PRESIONES!$J$28:$J$31,$U100)&gt;0,PRESIONES!$C$9*IF($T100&lt;=10,1,($T100/10)^(2/DATOS!$C$56)),PRESIONES!$C$15)-ABERTURAS!$L$66*PRESIONES!$C$12)*$S100/$M100)</f>
        <v>-1.10464535119274</v>
      </c>
      <c r="AI100" s="30" t="n">
        <f aca="false">IF($L100&lt;&gt;"OK",0,(INDEX(PRESIONES!$M$28:$M$31,$U100)*IF(INDEX(PRESIONES!$M$28:$M$31,$U100)&gt;0,PRESIONES!$C$9*IF($T100&lt;=10,1,($T100/10)^(2/DATOS!$C$56)),PRESIONES!$C$15)-ABERTURAS!$L$67*PRESIONES!$C$12)*$S100/$M100)</f>
        <v>-18.0370533110091</v>
      </c>
    </row>
    <row r="101" customFormat="false" ht="16.5" hidden="false" customHeight="true" outlineLevel="0" collapsed="false">
      <c r="B101" s="27" t="s">
        <v>544</v>
      </c>
      <c r="C101" s="17" t="s">
        <v>430</v>
      </c>
      <c r="D101" s="27" t="s">
        <v>545</v>
      </c>
      <c r="E101" s="17" t="s">
        <v>432</v>
      </c>
      <c r="F101" s="49" t="n">
        <v>10.8</v>
      </c>
      <c r="G101" s="49" t="n">
        <v>12.15</v>
      </c>
      <c r="H101" s="49" t="n">
        <v>9.84</v>
      </c>
      <c r="I101" s="49" t="n">
        <v>10.08</v>
      </c>
      <c r="J101" s="49" t="n">
        <v>9.8063</v>
      </c>
      <c r="K101" s="49" t="n">
        <v>10.0125</v>
      </c>
      <c r="L101" s="20" t="str">
        <f aca="false">IF($D101="","",IF(LEFT($C101,4)&lt;&gt;"MURO","PON EL MURO",IF(AND($E101&lt;&gt;"HORIZONTAL",$E101&lt;&gt;"VERTICAL"),"PON EL SENTIDO",IF(OR($F101="",$G101="",$H101="",$I101=""),"FALTAN a o b",IF($M101&lt;=0,"a₂ DEBE SER &gt; a₁",IF($N101&lt;=0,"b₂ DEBE SER &gt; b₁","OK"))))))</f>
        <v>OK</v>
      </c>
      <c r="M101" s="30" t="n">
        <f aca="false">IF($D101="",0,MAX(0,$G101-$F101))</f>
        <v>1.35</v>
      </c>
      <c r="N101" s="30" t="n">
        <f aca="false">MAX(0,$W101-$V101)</f>
        <v>0.223100000000001</v>
      </c>
      <c r="O101" s="30" t="n">
        <f aca="false">$M101*$N101</f>
        <v>0.301185000000001</v>
      </c>
      <c r="P101" s="30" t="n">
        <f aca="false">IF($U101=0,0,SUMPRODUCT((ABERTURAS!$N$7:$N$26=$U101)*ABERTURAS!$U$7:$U$26*(((($Y101)+(ABERTURAS!$P$7:$P$26)-ABS(($Y101)-(ABERTURAS!$P$7:$P$26)))/2-(($X101)+(ABERTURAS!$O$7:$O$26)+ABS(($X101)-(ABERTURAS!$O$7:$O$26)))/2)+ABS((($Y101)+(ABERTURAS!$P$7:$P$26)-ABS(($Y101)-(ABERTURAS!$P$7:$P$26)))/2-(($X101)+(ABERTURAS!$O$7:$O$26)+ABS(($X101)-(ABERTURAS!$O$7:$O$26)))/2))/2*(((($AA101)+(ABERTURAS!$R$7:$R$26)-ABS(($AA101)-(ABERTURAS!$R$7:$R$26)))/2-(($Z101)+(ABERTURAS!$Q$7:$Q$26)+ABS(($Z101)-(ABERTURAS!$Q$7:$Q$26)))/2)+ABS((($AA101)+(ABERTURAS!$R$7:$R$26)-ABS(($AA101)-(ABERTURAS!$R$7:$R$26)))/2-(($Z101)+(ABERTURAS!$Q$7:$Q$26)+ABS(($Z101)-(ABERTURAS!$Q$7:$Q$26)))/2))/2))</f>
        <v>0</v>
      </c>
      <c r="Q101" s="30" t="n">
        <f aca="false">IF($U101=0,0,SUMPRODUCT((ABERTURAS!$N$7:$N$26=$U101)*ABERTURAS!$V$7:$V$26*(((($Y101)+(ABERTURAS!$P$7:$P$26)-ABS(($Y101)-(ABERTURAS!$P$7:$P$26)))/2-(($X101)+(ABERTURAS!$O$7:$O$26)+ABS(($X101)-(ABERTURAS!$O$7:$O$26)))/2)+ABS((($Y101)+(ABERTURAS!$P$7:$P$26)-ABS(($Y101)-(ABERTURAS!$P$7:$P$26)))/2-(($X101)+(ABERTURAS!$O$7:$O$26)+ABS(($X101)-(ABERTURAS!$O$7:$O$26)))/2))/2*(((($AA101)+(ABERTURAS!$R$7:$R$26)-ABS(($AA101)-(ABERTURAS!$R$7:$R$26)))/2-(($Z101)+(ABERTURAS!$Q$7:$Q$26)+ABS(($Z101)-(ABERTURAS!$Q$7:$Q$26)))/2)+ABS((($AA101)+(ABERTURAS!$R$7:$R$26)-ABS(($AA101)-(ABERTURAS!$R$7:$R$26)))/2-(($Z101)+(ABERTURAS!$Q$7:$Q$26)+ABS(($Z101)-(ABERTURAS!$Q$7:$Q$26)))/2))/2))</f>
        <v>0</v>
      </c>
      <c r="R101" s="30" t="n">
        <f aca="false">MAX(0,$O101-$P101)</f>
        <v>0.301185000000001</v>
      </c>
      <c r="S101" s="30" t="n">
        <f aca="false">MAX(0,$O101-$Q101)</f>
        <v>0.301185000000001</v>
      </c>
      <c r="T101" s="50" t="n">
        <f aca="false">IF($D101="",0,IF($E101="VERTICAL",N($G101),MAX(N($I101),IF($K101="",N($I101),$K101))))</f>
        <v>10.08</v>
      </c>
      <c r="U101" s="50" t="n">
        <f aca="false">IF($L101&lt;&gt;"OK",0,VALUE(RIGHT($C101,1)))</f>
        <v>3</v>
      </c>
      <c r="V101" s="50" t="n">
        <f aca="false">IF($D101="",0,(N($H101)+IF($J101="",N($H101),$J101))/2)</f>
        <v>9.82315</v>
      </c>
      <c r="W101" s="50" t="n">
        <f aca="false">IF($D101="",0,(N($I101)+IF($K101="",N($I101),$K101))/2)</f>
        <v>10.04625</v>
      </c>
      <c r="X101" s="50" t="n">
        <f aca="false">IF($E101="VERTICAL",$V101,N($F101))</f>
        <v>10.8</v>
      </c>
      <c r="Y101" s="50" t="n">
        <f aca="false">IF($E101="VERTICAL",$W101,N($G101))</f>
        <v>12.15</v>
      </c>
      <c r="Z101" s="50" t="n">
        <f aca="false">IF($E101="VERTICAL",N($F101),$V101)</f>
        <v>9.82315</v>
      </c>
      <c r="AA101" s="50" t="n">
        <f aca="false">IF($E101="VERTICAL",N($G101),$W101)</f>
        <v>10.04625</v>
      </c>
      <c r="AB101" s="30" t="n">
        <f aca="false">IF($L101&lt;&gt;"OK",0,(INDEX(PRESIONES!$D$28:$D$31,$U101)*IF(INDEX(PRESIONES!$D$28:$D$31,$U101)&gt;0,PRESIONES!$C$9*IF($T101&lt;=10,1,($T101/10)^(2/DATOS!$C$56)),PRESIONES!$C$15)-ABERTURAS!$L$60*PRESIONES!$C$12)*$R101/$M101)</f>
        <v>14.0337866628195</v>
      </c>
      <c r="AC101" s="30" t="n">
        <f aca="false">IF($L101&lt;&gt;"OK",0,(INDEX(PRESIONES!$G$28:$G$31,$U101)*IF(INDEX(PRESIONES!$G$28:$G$31,$U101)&gt;0,PRESIONES!$C$9*IF($T101&lt;=10,1,($T101/10)^(2/DATOS!$C$56)),PRESIONES!$C$15)-ABERTURAS!$L$61*PRESIONES!$C$12)*$R101/$M101)</f>
        <v>0.0928205507394038</v>
      </c>
      <c r="AD101" s="30" t="n">
        <f aca="false">IF($L101&lt;&gt;"OK",0,(INDEX(PRESIONES!$J$28:$J$31,$U101)*IF(INDEX(PRESIONES!$J$28:$J$31,$U101)&gt;0,PRESIONES!$C$9*IF($T101&lt;=10,1,($T101/10)^(2/DATOS!$C$56)),PRESIONES!$C$15)-ABERTURAS!$L$62*PRESIONES!$C$12)*$R101/$M101)</f>
        <v>-0.959495339112717</v>
      </c>
      <c r="AE101" s="30" t="n">
        <f aca="false">IF($L101&lt;&gt;"OK",0,(INDEX(PRESIONES!$M$28:$M$31,$U101)*IF(INDEX(PRESIONES!$M$28:$M$31,$U101)&gt;0,PRESIONES!$C$9*IF($T101&lt;=10,1,($T101/10)^(2/DATOS!$C$56)),PRESIONES!$C$15)-ABERTURAS!$L$63*PRESIONES!$C$12)*$R101/$M101)</f>
        <v>-15.6669908261091</v>
      </c>
      <c r="AF101" s="30" t="n">
        <f aca="false">IF($L101&lt;&gt;"OK",0,(INDEX(PRESIONES!$D$28:$D$31,$U101)*IF(INDEX(PRESIONES!$D$28:$D$31,$U101)&gt;0,PRESIONES!$C$9*IF($T101&lt;=10,1,($T101/10)^(2/DATOS!$C$56)),PRESIONES!$C$15)-ABERTURAS!$L$64*PRESIONES!$C$12)*$S101/$M101)</f>
        <v>14.0337866628195</v>
      </c>
      <c r="AG101" s="30" t="n">
        <f aca="false">IF($L101&lt;&gt;"OK",0,(INDEX(PRESIONES!$G$28:$G$31,$U101)*IF(INDEX(PRESIONES!$G$28:$G$31,$U101)&gt;0,PRESIONES!$C$9*IF($T101&lt;=10,1,($T101/10)^(2/DATOS!$C$56)),PRESIONES!$C$15)-ABERTURAS!$L$65*PRESIONES!$C$12)*$S101/$M101)</f>
        <v>0.0928205507394038</v>
      </c>
      <c r="AH101" s="30" t="n">
        <f aca="false">IF($L101&lt;&gt;"OK",0,(INDEX(PRESIONES!$J$28:$J$31,$U101)*IF(INDEX(PRESIONES!$J$28:$J$31,$U101)&gt;0,PRESIONES!$C$9*IF($T101&lt;=10,1,($T101/10)^(2/DATOS!$C$56)),PRESIONES!$C$15)-ABERTURAS!$L$66*PRESIONES!$C$12)*$S101/$M101)</f>
        <v>-0.959495339112717</v>
      </c>
      <c r="AI101" s="30" t="n">
        <f aca="false">IF($L101&lt;&gt;"OK",0,(INDEX(PRESIONES!$M$28:$M$31,$U101)*IF(INDEX(PRESIONES!$M$28:$M$31,$U101)&gt;0,PRESIONES!$C$9*IF($T101&lt;=10,1,($T101/10)^(2/DATOS!$C$56)),PRESIONES!$C$15)-ABERTURAS!$L$67*PRESIONES!$C$12)*$S101/$M101)</f>
        <v>-15.6669908261091</v>
      </c>
    </row>
    <row r="102" customFormat="false" ht="16.5" hidden="false" customHeight="true" outlineLevel="0" collapsed="false">
      <c r="B102" s="27" t="s">
        <v>546</v>
      </c>
      <c r="C102" s="17" t="s">
        <v>430</v>
      </c>
      <c r="D102" s="27" t="s">
        <v>547</v>
      </c>
      <c r="E102" s="17" t="s">
        <v>432</v>
      </c>
      <c r="F102" s="49" t="n">
        <v>12.15</v>
      </c>
      <c r="G102" s="49" t="n">
        <v>13.5</v>
      </c>
      <c r="H102" s="49" t="n">
        <v>9.8063</v>
      </c>
      <c r="I102" s="49" t="n">
        <v>10.0125</v>
      </c>
      <c r="J102" s="49" t="n">
        <v>9.7725</v>
      </c>
      <c r="K102" s="49" t="n">
        <v>9.945</v>
      </c>
      <c r="L102" s="20" t="str">
        <f aca="false">IF($D102="","",IF(LEFT($C102,4)&lt;&gt;"MURO","PON EL MURO",IF(AND($E102&lt;&gt;"HORIZONTAL",$E102&lt;&gt;"VERTICAL"),"PON EL SENTIDO",IF(OR($F102="",$G102="",$H102="",$I102=""),"FALTAN a o b",IF($M102&lt;=0,"a₂ DEBE SER &gt; a₁",IF($N102&lt;=0,"b₂ DEBE SER &gt; b₁","OK"))))))</f>
        <v>OK</v>
      </c>
      <c r="M102" s="30" t="n">
        <f aca="false">IF($D102="",0,MAX(0,$G102-$F102))</f>
        <v>1.35</v>
      </c>
      <c r="N102" s="30" t="n">
        <f aca="false">MAX(0,$W102-$V102)</f>
        <v>0.189349999999999</v>
      </c>
      <c r="O102" s="30" t="n">
        <f aca="false">$M102*$N102</f>
        <v>0.255622499999999</v>
      </c>
      <c r="P102" s="30" t="n">
        <f aca="false">IF($U102=0,0,SUMPRODUCT((ABERTURAS!$N$7:$N$26=$U102)*ABERTURAS!$U$7:$U$26*(((($Y102)+(ABERTURAS!$P$7:$P$26)-ABS(($Y102)-(ABERTURAS!$P$7:$P$26)))/2-(($X102)+(ABERTURAS!$O$7:$O$26)+ABS(($X102)-(ABERTURAS!$O$7:$O$26)))/2)+ABS((($Y102)+(ABERTURAS!$P$7:$P$26)-ABS(($Y102)-(ABERTURAS!$P$7:$P$26)))/2-(($X102)+(ABERTURAS!$O$7:$O$26)+ABS(($X102)-(ABERTURAS!$O$7:$O$26)))/2))/2*(((($AA102)+(ABERTURAS!$R$7:$R$26)-ABS(($AA102)-(ABERTURAS!$R$7:$R$26)))/2-(($Z102)+(ABERTURAS!$Q$7:$Q$26)+ABS(($Z102)-(ABERTURAS!$Q$7:$Q$26)))/2)+ABS((($AA102)+(ABERTURAS!$R$7:$R$26)-ABS(($AA102)-(ABERTURAS!$R$7:$R$26)))/2-(($Z102)+(ABERTURAS!$Q$7:$Q$26)+ABS(($Z102)-(ABERTURAS!$Q$7:$Q$26)))/2))/2))</f>
        <v>0</v>
      </c>
      <c r="Q102" s="30" t="n">
        <f aca="false">IF($U102=0,0,SUMPRODUCT((ABERTURAS!$N$7:$N$26=$U102)*ABERTURAS!$V$7:$V$26*(((($Y102)+(ABERTURAS!$P$7:$P$26)-ABS(($Y102)-(ABERTURAS!$P$7:$P$26)))/2-(($X102)+(ABERTURAS!$O$7:$O$26)+ABS(($X102)-(ABERTURAS!$O$7:$O$26)))/2)+ABS((($Y102)+(ABERTURAS!$P$7:$P$26)-ABS(($Y102)-(ABERTURAS!$P$7:$P$26)))/2-(($X102)+(ABERTURAS!$O$7:$O$26)+ABS(($X102)-(ABERTURAS!$O$7:$O$26)))/2))/2*(((($AA102)+(ABERTURAS!$R$7:$R$26)-ABS(($AA102)-(ABERTURAS!$R$7:$R$26)))/2-(($Z102)+(ABERTURAS!$Q$7:$Q$26)+ABS(($Z102)-(ABERTURAS!$Q$7:$Q$26)))/2)+ABS((($AA102)+(ABERTURAS!$R$7:$R$26)-ABS(($AA102)-(ABERTURAS!$R$7:$R$26)))/2-(($Z102)+(ABERTURAS!$Q$7:$Q$26)+ABS(($Z102)-(ABERTURAS!$Q$7:$Q$26)))/2))/2))</f>
        <v>0</v>
      </c>
      <c r="R102" s="30" t="n">
        <f aca="false">MAX(0,$O102-$P102)</f>
        <v>0.255622499999999</v>
      </c>
      <c r="S102" s="30" t="n">
        <f aca="false">MAX(0,$O102-$Q102)</f>
        <v>0.255622499999999</v>
      </c>
      <c r="T102" s="50" t="n">
        <f aca="false">IF($D102="",0,IF($E102="VERTICAL",N($G102),MAX(N($I102),IF($K102="",N($I102),$K102))))</f>
        <v>10.0125</v>
      </c>
      <c r="U102" s="50" t="n">
        <f aca="false">IF($L102&lt;&gt;"OK",0,VALUE(RIGHT($C102,1)))</f>
        <v>3</v>
      </c>
      <c r="V102" s="50" t="n">
        <f aca="false">IF($D102="",0,(N($H102)+IF($J102="",N($H102),$J102))/2)</f>
        <v>9.7894</v>
      </c>
      <c r="W102" s="50" t="n">
        <f aca="false">IF($D102="",0,(N($I102)+IF($K102="",N($I102),$K102))/2)</f>
        <v>9.97875</v>
      </c>
      <c r="X102" s="50" t="n">
        <f aca="false">IF($E102="VERTICAL",$V102,N($F102))</f>
        <v>12.15</v>
      </c>
      <c r="Y102" s="50" t="n">
        <f aca="false">IF($E102="VERTICAL",$W102,N($G102))</f>
        <v>13.5</v>
      </c>
      <c r="Z102" s="50" t="n">
        <f aca="false">IF($E102="VERTICAL",N($F102),$V102)</f>
        <v>9.7894</v>
      </c>
      <c r="AA102" s="50" t="n">
        <f aca="false">IF($E102="VERTICAL",N($G102),$W102)</f>
        <v>9.97875</v>
      </c>
      <c r="AB102" s="30" t="n">
        <f aca="false">IF($L102&lt;&gt;"OK",0,(INDEX(PRESIONES!$D$28:$D$31,$U102)*IF(INDEX(PRESIONES!$D$28:$D$31,$U102)&gt;0,PRESIONES!$C$9*IF($T102&lt;=10,1,($T102/10)^(2/DATOS!$C$56)),PRESIONES!$C$15)-ABERTURAS!$L$60*PRESIONES!$C$12)*$R102/$M102)</f>
        <v>11.896814535681</v>
      </c>
      <c r="AC102" s="30" t="n">
        <f aca="false">IF($L102&lt;&gt;"OK",0,(INDEX(PRESIONES!$G$28:$G$31,$U102)*IF(INDEX(PRESIONES!$G$28:$G$31,$U102)&gt;0,PRESIONES!$C$9*IF($T102&lt;=10,1,($T102/10)^(2/DATOS!$C$56)),PRESIONES!$C$15)-ABERTURAS!$L$61*PRESIONES!$C$12)*$R102/$M102)</f>
        <v>0.0787788941394263</v>
      </c>
      <c r="AD102" s="30" t="n">
        <f aca="false">IF($L102&lt;&gt;"OK",0,(INDEX(PRESIONES!$J$28:$J$31,$U102)*IF(INDEX(PRESIONES!$J$28:$J$31,$U102)&gt;0,PRESIONES!$C$9*IF($T102&lt;=10,1,($T102/10)^(2/DATOS!$C$56)),PRESIONES!$C$15)-ABERTURAS!$L$62*PRESIONES!$C$12)*$R102/$M102)</f>
        <v>-0.814345327032684</v>
      </c>
      <c r="AE102" s="30" t="n">
        <f aca="false">IF($L102&lt;&gt;"OK",0,(INDEX(PRESIONES!$M$28:$M$31,$U102)*IF(INDEX(PRESIONES!$M$28:$M$31,$U102)&gt;0,PRESIONES!$C$9*IF($T102&lt;=10,1,($T102/10)^(2/DATOS!$C$56)),PRESIONES!$C$15)-ABERTURAS!$L$63*PRESIONES!$C$12)*$R102/$M102)</f>
        <v>-13.2969283412091</v>
      </c>
      <c r="AF102" s="30" t="n">
        <f aca="false">IF($L102&lt;&gt;"OK",0,(INDEX(PRESIONES!$D$28:$D$31,$U102)*IF(INDEX(PRESIONES!$D$28:$D$31,$U102)&gt;0,PRESIONES!$C$9*IF($T102&lt;=10,1,($T102/10)^(2/DATOS!$C$56)),PRESIONES!$C$15)-ABERTURAS!$L$64*PRESIONES!$C$12)*$S102/$M102)</f>
        <v>11.896814535681</v>
      </c>
      <c r="AG102" s="30" t="n">
        <f aca="false">IF($L102&lt;&gt;"OK",0,(INDEX(PRESIONES!$G$28:$G$31,$U102)*IF(INDEX(PRESIONES!$G$28:$G$31,$U102)&gt;0,PRESIONES!$C$9*IF($T102&lt;=10,1,($T102/10)^(2/DATOS!$C$56)),PRESIONES!$C$15)-ABERTURAS!$L$65*PRESIONES!$C$12)*$S102/$M102)</f>
        <v>0.0787788941394263</v>
      </c>
      <c r="AH102" s="30" t="n">
        <f aca="false">IF($L102&lt;&gt;"OK",0,(INDEX(PRESIONES!$J$28:$J$31,$U102)*IF(INDEX(PRESIONES!$J$28:$J$31,$U102)&gt;0,PRESIONES!$C$9*IF($T102&lt;=10,1,($T102/10)^(2/DATOS!$C$56)),PRESIONES!$C$15)-ABERTURAS!$L$66*PRESIONES!$C$12)*$S102/$M102)</f>
        <v>-0.814345327032684</v>
      </c>
      <c r="AI102" s="30" t="n">
        <f aca="false">IF($L102&lt;&gt;"OK",0,(INDEX(PRESIONES!$M$28:$M$31,$U102)*IF(INDEX(PRESIONES!$M$28:$M$31,$U102)&gt;0,PRESIONES!$C$9*IF($T102&lt;=10,1,($T102/10)^(2/DATOS!$C$56)),PRESIONES!$C$15)-ABERTURAS!$L$67*PRESIONES!$C$12)*$S102/$M102)</f>
        <v>-13.2969283412091</v>
      </c>
    </row>
    <row r="103" customFormat="false" ht="16.5" hidden="false" customHeight="true" outlineLevel="0" collapsed="false">
      <c r="B103" s="27" t="s">
        <v>548</v>
      </c>
      <c r="C103" s="17" t="s">
        <v>430</v>
      </c>
      <c r="D103" s="27" t="s">
        <v>549</v>
      </c>
      <c r="E103" s="17" t="s">
        <v>432</v>
      </c>
      <c r="F103" s="49" t="n">
        <v>13.5</v>
      </c>
      <c r="G103" s="49" t="n">
        <v>14.75</v>
      </c>
      <c r="H103" s="49" t="n">
        <v>9.7725</v>
      </c>
      <c r="I103" s="49" t="n">
        <v>9.945</v>
      </c>
      <c r="J103" s="49" t="n">
        <v>9.7413</v>
      </c>
      <c r="K103" s="49" t="n">
        <v>9.8825</v>
      </c>
      <c r="L103" s="20" t="str">
        <f aca="false">IF($D103="","",IF(LEFT($C103,4)&lt;&gt;"MURO","PON EL MURO",IF(AND($E103&lt;&gt;"HORIZONTAL",$E103&lt;&gt;"VERTICAL"),"PON EL SENTIDO",IF(OR($F103="",$G103="",$H103="",$I103=""),"FALTAN a o b",IF($M103&lt;=0,"a₂ DEBE SER &gt; a₁",IF($N103&lt;=0,"b₂ DEBE SER &gt; b₁","OK"))))))</f>
        <v>OK</v>
      </c>
      <c r="M103" s="30" t="n">
        <f aca="false">IF($D103="",0,MAX(0,$G103-$F103))</f>
        <v>1.25</v>
      </c>
      <c r="N103" s="30" t="n">
        <f aca="false">MAX(0,$W103-$V103)</f>
        <v>0.156849999999999</v>
      </c>
      <c r="O103" s="30" t="n">
        <f aca="false">$M103*$N103</f>
        <v>0.196062499999998</v>
      </c>
      <c r="P103" s="30" t="n">
        <f aca="false">IF($U103=0,0,SUMPRODUCT((ABERTURAS!$N$7:$N$26=$U103)*ABERTURAS!$U$7:$U$26*(((($Y103)+(ABERTURAS!$P$7:$P$26)-ABS(($Y103)-(ABERTURAS!$P$7:$P$26)))/2-(($X103)+(ABERTURAS!$O$7:$O$26)+ABS(($X103)-(ABERTURAS!$O$7:$O$26)))/2)+ABS((($Y103)+(ABERTURAS!$P$7:$P$26)-ABS(($Y103)-(ABERTURAS!$P$7:$P$26)))/2-(($X103)+(ABERTURAS!$O$7:$O$26)+ABS(($X103)-(ABERTURAS!$O$7:$O$26)))/2))/2*(((($AA103)+(ABERTURAS!$R$7:$R$26)-ABS(($AA103)-(ABERTURAS!$R$7:$R$26)))/2-(($Z103)+(ABERTURAS!$Q$7:$Q$26)+ABS(($Z103)-(ABERTURAS!$Q$7:$Q$26)))/2)+ABS((($AA103)+(ABERTURAS!$R$7:$R$26)-ABS(($AA103)-(ABERTURAS!$R$7:$R$26)))/2-(($Z103)+(ABERTURAS!$Q$7:$Q$26)+ABS(($Z103)-(ABERTURAS!$Q$7:$Q$26)))/2))/2))</f>
        <v>0</v>
      </c>
      <c r="Q103" s="30" t="n">
        <f aca="false">IF($U103=0,0,SUMPRODUCT((ABERTURAS!$N$7:$N$26=$U103)*ABERTURAS!$V$7:$V$26*(((($Y103)+(ABERTURAS!$P$7:$P$26)-ABS(($Y103)-(ABERTURAS!$P$7:$P$26)))/2-(($X103)+(ABERTURAS!$O$7:$O$26)+ABS(($X103)-(ABERTURAS!$O$7:$O$26)))/2)+ABS((($Y103)+(ABERTURAS!$P$7:$P$26)-ABS(($Y103)-(ABERTURAS!$P$7:$P$26)))/2-(($X103)+(ABERTURAS!$O$7:$O$26)+ABS(($X103)-(ABERTURAS!$O$7:$O$26)))/2))/2*(((($AA103)+(ABERTURAS!$R$7:$R$26)-ABS(($AA103)-(ABERTURAS!$R$7:$R$26)))/2-(($Z103)+(ABERTURAS!$Q$7:$Q$26)+ABS(($Z103)-(ABERTURAS!$Q$7:$Q$26)))/2)+ABS((($AA103)+(ABERTURAS!$R$7:$R$26)-ABS(($AA103)-(ABERTURAS!$R$7:$R$26)))/2-(($Z103)+(ABERTURAS!$Q$7:$Q$26)+ABS(($Z103)-(ABERTURAS!$Q$7:$Q$26)))/2))/2))</f>
        <v>0</v>
      </c>
      <c r="R103" s="30" t="n">
        <f aca="false">MAX(0,$O103-$P103)</f>
        <v>0.196062499999998</v>
      </c>
      <c r="S103" s="30" t="n">
        <f aca="false">MAX(0,$O103-$Q103)</f>
        <v>0.196062499999998</v>
      </c>
      <c r="T103" s="50" t="n">
        <f aca="false">IF($D103="",0,IF($E103="VERTICAL",N($G103),MAX(N($I103),IF($K103="",N($I103),$K103))))</f>
        <v>9.945</v>
      </c>
      <c r="U103" s="50" t="n">
        <f aca="false">IF($L103&lt;&gt;"OK",0,VALUE(RIGHT($C103,1)))</f>
        <v>3</v>
      </c>
      <c r="V103" s="50" t="n">
        <f aca="false">IF($D103="",0,(N($H103)+IF($J103="",N($H103),$J103))/2)</f>
        <v>9.7569</v>
      </c>
      <c r="W103" s="50" t="n">
        <f aca="false">IF($D103="",0,(N($I103)+IF($K103="",N($I103),$K103))/2)</f>
        <v>9.91375</v>
      </c>
      <c r="X103" s="50" t="n">
        <f aca="false">IF($E103="VERTICAL",$V103,N($F103))</f>
        <v>13.5</v>
      </c>
      <c r="Y103" s="50" t="n">
        <f aca="false">IF($E103="VERTICAL",$W103,N($G103))</f>
        <v>14.75</v>
      </c>
      <c r="Z103" s="50" t="n">
        <f aca="false">IF($E103="VERTICAL",N($F103),$V103)</f>
        <v>9.7569</v>
      </c>
      <c r="AA103" s="50" t="n">
        <f aca="false">IF($E103="VERTICAL",N($G103),$W103)</f>
        <v>9.91375</v>
      </c>
      <c r="AB103" s="30" t="n">
        <f aca="false">IF($L103&lt;&gt;"OK",0,(INDEX(PRESIONES!$D$28:$D$31,$U103)*IF(INDEX(PRESIONES!$D$28:$D$31,$U103)&gt;0,PRESIONES!$C$9*IF($T103&lt;=10,1,($T103/10)^(2/DATOS!$C$56)),PRESIONES!$C$15)-ABERTURAS!$L$60*PRESIONES!$C$12)*$R103/$M103)</f>
        <v>9.85269729889492</v>
      </c>
      <c r="AC103" s="30" t="n">
        <f aca="false">IF($L103&lt;&gt;"OK",0,(INDEX(PRESIONES!$G$28:$G$31,$U103)*IF(INDEX(PRESIONES!$G$28:$G$31,$U103)&gt;0,PRESIONES!$C$9*IF($T103&lt;=10,1,($T103/10)^(2/DATOS!$C$56)),PRESIONES!$C$15)-ABERTURAS!$L$61*PRESIONES!$C$12)*$R103/$M103)</f>
        <v>0.0652572988950037</v>
      </c>
      <c r="AD103" s="30" t="n">
        <f aca="false">IF($L103&lt;&gt;"OK",0,(INDEX(PRESIONES!$J$28:$J$31,$U103)*IF(INDEX(PRESIONES!$J$28:$J$31,$U103)&gt;0,PRESIONES!$C$9*IF($T103&lt;=10,1,($T103/10)^(2/DATOS!$C$56)),PRESIONES!$C$15)-ABERTURAS!$L$62*PRESIONES!$C$12)*$R103/$M103)</f>
        <v>-0.674571241325988</v>
      </c>
      <c r="AE103" s="30" t="n">
        <f aca="false">IF($L103&lt;&gt;"OK",0,(INDEX(PRESIONES!$M$28:$M$31,$U103)*IF(INDEX(PRESIONES!$M$28:$M$31,$U103)&gt;0,PRESIONES!$C$9*IF($T103&lt;=10,1,($T103/10)^(2/DATOS!$C$56)),PRESIONES!$C$15)-ABERTURAS!$L$63*PRESIONES!$C$12)*$R103/$M103)</f>
        <v>-11.0146459483424</v>
      </c>
      <c r="AF103" s="30" t="n">
        <f aca="false">IF($L103&lt;&gt;"OK",0,(INDEX(PRESIONES!$D$28:$D$31,$U103)*IF(INDEX(PRESIONES!$D$28:$D$31,$U103)&gt;0,PRESIONES!$C$9*IF($T103&lt;=10,1,($T103/10)^(2/DATOS!$C$56)),PRESIONES!$C$15)-ABERTURAS!$L$64*PRESIONES!$C$12)*$S103/$M103)</f>
        <v>9.85269729889492</v>
      </c>
      <c r="AG103" s="30" t="n">
        <f aca="false">IF($L103&lt;&gt;"OK",0,(INDEX(PRESIONES!$G$28:$G$31,$U103)*IF(INDEX(PRESIONES!$G$28:$G$31,$U103)&gt;0,PRESIONES!$C$9*IF($T103&lt;=10,1,($T103/10)^(2/DATOS!$C$56)),PRESIONES!$C$15)-ABERTURAS!$L$65*PRESIONES!$C$12)*$S103/$M103)</f>
        <v>0.0652572988950037</v>
      </c>
      <c r="AH103" s="30" t="n">
        <f aca="false">IF($L103&lt;&gt;"OK",0,(INDEX(PRESIONES!$J$28:$J$31,$U103)*IF(INDEX(PRESIONES!$J$28:$J$31,$U103)&gt;0,PRESIONES!$C$9*IF($T103&lt;=10,1,($T103/10)^(2/DATOS!$C$56)),PRESIONES!$C$15)-ABERTURAS!$L$66*PRESIONES!$C$12)*$S103/$M103)</f>
        <v>-0.674571241325988</v>
      </c>
      <c r="AI103" s="30" t="n">
        <f aca="false">IF($L103&lt;&gt;"OK",0,(INDEX(PRESIONES!$M$28:$M$31,$U103)*IF(INDEX(PRESIONES!$M$28:$M$31,$U103)&gt;0,PRESIONES!$C$9*IF($T103&lt;=10,1,($T103/10)^(2/DATOS!$C$56)),PRESIONES!$C$15)-ABERTURAS!$L$67*PRESIONES!$C$12)*$S103/$M103)</f>
        <v>-11.0146459483424</v>
      </c>
    </row>
    <row r="104" customFormat="false" ht="16.5" hidden="false" customHeight="true" outlineLevel="0" collapsed="false">
      <c r="B104" s="27" t="s">
        <v>550</v>
      </c>
      <c r="C104" s="17" t="s">
        <v>430</v>
      </c>
      <c r="D104" s="27" t="s">
        <v>551</v>
      </c>
      <c r="E104" s="17" t="s">
        <v>432</v>
      </c>
      <c r="F104" s="49" t="n">
        <v>14.75</v>
      </c>
      <c r="G104" s="49" t="n">
        <v>16</v>
      </c>
      <c r="H104" s="49" t="n">
        <v>9.7413</v>
      </c>
      <c r="I104" s="49" t="n">
        <v>9.8825</v>
      </c>
      <c r="J104" s="49" t="n">
        <v>9.71</v>
      </c>
      <c r="K104" s="49" t="n">
        <v>9.82</v>
      </c>
      <c r="L104" s="20" t="str">
        <f aca="false">IF($D104="","",IF(LEFT($C104,4)&lt;&gt;"MURO","PON EL MURO",IF(AND($E104&lt;&gt;"HORIZONTAL",$E104&lt;&gt;"VERTICAL"),"PON EL SENTIDO",IF(OR($F104="",$G104="",$H104="",$I104=""),"FALTAN a o b",IF($M104&lt;=0,"a₂ DEBE SER &gt; a₁",IF($N104&lt;=0,"b₂ DEBE SER &gt; b₁","OK"))))))</f>
        <v>OK</v>
      </c>
      <c r="M104" s="30" t="n">
        <f aca="false">IF($D104="",0,MAX(0,$G104-$F104))</f>
        <v>1.25</v>
      </c>
      <c r="N104" s="30" t="n">
        <f aca="false">MAX(0,$W104-$V104)</f>
        <v>0.125599999999999</v>
      </c>
      <c r="O104" s="30" t="n">
        <f aca="false">$M104*$N104</f>
        <v>0.156999999999998</v>
      </c>
      <c r="P104" s="30" t="n">
        <f aca="false">IF($U104=0,0,SUMPRODUCT((ABERTURAS!$N$7:$N$26=$U104)*ABERTURAS!$U$7:$U$26*(((($Y104)+(ABERTURAS!$P$7:$P$26)-ABS(($Y104)-(ABERTURAS!$P$7:$P$26)))/2-(($X104)+(ABERTURAS!$O$7:$O$26)+ABS(($X104)-(ABERTURAS!$O$7:$O$26)))/2)+ABS((($Y104)+(ABERTURAS!$P$7:$P$26)-ABS(($Y104)-(ABERTURAS!$P$7:$P$26)))/2-(($X104)+(ABERTURAS!$O$7:$O$26)+ABS(($X104)-(ABERTURAS!$O$7:$O$26)))/2))/2*(((($AA104)+(ABERTURAS!$R$7:$R$26)-ABS(($AA104)-(ABERTURAS!$R$7:$R$26)))/2-(($Z104)+(ABERTURAS!$Q$7:$Q$26)+ABS(($Z104)-(ABERTURAS!$Q$7:$Q$26)))/2)+ABS((($AA104)+(ABERTURAS!$R$7:$R$26)-ABS(($AA104)-(ABERTURAS!$R$7:$R$26)))/2-(($Z104)+(ABERTURAS!$Q$7:$Q$26)+ABS(($Z104)-(ABERTURAS!$Q$7:$Q$26)))/2))/2))</f>
        <v>0</v>
      </c>
      <c r="Q104" s="30" t="n">
        <f aca="false">IF($U104=0,0,SUMPRODUCT((ABERTURAS!$N$7:$N$26=$U104)*ABERTURAS!$V$7:$V$26*(((($Y104)+(ABERTURAS!$P$7:$P$26)-ABS(($Y104)-(ABERTURAS!$P$7:$P$26)))/2-(($X104)+(ABERTURAS!$O$7:$O$26)+ABS(($X104)-(ABERTURAS!$O$7:$O$26)))/2)+ABS((($Y104)+(ABERTURAS!$P$7:$P$26)-ABS(($Y104)-(ABERTURAS!$P$7:$P$26)))/2-(($X104)+(ABERTURAS!$O$7:$O$26)+ABS(($X104)-(ABERTURAS!$O$7:$O$26)))/2))/2*(((($AA104)+(ABERTURAS!$R$7:$R$26)-ABS(($AA104)-(ABERTURAS!$R$7:$R$26)))/2-(($Z104)+(ABERTURAS!$Q$7:$Q$26)+ABS(($Z104)-(ABERTURAS!$Q$7:$Q$26)))/2)+ABS((($AA104)+(ABERTURAS!$R$7:$R$26)-ABS(($AA104)-(ABERTURAS!$R$7:$R$26)))/2-(($Z104)+(ABERTURAS!$Q$7:$Q$26)+ABS(($Z104)-(ABERTURAS!$Q$7:$Q$26)))/2))/2))</f>
        <v>0</v>
      </c>
      <c r="R104" s="30" t="n">
        <f aca="false">MAX(0,$O104-$P104)</f>
        <v>0.156999999999998</v>
      </c>
      <c r="S104" s="30" t="n">
        <f aca="false">MAX(0,$O104-$Q104)</f>
        <v>0.156999999999998</v>
      </c>
      <c r="T104" s="50" t="n">
        <f aca="false">IF($D104="",0,IF($E104="VERTICAL",N($G104),MAX(N($I104),IF($K104="",N($I104),$K104))))</f>
        <v>9.8825</v>
      </c>
      <c r="U104" s="50" t="n">
        <f aca="false">IF($L104&lt;&gt;"OK",0,VALUE(RIGHT($C104,1)))</f>
        <v>3</v>
      </c>
      <c r="V104" s="50" t="n">
        <f aca="false">IF($D104="",0,(N($H104)+IF($J104="",N($H104),$J104))/2)</f>
        <v>9.72565</v>
      </c>
      <c r="W104" s="50" t="n">
        <f aca="false">IF($D104="",0,(N($I104)+IF($K104="",N($I104),$K104))/2)</f>
        <v>9.85125</v>
      </c>
      <c r="X104" s="50" t="n">
        <f aca="false">IF($E104="VERTICAL",$V104,N($F104))</f>
        <v>14.75</v>
      </c>
      <c r="Y104" s="50" t="n">
        <f aca="false">IF($E104="VERTICAL",$W104,N($G104))</f>
        <v>16</v>
      </c>
      <c r="Z104" s="50" t="n">
        <f aca="false">IF($E104="VERTICAL",N($F104),$V104)</f>
        <v>9.72565</v>
      </c>
      <c r="AA104" s="50" t="n">
        <f aca="false">IF($E104="VERTICAL",N($G104),$W104)</f>
        <v>9.85125</v>
      </c>
      <c r="AB104" s="30" t="n">
        <f aca="false">IF($L104&lt;&gt;"OK",0,(INDEX(PRESIONES!$D$28:$D$31,$U104)*IF(INDEX(PRESIONES!$D$28:$D$31,$U104)&gt;0,PRESIONES!$C$9*IF($T104&lt;=10,1,($T104/10)^(2/DATOS!$C$56)),PRESIONES!$C$15)-ABERTURAS!$L$60*PRESIONES!$C$12)*$R104/$M104)</f>
        <v>7.88969576500605</v>
      </c>
      <c r="AC104" s="30" t="n">
        <f aca="false">IF($L104&lt;&gt;"OK",0,(INDEX(PRESIONES!$G$28:$G$31,$U104)*IF(INDEX(PRESIONES!$G$28:$G$31,$U104)&gt;0,PRESIONES!$C$9*IF($T104&lt;=10,1,($T104/10)^(2/DATOS!$C$56)),PRESIONES!$C$15)-ABERTURAS!$L$61*PRESIONES!$C$12)*$R104/$M104)</f>
        <v>0.0522557650061361</v>
      </c>
      <c r="AD104" s="30" t="n">
        <f aca="false">IF($L104&lt;&gt;"OK",0,(INDEX(PRESIONES!$J$28:$J$31,$U104)*IF(INDEX(PRESIONES!$J$28:$J$31,$U104)&gt;0,PRESIONES!$C$9*IF($T104&lt;=10,1,($T104/10)^(2/DATOS!$C$56)),PRESIONES!$C$15)-ABERTURAS!$L$62*PRESIONES!$C$12)*$R104/$M104)</f>
        <v>-0.54017308199263</v>
      </c>
      <c r="AE104" s="30" t="n">
        <f aca="false">IF($L104&lt;&gt;"OK",0,(INDEX(PRESIONES!$M$28:$M$31,$U104)*IF(INDEX(PRESIONES!$M$28:$M$31,$U104)&gt;0,PRESIONES!$C$9*IF($T104&lt;=10,1,($T104/10)^(2/DATOS!$C$56)),PRESIONES!$C$15)-ABERTURAS!$L$63*PRESIONES!$C$12)*$R104/$M104)</f>
        <v>-8.82014364750911</v>
      </c>
      <c r="AF104" s="30" t="n">
        <f aca="false">IF($L104&lt;&gt;"OK",0,(INDEX(PRESIONES!$D$28:$D$31,$U104)*IF(INDEX(PRESIONES!$D$28:$D$31,$U104)&gt;0,PRESIONES!$C$9*IF($T104&lt;=10,1,($T104/10)^(2/DATOS!$C$56)),PRESIONES!$C$15)-ABERTURAS!$L$64*PRESIONES!$C$12)*$S104/$M104)</f>
        <v>7.88969576500605</v>
      </c>
      <c r="AG104" s="30" t="n">
        <f aca="false">IF($L104&lt;&gt;"OK",0,(INDEX(PRESIONES!$G$28:$G$31,$U104)*IF(INDEX(PRESIONES!$G$28:$G$31,$U104)&gt;0,PRESIONES!$C$9*IF($T104&lt;=10,1,($T104/10)^(2/DATOS!$C$56)),PRESIONES!$C$15)-ABERTURAS!$L$65*PRESIONES!$C$12)*$S104/$M104)</f>
        <v>0.0522557650061361</v>
      </c>
      <c r="AH104" s="30" t="n">
        <f aca="false">IF($L104&lt;&gt;"OK",0,(INDEX(PRESIONES!$J$28:$J$31,$U104)*IF(INDEX(PRESIONES!$J$28:$J$31,$U104)&gt;0,PRESIONES!$C$9*IF($T104&lt;=10,1,($T104/10)^(2/DATOS!$C$56)),PRESIONES!$C$15)-ABERTURAS!$L$66*PRESIONES!$C$12)*$S104/$M104)</f>
        <v>-0.54017308199263</v>
      </c>
      <c r="AI104" s="30" t="n">
        <f aca="false">IF($L104&lt;&gt;"OK",0,(INDEX(PRESIONES!$M$28:$M$31,$U104)*IF(INDEX(PRESIONES!$M$28:$M$31,$U104)&gt;0,PRESIONES!$C$9*IF($T104&lt;=10,1,($T104/10)^(2/DATOS!$C$56)),PRESIONES!$C$15)-ABERTURAS!$L$67*PRESIONES!$C$12)*$S104/$M104)</f>
        <v>-8.82014364750911</v>
      </c>
    </row>
    <row r="105" customFormat="false" ht="16.5" hidden="false" customHeight="true" outlineLevel="0" collapsed="false">
      <c r="B105" s="27" t="s">
        <v>552</v>
      </c>
      <c r="C105" s="17" t="s">
        <v>480</v>
      </c>
      <c r="D105" s="27" t="s">
        <v>553</v>
      </c>
      <c r="E105" s="17" t="s">
        <v>432</v>
      </c>
      <c r="F105" s="49" t="n">
        <v>0</v>
      </c>
      <c r="G105" s="49" t="n">
        <v>1.35</v>
      </c>
      <c r="H105" s="49" t="n">
        <v>10.11</v>
      </c>
      <c r="I105" s="49" t="n">
        <v>10.62</v>
      </c>
      <c r="J105" s="49" t="n">
        <v>10.0763</v>
      </c>
      <c r="K105" s="49" t="n">
        <v>10.5525</v>
      </c>
      <c r="L105" s="20" t="str">
        <f aca="false">IF($D105="","",IF(LEFT($C105,4)&lt;&gt;"MURO","PON EL MURO",IF(AND($E105&lt;&gt;"HORIZONTAL",$E105&lt;&gt;"VERTICAL"),"PON EL SENTIDO",IF(OR($F105="",$G105="",$H105="",$I105=""),"FALTAN a o b",IF($M105&lt;=0,"a₂ DEBE SER &gt; a₁",IF($N105&lt;=0,"b₂ DEBE SER &gt; b₁","OK"))))))</f>
        <v>OK</v>
      </c>
      <c r="M105" s="30" t="n">
        <f aca="false">IF($D105="",0,MAX(0,$G105-$F105))</f>
        <v>1.35</v>
      </c>
      <c r="N105" s="30" t="n">
        <f aca="false">MAX(0,$W105-$V105)</f>
        <v>0.4931</v>
      </c>
      <c r="O105" s="30" t="n">
        <f aca="false">$M105*$N105</f>
        <v>0.665685</v>
      </c>
      <c r="P105" s="30" t="n">
        <f aca="false">IF($U105=0,0,SUMPRODUCT((ABERTURAS!$N$7:$N$26=$U105)*ABERTURAS!$U$7:$U$26*(((($Y105)+(ABERTURAS!$P$7:$P$26)-ABS(($Y105)-(ABERTURAS!$P$7:$P$26)))/2-(($X105)+(ABERTURAS!$O$7:$O$26)+ABS(($X105)-(ABERTURAS!$O$7:$O$26)))/2)+ABS((($Y105)+(ABERTURAS!$P$7:$P$26)-ABS(($Y105)-(ABERTURAS!$P$7:$P$26)))/2-(($X105)+(ABERTURAS!$O$7:$O$26)+ABS(($X105)-(ABERTURAS!$O$7:$O$26)))/2))/2*(((($AA105)+(ABERTURAS!$R$7:$R$26)-ABS(($AA105)-(ABERTURAS!$R$7:$R$26)))/2-(($Z105)+(ABERTURAS!$Q$7:$Q$26)+ABS(($Z105)-(ABERTURAS!$Q$7:$Q$26)))/2)+ABS((($AA105)+(ABERTURAS!$R$7:$R$26)-ABS(($AA105)-(ABERTURAS!$R$7:$R$26)))/2-(($Z105)+(ABERTURAS!$Q$7:$Q$26)+ABS(($Z105)-(ABERTURAS!$Q$7:$Q$26)))/2))/2))</f>
        <v>0</v>
      </c>
      <c r="Q105" s="30" t="n">
        <f aca="false">IF($U105=0,0,SUMPRODUCT((ABERTURAS!$N$7:$N$26=$U105)*ABERTURAS!$V$7:$V$26*(((($Y105)+(ABERTURAS!$P$7:$P$26)-ABS(($Y105)-(ABERTURAS!$P$7:$P$26)))/2-(($X105)+(ABERTURAS!$O$7:$O$26)+ABS(($X105)-(ABERTURAS!$O$7:$O$26)))/2)+ABS((($Y105)+(ABERTURAS!$P$7:$P$26)-ABS(($Y105)-(ABERTURAS!$P$7:$P$26)))/2-(($X105)+(ABERTURAS!$O$7:$O$26)+ABS(($X105)-(ABERTURAS!$O$7:$O$26)))/2))/2*(((($AA105)+(ABERTURAS!$R$7:$R$26)-ABS(($AA105)-(ABERTURAS!$R$7:$R$26)))/2-(($Z105)+(ABERTURAS!$Q$7:$Q$26)+ABS(($Z105)-(ABERTURAS!$Q$7:$Q$26)))/2)+ABS((($AA105)+(ABERTURAS!$R$7:$R$26)-ABS(($AA105)-(ABERTURAS!$R$7:$R$26)))/2-(($Z105)+(ABERTURAS!$Q$7:$Q$26)+ABS(($Z105)-(ABERTURAS!$Q$7:$Q$26)))/2))/2))</f>
        <v>0</v>
      </c>
      <c r="R105" s="30" t="n">
        <f aca="false">MAX(0,$O105-$P105)</f>
        <v>0.665685</v>
      </c>
      <c r="S105" s="30" t="n">
        <f aca="false">MAX(0,$O105-$Q105)</f>
        <v>0.665685</v>
      </c>
      <c r="T105" s="50" t="n">
        <f aca="false">IF($D105="",0,IF($E105="VERTICAL",N($G105),MAX(N($I105),IF($K105="",N($I105),$K105))))</f>
        <v>10.62</v>
      </c>
      <c r="U105" s="50" t="n">
        <f aca="false">IF($L105&lt;&gt;"OK",0,VALUE(RIGHT($C105,1)))</f>
        <v>4</v>
      </c>
      <c r="V105" s="50" t="n">
        <f aca="false">IF($D105="",0,(N($H105)+IF($J105="",N($H105),$J105))/2)</f>
        <v>10.09315</v>
      </c>
      <c r="W105" s="50" t="n">
        <f aca="false">IF($D105="",0,(N($I105)+IF($K105="",N($I105),$K105))/2)</f>
        <v>10.58625</v>
      </c>
      <c r="X105" s="50" t="n">
        <f aca="false">IF($E105="VERTICAL",$V105,N($F105))</f>
        <v>0</v>
      </c>
      <c r="Y105" s="50" t="n">
        <f aca="false">IF($E105="VERTICAL",$W105,N($G105))</f>
        <v>1.35</v>
      </c>
      <c r="Z105" s="50" t="n">
        <f aca="false">IF($E105="VERTICAL",N($F105),$V105)</f>
        <v>10.09315</v>
      </c>
      <c r="AA105" s="50" t="n">
        <f aca="false">IF($E105="VERTICAL",N($G105),$W105)</f>
        <v>10.58625</v>
      </c>
      <c r="AB105" s="30" t="n">
        <f aca="false">IF($L105&lt;&gt;"OK",0,(INDEX(PRESIONES!$D$28:$D$31,$U105)*IF(INDEX(PRESIONES!$D$28:$D$31,$U105)&gt;0,PRESIONES!$C$9*IF($T105&lt;=10,1,($T105/10)^(2/DATOS!$C$56)),PRESIONES!$C$15)-ABERTURAS!$L$60*PRESIONES!$C$12)*$R105/$M105)</f>
        <v>0.20515380353922</v>
      </c>
      <c r="AC105" s="30" t="n">
        <f aca="false">IF($L105&lt;&gt;"OK",0,(INDEX(PRESIONES!$G$28:$G$31,$U105)*IF(INDEX(PRESIONES!$G$28:$G$31,$U105)&gt;0,PRESIONES!$C$9*IF($T105&lt;=10,1,($T105/10)^(2/DATOS!$C$56)),PRESIONES!$C$15)-ABERTURAS!$L$61*PRESIONES!$C$12)*$R105/$M105)</f>
        <v>31.302839889202</v>
      </c>
      <c r="AD105" s="30" t="n">
        <f aca="false">IF($L105&lt;&gt;"OK",0,(INDEX(PRESIONES!$J$28:$J$31,$U105)*IF(INDEX(PRESIONES!$J$28:$J$31,$U105)&gt;0,PRESIONES!$C$9*IF($T105&lt;=10,1,($T105/10)^(2/DATOS!$C$56)),PRESIONES!$C$15)-ABERTURAS!$L$62*PRESIONES!$C$12)*$R105/$M105)</f>
        <v>-2.12069543575294</v>
      </c>
      <c r="AE105" s="30" t="n">
        <f aca="false">IF($L105&lt;&gt;"OK",0,(INDEX(PRESIONES!$M$28:$M$31,$U105)*IF(INDEX(PRESIONES!$M$28:$M$31,$U105)&gt;0,PRESIONES!$C$9*IF($T105&lt;=10,1,($T105/10)^(2/DATOS!$C$56)),PRESIONES!$C$15)-ABERTURAS!$L$63*PRESIONES!$C$12)*$R105/$M105)</f>
        <v>-34.6274907053088</v>
      </c>
      <c r="AF105" s="30" t="n">
        <f aca="false">IF($L105&lt;&gt;"OK",0,(INDEX(PRESIONES!$D$28:$D$31,$U105)*IF(INDEX(PRESIONES!$D$28:$D$31,$U105)&gt;0,PRESIONES!$C$9*IF($T105&lt;=10,1,($T105/10)^(2/DATOS!$C$56)),PRESIONES!$C$15)-ABERTURAS!$L$64*PRESIONES!$C$12)*$S105/$M105)</f>
        <v>0.20515380353922</v>
      </c>
      <c r="AG105" s="30" t="n">
        <f aca="false">IF($L105&lt;&gt;"OK",0,(INDEX(PRESIONES!$G$28:$G$31,$U105)*IF(INDEX(PRESIONES!$G$28:$G$31,$U105)&gt;0,PRESIONES!$C$9*IF($T105&lt;=10,1,($T105/10)^(2/DATOS!$C$56)),PRESIONES!$C$15)-ABERTURAS!$L$65*PRESIONES!$C$12)*$S105/$M105)</f>
        <v>31.302839889202</v>
      </c>
      <c r="AH105" s="30" t="n">
        <f aca="false">IF($L105&lt;&gt;"OK",0,(INDEX(PRESIONES!$J$28:$J$31,$U105)*IF(INDEX(PRESIONES!$J$28:$J$31,$U105)&gt;0,PRESIONES!$C$9*IF($T105&lt;=10,1,($T105/10)^(2/DATOS!$C$56)),PRESIONES!$C$15)-ABERTURAS!$L$66*PRESIONES!$C$12)*$S105/$M105)</f>
        <v>-2.12069543575294</v>
      </c>
      <c r="AI105" s="30" t="n">
        <f aca="false">IF($L105&lt;&gt;"OK",0,(INDEX(PRESIONES!$M$28:$M$31,$U105)*IF(INDEX(PRESIONES!$M$28:$M$31,$U105)&gt;0,PRESIONES!$C$9*IF($T105&lt;=10,1,($T105/10)^(2/DATOS!$C$56)),PRESIONES!$C$15)-ABERTURAS!$L$67*PRESIONES!$C$12)*$S105/$M105)</f>
        <v>-34.6274907053088</v>
      </c>
    </row>
    <row r="106" customFormat="false" ht="16.5" hidden="false" customHeight="true" outlineLevel="0" collapsed="false">
      <c r="B106" s="27" t="s">
        <v>554</v>
      </c>
      <c r="C106" s="17" t="s">
        <v>480</v>
      </c>
      <c r="D106" s="27" t="s">
        <v>555</v>
      </c>
      <c r="E106" s="17" t="s">
        <v>432</v>
      </c>
      <c r="F106" s="49" t="n">
        <v>1.35</v>
      </c>
      <c r="G106" s="49" t="n">
        <v>2.7</v>
      </c>
      <c r="H106" s="49" t="n">
        <v>10.0763</v>
      </c>
      <c r="I106" s="49" t="n">
        <v>10.5525</v>
      </c>
      <c r="J106" s="49" t="n">
        <v>10.0425</v>
      </c>
      <c r="K106" s="49" t="n">
        <v>10.485</v>
      </c>
      <c r="L106" s="20" t="str">
        <f aca="false">IF($D106="","",IF(LEFT($C106,4)&lt;&gt;"MURO","PON EL MURO",IF(AND($E106&lt;&gt;"HORIZONTAL",$E106&lt;&gt;"VERTICAL"),"PON EL SENTIDO",IF(OR($F106="",$G106="",$H106="",$I106=""),"FALTAN a o b",IF($M106&lt;=0,"a₂ DEBE SER &gt; a₁",IF($N106&lt;=0,"b₂ DEBE SER &gt; b₁","OK"))))))</f>
        <v>OK</v>
      </c>
      <c r="M106" s="30" t="n">
        <f aca="false">IF($D106="",0,MAX(0,$G106-$F106))</f>
        <v>1.35</v>
      </c>
      <c r="N106" s="30" t="n">
        <f aca="false">MAX(0,$W106-$V106)</f>
        <v>0.459350000000001</v>
      </c>
      <c r="O106" s="30" t="n">
        <f aca="false">$M106*$N106</f>
        <v>0.620122500000001</v>
      </c>
      <c r="P106" s="30" t="n">
        <f aca="false">IF($U106=0,0,SUMPRODUCT((ABERTURAS!$N$7:$N$26=$U106)*ABERTURAS!$U$7:$U$26*(((($Y106)+(ABERTURAS!$P$7:$P$26)-ABS(($Y106)-(ABERTURAS!$P$7:$P$26)))/2-(($X106)+(ABERTURAS!$O$7:$O$26)+ABS(($X106)-(ABERTURAS!$O$7:$O$26)))/2)+ABS((($Y106)+(ABERTURAS!$P$7:$P$26)-ABS(($Y106)-(ABERTURAS!$P$7:$P$26)))/2-(($X106)+(ABERTURAS!$O$7:$O$26)+ABS(($X106)-(ABERTURAS!$O$7:$O$26)))/2))/2*(((($AA106)+(ABERTURAS!$R$7:$R$26)-ABS(($AA106)-(ABERTURAS!$R$7:$R$26)))/2-(($Z106)+(ABERTURAS!$Q$7:$Q$26)+ABS(($Z106)-(ABERTURAS!$Q$7:$Q$26)))/2)+ABS((($AA106)+(ABERTURAS!$R$7:$R$26)-ABS(($AA106)-(ABERTURAS!$R$7:$R$26)))/2-(($Z106)+(ABERTURAS!$Q$7:$Q$26)+ABS(($Z106)-(ABERTURAS!$Q$7:$Q$26)))/2))/2))</f>
        <v>0</v>
      </c>
      <c r="Q106" s="30" t="n">
        <f aca="false">IF($U106=0,0,SUMPRODUCT((ABERTURAS!$N$7:$N$26=$U106)*ABERTURAS!$V$7:$V$26*(((($Y106)+(ABERTURAS!$P$7:$P$26)-ABS(($Y106)-(ABERTURAS!$P$7:$P$26)))/2-(($X106)+(ABERTURAS!$O$7:$O$26)+ABS(($X106)-(ABERTURAS!$O$7:$O$26)))/2)+ABS((($Y106)+(ABERTURAS!$P$7:$P$26)-ABS(($Y106)-(ABERTURAS!$P$7:$P$26)))/2-(($X106)+(ABERTURAS!$O$7:$O$26)+ABS(($X106)-(ABERTURAS!$O$7:$O$26)))/2))/2*(((($AA106)+(ABERTURAS!$R$7:$R$26)-ABS(($AA106)-(ABERTURAS!$R$7:$R$26)))/2-(($Z106)+(ABERTURAS!$Q$7:$Q$26)+ABS(($Z106)-(ABERTURAS!$Q$7:$Q$26)))/2)+ABS((($AA106)+(ABERTURAS!$R$7:$R$26)-ABS(($AA106)-(ABERTURAS!$R$7:$R$26)))/2-(($Z106)+(ABERTURAS!$Q$7:$Q$26)+ABS(($Z106)-(ABERTURAS!$Q$7:$Q$26)))/2))/2))</f>
        <v>0</v>
      </c>
      <c r="R106" s="30" t="n">
        <f aca="false">MAX(0,$O106-$P106)</f>
        <v>0.620122500000001</v>
      </c>
      <c r="S106" s="30" t="n">
        <f aca="false">MAX(0,$O106-$Q106)</f>
        <v>0.620122500000001</v>
      </c>
      <c r="T106" s="50" t="n">
        <f aca="false">IF($D106="",0,IF($E106="VERTICAL",N($G106),MAX(N($I106),IF($K106="",N($I106),$K106))))</f>
        <v>10.5525</v>
      </c>
      <c r="U106" s="50" t="n">
        <f aca="false">IF($L106&lt;&gt;"OK",0,VALUE(RIGHT($C106,1)))</f>
        <v>4</v>
      </c>
      <c r="V106" s="50" t="n">
        <f aca="false">IF($D106="",0,(N($H106)+IF($J106="",N($H106),$J106))/2)</f>
        <v>10.0594</v>
      </c>
      <c r="W106" s="50" t="n">
        <f aca="false">IF($D106="",0,(N($I106)+IF($K106="",N($I106),$K106))/2)</f>
        <v>10.51875</v>
      </c>
      <c r="X106" s="50" t="n">
        <f aca="false">IF($E106="VERTICAL",$V106,N($F106))</f>
        <v>1.35</v>
      </c>
      <c r="Y106" s="50" t="n">
        <f aca="false">IF($E106="VERTICAL",$W106,N($G106))</f>
        <v>2.7</v>
      </c>
      <c r="Z106" s="50" t="n">
        <f aca="false">IF($E106="VERTICAL",N($F106),$V106)</f>
        <v>10.0594</v>
      </c>
      <c r="AA106" s="50" t="n">
        <f aca="false">IF($E106="VERTICAL",N($G106),$W106)</f>
        <v>10.51875</v>
      </c>
      <c r="AB106" s="30" t="n">
        <f aca="false">IF($L106&lt;&gt;"OK",0,(INDEX(PRESIONES!$D$28:$D$31,$U106)*IF(INDEX(PRESIONES!$D$28:$D$31,$U106)&gt;0,PRESIONES!$C$9*IF($T106&lt;=10,1,($T106/10)^(2/DATOS!$C$56)),PRESIONES!$C$15)-ABERTURAS!$L$60*PRESIONES!$C$12)*$R106/$M106)</f>
        <v>0.191112146939243</v>
      </c>
      <c r="AC106" s="30" t="n">
        <f aca="false">IF($L106&lt;&gt;"OK",0,(INDEX(PRESIONES!$G$28:$G$31,$U106)*IF(INDEX(PRESIONES!$G$28:$G$31,$U106)&gt;0,PRESIONES!$C$9*IF($T106&lt;=10,1,($T106/10)^(2/DATOS!$C$56)),PRESIONES!$C$15)-ABERTURAS!$L$61*PRESIONES!$C$12)*$R106/$M106)</f>
        <v>29.1276698950071</v>
      </c>
      <c r="AD106" s="30" t="n">
        <f aca="false">IF($L106&lt;&gt;"OK",0,(INDEX(PRESIONES!$J$28:$J$31,$U106)*IF(INDEX(PRESIONES!$J$28:$J$31,$U106)&gt;0,PRESIONES!$C$9*IF($T106&lt;=10,1,($T106/10)^(2/DATOS!$C$56)),PRESIONES!$C$15)-ABERTURAS!$L$62*PRESIONES!$C$12)*$R106/$M106)</f>
        <v>-1.97554542367291</v>
      </c>
      <c r="AE106" s="30" t="n">
        <f aca="false">IF($L106&lt;&gt;"OK",0,(INDEX(PRESIONES!$M$28:$M$31,$U106)*IF(INDEX(PRESIONES!$M$28:$M$31,$U106)&gt;0,PRESIONES!$C$9*IF($T106&lt;=10,1,($T106/10)^(2/DATOS!$C$56)),PRESIONES!$C$15)-ABERTURAS!$L$63*PRESIONES!$C$12)*$R106/$M106)</f>
        <v>-32.2574282204089</v>
      </c>
      <c r="AF106" s="30" t="n">
        <f aca="false">IF($L106&lt;&gt;"OK",0,(INDEX(PRESIONES!$D$28:$D$31,$U106)*IF(INDEX(PRESIONES!$D$28:$D$31,$U106)&gt;0,PRESIONES!$C$9*IF($T106&lt;=10,1,($T106/10)^(2/DATOS!$C$56)),PRESIONES!$C$15)-ABERTURAS!$L$64*PRESIONES!$C$12)*$S106/$M106)</f>
        <v>0.191112146939243</v>
      </c>
      <c r="AG106" s="30" t="n">
        <f aca="false">IF($L106&lt;&gt;"OK",0,(INDEX(PRESIONES!$G$28:$G$31,$U106)*IF(INDEX(PRESIONES!$G$28:$G$31,$U106)&gt;0,PRESIONES!$C$9*IF($T106&lt;=10,1,($T106/10)^(2/DATOS!$C$56)),PRESIONES!$C$15)-ABERTURAS!$L$65*PRESIONES!$C$12)*$S106/$M106)</f>
        <v>29.1276698950071</v>
      </c>
      <c r="AH106" s="30" t="n">
        <f aca="false">IF($L106&lt;&gt;"OK",0,(INDEX(PRESIONES!$J$28:$J$31,$U106)*IF(INDEX(PRESIONES!$J$28:$J$31,$U106)&gt;0,PRESIONES!$C$9*IF($T106&lt;=10,1,($T106/10)^(2/DATOS!$C$56)),PRESIONES!$C$15)-ABERTURAS!$L$66*PRESIONES!$C$12)*$S106/$M106)</f>
        <v>-1.97554542367291</v>
      </c>
      <c r="AI106" s="30" t="n">
        <f aca="false">IF($L106&lt;&gt;"OK",0,(INDEX(PRESIONES!$M$28:$M$31,$U106)*IF(INDEX(PRESIONES!$M$28:$M$31,$U106)&gt;0,PRESIONES!$C$9*IF($T106&lt;=10,1,($T106/10)^(2/DATOS!$C$56)),PRESIONES!$C$15)-ABERTURAS!$L$67*PRESIONES!$C$12)*$S106/$M106)</f>
        <v>-32.2574282204089</v>
      </c>
    </row>
    <row r="107" customFormat="false" ht="16.5" hidden="false" customHeight="true" outlineLevel="0" collapsed="false">
      <c r="B107" s="27" t="s">
        <v>556</v>
      </c>
      <c r="C107" s="17" t="s">
        <v>480</v>
      </c>
      <c r="D107" s="27" t="s">
        <v>557</v>
      </c>
      <c r="E107" s="17" t="s">
        <v>432</v>
      </c>
      <c r="F107" s="49" t="n">
        <v>2.7</v>
      </c>
      <c r="G107" s="49" t="n">
        <v>4.05</v>
      </c>
      <c r="H107" s="49" t="n">
        <v>10.0425</v>
      </c>
      <c r="I107" s="49" t="n">
        <v>10.485</v>
      </c>
      <c r="J107" s="49" t="n">
        <v>10.0088</v>
      </c>
      <c r="K107" s="49" t="n">
        <v>10.4175</v>
      </c>
      <c r="L107" s="20" t="str">
        <f aca="false">IF($D107="","",IF(LEFT($C107,4)&lt;&gt;"MURO","PON EL MURO",IF(AND($E107&lt;&gt;"HORIZONTAL",$E107&lt;&gt;"VERTICAL"),"PON EL SENTIDO",IF(OR($F107="",$G107="",$H107="",$I107=""),"FALTAN a o b",IF($M107&lt;=0,"a₂ DEBE SER &gt; a₁",IF($N107&lt;=0,"b₂ DEBE SER &gt; b₁","OK"))))))</f>
        <v>OK</v>
      </c>
      <c r="M107" s="30" t="n">
        <f aca="false">IF($D107="",0,MAX(0,$G107-$F107))</f>
        <v>1.35</v>
      </c>
      <c r="N107" s="30" t="n">
        <f aca="false">MAX(0,$W107-$V107)</f>
        <v>0.425599999999999</v>
      </c>
      <c r="O107" s="30" t="n">
        <f aca="false">$M107*$N107</f>
        <v>0.574559999999999</v>
      </c>
      <c r="P107" s="30" t="n">
        <f aca="false">IF($U107=0,0,SUMPRODUCT((ABERTURAS!$N$7:$N$26=$U107)*ABERTURAS!$U$7:$U$26*(((($Y107)+(ABERTURAS!$P$7:$P$26)-ABS(($Y107)-(ABERTURAS!$P$7:$P$26)))/2-(($X107)+(ABERTURAS!$O$7:$O$26)+ABS(($X107)-(ABERTURAS!$O$7:$O$26)))/2)+ABS((($Y107)+(ABERTURAS!$P$7:$P$26)-ABS(($Y107)-(ABERTURAS!$P$7:$P$26)))/2-(($X107)+(ABERTURAS!$O$7:$O$26)+ABS(($X107)-(ABERTURAS!$O$7:$O$26)))/2))/2*(((($AA107)+(ABERTURAS!$R$7:$R$26)-ABS(($AA107)-(ABERTURAS!$R$7:$R$26)))/2-(($Z107)+(ABERTURAS!$Q$7:$Q$26)+ABS(($Z107)-(ABERTURAS!$Q$7:$Q$26)))/2)+ABS((($AA107)+(ABERTURAS!$R$7:$R$26)-ABS(($AA107)-(ABERTURAS!$R$7:$R$26)))/2-(($Z107)+(ABERTURAS!$Q$7:$Q$26)+ABS(($Z107)-(ABERTURAS!$Q$7:$Q$26)))/2))/2))</f>
        <v>0</v>
      </c>
      <c r="Q107" s="30" t="n">
        <f aca="false">IF($U107=0,0,SUMPRODUCT((ABERTURAS!$N$7:$N$26=$U107)*ABERTURAS!$V$7:$V$26*(((($Y107)+(ABERTURAS!$P$7:$P$26)-ABS(($Y107)-(ABERTURAS!$P$7:$P$26)))/2-(($X107)+(ABERTURAS!$O$7:$O$26)+ABS(($X107)-(ABERTURAS!$O$7:$O$26)))/2)+ABS((($Y107)+(ABERTURAS!$P$7:$P$26)-ABS(($Y107)-(ABERTURAS!$P$7:$P$26)))/2-(($X107)+(ABERTURAS!$O$7:$O$26)+ABS(($X107)-(ABERTURAS!$O$7:$O$26)))/2))/2*(((($AA107)+(ABERTURAS!$R$7:$R$26)-ABS(($AA107)-(ABERTURAS!$R$7:$R$26)))/2-(($Z107)+(ABERTURAS!$Q$7:$Q$26)+ABS(($Z107)-(ABERTURAS!$Q$7:$Q$26)))/2)+ABS((($AA107)+(ABERTURAS!$R$7:$R$26)-ABS(($AA107)-(ABERTURAS!$R$7:$R$26)))/2-(($Z107)+(ABERTURAS!$Q$7:$Q$26)+ABS(($Z107)-(ABERTURAS!$Q$7:$Q$26)))/2))/2))</f>
        <v>0</v>
      </c>
      <c r="R107" s="30" t="n">
        <f aca="false">MAX(0,$O107-$P107)</f>
        <v>0.574559999999999</v>
      </c>
      <c r="S107" s="30" t="n">
        <f aca="false">MAX(0,$O107-$Q107)</f>
        <v>0.574559999999999</v>
      </c>
      <c r="T107" s="50" t="n">
        <f aca="false">IF($D107="",0,IF($E107="VERTICAL",N($G107),MAX(N($I107),IF($K107="",N($I107),$K107))))</f>
        <v>10.485</v>
      </c>
      <c r="U107" s="50" t="n">
        <f aca="false">IF($L107&lt;&gt;"OK",0,VALUE(RIGHT($C107,1)))</f>
        <v>4</v>
      </c>
      <c r="V107" s="50" t="n">
        <f aca="false">IF($D107="",0,(N($H107)+IF($J107="",N($H107),$J107))/2)</f>
        <v>10.02565</v>
      </c>
      <c r="W107" s="50" t="n">
        <f aca="false">IF($D107="",0,(N($I107)+IF($K107="",N($I107),$K107))/2)</f>
        <v>10.45125</v>
      </c>
      <c r="X107" s="50" t="n">
        <f aca="false">IF($E107="VERTICAL",$V107,N($F107))</f>
        <v>2.7</v>
      </c>
      <c r="Y107" s="50" t="n">
        <f aca="false">IF($E107="VERTICAL",$W107,N($G107))</f>
        <v>4.05</v>
      </c>
      <c r="Z107" s="50" t="n">
        <f aca="false">IF($E107="VERTICAL",N($F107),$V107)</f>
        <v>10.02565</v>
      </c>
      <c r="AA107" s="50" t="n">
        <f aca="false">IF($E107="VERTICAL",N($G107),$W107)</f>
        <v>10.45125</v>
      </c>
      <c r="AB107" s="30" t="n">
        <f aca="false">IF($L107&lt;&gt;"OK",0,(INDEX(PRESIONES!$D$28:$D$31,$U107)*IF(INDEX(PRESIONES!$D$28:$D$31,$U107)&gt;0,PRESIONES!$C$9*IF($T107&lt;=10,1,($T107/10)^(2/DATOS!$C$56)),PRESIONES!$C$15)-ABERTURAS!$L$60*PRESIONES!$C$12)*$R107/$M107)</f>
        <v>0.177070490339265</v>
      </c>
      <c r="AC107" s="30" t="n">
        <f aca="false">IF($L107&lt;&gt;"OK",0,(INDEX(PRESIONES!$G$28:$G$31,$U107)*IF(INDEX(PRESIONES!$G$28:$G$31,$U107)&gt;0,PRESIONES!$C$9*IF($T107&lt;=10,1,($T107/10)^(2/DATOS!$C$56)),PRESIONES!$C$15)-ABERTURAS!$L$61*PRESIONES!$C$12)*$R107/$M107)</f>
        <v>26.9571608461997</v>
      </c>
      <c r="AD107" s="30" t="n">
        <f aca="false">IF($L107&lt;&gt;"OK",0,(INDEX(PRESIONES!$J$28:$J$31,$U107)*IF(INDEX(PRESIONES!$J$28:$J$31,$U107)&gt;0,PRESIONES!$C$9*IF($T107&lt;=10,1,($T107/10)^(2/DATOS!$C$56)),PRESIONES!$C$15)-ABERTURAS!$L$62*PRESIONES!$C$12)*$R107/$M107)</f>
        <v>-1.83039541159288</v>
      </c>
      <c r="AE107" s="30" t="n">
        <f aca="false">IF($L107&lt;&gt;"OK",0,(INDEX(PRESIONES!$M$28:$M$31,$U107)*IF(INDEX(PRESIONES!$M$28:$M$31,$U107)&gt;0,PRESIONES!$C$9*IF($T107&lt;=10,1,($T107/10)^(2/DATOS!$C$56)),PRESIONES!$C$15)-ABERTURAS!$L$63*PRESIONES!$C$12)*$R107/$M107)</f>
        <v>-29.8873657355089</v>
      </c>
      <c r="AF107" s="30" t="n">
        <f aca="false">IF($L107&lt;&gt;"OK",0,(INDEX(PRESIONES!$D$28:$D$31,$U107)*IF(INDEX(PRESIONES!$D$28:$D$31,$U107)&gt;0,PRESIONES!$C$9*IF($T107&lt;=10,1,($T107/10)^(2/DATOS!$C$56)),PRESIONES!$C$15)-ABERTURAS!$L$64*PRESIONES!$C$12)*$S107/$M107)</f>
        <v>0.177070490339265</v>
      </c>
      <c r="AG107" s="30" t="n">
        <f aca="false">IF($L107&lt;&gt;"OK",0,(INDEX(PRESIONES!$G$28:$G$31,$U107)*IF(INDEX(PRESIONES!$G$28:$G$31,$U107)&gt;0,PRESIONES!$C$9*IF($T107&lt;=10,1,($T107/10)^(2/DATOS!$C$56)),PRESIONES!$C$15)-ABERTURAS!$L$65*PRESIONES!$C$12)*$S107/$M107)</f>
        <v>26.9571608461997</v>
      </c>
      <c r="AH107" s="30" t="n">
        <f aca="false">IF($L107&lt;&gt;"OK",0,(INDEX(PRESIONES!$J$28:$J$31,$U107)*IF(INDEX(PRESIONES!$J$28:$J$31,$U107)&gt;0,PRESIONES!$C$9*IF($T107&lt;=10,1,($T107/10)^(2/DATOS!$C$56)),PRESIONES!$C$15)-ABERTURAS!$L$66*PRESIONES!$C$12)*$S107/$M107)</f>
        <v>-1.83039541159288</v>
      </c>
      <c r="AI107" s="30" t="n">
        <f aca="false">IF($L107&lt;&gt;"OK",0,(INDEX(PRESIONES!$M$28:$M$31,$U107)*IF(INDEX(PRESIONES!$M$28:$M$31,$U107)&gt;0,PRESIONES!$C$9*IF($T107&lt;=10,1,($T107/10)^(2/DATOS!$C$56)),PRESIONES!$C$15)-ABERTURAS!$L$67*PRESIONES!$C$12)*$S107/$M107)</f>
        <v>-29.8873657355089</v>
      </c>
    </row>
    <row r="108" customFormat="false" ht="16.5" hidden="false" customHeight="true" outlineLevel="0" collapsed="false">
      <c r="B108" s="27" t="s">
        <v>558</v>
      </c>
      <c r="C108" s="17" t="s">
        <v>480</v>
      </c>
      <c r="D108" s="27" t="s">
        <v>559</v>
      </c>
      <c r="E108" s="17" t="s">
        <v>432</v>
      </c>
      <c r="F108" s="49" t="n">
        <v>4.05</v>
      </c>
      <c r="G108" s="49" t="n">
        <v>5.4</v>
      </c>
      <c r="H108" s="49" t="n">
        <v>10.0088</v>
      </c>
      <c r="I108" s="49" t="n">
        <v>10.4175</v>
      </c>
      <c r="J108" s="49" t="n">
        <v>9.975</v>
      </c>
      <c r="K108" s="49" t="n">
        <v>10.35</v>
      </c>
      <c r="L108" s="20" t="str">
        <f aca="false">IF($D108="","",IF(LEFT($C108,4)&lt;&gt;"MURO","PON EL MURO",IF(AND($E108&lt;&gt;"HORIZONTAL",$E108&lt;&gt;"VERTICAL"),"PON EL SENTIDO",IF(OR($F108="",$G108="",$H108="",$I108=""),"FALTAN a o b",IF($M108&lt;=0,"a₂ DEBE SER &gt; a₁",IF($N108&lt;=0,"b₂ DEBE SER &gt; b₁","OK"))))))</f>
        <v>OK</v>
      </c>
      <c r="M108" s="30" t="n">
        <f aca="false">IF($D108="",0,MAX(0,$G108-$F108))</f>
        <v>1.35</v>
      </c>
      <c r="N108" s="30" t="n">
        <f aca="false">MAX(0,$W108-$V108)</f>
        <v>0.391849999999998</v>
      </c>
      <c r="O108" s="30" t="n">
        <f aca="false">$M108*$N108</f>
        <v>0.528997499999998</v>
      </c>
      <c r="P108" s="30" t="n">
        <f aca="false">IF($U108=0,0,SUMPRODUCT((ABERTURAS!$N$7:$N$26=$U108)*ABERTURAS!$U$7:$U$26*(((($Y108)+(ABERTURAS!$P$7:$P$26)-ABS(($Y108)-(ABERTURAS!$P$7:$P$26)))/2-(($X108)+(ABERTURAS!$O$7:$O$26)+ABS(($X108)-(ABERTURAS!$O$7:$O$26)))/2)+ABS((($Y108)+(ABERTURAS!$P$7:$P$26)-ABS(($Y108)-(ABERTURAS!$P$7:$P$26)))/2-(($X108)+(ABERTURAS!$O$7:$O$26)+ABS(($X108)-(ABERTURAS!$O$7:$O$26)))/2))/2*(((($AA108)+(ABERTURAS!$R$7:$R$26)-ABS(($AA108)-(ABERTURAS!$R$7:$R$26)))/2-(($Z108)+(ABERTURAS!$Q$7:$Q$26)+ABS(($Z108)-(ABERTURAS!$Q$7:$Q$26)))/2)+ABS((($AA108)+(ABERTURAS!$R$7:$R$26)-ABS(($AA108)-(ABERTURAS!$R$7:$R$26)))/2-(($Z108)+(ABERTURAS!$Q$7:$Q$26)+ABS(($Z108)-(ABERTURAS!$Q$7:$Q$26)))/2))/2))</f>
        <v>0</v>
      </c>
      <c r="Q108" s="30" t="n">
        <f aca="false">IF($U108=0,0,SUMPRODUCT((ABERTURAS!$N$7:$N$26=$U108)*ABERTURAS!$V$7:$V$26*(((($Y108)+(ABERTURAS!$P$7:$P$26)-ABS(($Y108)-(ABERTURAS!$P$7:$P$26)))/2-(($X108)+(ABERTURAS!$O$7:$O$26)+ABS(($X108)-(ABERTURAS!$O$7:$O$26)))/2)+ABS((($Y108)+(ABERTURAS!$P$7:$P$26)-ABS(($Y108)-(ABERTURAS!$P$7:$P$26)))/2-(($X108)+(ABERTURAS!$O$7:$O$26)+ABS(($X108)-(ABERTURAS!$O$7:$O$26)))/2))/2*(((($AA108)+(ABERTURAS!$R$7:$R$26)-ABS(($AA108)-(ABERTURAS!$R$7:$R$26)))/2-(($Z108)+(ABERTURAS!$Q$7:$Q$26)+ABS(($Z108)-(ABERTURAS!$Q$7:$Q$26)))/2)+ABS((($AA108)+(ABERTURAS!$R$7:$R$26)-ABS(($AA108)-(ABERTURAS!$R$7:$R$26)))/2-(($Z108)+(ABERTURAS!$Q$7:$Q$26)+ABS(($Z108)-(ABERTURAS!$Q$7:$Q$26)))/2))/2))</f>
        <v>0</v>
      </c>
      <c r="R108" s="30" t="n">
        <f aca="false">MAX(0,$O108-$P108)</f>
        <v>0.528997499999998</v>
      </c>
      <c r="S108" s="30" t="n">
        <f aca="false">MAX(0,$O108-$Q108)</f>
        <v>0.528997499999998</v>
      </c>
      <c r="T108" s="50" t="n">
        <f aca="false">IF($D108="",0,IF($E108="VERTICAL",N($G108),MAX(N($I108),IF($K108="",N($I108),$K108))))</f>
        <v>10.4175</v>
      </c>
      <c r="U108" s="50" t="n">
        <f aca="false">IF($L108&lt;&gt;"OK",0,VALUE(RIGHT($C108,1)))</f>
        <v>4</v>
      </c>
      <c r="V108" s="50" t="n">
        <f aca="false">IF($D108="",0,(N($H108)+IF($J108="",N($H108),$J108))/2)</f>
        <v>9.9919</v>
      </c>
      <c r="W108" s="50" t="n">
        <f aca="false">IF($D108="",0,(N($I108)+IF($K108="",N($I108),$K108))/2)</f>
        <v>10.38375</v>
      </c>
      <c r="X108" s="50" t="n">
        <f aca="false">IF($E108="VERTICAL",$V108,N($F108))</f>
        <v>4.05</v>
      </c>
      <c r="Y108" s="50" t="n">
        <f aca="false">IF($E108="VERTICAL",$W108,N($G108))</f>
        <v>5.4</v>
      </c>
      <c r="Z108" s="50" t="n">
        <f aca="false">IF($E108="VERTICAL",N($F108),$V108)</f>
        <v>9.9919</v>
      </c>
      <c r="AA108" s="50" t="n">
        <f aca="false">IF($E108="VERTICAL",N($G108),$W108)</f>
        <v>10.38375</v>
      </c>
      <c r="AB108" s="30" t="n">
        <f aca="false">IF($L108&lt;&gt;"OK",0,(INDEX(PRESIONES!$D$28:$D$31,$U108)*IF(INDEX(PRESIONES!$D$28:$D$31,$U108)&gt;0,PRESIONES!$C$9*IF($T108&lt;=10,1,($T108/10)^(2/DATOS!$C$56)),PRESIONES!$C$15)-ABERTURAS!$L$60*PRESIONES!$C$12)*$R108/$M108)</f>
        <v>0.163028833739288</v>
      </c>
      <c r="AC108" s="30" t="n">
        <f aca="false">IF($L108&lt;&gt;"OK",0,(INDEX(PRESIONES!$G$28:$G$31,$U108)*IF(INDEX(PRESIONES!$G$28:$G$31,$U108)&gt;0,PRESIONES!$C$9*IF($T108&lt;=10,1,($T108/10)^(2/DATOS!$C$56)),PRESIONES!$C$15)-ABERTURAS!$L$61*PRESIONES!$C$12)*$R108/$M108)</f>
        <v>24.7913443004451</v>
      </c>
      <c r="AD108" s="30" t="n">
        <f aca="false">IF($L108&lt;&gt;"OK",0,(INDEX(PRESIONES!$J$28:$J$31,$U108)*IF(INDEX(PRESIONES!$J$28:$J$31,$U108)&gt;0,PRESIONES!$C$9*IF($T108&lt;=10,1,($T108/10)^(2/DATOS!$C$56)),PRESIONES!$C$15)-ABERTURAS!$L$62*PRESIONES!$C$12)*$R108/$M108)</f>
        <v>-1.68524539951284</v>
      </c>
      <c r="AE108" s="30" t="n">
        <f aca="false">IF($L108&lt;&gt;"OK",0,(INDEX(PRESIONES!$M$28:$M$31,$U108)*IF(INDEX(PRESIONES!$M$28:$M$31,$U108)&gt;0,PRESIONES!$C$9*IF($T108&lt;=10,1,($T108/10)^(2/DATOS!$C$56)),PRESIONES!$C$15)-ABERTURAS!$L$63*PRESIONES!$C$12)*$R108/$M108)</f>
        <v>-27.5173032506088</v>
      </c>
      <c r="AF108" s="30" t="n">
        <f aca="false">IF($L108&lt;&gt;"OK",0,(INDEX(PRESIONES!$D$28:$D$31,$U108)*IF(INDEX(PRESIONES!$D$28:$D$31,$U108)&gt;0,PRESIONES!$C$9*IF($T108&lt;=10,1,($T108/10)^(2/DATOS!$C$56)),PRESIONES!$C$15)-ABERTURAS!$L$64*PRESIONES!$C$12)*$S108/$M108)</f>
        <v>0.163028833739288</v>
      </c>
      <c r="AG108" s="30" t="n">
        <f aca="false">IF($L108&lt;&gt;"OK",0,(INDEX(PRESIONES!$G$28:$G$31,$U108)*IF(INDEX(PRESIONES!$G$28:$G$31,$U108)&gt;0,PRESIONES!$C$9*IF($T108&lt;=10,1,($T108/10)^(2/DATOS!$C$56)),PRESIONES!$C$15)-ABERTURAS!$L$65*PRESIONES!$C$12)*$S108/$M108)</f>
        <v>24.7913443004451</v>
      </c>
      <c r="AH108" s="30" t="n">
        <f aca="false">IF($L108&lt;&gt;"OK",0,(INDEX(PRESIONES!$J$28:$J$31,$U108)*IF(INDEX(PRESIONES!$J$28:$J$31,$U108)&gt;0,PRESIONES!$C$9*IF($T108&lt;=10,1,($T108/10)^(2/DATOS!$C$56)),PRESIONES!$C$15)-ABERTURAS!$L$66*PRESIONES!$C$12)*$S108/$M108)</f>
        <v>-1.68524539951284</v>
      </c>
      <c r="AI108" s="30" t="n">
        <f aca="false">IF($L108&lt;&gt;"OK",0,(INDEX(PRESIONES!$M$28:$M$31,$U108)*IF(INDEX(PRESIONES!$M$28:$M$31,$U108)&gt;0,PRESIONES!$C$9*IF($T108&lt;=10,1,($T108/10)^(2/DATOS!$C$56)),PRESIONES!$C$15)-ABERTURAS!$L$67*PRESIONES!$C$12)*$S108/$M108)</f>
        <v>-27.5173032506088</v>
      </c>
    </row>
    <row r="109" customFormat="false" ht="16.5" hidden="false" customHeight="true" outlineLevel="0" collapsed="false">
      <c r="B109" s="27" t="s">
        <v>560</v>
      </c>
      <c r="C109" s="17" t="s">
        <v>480</v>
      </c>
      <c r="D109" s="27" t="s">
        <v>561</v>
      </c>
      <c r="E109" s="17" t="s">
        <v>432</v>
      </c>
      <c r="F109" s="49" t="n">
        <v>5.4</v>
      </c>
      <c r="G109" s="49" t="n">
        <v>6.75</v>
      </c>
      <c r="H109" s="49" t="n">
        <v>9.975</v>
      </c>
      <c r="I109" s="49" t="n">
        <v>10.35</v>
      </c>
      <c r="J109" s="49" t="n">
        <v>9.9413</v>
      </c>
      <c r="K109" s="49" t="n">
        <v>10.2825</v>
      </c>
      <c r="L109" s="20" t="str">
        <f aca="false">IF($D109="","",IF(LEFT($C109,4)&lt;&gt;"MURO","PON EL MURO",IF(AND($E109&lt;&gt;"HORIZONTAL",$E109&lt;&gt;"VERTICAL"),"PON EL SENTIDO",IF(OR($F109="",$G109="",$H109="",$I109=""),"FALTAN a o b",IF($M109&lt;=0,"a₂ DEBE SER &gt; a₁",IF($N109&lt;=0,"b₂ DEBE SER &gt; b₁","OK"))))))</f>
        <v>OK</v>
      </c>
      <c r="M109" s="30" t="n">
        <f aca="false">IF($D109="",0,MAX(0,$G109-$F109))</f>
        <v>1.35</v>
      </c>
      <c r="N109" s="30" t="n">
        <f aca="false">MAX(0,$W109-$V109)</f>
        <v>0.3581</v>
      </c>
      <c r="O109" s="30" t="n">
        <f aca="false">$M109*$N109</f>
        <v>0.483435</v>
      </c>
      <c r="P109" s="30" t="n">
        <f aca="false">IF($U109=0,0,SUMPRODUCT((ABERTURAS!$N$7:$N$26=$U109)*ABERTURAS!$U$7:$U$26*(((($Y109)+(ABERTURAS!$P$7:$P$26)-ABS(($Y109)-(ABERTURAS!$P$7:$P$26)))/2-(($X109)+(ABERTURAS!$O$7:$O$26)+ABS(($X109)-(ABERTURAS!$O$7:$O$26)))/2)+ABS((($Y109)+(ABERTURAS!$P$7:$P$26)-ABS(($Y109)-(ABERTURAS!$P$7:$P$26)))/2-(($X109)+(ABERTURAS!$O$7:$O$26)+ABS(($X109)-(ABERTURAS!$O$7:$O$26)))/2))/2*(((($AA109)+(ABERTURAS!$R$7:$R$26)-ABS(($AA109)-(ABERTURAS!$R$7:$R$26)))/2-(($Z109)+(ABERTURAS!$Q$7:$Q$26)+ABS(($Z109)-(ABERTURAS!$Q$7:$Q$26)))/2)+ABS((($AA109)+(ABERTURAS!$R$7:$R$26)-ABS(($AA109)-(ABERTURAS!$R$7:$R$26)))/2-(($Z109)+(ABERTURAS!$Q$7:$Q$26)+ABS(($Z109)-(ABERTURAS!$Q$7:$Q$26)))/2))/2))</f>
        <v>0</v>
      </c>
      <c r="Q109" s="30" t="n">
        <f aca="false">IF($U109=0,0,SUMPRODUCT((ABERTURAS!$N$7:$N$26=$U109)*ABERTURAS!$V$7:$V$26*(((($Y109)+(ABERTURAS!$P$7:$P$26)-ABS(($Y109)-(ABERTURAS!$P$7:$P$26)))/2-(($X109)+(ABERTURAS!$O$7:$O$26)+ABS(($X109)-(ABERTURAS!$O$7:$O$26)))/2)+ABS((($Y109)+(ABERTURAS!$P$7:$P$26)-ABS(($Y109)-(ABERTURAS!$P$7:$P$26)))/2-(($X109)+(ABERTURAS!$O$7:$O$26)+ABS(($X109)-(ABERTURAS!$O$7:$O$26)))/2))/2*(((($AA109)+(ABERTURAS!$R$7:$R$26)-ABS(($AA109)-(ABERTURAS!$R$7:$R$26)))/2-(($Z109)+(ABERTURAS!$Q$7:$Q$26)+ABS(($Z109)-(ABERTURAS!$Q$7:$Q$26)))/2)+ABS((($AA109)+(ABERTURAS!$R$7:$R$26)-ABS(($AA109)-(ABERTURAS!$R$7:$R$26)))/2-(($Z109)+(ABERTURAS!$Q$7:$Q$26)+ABS(($Z109)-(ABERTURAS!$Q$7:$Q$26)))/2))/2))</f>
        <v>0</v>
      </c>
      <c r="R109" s="30" t="n">
        <f aca="false">MAX(0,$O109-$P109)</f>
        <v>0.483435</v>
      </c>
      <c r="S109" s="30" t="n">
        <f aca="false">MAX(0,$O109-$Q109)</f>
        <v>0.483435</v>
      </c>
      <c r="T109" s="50" t="n">
        <f aca="false">IF($D109="",0,IF($E109="VERTICAL",N($G109),MAX(N($I109),IF($K109="",N($I109),$K109))))</f>
        <v>10.35</v>
      </c>
      <c r="U109" s="50" t="n">
        <f aca="false">IF($L109&lt;&gt;"OK",0,VALUE(RIGHT($C109,1)))</f>
        <v>4</v>
      </c>
      <c r="V109" s="50" t="n">
        <f aca="false">IF($D109="",0,(N($H109)+IF($J109="",N($H109),$J109))/2)</f>
        <v>9.95815</v>
      </c>
      <c r="W109" s="50" t="n">
        <f aca="false">IF($D109="",0,(N($I109)+IF($K109="",N($I109),$K109))/2)</f>
        <v>10.31625</v>
      </c>
      <c r="X109" s="50" t="n">
        <f aca="false">IF($E109="VERTICAL",$V109,N($F109))</f>
        <v>5.4</v>
      </c>
      <c r="Y109" s="50" t="n">
        <f aca="false">IF($E109="VERTICAL",$W109,N($G109))</f>
        <v>6.75</v>
      </c>
      <c r="Z109" s="50" t="n">
        <f aca="false">IF($E109="VERTICAL",N($F109),$V109)</f>
        <v>9.95815</v>
      </c>
      <c r="AA109" s="50" t="n">
        <f aca="false">IF($E109="VERTICAL",N($G109),$W109)</f>
        <v>10.31625</v>
      </c>
      <c r="AB109" s="30" t="n">
        <f aca="false">IF($L109&lt;&gt;"OK",0,(INDEX(PRESIONES!$D$28:$D$31,$U109)*IF(INDEX(PRESIONES!$D$28:$D$31,$U109)&gt;0,PRESIONES!$C$9*IF($T109&lt;=10,1,($T109/10)^(2/DATOS!$C$56)),PRESIONES!$C$15)-ABERTURAS!$L$60*PRESIONES!$C$12)*$R109/$M109)</f>
        <v>0.148987177139312</v>
      </c>
      <c r="AC109" s="30" t="n">
        <f aca="false">IF($L109&lt;&gt;"OK",0,(INDEX(PRESIONES!$G$28:$G$31,$U109)*IF(INDEX(PRESIONES!$G$28:$G$31,$U109)&gt;0,PRESIONES!$C$9*IF($T109&lt;=10,1,($T109/10)^(2/DATOS!$C$56)),PRESIONES!$C$15)-ABERTURAS!$L$61*PRESIONES!$C$12)*$R109/$M109)</f>
        <v>22.6302522789319</v>
      </c>
      <c r="AD109" s="30" t="n">
        <f aca="false">IF($L109&lt;&gt;"OK",0,(INDEX(PRESIONES!$J$28:$J$31,$U109)*IF(INDEX(PRESIONES!$J$28:$J$31,$U109)&gt;0,PRESIONES!$C$9*IF($T109&lt;=10,1,($T109/10)^(2/DATOS!$C$56)),PRESIONES!$C$15)-ABERTURAS!$L$62*PRESIONES!$C$12)*$R109/$M109)</f>
        <v>-1.54009538743283</v>
      </c>
      <c r="AE109" s="30" t="n">
        <f aca="false">IF($L109&lt;&gt;"OK",0,(INDEX(PRESIONES!$M$28:$M$31,$U109)*IF(INDEX(PRESIONES!$M$28:$M$31,$U109)&gt;0,PRESIONES!$C$9*IF($T109&lt;=10,1,($T109/10)^(2/DATOS!$C$56)),PRESIONES!$C$15)-ABERTURAS!$L$63*PRESIONES!$C$12)*$R109/$M109)</f>
        <v>-25.147240765709</v>
      </c>
      <c r="AF109" s="30" t="n">
        <f aca="false">IF($L109&lt;&gt;"OK",0,(INDEX(PRESIONES!$D$28:$D$31,$U109)*IF(INDEX(PRESIONES!$D$28:$D$31,$U109)&gt;0,PRESIONES!$C$9*IF($T109&lt;=10,1,($T109/10)^(2/DATOS!$C$56)),PRESIONES!$C$15)-ABERTURAS!$L$64*PRESIONES!$C$12)*$S109/$M109)</f>
        <v>0.148987177139312</v>
      </c>
      <c r="AG109" s="30" t="n">
        <f aca="false">IF($L109&lt;&gt;"OK",0,(INDEX(PRESIONES!$G$28:$G$31,$U109)*IF(INDEX(PRESIONES!$G$28:$G$31,$U109)&gt;0,PRESIONES!$C$9*IF($T109&lt;=10,1,($T109/10)^(2/DATOS!$C$56)),PRESIONES!$C$15)-ABERTURAS!$L$65*PRESIONES!$C$12)*$S109/$M109)</f>
        <v>22.6302522789319</v>
      </c>
      <c r="AH109" s="30" t="n">
        <f aca="false">IF($L109&lt;&gt;"OK",0,(INDEX(PRESIONES!$J$28:$J$31,$U109)*IF(INDEX(PRESIONES!$J$28:$J$31,$U109)&gt;0,PRESIONES!$C$9*IF($T109&lt;=10,1,($T109/10)^(2/DATOS!$C$56)),PRESIONES!$C$15)-ABERTURAS!$L$66*PRESIONES!$C$12)*$S109/$M109)</f>
        <v>-1.54009538743283</v>
      </c>
      <c r="AI109" s="30" t="n">
        <f aca="false">IF($L109&lt;&gt;"OK",0,(INDEX(PRESIONES!$M$28:$M$31,$U109)*IF(INDEX(PRESIONES!$M$28:$M$31,$U109)&gt;0,PRESIONES!$C$9*IF($T109&lt;=10,1,($T109/10)^(2/DATOS!$C$56)),PRESIONES!$C$15)-ABERTURAS!$L$67*PRESIONES!$C$12)*$S109/$M109)</f>
        <v>-25.147240765709</v>
      </c>
    </row>
    <row r="110" customFormat="false" ht="16.5" hidden="false" customHeight="true" outlineLevel="0" collapsed="false">
      <c r="B110" s="27" t="s">
        <v>562</v>
      </c>
      <c r="C110" s="17" t="s">
        <v>480</v>
      </c>
      <c r="D110" s="27" t="s">
        <v>563</v>
      </c>
      <c r="E110" s="17" t="s">
        <v>432</v>
      </c>
      <c r="F110" s="49" t="n">
        <v>6.75</v>
      </c>
      <c r="G110" s="49" t="n">
        <v>8.1</v>
      </c>
      <c r="H110" s="49" t="n">
        <v>9.9413</v>
      </c>
      <c r="I110" s="49" t="n">
        <v>10.2825</v>
      </c>
      <c r="J110" s="49" t="n">
        <v>9.9075</v>
      </c>
      <c r="K110" s="49" t="n">
        <v>10.215</v>
      </c>
      <c r="L110" s="20" t="str">
        <f aca="false">IF($D110="","",IF(LEFT($C110,4)&lt;&gt;"MURO","PON EL MURO",IF(AND($E110&lt;&gt;"HORIZONTAL",$E110&lt;&gt;"VERTICAL"),"PON EL SENTIDO",IF(OR($F110="",$G110="",$H110="",$I110=""),"FALTAN a o b",IF($M110&lt;=0,"a₂ DEBE SER &gt; a₁",IF($N110&lt;=0,"b₂ DEBE SER &gt; b₁","OK"))))))</f>
        <v>OK</v>
      </c>
      <c r="M110" s="30" t="n">
        <f aca="false">IF($D110="",0,MAX(0,$G110-$F110))</f>
        <v>1.35</v>
      </c>
      <c r="N110" s="30" t="n">
        <f aca="false">MAX(0,$W110-$V110)</f>
        <v>0.324350000000001</v>
      </c>
      <c r="O110" s="30" t="n">
        <f aca="false">$M110*$N110</f>
        <v>0.437872500000001</v>
      </c>
      <c r="P110" s="30" t="n">
        <f aca="false">IF($U110=0,0,SUMPRODUCT((ABERTURAS!$N$7:$N$26=$U110)*ABERTURAS!$U$7:$U$26*(((($Y110)+(ABERTURAS!$P$7:$P$26)-ABS(($Y110)-(ABERTURAS!$P$7:$P$26)))/2-(($X110)+(ABERTURAS!$O$7:$O$26)+ABS(($X110)-(ABERTURAS!$O$7:$O$26)))/2)+ABS((($Y110)+(ABERTURAS!$P$7:$P$26)-ABS(($Y110)-(ABERTURAS!$P$7:$P$26)))/2-(($X110)+(ABERTURAS!$O$7:$O$26)+ABS(($X110)-(ABERTURAS!$O$7:$O$26)))/2))/2*(((($AA110)+(ABERTURAS!$R$7:$R$26)-ABS(($AA110)-(ABERTURAS!$R$7:$R$26)))/2-(($Z110)+(ABERTURAS!$Q$7:$Q$26)+ABS(($Z110)-(ABERTURAS!$Q$7:$Q$26)))/2)+ABS((($AA110)+(ABERTURAS!$R$7:$R$26)-ABS(($AA110)-(ABERTURAS!$R$7:$R$26)))/2-(($Z110)+(ABERTURAS!$Q$7:$Q$26)+ABS(($Z110)-(ABERTURAS!$Q$7:$Q$26)))/2))/2))</f>
        <v>0</v>
      </c>
      <c r="Q110" s="30" t="n">
        <f aca="false">IF($U110=0,0,SUMPRODUCT((ABERTURAS!$N$7:$N$26=$U110)*ABERTURAS!$V$7:$V$26*(((($Y110)+(ABERTURAS!$P$7:$P$26)-ABS(($Y110)-(ABERTURAS!$P$7:$P$26)))/2-(($X110)+(ABERTURAS!$O$7:$O$26)+ABS(($X110)-(ABERTURAS!$O$7:$O$26)))/2)+ABS((($Y110)+(ABERTURAS!$P$7:$P$26)-ABS(($Y110)-(ABERTURAS!$P$7:$P$26)))/2-(($X110)+(ABERTURAS!$O$7:$O$26)+ABS(($X110)-(ABERTURAS!$O$7:$O$26)))/2))/2*(((($AA110)+(ABERTURAS!$R$7:$R$26)-ABS(($AA110)-(ABERTURAS!$R$7:$R$26)))/2-(($Z110)+(ABERTURAS!$Q$7:$Q$26)+ABS(($Z110)-(ABERTURAS!$Q$7:$Q$26)))/2)+ABS((($AA110)+(ABERTURAS!$R$7:$R$26)-ABS(($AA110)-(ABERTURAS!$R$7:$R$26)))/2-(($Z110)+(ABERTURAS!$Q$7:$Q$26)+ABS(($Z110)-(ABERTURAS!$Q$7:$Q$26)))/2))/2))</f>
        <v>0</v>
      </c>
      <c r="R110" s="30" t="n">
        <f aca="false">MAX(0,$O110-$P110)</f>
        <v>0.437872500000001</v>
      </c>
      <c r="S110" s="30" t="n">
        <f aca="false">MAX(0,$O110-$Q110)</f>
        <v>0.437872500000001</v>
      </c>
      <c r="T110" s="50" t="n">
        <f aca="false">IF($D110="",0,IF($E110="VERTICAL",N($G110),MAX(N($I110),IF($K110="",N($I110),$K110))))</f>
        <v>10.2825</v>
      </c>
      <c r="U110" s="50" t="n">
        <f aca="false">IF($L110&lt;&gt;"OK",0,VALUE(RIGHT($C110,1)))</f>
        <v>4</v>
      </c>
      <c r="V110" s="50" t="n">
        <f aca="false">IF($D110="",0,(N($H110)+IF($J110="",N($H110),$J110))/2)</f>
        <v>9.9244</v>
      </c>
      <c r="W110" s="50" t="n">
        <f aca="false">IF($D110="",0,(N($I110)+IF($K110="",N($I110),$K110))/2)</f>
        <v>10.24875</v>
      </c>
      <c r="X110" s="50" t="n">
        <f aca="false">IF($E110="VERTICAL",$V110,N($F110))</f>
        <v>6.75</v>
      </c>
      <c r="Y110" s="50" t="n">
        <f aca="false">IF($E110="VERTICAL",$W110,N($G110))</f>
        <v>8.1</v>
      </c>
      <c r="Z110" s="50" t="n">
        <f aca="false">IF($E110="VERTICAL",N($F110),$V110)</f>
        <v>9.9244</v>
      </c>
      <c r="AA110" s="50" t="n">
        <f aca="false">IF($E110="VERTICAL",N($G110),$W110)</f>
        <v>10.24875</v>
      </c>
      <c r="AB110" s="30" t="n">
        <f aca="false">IF($L110&lt;&gt;"OK",0,(INDEX(PRESIONES!$D$28:$D$31,$U110)*IF(INDEX(PRESIONES!$D$28:$D$31,$U110)&gt;0,PRESIONES!$C$9*IF($T110&lt;=10,1,($T110/10)^(2/DATOS!$C$56)),PRESIONES!$C$15)-ABERTURAS!$L$60*PRESIONES!$C$12)*$R110/$M110)</f>
        <v>0.134945520539335</v>
      </c>
      <c r="AC110" s="30" t="n">
        <f aca="false">IF($L110&lt;&gt;"OK",0,(INDEX(PRESIONES!$G$28:$G$31,$U110)*IF(INDEX(PRESIONES!$G$28:$G$31,$U110)&gt;0,PRESIONES!$C$9*IF($T110&lt;=10,1,($T110/10)^(2/DATOS!$C$56)),PRESIONES!$C$15)-ABERTURAS!$L$61*PRESIONES!$C$12)*$R110/$M110)</f>
        <v>20.4739172765855</v>
      </c>
      <c r="AD110" s="30" t="n">
        <f aca="false">IF($L110&lt;&gt;"OK",0,(INDEX(PRESIONES!$J$28:$J$31,$U110)*IF(INDEX(PRESIONES!$J$28:$J$31,$U110)&gt;0,PRESIONES!$C$9*IF($T110&lt;=10,1,($T110/10)^(2/DATOS!$C$56)),PRESIONES!$C$15)-ABERTURAS!$L$62*PRESIONES!$C$12)*$R110/$M110)</f>
        <v>-1.3949453753528</v>
      </c>
      <c r="AE110" s="30" t="n">
        <f aca="false">IF($L110&lt;&gt;"OK",0,(INDEX(PRESIONES!$M$28:$M$31,$U110)*IF(INDEX(PRESIONES!$M$28:$M$31,$U110)&gt;0,PRESIONES!$C$9*IF($T110&lt;=10,1,($T110/10)^(2/DATOS!$C$56)),PRESIONES!$C$15)-ABERTURAS!$L$63*PRESIONES!$C$12)*$R110/$M110)</f>
        <v>-22.7771782808091</v>
      </c>
      <c r="AF110" s="30" t="n">
        <f aca="false">IF($L110&lt;&gt;"OK",0,(INDEX(PRESIONES!$D$28:$D$31,$U110)*IF(INDEX(PRESIONES!$D$28:$D$31,$U110)&gt;0,PRESIONES!$C$9*IF($T110&lt;=10,1,($T110/10)^(2/DATOS!$C$56)),PRESIONES!$C$15)-ABERTURAS!$L$64*PRESIONES!$C$12)*$S110/$M110)</f>
        <v>0.134945520539335</v>
      </c>
      <c r="AG110" s="30" t="n">
        <f aca="false">IF($L110&lt;&gt;"OK",0,(INDEX(PRESIONES!$G$28:$G$31,$U110)*IF(INDEX(PRESIONES!$G$28:$G$31,$U110)&gt;0,PRESIONES!$C$9*IF($T110&lt;=10,1,($T110/10)^(2/DATOS!$C$56)),PRESIONES!$C$15)-ABERTURAS!$L$65*PRESIONES!$C$12)*$S110/$M110)</f>
        <v>20.4739172765855</v>
      </c>
      <c r="AH110" s="30" t="n">
        <f aca="false">IF($L110&lt;&gt;"OK",0,(INDEX(PRESIONES!$J$28:$J$31,$U110)*IF(INDEX(PRESIONES!$J$28:$J$31,$U110)&gt;0,PRESIONES!$C$9*IF($T110&lt;=10,1,($T110/10)^(2/DATOS!$C$56)),PRESIONES!$C$15)-ABERTURAS!$L$66*PRESIONES!$C$12)*$S110/$M110)</f>
        <v>-1.3949453753528</v>
      </c>
      <c r="AI110" s="30" t="n">
        <f aca="false">IF($L110&lt;&gt;"OK",0,(INDEX(PRESIONES!$M$28:$M$31,$U110)*IF(INDEX(PRESIONES!$M$28:$M$31,$U110)&gt;0,PRESIONES!$C$9*IF($T110&lt;=10,1,($T110/10)^(2/DATOS!$C$56)),PRESIONES!$C$15)-ABERTURAS!$L$67*PRESIONES!$C$12)*$S110/$M110)</f>
        <v>-22.7771782808091</v>
      </c>
    </row>
    <row r="111" customFormat="false" ht="16.5" hidden="false" customHeight="true" outlineLevel="0" collapsed="false">
      <c r="B111" s="27" t="s">
        <v>564</v>
      </c>
      <c r="C111" s="17" t="s">
        <v>480</v>
      </c>
      <c r="D111" s="27" t="s">
        <v>565</v>
      </c>
      <c r="E111" s="17" t="s">
        <v>432</v>
      </c>
      <c r="F111" s="49" t="n">
        <v>8.1</v>
      </c>
      <c r="G111" s="49" t="n">
        <v>9.45</v>
      </c>
      <c r="H111" s="49" t="n">
        <v>9.9075</v>
      </c>
      <c r="I111" s="49" t="n">
        <v>10.215</v>
      </c>
      <c r="J111" s="49" t="n">
        <v>9.8738</v>
      </c>
      <c r="K111" s="49" t="n">
        <v>10.1475</v>
      </c>
      <c r="L111" s="20" t="str">
        <f aca="false">IF($D111="","",IF(LEFT($C111,4)&lt;&gt;"MURO","PON EL MURO",IF(AND($E111&lt;&gt;"HORIZONTAL",$E111&lt;&gt;"VERTICAL"),"PON EL SENTIDO",IF(OR($F111="",$G111="",$H111="",$I111=""),"FALTAN a o b",IF($M111&lt;=0,"a₂ DEBE SER &gt; a₁",IF($N111&lt;=0,"b₂ DEBE SER &gt; b₁","OK"))))))</f>
        <v>OK</v>
      </c>
      <c r="M111" s="30" t="n">
        <f aca="false">IF($D111="",0,MAX(0,$G111-$F111))</f>
        <v>1.35</v>
      </c>
      <c r="N111" s="30" t="n">
        <f aca="false">MAX(0,$W111-$V111)</f>
        <v>0.2906</v>
      </c>
      <c r="O111" s="30" t="n">
        <f aca="false">$M111*$N111</f>
        <v>0.392309999999999</v>
      </c>
      <c r="P111" s="30" t="n">
        <f aca="false">IF($U111=0,0,SUMPRODUCT((ABERTURAS!$N$7:$N$26=$U111)*ABERTURAS!$U$7:$U$26*(((($Y111)+(ABERTURAS!$P$7:$P$26)-ABS(($Y111)-(ABERTURAS!$P$7:$P$26)))/2-(($X111)+(ABERTURAS!$O$7:$O$26)+ABS(($X111)-(ABERTURAS!$O$7:$O$26)))/2)+ABS((($Y111)+(ABERTURAS!$P$7:$P$26)-ABS(($Y111)-(ABERTURAS!$P$7:$P$26)))/2-(($X111)+(ABERTURAS!$O$7:$O$26)+ABS(($X111)-(ABERTURAS!$O$7:$O$26)))/2))/2*(((($AA111)+(ABERTURAS!$R$7:$R$26)-ABS(($AA111)-(ABERTURAS!$R$7:$R$26)))/2-(($Z111)+(ABERTURAS!$Q$7:$Q$26)+ABS(($Z111)-(ABERTURAS!$Q$7:$Q$26)))/2)+ABS((($AA111)+(ABERTURAS!$R$7:$R$26)-ABS(($AA111)-(ABERTURAS!$R$7:$R$26)))/2-(($Z111)+(ABERTURAS!$Q$7:$Q$26)+ABS(($Z111)-(ABERTURAS!$Q$7:$Q$26)))/2))/2))</f>
        <v>0</v>
      </c>
      <c r="Q111" s="30" t="n">
        <f aca="false">IF($U111=0,0,SUMPRODUCT((ABERTURAS!$N$7:$N$26=$U111)*ABERTURAS!$V$7:$V$26*(((($Y111)+(ABERTURAS!$P$7:$P$26)-ABS(($Y111)-(ABERTURAS!$P$7:$P$26)))/2-(($X111)+(ABERTURAS!$O$7:$O$26)+ABS(($X111)-(ABERTURAS!$O$7:$O$26)))/2)+ABS((($Y111)+(ABERTURAS!$P$7:$P$26)-ABS(($Y111)-(ABERTURAS!$P$7:$P$26)))/2-(($X111)+(ABERTURAS!$O$7:$O$26)+ABS(($X111)-(ABERTURAS!$O$7:$O$26)))/2))/2*(((($AA111)+(ABERTURAS!$R$7:$R$26)-ABS(($AA111)-(ABERTURAS!$R$7:$R$26)))/2-(($Z111)+(ABERTURAS!$Q$7:$Q$26)+ABS(($Z111)-(ABERTURAS!$Q$7:$Q$26)))/2)+ABS((($AA111)+(ABERTURAS!$R$7:$R$26)-ABS(($AA111)-(ABERTURAS!$R$7:$R$26)))/2-(($Z111)+(ABERTURAS!$Q$7:$Q$26)+ABS(($Z111)-(ABERTURAS!$Q$7:$Q$26)))/2))/2))</f>
        <v>0</v>
      </c>
      <c r="R111" s="30" t="n">
        <f aca="false">MAX(0,$O111-$P111)</f>
        <v>0.392309999999999</v>
      </c>
      <c r="S111" s="30" t="n">
        <f aca="false">MAX(0,$O111-$Q111)</f>
        <v>0.392309999999999</v>
      </c>
      <c r="T111" s="50" t="n">
        <f aca="false">IF($D111="",0,IF($E111="VERTICAL",N($G111),MAX(N($I111),IF($K111="",N($I111),$K111))))</f>
        <v>10.215</v>
      </c>
      <c r="U111" s="50" t="n">
        <f aca="false">IF($L111&lt;&gt;"OK",0,VALUE(RIGHT($C111,1)))</f>
        <v>4</v>
      </c>
      <c r="V111" s="50" t="n">
        <f aca="false">IF($D111="",0,(N($H111)+IF($J111="",N($H111),$J111))/2)</f>
        <v>9.89065</v>
      </c>
      <c r="W111" s="50" t="n">
        <f aca="false">IF($D111="",0,(N($I111)+IF($K111="",N($I111),$K111))/2)</f>
        <v>10.18125</v>
      </c>
      <c r="X111" s="50" t="n">
        <f aca="false">IF($E111="VERTICAL",$V111,N($F111))</f>
        <v>8.1</v>
      </c>
      <c r="Y111" s="50" t="n">
        <f aca="false">IF($E111="VERTICAL",$W111,N($G111))</f>
        <v>9.45</v>
      </c>
      <c r="Z111" s="50" t="n">
        <f aca="false">IF($E111="VERTICAL",N($F111),$V111)</f>
        <v>9.89065</v>
      </c>
      <c r="AA111" s="50" t="n">
        <f aca="false">IF($E111="VERTICAL",N($G111),$W111)</f>
        <v>10.18125</v>
      </c>
      <c r="AB111" s="30" t="n">
        <f aca="false">IF($L111&lt;&gt;"OK",0,(INDEX(PRESIONES!$D$28:$D$31,$U111)*IF(INDEX(PRESIONES!$D$28:$D$31,$U111)&gt;0,PRESIONES!$C$9*IF($T111&lt;=10,1,($T111/10)^(2/DATOS!$C$56)),PRESIONES!$C$15)-ABERTURAS!$L$60*PRESIONES!$C$12)*$R111/$M111)</f>
        <v>0.120903863939357</v>
      </c>
      <c r="AC111" s="30" t="n">
        <f aca="false">IF($L111&lt;&gt;"OK",0,(INDEX(PRESIONES!$G$28:$G$31,$U111)*IF(INDEX(PRESIONES!$G$28:$G$31,$U111)&gt;0,PRESIONES!$C$9*IF($T111&lt;=10,1,($T111/10)^(2/DATOS!$C$56)),PRESIONES!$C$15)-ABERTURAS!$L$61*PRESIONES!$C$12)*$R111/$M111)</f>
        <v>18.3223722725822</v>
      </c>
      <c r="AD111" s="30" t="n">
        <f aca="false">IF($L111&lt;&gt;"OK",0,(INDEX(PRESIONES!$J$28:$J$31,$U111)*IF(INDEX(PRESIONES!$J$28:$J$31,$U111)&gt;0,PRESIONES!$C$9*IF($T111&lt;=10,1,($T111/10)^(2/DATOS!$C$56)),PRESIONES!$C$15)-ABERTURAS!$L$62*PRESIONES!$C$12)*$R111/$M111)</f>
        <v>-1.24979536327277</v>
      </c>
      <c r="AE111" s="30" t="n">
        <f aca="false">IF($L111&lt;&gt;"OK",0,(INDEX(PRESIONES!$M$28:$M$31,$U111)*IF(INDEX(PRESIONES!$M$28:$M$31,$U111)&gt;0,PRESIONES!$C$9*IF($T111&lt;=10,1,($T111/10)^(2/DATOS!$C$56)),PRESIONES!$C$15)-ABERTURAS!$L$63*PRESIONES!$C$12)*$R111/$M111)</f>
        <v>-20.407115795909</v>
      </c>
      <c r="AF111" s="30" t="n">
        <f aca="false">IF($L111&lt;&gt;"OK",0,(INDEX(PRESIONES!$D$28:$D$31,$U111)*IF(INDEX(PRESIONES!$D$28:$D$31,$U111)&gt;0,PRESIONES!$C$9*IF($T111&lt;=10,1,($T111/10)^(2/DATOS!$C$56)),PRESIONES!$C$15)-ABERTURAS!$L$64*PRESIONES!$C$12)*$S111/$M111)</f>
        <v>0.120903863939357</v>
      </c>
      <c r="AG111" s="30" t="n">
        <f aca="false">IF($L111&lt;&gt;"OK",0,(INDEX(PRESIONES!$G$28:$G$31,$U111)*IF(INDEX(PRESIONES!$G$28:$G$31,$U111)&gt;0,PRESIONES!$C$9*IF($T111&lt;=10,1,($T111/10)^(2/DATOS!$C$56)),PRESIONES!$C$15)-ABERTURAS!$L$65*PRESIONES!$C$12)*$S111/$M111)</f>
        <v>18.3223722725822</v>
      </c>
      <c r="AH111" s="30" t="n">
        <f aca="false">IF($L111&lt;&gt;"OK",0,(INDEX(PRESIONES!$J$28:$J$31,$U111)*IF(INDEX(PRESIONES!$J$28:$J$31,$U111)&gt;0,PRESIONES!$C$9*IF($T111&lt;=10,1,($T111/10)^(2/DATOS!$C$56)),PRESIONES!$C$15)-ABERTURAS!$L$66*PRESIONES!$C$12)*$S111/$M111)</f>
        <v>-1.24979536327277</v>
      </c>
      <c r="AI111" s="30" t="n">
        <f aca="false">IF($L111&lt;&gt;"OK",0,(INDEX(PRESIONES!$M$28:$M$31,$U111)*IF(INDEX(PRESIONES!$M$28:$M$31,$U111)&gt;0,PRESIONES!$C$9*IF($T111&lt;=10,1,($T111/10)^(2/DATOS!$C$56)),PRESIONES!$C$15)-ABERTURAS!$L$67*PRESIONES!$C$12)*$S111/$M111)</f>
        <v>-20.407115795909</v>
      </c>
    </row>
    <row r="112" customFormat="false" ht="16.5" hidden="false" customHeight="true" outlineLevel="0" collapsed="false">
      <c r="B112" s="27" t="s">
        <v>566</v>
      </c>
      <c r="C112" s="17" t="s">
        <v>480</v>
      </c>
      <c r="D112" s="27" t="s">
        <v>567</v>
      </c>
      <c r="E112" s="17" t="s">
        <v>432</v>
      </c>
      <c r="F112" s="49" t="n">
        <v>9.45</v>
      </c>
      <c r="G112" s="49" t="n">
        <v>10.8</v>
      </c>
      <c r="H112" s="49" t="n">
        <v>9.8738</v>
      </c>
      <c r="I112" s="49" t="n">
        <v>10.1475</v>
      </c>
      <c r="J112" s="49" t="n">
        <v>9.84</v>
      </c>
      <c r="K112" s="49" t="n">
        <v>10.08</v>
      </c>
      <c r="L112" s="20" t="str">
        <f aca="false">IF($D112="","",IF(LEFT($C112,4)&lt;&gt;"MURO","PON EL MURO",IF(AND($E112&lt;&gt;"HORIZONTAL",$E112&lt;&gt;"VERTICAL"),"PON EL SENTIDO",IF(OR($F112="",$G112="",$H112="",$I112=""),"FALTAN a o b",IF($M112&lt;=0,"a₂ DEBE SER &gt; a₁",IF($N112&lt;=0,"b₂ DEBE SER &gt; b₁","OK"))))))</f>
        <v>OK</v>
      </c>
      <c r="M112" s="30" t="n">
        <f aca="false">IF($D112="",0,MAX(0,$G112-$F112))</f>
        <v>1.35</v>
      </c>
      <c r="N112" s="30" t="n">
        <f aca="false">MAX(0,$W112-$V112)</f>
        <v>0.25685</v>
      </c>
      <c r="O112" s="30" t="n">
        <f aca="false">$M112*$N112</f>
        <v>0.3467475</v>
      </c>
      <c r="P112" s="30" t="n">
        <f aca="false">IF($U112=0,0,SUMPRODUCT((ABERTURAS!$N$7:$N$26=$U112)*ABERTURAS!$U$7:$U$26*(((($Y112)+(ABERTURAS!$P$7:$P$26)-ABS(($Y112)-(ABERTURAS!$P$7:$P$26)))/2-(($X112)+(ABERTURAS!$O$7:$O$26)+ABS(($X112)-(ABERTURAS!$O$7:$O$26)))/2)+ABS((($Y112)+(ABERTURAS!$P$7:$P$26)-ABS(($Y112)-(ABERTURAS!$P$7:$P$26)))/2-(($X112)+(ABERTURAS!$O$7:$O$26)+ABS(($X112)-(ABERTURAS!$O$7:$O$26)))/2))/2*(((($AA112)+(ABERTURAS!$R$7:$R$26)-ABS(($AA112)-(ABERTURAS!$R$7:$R$26)))/2-(($Z112)+(ABERTURAS!$Q$7:$Q$26)+ABS(($Z112)-(ABERTURAS!$Q$7:$Q$26)))/2)+ABS((($AA112)+(ABERTURAS!$R$7:$R$26)-ABS(($AA112)-(ABERTURAS!$R$7:$R$26)))/2-(($Z112)+(ABERTURAS!$Q$7:$Q$26)+ABS(($Z112)-(ABERTURAS!$Q$7:$Q$26)))/2))/2))</f>
        <v>0</v>
      </c>
      <c r="Q112" s="30" t="n">
        <f aca="false">IF($U112=0,0,SUMPRODUCT((ABERTURAS!$N$7:$N$26=$U112)*ABERTURAS!$V$7:$V$26*(((($Y112)+(ABERTURAS!$P$7:$P$26)-ABS(($Y112)-(ABERTURAS!$P$7:$P$26)))/2-(($X112)+(ABERTURAS!$O$7:$O$26)+ABS(($X112)-(ABERTURAS!$O$7:$O$26)))/2)+ABS((($Y112)+(ABERTURAS!$P$7:$P$26)-ABS(($Y112)-(ABERTURAS!$P$7:$P$26)))/2-(($X112)+(ABERTURAS!$O$7:$O$26)+ABS(($X112)-(ABERTURAS!$O$7:$O$26)))/2))/2*(((($AA112)+(ABERTURAS!$R$7:$R$26)-ABS(($AA112)-(ABERTURAS!$R$7:$R$26)))/2-(($Z112)+(ABERTURAS!$Q$7:$Q$26)+ABS(($Z112)-(ABERTURAS!$Q$7:$Q$26)))/2)+ABS((($AA112)+(ABERTURAS!$R$7:$R$26)-ABS(($AA112)-(ABERTURAS!$R$7:$R$26)))/2-(($Z112)+(ABERTURAS!$Q$7:$Q$26)+ABS(($Z112)-(ABERTURAS!$Q$7:$Q$26)))/2))/2))</f>
        <v>0</v>
      </c>
      <c r="R112" s="30" t="n">
        <f aca="false">MAX(0,$O112-$P112)</f>
        <v>0.3467475</v>
      </c>
      <c r="S112" s="30" t="n">
        <f aca="false">MAX(0,$O112-$Q112)</f>
        <v>0.3467475</v>
      </c>
      <c r="T112" s="50" t="n">
        <f aca="false">IF($D112="",0,IF($E112="VERTICAL",N($G112),MAX(N($I112),IF($K112="",N($I112),$K112))))</f>
        <v>10.1475</v>
      </c>
      <c r="U112" s="50" t="n">
        <f aca="false">IF($L112&lt;&gt;"OK",0,VALUE(RIGHT($C112,1)))</f>
        <v>4</v>
      </c>
      <c r="V112" s="50" t="n">
        <f aca="false">IF($D112="",0,(N($H112)+IF($J112="",N($H112),$J112))/2)</f>
        <v>9.8569</v>
      </c>
      <c r="W112" s="50" t="n">
        <f aca="false">IF($D112="",0,(N($I112)+IF($K112="",N($I112),$K112))/2)</f>
        <v>10.11375</v>
      </c>
      <c r="X112" s="50" t="n">
        <f aca="false">IF($E112="VERTICAL",$V112,N($F112))</f>
        <v>9.45</v>
      </c>
      <c r="Y112" s="50" t="n">
        <f aca="false">IF($E112="VERTICAL",$W112,N($G112))</f>
        <v>10.8</v>
      </c>
      <c r="Z112" s="50" t="n">
        <f aca="false">IF($E112="VERTICAL",N($F112),$V112)</f>
        <v>9.8569</v>
      </c>
      <c r="AA112" s="50" t="n">
        <f aca="false">IF($E112="VERTICAL",N($G112),$W112)</f>
        <v>10.11375</v>
      </c>
      <c r="AB112" s="30" t="n">
        <f aca="false">IF($L112&lt;&gt;"OK",0,(INDEX(PRESIONES!$D$28:$D$31,$U112)*IF(INDEX(PRESIONES!$D$28:$D$31,$U112)&gt;0,PRESIONES!$C$9*IF($T112&lt;=10,1,($T112/10)^(2/DATOS!$C$56)),PRESIONES!$C$15)-ABERTURAS!$L$60*PRESIONES!$C$12)*$R112/$M112)</f>
        <v>0.106862207339381</v>
      </c>
      <c r="AC112" s="30" t="n">
        <f aca="false">IF($L112&lt;&gt;"OK",0,(INDEX(PRESIONES!$G$28:$G$31,$U112)*IF(INDEX(PRESIONES!$G$28:$G$31,$U112)&gt;0,PRESIONES!$C$9*IF($T112&lt;=10,1,($T112/10)^(2/DATOS!$C$56)),PRESIONES!$C$15)-ABERTURAS!$L$61*PRESIONES!$C$12)*$R112/$M112)</f>
        <v>16.1756507411719</v>
      </c>
      <c r="AD112" s="30" t="n">
        <f aca="false">IF($L112&lt;&gt;"OK",0,(INDEX(PRESIONES!$J$28:$J$31,$U112)*IF(INDEX(PRESIONES!$J$28:$J$31,$U112)&gt;0,PRESIONES!$C$9*IF($T112&lt;=10,1,($T112/10)^(2/DATOS!$C$56)),PRESIONES!$C$15)-ABERTURAS!$L$62*PRESIONES!$C$12)*$R112/$M112)</f>
        <v>-1.10464535119274</v>
      </c>
      <c r="AE112" s="30" t="n">
        <f aca="false">IF($L112&lt;&gt;"OK",0,(INDEX(PRESIONES!$M$28:$M$31,$U112)*IF(INDEX(PRESIONES!$M$28:$M$31,$U112)&gt;0,PRESIONES!$C$9*IF($T112&lt;=10,1,($T112/10)^(2/DATOS!$C$56)),PRESIONES!$C$15)-ABERTURAS!$L$63*PRESIONES!$C$12)*$R112/$M112)</f>
        <v>-18.0370533110091</v>
      </c>
      <c r="AF112" s="30" t="n">
        <f aca="false">IF($L112&lt;&gt;"OK",0,(INDEX(PRESIONES!$D$28:$D$31,$U112)*IF(INDEX(PRESIONES!$D$28:$D$31,$U112)&gt;0,PRESIONES!$C$9*IF($T112&lt;=10,1,($T112/10)^(2/DATOS!$C$56)),PRESIONES!$C$15)-ABERTURAS!$L$64*PRESIONES!$C$12)*$S112/$M112)</f>
        <v>0.106862207339381</v>
      </c>
      <c r="AG112" s="30" t="n">
        <f aca="false">IF($L112&lt;&gt;"OK",0,(INDEX(PRESIONES!$G$28:$G$31,$U112)*IF(INDEX(PRESIONES!$G$28:$G$31,$U112)&gt;0,PRESIONES!$C$9*IF($T112&lt;=10,1,($T112/10)^(2/DATOS!$C$56)),PRESIONES!$C$15)-ABERTURAS!$L$65*PRESIONES!$C$12)*$S112/$M112)</f>
        <v>16.1756507411719</v>
      </c>
      <c r="AH112" s="30" t="n">
        <f aca="false">IF($L112&lt;&gt;"OK",0,(INDEX(PRESIONES!$J$28:$J$31,$U112)*IF(INDEX(PRESIONES!$J$28:$J$31,$U112)&gt;0,PRESIONES!$C$9*IF($T112&lt;=10,1,($T112/10)^(2/DATOS!$C$56)),PRESIONES!$C$15)-ABERTURAS!$L$66*PRESIONES!$C$12)*$S112/$M112)</f>
        <v>-1.10464535119274</v>
      </c>
      <c r="AI112" s="30" t="n">
        <f aca="false">IF($L112&lt;&gt;"OK",0,(INDEX(PRESIONES!$M$28:$M$31,$U112)*IF(INDEX(PRESIONES!$M$28:$M$31,$U112)&gt;0,PRESIONES!$C$9*IF($T112&lt;=10,1,($T112/10)^(2/DATOS!$C$56)),PRESIONES!$C$15)-ABERTURAS!$L$67*PRESIONES!$C$12)*$S112/$M112)</f>
        <v>-18.0370533110091</v>
      </c>
    </row>
    <row r="113" customFormat="false" ht="16.5" hidden="false" customHeight="true" outlineLevel="0" collapsed="false">
      <c r="B113" s="27" t="s">
        <v>568</v>
      </c>
      <c r="C113" s="17" t="s">
        <v>480</v>
      </c>
      <c r="D113" s="27" t="s">
        <v>569</v>
      </c>
      <c r="E113" s="17" t="s">
        <v>432</v>
      </c>
      <c r="F113" s="49" t="n">
        <v>10.8</v>
      </c>
      <c r="G113" s="49" t="n">
        <v>12.15</v>
      </c>
      <c r="H113" s="49" t="n">
        <v>9.84</v>
      </c>
      <c r="I113" s="49" t="n">
        <v>10.08</v>
      </c>
      <c r="J113" s="49" t="n">
        <v>9.8063</v>
      </c>
      <c r="K113" s="49" t="n">
        <v>10.0125</v>
      </c>
      <c r="L113" s="20" t="str">
        <f aca="false">IF($D113="","",IF(LEFT($C113,4)&lt;&gt;"MURO","PON EL MURO",IF(AND($E113&lt;&gt;"HORIZONTAL",$E113&lt;&gt;"VERTICAL"),"PON EL SENTIDO",IF(OR($F113="",$G113="",$H113="",$I113=""),"FALTAN a o b",IF($M113&lt;=0,"a₂ DEBE SER &gt; a₁",IF($N113&lt;=0,"b₂ DEBE SER &gt; b₁","OK"))))))</f>
        <v>OK</v>
      </c>
      <c r="M113" s="30" t="n">
        <f aca="false">IF($D113="",0,MAX(0,$G113-$F113))</f>
        <v>1.35</v>
      </c>
      <c r="N113" s="30" t="n">
        <f aca="false">MAX(0,$W113-$V113)</f>
        <v>0.223100000000001</v>
      </c>
      <c r="O113" s="30" t="n">
        <f aca="false">$M113*$N113</f>
        <v>0.301185000000001</v>
      </c>
      <c r="P113" s="30" t="n">
        <f aca="false">IF($U113=0,0,SUMPRODUCT((ABERTURAS!$N$7:$N$26=$U113)*ABERTURAS!$U$7:$U$26*(((($Y113)+(ABERTURAS!$P$7:$P$26)-ABS(($Y113)-(ABERTURAS!$P$7:$P$26)))/2-(($X113)+(ABERTURAS!$O$7:$O$26)+ABS(($X113)-(ABERTURAS!$O$7:$O$26)))/2)+ABS((($Y113)+(ABERTURAS!$P$7:$P$26)-ABS(($Y113)-(ABERTURAS!$P$7:$P$26)))/2-(($X113)+(ABERTURAS!$O$7:$O$26)+ABS(($X113)-(ABERTURAS!$O$7:$O$26)))/2))/2*(((($AA113)+(ABERTURAS!$R$7:$R$26)-ABS(($AA113)-(ABERTURAS!$R$7:$R$26)))/2-(($Z113)+(ABERTURAS!$Q$7:$Q$26)+ABS(($Z113)-(ABERTURAS!$Q$7:$Q$26)))/2)+ABS((($AA113)+(ABERTURAS!$R$7:$R$26)-ABS(($AA113)-(ABERTURAS!$R$7:$R$26)))/2-(($Z113)+(ABERTURAS!$Q$7:$Q$26)+ABS(($Z113)-(ABERTURAS!$Q$7:$Q$26)))/2))/2))</f>
        <v>0</v>
      </c>
      <c r="Q113" s="30" t="n">
        <f aca="false">IF($U113=0,0,SUMPRODUCT((ABERTURAS!$N$7:$N$26=$U113)*ABERTURAS!$V$7:$V$26*(((($Y113)+(ABERTURAS!$P$7:$P$26)-ABS(($Y113)-(ABERTURAS!$P$7:$P$26)))/2-(($X113)+(ABERTURAS!$O$7:$O$26)+ABS(($X113)-(ABERTURAS!$O$7:$O$26)))/2)+ABS((($Y113)+(ABERTURAS!$P$7:$P$26)-ABS(($Y113)-(ABERTURAS!$P$7:$P$26)))/2-(($X113)+(ABERTURAS!$O$7:$O$26)+ABS(($X113)-(ABERTURAS!$O$7:$O$26)))/2))/2*(((($AA113)+(ABERTURAS!$R$7:$R$26)-ABS(($AA113)-(ABERTURAS!$R$7:$R$26)))/2-(($Z113)+(ABERTURAS!$Q$7:$Q$26)+ABS(($Z113)-(ABERTURAS!$Q$7:$Q$26)))/2)+ABS((($AA113)+(ABERTURAS!$R$7:$R$26)-ABS(($AA113)-(ABERTURAS!$R$7:$R$26)))/2-(($Z113)+(ABERTURAS!$Q$7:$Q$26)+ABS(($Z113)-(ABERTURAS!$Q$7:$Q$26)))/2))/2))</f>
        <v>0</v>
      </c>
      <c r="R113" s="30" t="n">
        <f aca="false">MAX(0,$O113-$P113)</f>
        <v>0.301185000000001</v>
      </c>
      <c r="S113" s="30" t="n">
        <f aca="false">MAX(0,$O113-$Q113)</f>
        <v>0.301185000000001</v>
      </c>
      <c r="T113" s="50" t="n">
        <f aca="false">IF($D113="",0,IF($E113="VERTICAL",N($G113),MAX(N($I113),IF($K113="",N($I113),$K113))))</f>
        <v>10.08</v>
      </c>
      <c r="U113" s="50" t="n">
        <f aca="false">IF($L113&lt;&gt;"OK",0,VALUE(RIGHT($C113,1)))</f>
        <v>4</v>
      </c>
      <c r="V113" s="50" t="n">
        <f aca="false">IF($D113="",0,(N($H113)+IF($J113="",N($H113),$J113))/2)</f>
        <v>9.82315</v>
      </c>
      <c r="W113" s="50" t="n">
        <f aca="false">IF($D113="",0,(N($I113)+IF($K113="",N($I113),$K113))/2)</f>
        <v>10.04625</v>
      </c>
      <c r="X113" s="50" t="n">
        <f aca="false">IF($E113="VERTICAL",$V113,N($F113))</f>
        <v>10.8</v>
      </c>
      <c r="Y113" s="50" t="n">
        <f aca="false">IF($E113="VERTICAL",$W113,N($G113))</f>
        <v>12.15</v>
      </c>
      <c r="Z113" s="50" t="n">
        <f aca="false">IF($E113="VERTICAL",N($F113),$V113)</f>
        <v>9.82315</v>
      </c>
      <c r="AA113" s="50" t="n">
        <f aca="false">IF($E113="VERTICAL",N($G113),$W113)</f>
        <v>10.04625</v>
      </c>
      <c r="AB113" s="30" t="n">
        <f aca="false">IF($L113&lt;&gt;"OK",0,(INDEX(PRESIONES!$D$28:$D$31,$U113)*IF(INDEX(PRESIONES!$D$28:$D$31,$U113)&gt;0,PRESIONES!$C$9*IF($T113&lt;=10,1,($T113/10)^(2/DATOS!$C$56)),PRESIONES!$C$15)-ABERTURAS!$L$60*PRESIONES!$C$12)*$R113/$M113)</f>
        <v>0.0928205507394038</v>
      </c>
      <c r="AC113" s="30" t="n">
        <f aca="false">IF($L113&lt;&gt;"OK",0,(INDEX(PRESIONES!$G$28:$G$31,$U113)*IF(INDEX(PRESIONES!$G$28:$G$31,$U113)&gt;0,PRESIONES!$C$9*IF($T113&lt;=10,1,($T113/10)^(2/DATOS!$C$56)),PRESIONES!$C$15)-ABERTURAS!$L$61*PRESIONES!$C$12)*$R113/$M113)</f>
        <v>14.0337866628195</v>
      </c>
      <c r="AD113" s="30" t="n">
        <f aca="false">IF($L113&lt;&gt;"OK",0,(INDEX(PRESIONES!$J$28:$J$31,$U113)*IF(INDEX(PRESIONES!$J$28:$J$31,$U113)&gt;0,PRESIONES!$C$9*IF($T113&lt;=10,1,($T113/10)^(2/DATOS!$C$56)),PRESIONES!$C$15)-ABERTURAS!$L$62*PRESIONES!$C$12)*$R113/$M113)</f>
        <v>-0.959495339112717</v>
      </c>
      <c r="AE113" s="30" t="n">
        <f aca="false">IF($L113&lt;&gt;"OK",0,(INDEX(PRESIONES!$M$28:$M$31,$U113)*IF(INDEX(PRESIONES!$M$28:$M$31,$U113)&gt;0,PRESIONES!$C$9*IF($T113&lt;=10,1,($T113/10)^(2/DATOS!$C$56)),PRESIONES!$C$15)-ABERTURAS!$L$63*PRESIONES!$C$12)*$R113/$M113)</f>
        <v>-15.6669908261091</v>
      </c>
      <c r="AF113" s="30" t="n">
        <f aca="false">IF($L113&lt;&gt;"OK",0,(INDEX(PRESIONES!$D$28:$D$31,$U113)*IF(INDEX(PRESIONES!$D$28:$D$31,$U113)&gt;0,PRESIONES!$C$9*IF($T113&lt;=10,1,($T113/10)^(2/DATOS!$C$56)),PRESIONES!$C$15)-ABERTURAS!$L$64*PRESIONES!$C$12)*$S113/$M113)</f>
        <v>0.0928205507394038</v>
      </c>
      <c r="AG113" s="30" t="n">
        <f aca="false">IF($L113&lt;&gt;"OK",0,(INDEX(PRESIONES!$G$28:$G$31,$U113)*IF(INDEX(PRESIONES!$G$28:$G$31,$U113)&gt;0,PRESIONES!$C$9*IF($T113&lt;=10,1,($T113/10)^(2/DATOS!$C$56)),PRESIONES!$C$15)-ABERTURAS!$L$65*PRESIONES!$C$12)*$S113/$M113)</f>
        <v>14.0337866628195</v>
      </c>
      <c r="AH113" s="30" t="n">
        <f aca="false">IF($L113&lt;&gt;"OK",0,(INDEX(PRESIONES!$J$28:$J$31,$U113)*IF(INDEX(PRESIONES!$J$28:$J$31,$U113)&gt;0,PRESIONES!$C$9*IF($T113&lt;=10,1,($T113/10)^(2/DATOS!$C$56)),PRESIONES!$C$15)-ABERTURAS!$L$66*PRESIONES!$C$12)*$S113/$M113)</f>
        <v>-0.959495339112717</v>
      </c>
      <c r="AI113" s="30" t="n">
        <f aca="false">IF($L113&lt;&gt;"OK",0,(INDEX(PRESIONES!$M$28:$M$31,$U113)*IF(INDEX(PRESIONES!$M$28:$M$31,$U113)&gt;0,PRESIONES!$C$9*IF($T113&lt;=10,1,($T113/10)^(2/DATOS!$C$56)),PRESIONES!$C$15)-ABERTURAS!$L$67*PRESIONES!$C$12)*$S113/$M113)</f>
        <v>-15.6669908261091</v>
      </c>
    </row>
    <row r="114" customFormat="false" ht="16.5" hidden="false" customHeight="true" outlineLevel="0" collapsed="false">
      <c r="B114" s="27" t="s">
        <v>570</v>
      </c>
      <c r="C114" s="17" t="s">
        <v>480</v>
      </c>
      <c r="D114" s="27" t="s">
        <v>571</v>
      </c>
      <c r="E114" s="17" t="s">
        <v>432</v>
      </c>
      <c r="F114" s="49" t="n">
        <v>12.15</v>
      </c>
      <c r="G114" s="49" t="n">
        <v>13.5</v>
      </c>
      <c r="H114" s="49" t="n">
        <v>9.8063</v>
      </c>
      <c r="I114" s="49" t="n">
        <v>10.0125</v>
      </c>
      <c r="J114" s="49" t="n">
        <v>9.7725</v>
      </c>
      <c r="K114" s="49" t="n">
        <v>9.945</v>
      </c>
      <c r="L114" s="20" t="str">
        <f aca="false">IF($D114="","",IF(LEFT($C114,4)&lt;&gt;"MURO","PON EL MURO",IF(AND($E114&lt;&gt;"HORIZONTAL",$E114&lt;&gt;"VERTICAL"),"PON EL SENTIDO",IF(OR($F114="",$G114="",$H114="",$I114=""),"FALTAN a o b",IF($M114&lt;=0,"a₂ DEBE SER &gt; a₁",IF($N114&lt;=0,"b₂ DEBE SER &gt; b₁","OK"))))))</f>
        <v>OK</v>
      </c>
      <c r="M114" s="30" t="n">
        <f aca="false">IF($D114="",0,MAX(0,$G114-$F114))</f>
        <v>1.35</v>
      </c>
      <c r="N114" s="30" t="n">
        <f aca="false">MAX(0,$W114-$V114)</f>
        <v>0.189349999999999</v>
      </c>
      <c r="O114" s="30" t="n">
        <f aca="false">$M114*$N114</f>
        <v>0.255622499999999</v>
      </c>
      <c r="P114" s="30" t="n">
        <f aca="false">IF($U114=0,0,SUMPRODUCT((ABERTURAS!$N$7:$N$26=$U114)*ABERTURAS!$U$7:$U$26*(((($Y114)+(ABERTURAS!$P$7:$P$26)-ABS(($Y114)-(ABERTURAS!$P$7:$P$26)))/2-(($X114)+(ABERTURAS!$O$7:$O$26)+ABS(($X114)-(ABERTURAS!$O$7:$O$26)))/2)+ABS((($Y114)+(ABERTURAS!$P$7:$P$26)-ABS(($Y114)-(ABERTURAS!$P$7:$P$26)))/2-(($X114)+(ABERTURAS!$O$7:$O$26)+ABS(($X114)-(ABERTURAS!$O$7:$O$26)))/2))/2*(((($AA114)+(ABERTURAS!$R$7:$R$26)-ABS(($AA114)-(ABERTURAS!$R$7:$R$26)))/2-(($Z114)+(ABERTURAS!$Q$7:$Q$26)+ABS(($Z114)-(ABERTURAS!$Q$7:$Q$26)))/2)+ABS((($AA114)+(ABERTURAS!$R$7:$R$26)-ABS(($AA114)-(ABERTURAS!$R$7:$R$26)))/2-(($Z114)+(ABERTURAS!$Q$7:$Q$26)+ABS(($Z114)-(ABERTURAS!$Q$7:$Q$26)))/2))/2))</f>
        <v>0</v>
      </c>
      <c r="Q114" s="30" t="n">
        <f aca="false">IF($U114=0,0,SUMPRODUCT((ABERTURAS!$N$7:$N$26=$U114)*ABERTURAS!$V$7:$V$26*(((($Y114)+(ABERTURAS!$P$7:$P$26)-ABS(($Y114)-(ABERTURAS!$P$7:$P$26)))/2-(($X114)+(ABERTURAS!$O$7:$O$26)+ABS(($X114)-(ABERTURAS!$O$7:$O$26)))/2)+ABS((($Y114)+(ABERTURAS!$P$7:$P$26)-ABS(($Y114)-(ABERTURAS!$P$7:$P$26)))/2-(($X114)+(ABERTURAS!$O$7:$O$26)+ABS(($X114)-(ABERTURAS!$O$7:$O$26)))/2))/2*(((($AA114)+(ABERTURAS!$R$7:$R$26)-ABS(($AA114)-(ABERTURAS!$R$7:$R$26)))/2-(($Z114)+(ABERTURAS!$Q$7:$Q$26)+ABS(($Z114)-(ABERTURAS!$Q$7:$Q$26)))/2)+ABS((($AA114)+(ABERTURAS!$R$7:$R$26)-ABS(($AA114)-(ABERTURAS!$R$7:$R$26)))/2-(($Z114)+(ABERTURAS!$Q$7:$Q$26)+ABS(($Z114)-(ABERTURAS!$Q$7:$Q$26)))/2))/2))</f>
        <v>0</v>
      </c>
      <c r="R114" s="30" t="n">
        <f aca="false">MAX(0,$O114-$P114)</f>
        <v>0.255622499999999</v>
      </c>
      <c r="S114" s="30" t="n">
        <f aca="false">MAX(0,$O114-$Q114)</f>
        <v>0.255622499999999</v>
      </c>
      <c r="T114" s="50" t="n">
        <f aca="false">IF($D114="",0,IF($E114="VERTICAL",N($G114),MAX(N($I114),IF($K114="",N($I114),$K114))))</f>
        <v>10.0125</v>
      </c>
      <c r="U114" s="50" t="n">
        <f aca="false">IF($L114&lt;&gt;"OK",0,VALUE(RIGHT($C114,1)))</f>
        <v>4</v>
      </c>
      <c r="V114" s="50" t="n">
        <f aca="false">IF($D114="",0,(N($H114)+IF($J114="",N($H114),$J114))/2)</f>
        <v>9.7894</v>
      </c>
      <c r="W114" s="50" t="n">
        <f aca="false">IF($D114="",0,(N($I114)+IF($K114="",N($I114),$K114))/2)</f>
        <v>9.97875</v>
      </c>
      <c r="X114" s="50" t="n">
        <f aca="false">IF($E114="VERTICAL",$V114,N($F114))</f>
        <v>12.15</v>
      </c>
      <c r="Y114" s="50" t="n">
        <f aca="false">IF($E114="VERTICAL",$W114,N($G114))</f>
        <v>13.5</v>
      </c>
      <c r="Z114" s="50" t="n">
        <f aca="false">IF($E114="VERTICAL",N($F114),$V114)</f>
        <v>9.7894</v>
      </c>
      <c r="AA114" s="50" t="n">
        <f aca="false">IF($E114="VERTICAL",N($G114),$W114)</f>
        <v>9.97875</v>
      </c>
      <c r="AB114" s="30" t="n">
        <f aca="false">IF($L114&lt;&gt;"OK",0,(INDEX(PRESIONES!$D$28:$D$31,$U114)*IF(INDEX(PRESIONES!$D$28:$D$31,$U114)&gt;0,PRESIONES!$C$9*IF($T114&lt;=10,1,($T114/10)^(2/DATOS!$C$56)),PRESIONES!$C$15)-ABERTURAS!$L$60*PRESIONES!$C$12)*$R114/$M114)</f>
        <v>0.0787788941394263</v>
      </c>
      <c r="AC114" s="30" t="n">
        <f aca="false">IF($L114&lt;&gt;"OK",0,(INDEX(PRESIONES!$G$28:$G$31,$U114)*IF(INDEX(PRESIONES!$G$28:$G$31,$U114)&gt;0,PRESIONES!$C$9*IF($T114&lt;=10,1,($T114/10)^(2/DATOS!$C$56)),PRESIONES!$C$15)-ABERTURAS!$L$61*PRESIONES!$C$12)*$R114/$M114)</f>
        <v>11.896814535681</v>
      </c>
      <c r="AD114" s="30" t="n">
        <f aca="false">IF($L114&lt;&gt;"OK",0,(INDEX(PRESIONES!$J$28:$J$31,$U114)*IF(INDEX(PRESIONES!$J$28:$J$31,$U114)&gt;0,PRESIONES!$C$9*IF($T114&lt;=10,1,($T114/10)^(2/DATOS!$C$56)),PRESIONES!$C$15)-ABERTURAS!$L$62*PRESIONES!$C$12)*$R114/$M114)</f>
        <v>-0.814345327032684</v>
      </c>
      <c r="AE114" s="30" t="n">
        <f aca="false">IF($L114&lt;&gt;"OK",0,(INDEX(PRESIONES!$M$28:$M$31,$U114)*IF(INDEX(PRESIONES!$M$28:$M$31,$U114)&gt;0,PRESIONES!$C$9*IF($T114&lt;=10,1,($T114/10)^(2/DATOS!$C$56)),PRESIONES!$C$15)-ABERTURAS!$L$63*PRESIONES!$C$12)*$R114/$M114)</f>
        <v>-13.2969283412091</v>
      </c>
      <c r="AF114" s="30" t="n">
        <f aca="false">IF($L114&lt;&gt;"OK",0,(INDEX(PRESIONES!$D$28:$D$31,$U114)*IF(INDEX(PRESIONES!$D$28:$D$31,$U114)&gt;0,PRESIONES!$C$9*IF($T114&lt;=10,1,($T114/10)^(2/DATOS!$C$56)),PRESIONES!$C$15)-ABERTURAS!$L$64*PRESIONES!$C$12)*$S114/$M114)</f>
        <v>0.0787788941394263</v>
      </c>
      <c r="AG114" s="30" t="n">
        <f aca="false">IF($L114&lt;&gt;"OK",0,(INDEX(PRESIONES!$G$28:$G$31,$U114)*IF(INDEX(PRESIONES!$G$28:$G$31,$U114)&gt;0,PRESIONES!$C$9*IF($T114&lt;=10,1,($T114/10)^(2/DATOS!$C$56)),PRESIONES!$C$15)-ABERTURAS!$L$65*PRESIONES!$C$12)*$S114/$M114)</f>
        <v>11.896814535681</v>
      </c>
      <c r="AH114" s="30" t="n">
        <f aca="false">IF($L114&lt;&gt;"OK",0,(INDEX(PRESIONES!$J$28:$J$31,$U114)*IF(INDEX(PRESIONES!$J$28:$J$31,$U114)&gt;0,PRESIONES!$C$9*IF($T114&lt;=10,1,($T114/10)^(2/DATOS!$C$56)),PRESIONES!$C$15)-ABERTURAS!$L$66*PRESIONES!$C$12)*$S114/$M114)</f>
        <v>-0.814345327032684</v>
      </c>
      <c r="AI114" s="30" t="n">
        <f aca="false">IF($L114&lt;&gt;"OK",0,(INDEX(PRESIONES!$M$28:$M$31,$U114)*IF(INDEX(PRESIONES!$M$28:$M$31,$U114)&gt;0,PRESIONES!$C$9*IF($T114&lt;=10,1,($T114/10)^(2/DATOS!$C$56)),PRESIONES!$C$15)-ABERTURAS!$L$67*PRESIONES!$C$12)*$S114/$M114)</f>
        <v>-13.2969283412091</v>
      </c>
    </row>
    <row r="115" customFormat="false" ht="16.5" hidden="false" customHeight="true" outlineLevel="0" collapsed="false">
      <c r="B115" s="27" t="s">
        <v>572</v>
      </c>
      <c r="C115" s="17" t="s">
        <v>480</v>
      </c>
      <c r="D115" s="27" t="s">
        <v>573</v>
      </c>
      <c r="E115" s="17" t="s">
        <v>432</v>
      </c>
      <c r="F115" s="49" t="n">
        <v>13.5</v>
      </c>
      <c r="G115" s="49" t="n">
        <v>14.75</v>
      </c>
      <c r="H115" s="49" t="n">
        <v>9.7725</v>
      </c>
      <c r="I115" s="49" t="n">
        <v>9.945</v>
      </c>
      <c r="J115" s="49" t="n">
        <v>9.7413</v>
      </c>
      <c r="K115" s="49" t="n">
        <v>9.8825</v>
      </c>
      <c r="L115" s="20" t="str">
        <f aca="false">IF($D115="","",IF(LEFT($C115,4)&lt;&gt;"MURO","PON EL MURO",IF(AND($E115&lt;&gt;"HORIZONTAL",$E115&lt;&gt;"VERTICAL"),"PON EL SENTIDO",IF(OR($F115="",$G115="",$H115="",$I115=""),"FALTAN a o b",IF($M115&lt;=0,"a₂ DEBE SER &gt; a₁",IF($N115&lt;=0,"b₂ DEBE SER &gt; b₁","OK"))))))</f>
        <v>OK</v>
      </c>
      <c r="M115" s="30" t="n">
        <f aca="false">IF($D115="",0,MAX(0,$G115-$F115))</f>
        <v>1.25</v>
      </c>
      <c r="N115" s="30" t="n">
        <f aca="false">MAX(0,$W115-$V115)</f>
        <v>0.156849999999999</v>
      </c>
      <c r="O115" s="30" t="n">
        <f aca="false">$M115*$N115</f>
        <v>0.196062499999998</v>
      </c>
      <c r="P115" s="30" t="n">
        <f aca="false">IF($U115=0,0,SUMPRODUCT((ABERTURAS!$N$7:$N$26=$U115)*ABERTURAS!$U$7:$U$26*(((($Y115)+(ABERTURAS!$P$7:$P$26)-ABS(($Y115)-(ABERTURAS!$P$7:$P$26)))/2-(($X115)+(ABERTURAS!$O$7:$O$26)+ABS(($X115)-(ABERTURAS!$O$7:$O$26)))/2)+ABS((($Y115)+(ABERTURAS!$P$7:$P$26)-ABS(($Y115)-(ABERTURAS!$P$7:$P$26)))/2-(($X115)+(ABERTURAS!$O$7:$O$26)+ABS(($X115)-(ABERTURAS!$O$7:$O$26)))/2))/2*(((($AA115)+(ABERTURAS!$R$7:$R$26)-ABS(($AA115)-(ABERTURAS!$R$7:$R$26)))/2-(($Z115)+(ABERTURAS!$Q$7:$Q$26)+ABS(($Z115)-(ABERTURAS!$Q$7:$Q$26)))/2)+ABS((($AA115)+(ABERTURAS!$R$7:$R$26)-ABS(($AA115)-(ABERTURAS!$R$7:$R$26)))/2-(($Z115)+(ABERTURAS!$Q$7:$Q$26)+ABS(($Z115)-(ABERTURAS!$Q$7:$Q$26)))/2))/2))</f>
        <v>0</v>
      </c>
      <c r="Q115" s="30" t="n">
        <f aca="false">IF($U115=0,0,SUMPRODUCT((ABERTURAS!$N$7:$N$26=$U115)*ABERTURAS!$V$7:$V$26*(((($Y115)+(ABERTURAS!$P$7:$P$26)-ABS(($Y115)-(ABERTURAS!$P$7:$P$26)))/2-(($X115)+(ABERTURAS!$O$7:$O$26)+ABS(($X115)-(ABERTURAS!$O$7:$O$26)))/2)+ABS((($Y115)+(ABERTURAS!$P$7:$P$26)-ABS(($Y115)-(ABERTURAS!$P$7:$P$26)))/2-(($X115)+(ABERTURAS!$O$7:$O$26)+ABS(($X115)-(ABERTURAS!$O$7:$O$26)))/2))/2*(((($AA115)+(ABERTURAS!$R$7:$R$26)-ABS(($AA115)-(ABERTURAS!$R$7:$R$26)))/2-(($Z115)+(ABERTURAS!$Q$7:$Q$26)+ABS(($Z115)-(ABERTURAS!$Q$7:$Q$26)))/2)+ABS((($AA115)+(ABERTURAS!$R$7:$R$26)-ABS(($AA115)-(ABERTURAS!$R$7:$R$26)))/2-(($Z115)+(ABERTURAS!$Q$7:$Q$26)+ABS(($Z115)-(ABERTURAS!$Q$7:$Q$26)))/2))/2))</f>
        <v>0</v>
      </c>
      <c r="R115" s="30" t="n">
        <f aca="false">MAX(0,$O115-$P115)</f>
        <v>0.196062499999998</v>
      </c>
      <c r="S115" s="30" t="n">
        <f aca="false">MAX(0,$O115-$Q115)</f>
        <v>0.196062499999998</v>
      </c>
      <c r="T115" s="50" t="n">
        <f aca="false">IF($D115="",0,IF($E115="VERTICAL",N($G115),MAX(N($I115),IF($K115="",N($I115),$K115))))</f>
        <v>9.945</v>
      </c>
      <c r="U115" s="50" t="n">
        <f aca="false">IF($L115&lt;&gt;"OK",0,VALUE(RIGHT($C115,1)))</f>
        <v>4</v>
      </c>
      <c r="V115" s="50" t="n">
        <f aca="false">IF($D115="",0,(N($H115)+IF($J115="",N($H115),$J115))/2)</f>
        <v>9.7569</v>
      </c>
      <c r="W115" s="50" t="n">
        <f aca="false">IF($D115="",0,(N($I115)+IF($K115="",N($I115),$K115))/2)</f>
        <v>9.91375</v>
      </c>
      <c r="X115" s="50" t="n">
        <f aca="false">IF($E115="VERTICAL",$V115,N($F115))</f>
        <v>13.5</v>
      </c>
      <c r="Y115" s="50" t="n">
        <f aca="false">IF($E115="VERTICAL",$W115,N($G115))</f>
        <v>14.75</v>
      </c>
      <c r="Z115" s="50" t="n">
        <f aca="false">IF($E115="VERTICAL",N($F115),$V115)</f>
        <v>9.7569</v>
      </c>
      <c r="AA115" s="50" t="n">
        <f aca="false">IF($E115="VERTICAL",N($G115),$W115)</f>
        <v>9.91375</v>
      </c>
      <c r="AB115" s="30" t="n">
        <f aca="false">IF($L115&lt;&gt;"OK",0,(INDEX(PRESIONES!$D$28:$D$31,$U115)*IF(INDEX(PRESIONES!$D$28:$D$31,$U115)&gt;0,PRESIONES!$C$9*IF($T115&lt;=10,1,($T115/10)^(2/DATOS!$C$56)),PRESIONES!$C$15)-ABERTURAS!$L$60*PRESIONES!$C$12)*$R115/$M115)</f>
        <v>0.0652572988950037</v>
      </c>
      <c r="AC115" s="30" t="n">
        <f aca="false">IF($L115&lt;&gt;"OK",0,(INDEX(PRESIONES!$G$28:$G$31,$U115)*IF(INDEX(PRESIONES!$G$28:$G$31,$U115)&gt;0,PRESIONES!$C$9*IF($T115&lt;=10,1,($T115/10)^(2/DATOS!$C$56)),PRESIONES!$C$15)-ABERTURAS!$L$61*PRESIONES!$C$12)*$R115/$M115)</f>
        <v>9.85269729889492</v>
      </c>
      <c r="AD115" s="30" t="n">
        <f aca="false">IF($L115&lt;&gt;"OK",0,(INDEX(PRESIONES!$J$28:$J$31,$U115)*IF(INDEX(PRESIONES!$J$28:$J$31,$U115)&gt;0,PRESIONES!$C$9*IF($T115&lt;=10,1,($T115/10)^(2/DATOS!$C$56)),PRESIONES!$C$15)-ABERTURAS!$L$62*PRESIONES!$C$12)*$R115/$M115)</f>
        <v>-0.674571241325988</v>
      </c>
      <c r="AE115" s="30" t="n">
        <f aca="false">IF($L115&lt;&gt;"OK",0,(INDEX(PRESIONES!$M$28:$M$31,$U115)*IF(INDEX(PRESIONES!$M$28:$M$31,$U115)&gt;0,PRESIONES!$C$9*IF($T115&lt;=10,1,($T115/10)^(2/DATOS!$C$56)),PRESIONES!$C$15)-ABERTURAS!$L$63*PRESIONES!$C$12)*$R115/$M115)</f>
        <v>-11.0146459483424</v>
      </c>
      <c r="AF115" s="30" t="n">
        <f aca="false">IF($L115&lt;&gt;"OK",0,(INDEX(PRESIONES!$D$28:$D$31,$U115)*IF(INDEX(PRESIONES!$D$28:$D$31,$U115)&gt;0,PRESIONES!$C$9*IF($T115&lt;=10,1,($T115/10)^(2/DATOS!$C$56)),PRESIONES!$C$15)-ABERTURAS!$L$64*PRESIONES!$C$12)*$S115/$M115)</f>
        <v>0.0652572988950037</v>
      </c>
      <c r="AG115" s="30" t="n">
        <f aca="false">IF($L115&lt;&gt;"OK",0,(INDEX(PRESIONES!$G$28:$G$31,$U115)*IF(INDEX(PRESIONES!$G$28:$G$31,$U115)&gt;0,PRESIONES!$C$9*IF($T115&lt;=10,1,($T115/10)^(2/DATOS!$C$56)),PRESIONES!$C$15)-ABERTURAS!$L$65*PRESIONES!$C$12)*$S115/$M115)</f>
        <v>9.85269729889492</v>
      </c>
      <c r="AH115" s="30" t="n">
        <f aca="false">IF($L115&lt;&gt;"OK",0,(INDEX(PRESIONES!$J$28:$J$31,$U115)*IF(INDEX(PRESIONES!$J$28:$J$31,$U115)&gt;0,PRESIONES!$C$9*IF($T115&lt;=10,1,($T115/10)^(2/DATOS!$C$56)),PRESIONES!$C$15)-ABERTURAS!$L$66*PRESIONES!$C$12)*$S115/$M115)</f>
        <v>-0.674571241325988</v>
      </c>
      <c r="AI115" s="30" t="n">
        <f aca="false">IF($L115&lt;&gt;"OK",0,(INDEX(PRESIONES!$M$28:$M$31,$U115)*IF(INDEX(PRESIONES!$M$28:$M$31,$U115)&gt;0,PRESIONES!$C$9*IF($T115&lt;=10,1,($T115/10)^(2/DATOS!$C$56)),PRESIONES!$C$15)-ABERTURAS!$L$67*PRESIONES!$C$12)*$S115/$M115)</f>
        <v>-11.0146459483424</v>
      </c>
    </row>
    <row r="116" customFormat="false" ht="16.5" hidden="false" customHeight="true" outlineLevel="0" collapsed="false">
      <c r="B116" s="27" t="s">
        <v>574</v>
      </c>
      <c r="C116" s="17" t="s">
        <v>480</v>
      </c>
      <c r="D116" s="27" t="s">
        <v>575</v>
      </c>
      <c r="E116" s="17" t="s">
        <v>432</v>
      </c>
      <c r="F116" s="49" t="n">
        <v>14.75</v>
      </c>
      <c r="G116" s="49" t="n">
        <v>16</v>
      </c>
      <c r="H116" s="49" t="n">
        <v>9.7413</v>
      </c>
      <c r="I116" s="49" t="n">
        <v>9.8825</v>
      </c>
      <c r="J116" s="49" t="n">
        <v>9.71</v>
      </c>
      <c r="K116" s="49" t="n">
        <v>9.82</v>
      </c>
      <c r="L116" s="20" t="str">
        <f aca="false">IF($D116="","",IF(LEFT($C116,4)&lt;&gt;"MURO","PON EL MURO",IF(AND($E116&lt;&gt;"HORIZONTAL",$E116&lt;&gt;"VERTICAL"),"PON EL SENTIDO",IF(OR($F116="",$G116="",$H116="",$I116=""),"FALTAN a o b",IF($M116&lt;=0,"a₂ DEBE SER &gt; a₁",IF($N116&lt;=0,"b₂ DEBE SER &gt; b₁","OK"))))))</f>
        <v>OK</v>
      </c>
      <c r="M116" s="30" t="n">
        <f aca="false">IF($D116="",0,MAX(0,$G116-$F116))</f>
        <v>1.25</v>
      </c>
      <c r="N116" s="30" t="n">
        <f aca="false">MAX(0,$W116-$V116)</f>
        <v>0.125599999999999</v>
      </c>
      <c r="O116" s="30" t="n">
        <f aca="false">$M116*$N116</f>
        <v>0.156999999999998</v>
      </c>
      <c r="P116" s="30" t="n">
        <f aca="false">IF($U116=0,0,SUMPRODUCT((ABERTURAS!$N$7:$N$26=$U116)*ABERTURAS!$U$7:$U$26*(((($Y116)+(ABERTURAS!$P$7:$P$26)-ABS(($Y116)-(ABERTURAS!$P$7:$P$26)))/2-(($X116)+(ABERTURAS!$O$7:$O$26)+ABS(($X116)-(ABERTURAS!$O$7:$O$26)))/2)+ABS((($Y116)+(ABERTURAS!$P$7:$P$26)-ABS(($Y116)-(ABERTURAS!$P$7:$P$26)))/2-(($X116)+(ABERTURAS!$O$7:$O$26)+ABS(($X116)-(ABERTURAS!$O$7:$O$26)))/2))/2*(((($AA116)+(ABERTURAS!$R$7:$R$26)-ABS(($AA116)-(ABERTURAS!$R$7:$R$26)))/2-(($Z116)+(ABERTURAS!$Q$7:$Q$26)+ABS(($Z116)-(ABERTURAS!$Q$7:$Q$26)))/2)+ABS((($AA116)+(ABERTURAS!$R$7:$R$26)-ABS(($AA116)-(ABERTURAS!$R$7:$R$26)))/2-(($Z116)+(ABERTURAS!$Q$7:$Q$26)+ABS(($Z116)-(ABERTURAS!$Q$7:$Q$26)))/2))/2))</f>
        <v>0</v>
      </c>
      <c r="Q116" s="30" t="n">
        <f aca="false">IF($U116=0,0,SUMPRODUCT((ABERTURAS!$N$7:$N$26=$U116)*ABERTURAS!$V$7:$V$26*(((($Y116)+(ABERTURAS!$P$7:$P$26)-ABS(($Y116)-(ABERTURAS!$P$7:$P$26)))/2-(($X116)+(ABERTURAS!$O$7:$O$26)+ABS(($X116)-(ABERTURAS!$O$7:$O$26)))/2)+ABS((($Y116)+(ABERTURAS!$P$7:$P$26)-ABS(($Y116)-(ABERTURAS!$P$7:$P$26)))/2-(($X116)+(ABERTURAS!$O$7:$O$26)+ABS(($X116)-(ABERTURAS!$O$7:$O$26)))/2))/2*(((($AA116)+(ABERTURAS!$R$7:$R$26)-ABS(($AA116)-(ABERTURAS!$R$7:$R$26)))/2-(($Z116)+(ABERTURAS!$Q$7:$Q$26)+ABS(($Z116)-(ABERTURAS!$Q$7:$Q$26)))/2)+ABS((($AA116)+(ABERTURAS!$R$7:$R$26)-ABS(($AA116)-(ABERTURAS!$R$7:$R$26)))/2-(($Z116)+(ABERTURAS!$Q$7:$Q$26)+ABS(($Z116)-(ABERTURAS!$Q$7:$Q$26)))/2))/2))</f>
        <v>0</v>
      </c>
      <c r="R116" s="30" t="n">
        <f aca="false">MAX(0,$O116-$P116)</f>
        <v>0.156999999999998</v>
      </c>
      <c r="S116" s="30" t="n">
        <f aca="false">MAX(0,$O116-$Q116)</f>
        <v>0.156999999999998</v>
      </c>
      <c r="T116" s="50" t="n">
        <f aca="false">IF($D116="",0,IF($E116="VERTICAL",N($G116),MAX(N($I116),IF($K116="",N($I116),$K116))))</f>
        <v>9.8825</v>
      </c>
      <c r="U116" s="50" t="n">
        <f aca="false">IF($L116&lt;&gt;"OK",0,VALUE(RIGHT($C116,1)))</f>
        <v>4</v>
      </c>
      <c r="V116" s="50" t="n">
        <f aca="false">IF($D116="",0,(N($H116)+IF($J116="",N($H116),$J116))/2)</f>
        <v>9.72565</v>
      </c>
      <c r="W116" s="50" t="n">
        <f aca="false">IF($D116="",0,(N($I116)+IF($K116="",N($I116),$K116))/2)</f>
        <v>9.85125</v>
      </c>
      <c r="X116" s="50" t="n">
        <f aca="false">IF($E116="VERTICAL",$V116,N($F116))</f>
        <v>14.75</v>
      </c>
      <c r="Y116" s="50" t="n">
        <f aca="false">IF($E116="VERTICAL",$W116,N($G116))</f>
        <v>16</v>
      </c>
      <c r="Z116" s="50" t="n">
        <f aca="false">IF($E116="VERTICAL",N($F116),$V116)</f>
        <v>9.72565</v>
      </c>
      <c r="AA116" s="50" t="n">
        <f aca="false">IF($E116="VERTICAL",N($G116),$W116)</f>
        <v>9.85125</v>
      </c>
      <c r="AB116" s="30" t="n">
        <f aca="false">IF($L116&lt;&gt;"OK",0,(INDEX(PRESIONES!$D$28:$D$31,$U116)*IF(INDEX(PRESIONES!$D$28:$D$31,$U116)&gt;0,PRESIONES!$C$9*IF($T116&lt;=10,1,($T116/10)^(2/DATOS!$C$56)),PRESIONES!$C$15)-ABERTURAS!$L$60*PRESIONES!$C$12)*$R116/$M116)</f>
        <v>0.0522557650061361</v>
      </c>
      <c r="AC116" s="30" t="n">
        <f aca="false">IF($L116&lt;&gt;"OK",0,(INDEX(PRESIONES!$G$28:$G$31,$U116)*IF(INDEX(PRESIONES!$G$28:$G$31,$U116)&gt;0,PRESIONES!$C$9*IF($T116&lt;=10,1,($T116/10)^(2/DATOS!$C$56)),PRESIONES!$C$15)-ABERTURAS!$L$61*PRESIONES!$C$12)*$R116/$M116)</f>
        <v>7.88969576500605</v>
      </c>
      <c r="AD116" s="30" t="n">
        <f aca="false">IF($L116&lt;&gt;"OK",0,(INDEX(PRESIONES!$J$28:$J$31,$U116)*IF(INDEX(PRESIONES!$J$28:$J$31,$U116)&gt;0,PRESIONES!$C$9*IF($T116&lt;=10,1,($T116/10)^(2/DATOS!$C$56)),PRESIONES!$C$15)-ABERTURAS!$L$62*PRESIONES!$C$12)*$R116/$M116)</f>
        <v>-0.54017308199263</v>
      </c>
      <c r="AE116" s="30" t="n">
        <f aca="false">IF($L116&lt;&gt;"OK",0,(INDEX(PRESIONES!$M$28:$M$31,$U116)*IF(INDEX(PRESIONES!$M$28:$M$31,$U116)&gt;0,PRESIONES!$C$9*IF($T116&lt;=10,1,($T116/10)^(2/DATOS!$C$56)),PRESIONES!$C$15)-ABERTURAS!$L$63*PRESIONES!$C$12)*$R116/$M116)</f>
        <v>-8.82014364750911</v>
      </c>
      <c r="AF116" s="30" t="n">
        <f aca="false">IF($L116&lt;&gt;"OK",0,(INDEX(PRESIONES!$D$28:$D$31,$U116)*IF(INDEX(PRESIONES!$D$28:$D$31,$U116)&gt;0,PRESIONES!$C$9*IF($T116&lt;=10,1,($T116/10)^(2/DATOS!$C$56)),PRESIONES!$C$15)-ABERTURAS!$L$64*PRESIONES!$C$12)*$S116/$M116)</f>
        <v>0.0522557650061361</v>
      </c>
      <c r="AG116" s="30" t="n">
        <f aca="false">IF($L116&lt;&gt;"OK",0,(INDEX(PRESIONES!$G$28:$G$31,$U116)*IF(INDEX(PRESIONES!$G$28:$G$31,$U116)&gt;0,PRESIONES!$C$9*IF($T116&lt;=10,1,($T116/10)^(2/DATOS!$C$56)),PRESIONES!$C$15)-ABERTURAS!$L$65*PRESIONES!$C$12)*$S116/$M116)</f>
        <v>7.88969576500605</v>
      </c>
      <c r="AH116" s="30" t="n">
        <f aca="false">IF($L116&lt;&gt;"OK",0,(INDEX(PRESIONES!$J$28:$J$31,$U116)*IF(INDEX(PRESIONES!$J$28:$J$31,$U116)&gt;0,PRESIONES!$C$9*IF($T116&lt;=10,1,($T116/10)^(2/DATOS!$C$56)),PRESIONES!$C$15)-ABERTURAS!$L$66*PRESIONES!$C$12)*$S116/$M116)</f>
        <v>-0.54017308199263</v>
      </c>
      <c r="AI116" s="30" t="n">
        <f aca="false">IF($L116&lt;&gt;"OK",0,(INDEX(PRESIONES!$M$28:$M$31,$U116)*IF(INDEX(PRESIONES!$M$28:$M$31,$U116)&gt;0,PRESIONES!$C$9*IF($T116&lt;=10,1,($T116/10)^(2/DATOS!$C$56)),PRESIONES!$C$15)-ABERTURAS!$L$67*PRESIONES!$C$12)*$S116/$M116)</f>
        <v>-8.82014364750911</v>
      </c>
    </row>
    <row r="117" customFormat="false" ht="16.5" hidden="false" customHeight="true" outlineLevel="0" collapsed="false">
      <c r="B117" s="27" t="s">
        <v>576</v>
      </c>
      <c r="C117" s="17" t="s">
        <v>228</v>
      </c>
      <c r="D117" s="27" t="s">
        <v>577</v>
      </c>
      <c r="E117" s="17" t="s">
        <v>432</v>
      </c>
      <c r="F117" s="49" t="n">
        <v>0</v>
      </c>
      <c r="G117" s="49" t="n">
        <v>0.6425</v>
      </c>
      <c r="H117" s="49" t="n">
        <v>0.6</v>
      </c>
      <c r="I117" s="49" t="n">
        <v>1.8</v>
      </c>
      <c r="J117" s="49"/>
      <c r="K117" s="49"/>
      <c r="L117" s="20" t="str">
        <f aca="false">IF($D117="","",IF(LEFT($C117,4)&lt;&gt;"MURO","PON EL MURO",IF(AND($E117&lt;&gt;"HORIZONTAL",$E117&lt;&gt;"VERTICAL"),"PON EL SENTIDO",IF(OR($F117="",$G117="",$H117="",$I117=""),"FALTAN a o b",IF($M117&lt;=0,"a₂ DEBE SER &gt; a₁",IF($N117&lt;=0,"b₂ DEBE SER &gt; b₁","OK"))))))</f>
        <v>OK</v>
      </c>
      <c r="M117" s="30" t="n">
        <f aca="false">IF($D117="",0,MAX(0,$G117-$F117))</f>
        <v>0.6425</v>
      </c>
      <c r="N117" s="30" t="n">
        <f aca="false">MAX(0,$W117-$V117)</f>
        <v>1.2</v>
      </c>
      <c r="O117" s="30" t="n">
        <f aca="false">$M117*$N117</f>
        <v>0.771</v>
      </c>
      <c r="P117" s="30" t="n">
        <f aca="false">IF($U117=0,0,SUMPRODUCT((ABERTURAS!$N$7:$N$26=$U117)*ABERTURAS!$U$7:$U$26*(((($Y117)+(ABERTURAS!$P$7:$P$26)-ABS(($Y117)-(ABERTURAS!$P$7:$P$26)))/2-(($X117)+(ABERTURAS!$O$7:$O$26)+ABS(($X117)-(ABERTURAS!$O$7:$O$26)))/2)+ABS((($Y117)+(ABERTURAS!$P$7:$P$26)-ABS(($Y117)-(ABERTURAS!$P$7:$P$26)))/2-(($X117)+(ABERTURAS!$O$7:$O$26)+ABS(($X117)-(ABERTURAS!$O$7:$O$26)))/2))/2*(((($AA117)+(ABERTURAS!$R$7:$R$26)-ABS(($AA117)-(ABERTURAS!$R$7:$R$26)))/2-(($Z117)+(ABERTURAS!$Q$7:$Q$26)+ABS(($Z117)-(ABERTURAS!$Q$7:$Q$26)))/2)+ABS((($AA117)+(ABERTURAS!$R$7:$R$26)-ABS(($AA117)-(ABERTURAS!$R$7:$R$26)))/2-(($Z117)+(ABERTURAS!$Q$7:$Q$26)+ABS(($Z117)-(ABERTURAS!$Q$7:$Q$26)))/2))/2))</f>
        <v>0</v>
      </c>
      <c r="Q117" s="30" t="n">
        <f aca="false">IF($U117=0,0,SUMPRODUCT((ABERTURAS!$N$7:$N$26=$U117)*ABERTURAS!$V$7:$V$26*(((($Y117)+(ABERTURAS!$P$7:$P$26)-ABS(($Y117)-(ABERTURAS!$P$7:$P$26)))/2-(($X117)+(ABERTURAS!$O$7:$O$26)+ABS(($X117)-(ABERTURAS!$O$7:$O$26)))/2)+ABS((($Y117)+(ABERTURAS!$P$7:$P$26)-ABS(($Y117)-(ABERTURAS!$P$7:$P$26)))/2-(($X117)+(ABERTURAS!$O$7:$O$26)+ABS(($X117)-(ABERTURAS!$O$7:$O$26)))/2))/2*(((($AA117)+(ABERTURAS!$R$7:$R$26)-ABS(($AA117)-(ABERTURAS!$R$7:$R$26)))/2-(($Z117)+(ABERTURAS!$Q$7:$Q$26)+ABS(($Z117)-(ABERTURAS!$Q$7:$Q$26)))/2)+ABS((($AA117)+(ABERTURAS!$R$7:$R$26)-ABS(($AA117)-(ABERTURAS!$R$7:$R$26)))/2-(($Z117)+(ABERTURAS!$Q$7:$Q$26)+ABS(($Z117)-(ABERTURAS!$Q$7:$Q$26)))/2))/2))</f>
        <v>0</v>
      </c>
      <c r="R117" s="30" t="n">
        <f aca="false">MAX(0,$O117-$P117)</f>
        <v>0.771</v>
      </c>
      <c r="S117" s="30" t="n">
        <f aca="false">MAX(0,$O117-$Q117)</f>
        <v>0.771</v>
      </c>
      <c r="T117" s="50" t="n">
        <f aca="false">IF($D117="",0,IF($E117="VERTICAL",N($G117),MAX(N($I117),IF($K117="",N($I117),$K117))))</f>
        <v>1.8</v>
      </c>
      <c r="U117" s="50" t="n">
        <f aca="false">IF($L117&lt;&gt;"OK",0,VALUE(RIGHT($C117,1)))</f>
        <v>1</v>
      </c>
      <c r="V117" s="50" t="n">
        <f aca="false">IF($D117="",0,(N($H117)+IF($J117="",N($H117),$J117))/2)</f>
        <v>0.6</v>
      </c>
      <c r="W117" s="50" t="n">
        <f aca="false">IF($D117="",0,(N($I117)+IF($K117="",N($I117),$K117))/2)</f>
        <v>1.8</v>
      </c>
      <c r="X117" s="50" t="n">
        <f aca="false">IF($E117="VERTICAL",$V117,N($F117))</f>
        <v>0</v>
      </c>
      <c r="Y117" s="50" t="n">
        <f aca="false">IF($E117="VERTICAL",$W117,N($G117))</f>
        <v>0.6425</v>
      </c>
      <c r="Z117" s="50" t="n">
        <f aca="false">IF($E117="VERTICAL",N($F117),$V117)</f>
        <v>0.6</v>
      </c>
      <c r="AA117" s="50" t="n">
        <f aca="false">IF($E117="VERTICAL",N($G117),$W117)</f>
        <v>1.8</v>
      </c>
      <c r="AB117" s="30" t="n">
        <f aca="false">IF($L117&lt;&gt;"OK",0,(INDEX(PRESIONES!$D$28:$D$31,$U117)*IF(INDEX(PRESIONES!$D$28:$D$31,$U117)&gt;0,PRESIONES!$C$9*IF($T117&lt;=10,1,($T117/10)^(2/DATOS!$C$56)),PRESIONES!$C$15)-ABERTURAS!$L$60*PRESIONES!$C$12)*$R117/$M117)</f>
        <v>-11.0207410986675</v>
      </c>
      <c r="AC117" s="30" t="n">
        <f aca="false">IF($L117&lt;&gt;"OK",0,(INDEX(PRESIONES!$G$28:$G$31,$U117)*IF(INDEX(PRESIONES!$G$28:$G$31,$U117)&gt;0,PRESIONES!$C$9*IF($T117&lt;=10,1,($T117/10)^(2/DATOS!$C$56)),PRESIONES!$C$15)-ABERTURAS!$L$61*PRESIONES!$C$12)*$R117/$M117)</f>
        <v>-11.0207410986675</v>
      </c>
      <c r="AD117" s="30" t="n">
        <f aca="false">IF($L117&lt;&gt;"OK",0,(INDEX(PRESIONES!$J$28:$J$31,$U117)*IF(INDEX(PRESIONES!$J$28:$J$31,$U117)&gt;0,PRESIONES!$C$9*IF($T117&lt;=10,1,($T117/10)^(2/DATOS!$C$56)),PRESIONES!$C$15)-ABERTURAS!$L$62*PRESIONES!$C$12)*$R117/$M117)</f>
        <v>81.239110681599</v>
      </c>
      <c r="AE117" s="30" t="n">
        <f aca="false">IF($L117&lt;&gt;"OK",0,(INDEX(PRESIONES!$M$28:$M$31,$U117)*IF(INDEX(PRESIONES!$M$28:$M$31,$U117)&gt;0,PRESIONES!$C$9*IF($T117&lt;=10,1,($T117/10)^(2/DATOS!$C$56)),PRESIONES!$C$15)-ABERTURAS!$L$63*PRESIONES!$C$12)*$R117/$M117)</f>
        <v>-72.7488883519988</v>
      </c>
      <c r="AF117" s="30" t="n">
        <f aca="false">IF($L117&lt;&gt;"OK",0,(INDEX(PRESIONES!$D$28:$D$31,$U117)*IF(INDEX(PRESIONES!$D$28:$D$31,$U117)&gt;0,PRESIONES!$C$9*IF($T117&lt;=10,1,($T117/10)^(2/DATOS!$C$56)),PRESIONES!$C$15)-ABERTURAS!$L$64*PRESIONES!$C$12)*$S117/$M117)</f>
        <v>-11.0207410986675</v>
      </c>
      <c r="AG117" s="30" t="n">
        <f aca="false">IF($L117&lt;&gt;"OK",0,(INDEX(PRESIONES!$G$28:$G$31,$U117)*IF(INDEX(PRESIONES!$G$28:$G$31,$U117)&gt;0,PRESIONES!$C$9*IF($T117&lt;=10,1,($T117/10)^(2/DATOS!$C$56)),PRESIONES!$C$15)-ABERTURAS!$L$65*PRESIONES!$C$12)*$S117/$M117)</f>
        <v>-11.0207410986675</v>
      </c>
      <c r="AH117" s="30" t="n">
        <f aca="false">IF($L117&lt;&gt;"OK",0,(INDEX(PRESIONES!$J$28:$J$31,$U117)*IF(INDEX(PRESIONES!$J$28:$J$31,$U117)&gt;0,PRESIONES!$C$9*IF($T117&lt;=10,1,($T117/10)^(2/DATOS!$C$56)),PRESIONES!$C$15)-ABERTURAS!$L$66*PRESIONES!$C$12)*$S117/$M117)</f>
        <v>81.239110681599</v>
      </c>
      <c r="AI117" s="30" t="n">
        <f aca="false">IF($L117&lt;&gt;"OK",0,(INDEX(PRESIONES!$M$28:$M$31,$U117)*IF(INDEX(PRESIONES!$M$28:$M$31,$U117)&gt;0,PRESIONES!$C$9*IF($T117&lt;=10,1,($T117/10)^(2/DATOS!$C$56)),PRESIONES!$C$15)-ABERTURAS!$L$67*PRESIONES!$C$12)*$S117/$M117)</f>
        <v>-72.7488883519988</v>
      </c>
    </row>
    <row r="118" customFormat="false" ht="16.5" hidden="false" customHeight="true" outlineLevel="0" collapsed="false">
      <c r="B118" s="27" t="s">
        <v>578</v>
      </c>
      <c r="C118" s="17" t="s">
        <v>228</v>
      </c>
      <c r="D118" s="27" t="s">
        <v>579</v>
      </c>
      <c r="E118" s="17" t="s">
        <v>432</v>
      </c>
      <c r="F118" s="49" t="n">
        <v>1.9439</v>
      </c>
      <c r="G118" s="49" t="n">
        <v>2.4869</v>
      </c>
      <c r="H118" s="49" t="n">
        <v>0.6</v>
      </c>
      <c r="I118" s="49" t="n">
        <v>1.8</v>
      </c>
      <c r="J118" s="49"/>
      <c r="K118" s="49"/>
      <c r="L118" s="20" t="str">
        <f aca="false">IF($D118="","",IF(LEFT($C118,4)&lt;&gt;"MURO","PON EL MURO",IF(AND($E118&lt;&gt;"HORIZONTAL",$E118&lt;&gt;"VERTICAL"),"PON EL SENTIDO",IF(OR($F118="",$G118="",$H118="",$I118=""),"FALTAN a o b",IF($M118&lt;=0,"a₂ DEBE SER &gt; a₁",IF($N118&lt;=0,"b₂ DEBE SER &gt; b₁","OK"))))))</f>
        <v>OK</v>
      </c>
      <c r="M118" s="30" t="n">
        <f aca="false">IF($D118="",0,MAX(0,$G118-$F118))</f>
        <v>0.543</v>
      </c>
      <c r="N118" s="30" t="n">
        <f aca="false">MAX(0,$W118-$V118)</f>
        <v>1.2</v>
      </c>
      <c r="O118" s="30" t="n">
        <f aca="false">$M118*$N118</f>
        <v>0.6516</v>
      </c>
      <c r="P118" s="30" t="n">
        <f aca="false">IF($U118=0,0,SUMPRODUCT((ABERTURAS!$N$7:$N$26=$U118)*ABERTURAS!$U$7:$U$26*(((($Y118)+(ABERTURAS!$P$7:$P$26)-ABS(($Y118)-(ABERTURAS!$P$7:$P$26)))/2-(($X118)+(ABERTURAS!$O$7:$O$26)+ABS(($X118)-(ABERTURAS!$O$7:$O$26)))/2)+ABS((($Y118)+(ABERTURAS!$P$7:$P$26)-ABS(($Y118)-(ABERTURAS!$P$7:$P$26)))/2-(($X118)+(ABERTURAS!$O$7:$O$26)+ABS(($X118)-(ABERTURAS!$O$7:$O$26)))/2))/2*(((($AA118)+(ABERTURAS!$R$7:$R$26)-ABS(($AA118)-(ABERTURAS!$R$7:$R$26)))/2-(($Z118)+(ABERTURAS!$Q$7:$Q$26)+ABS(($Z118)-(ABERTURAS!$Q$7:$Q$26)))/2)+ABS((($AA118)+(ABERTURAS!$R$7:$R$26)-ABS(($AA118)-(ABERTURAS!$R$7:$R$26)))/2-(($Z118)+(ABERTURAS!$Q$7:$Q$26)+ABS(($Z118)-(ABERTURAS!$Q$7:$Q$26)))/2))/2))</f>
        <v>0</v>
      </c>
      <c r="Q118" s="30" t="n">
        <f aca="false">IF($U118=0,0,SUMPRODUCT((ABERTURAS!$N$7:$N$26=$U118)*ABERTURAS!$V$7:$V$26*(((($Y118)+(ABERTURAS!$P$7:$P$26)-ABS(($Y118)-(ABERTURAS!$P$7:$P$26)))/2-(($X118)+(ABERTURAS!$O$7:$O$26)+ABS(($X118)-(ABERTURAS!$O$7:$O$26)))/2)+ABS((($Y118)+(ABERTURAS!$P$7:$P$26)-ABS(($Y118)-(ABERTURAS!$P$7:$P$26)))/2-(($X118)+(ABERTURAS!$O$7:$O$26)+ABS(($X118)-(ABERTURAS!$O$7:$O$26)))/2))/2*(((($AA118)+(ABERTURAS!$R$7:$R$26)-ABS(($AA118)-(ABERTURAS!$R$7:$R$26)))/2-(($Z118)+(ABERTURAS!$Q$7:$Q$26)+ABS(($Z118)-(ABERTURAS!$Q$7:$Q$26)))/2)+ABS((($AA118)+(ABERTURAS!$R$7:$R$26)-ABS(($AA118)-(ABERTURAS!$R$7:$R$26)))/2-(($Z118)+(ABERTURAS!$Q$7:$Q$26)+ABS(($Z118)-(ABERTURAS!$Q$7:$Q$26)))/2))/2))</f>
        <v>0</v>
      </c>
      <c r="R118" s="30" t="n">
        <f aca="false">MAX(0,$O118-$P118)</f>
        <v>0.6516</v>
      </c>
      <c r="S118" s="30" t="n">
        <f aca="false">MAX(0,$O118-$Q118)</f>
        <v>0.6516</v>
      </c>
      <c r="T118" s="50" t="n">
        <f aca="false">IF($D118="",0,IF($E118="VERTICAL",N($G118),MAX(N($I118),IF($K118="",N($I118),$K118))))</f>
        <v>1.8</v>
      </c>
      <c r="U118" s="50" t="n">
        <f aca="false">IF($L118&lt;&gt;"OK",0,VALUE(RIGHT($C118,1)))</f>
        <v>1</v>
      </c>
      <c r="V118" s="50" t="n">
        <f aca="false">IF($D118="",0,(N($H118)+IF($J118="",N($H118),$J118))/2)</f>
        <v>0.6</v>
      </c>
      <c r="W118" s="50" t="n">
        <f aca="false">IF($D118="",0,(N($I118)+IF($K118="",N($I118),$K118))/2)</f>
        <v>1.8</v>
      </c>
      <c r="X118" s="50" t="n">
        <f aca="false">IF($E118="VERTICAL",$V118,N($F118))</f>
        <v>1.9439</v>
      </c>
      <c r="Y118" s="50" t="n">
        <f aca="false">IF($E118="VERTICAL",$W118,N($G118))</f>
        <v>2.4869</v>
      </c>
      <c r="Z118" s="50" t="n">
        <f aca="false">IF($E118="VERTICAL",N($F118),$V118)</f>
        <v>0.6</v>
      </c>
      <c r="AA118" s="50" t="n">
        <f aca="false">IF($E118="VERTICAL",N($G118),$W118)</f>
        <v>1.8</v>
      </c>
      <c r="AB118" s="30" t="n">
        <f aca="false">IF($L118&lt;&gt;"OK",0,(INDEX(PRESIONES!$D$28:$D$31,$U118)*IF(INDEX(PRESIONES!$D$28:$D$31,$U118)&gt;0,PRESIONES!$C$9*IF($T118&lt;=10,1,($T118/10)^(2/DATOS!$C$56)),PRESIONES!$C$15)-ABERTURAS!$L$60*PRESIONES!$C$12)*$R118/$M118)</f>
        <v>-11.0207410986675</v>
      </c>
      <c r="AC118" s="30" t="n">
        <f aca="false">IF($L118&lt;&gt;"OK",0,(INDEX(PRESIONES!$G$28:$G$31,$U118)*IF(INDEX(PRESIONES!$G$28:$G$31,$U118)&gt;0,PRESIONES!$C$9*IF($T118&lt;=10,1,($T118/10)^(2/DATOS!$C$56)),PRESIONES!$C$15)-ABERTURAS!$L$61*PRESIONES!$C$12)*$R118/$M118)</f>
        <v>-11.0207410986675</v>
      </c>
      <c r="AD118" s="30" t="n">
        <f aca="false">IF($L118&lt;&gt;"OK",0,(INDEX(PRESIONES!$J$28:$J$31,$U118)*IF(INDEX(PRESIONES!$J$28:$J$31,$U118)&gt;0,PRESIONES!$C$9*IF($T118&lt;=10,1,($T118/10)^(2/DATOS!$C$56)),PRESIONES!$C$15)-ABERTURAS!$L$62*PRESIONES!$C$12)*$R118/$M118)</f>
        <v>81.239110681599</v>
      </c>
      <c r="AE118" s="30" t="n">
        <f aca="false">IF($L118&lt;&gt;"OK",0,(INDEX(PRESIONES!$M$28:$M$31,$U118)*IF(INDEX(PRESIONES!$M$28:$M$31,$U118)&gt;0,PRESIONES!$C$9*IF($T118&lt;=10,1,($T118/10)^(2/DATOS!$C$56)),PRESIONES!$C$15)-ABERTURAS!$L$63*PRESIONES!$C$12)*$R118/$M118)</f>
        <v>-72.7488883519988</v>
      </c>
      <c r="AF118" s="30" t="n">
        <f aca="false">IF($L118&lt;&gt;"OK",0,(INDEX(PRESIONES!$D$28:$D$31,$U118)*IF(INDEX(PRESIONES!$D$28:$D$31,$U118)&gt;0,PRESIONES!$C$9*IF($T118&lt;=10,1,($T118/10)^(2/DATOS!$C$56)),PRESIONES!$C$15)-ABERTURAS!$L$64*PRESIONES!$C$12)*$S118/$M118)</f>
        <v>-11.0207410986675</v>
      </c>
      <c r="AG118" s="30" t="n">
        <f aca="false">IF($L118&lt;&gt;"OK",0,(INDEX(PRESIONES!$G$28:$G$31,$U118)*IF(INDEX(PRESIONES!$G$28:$G$31,$U118)&gt;0,PRESIONES!$C$9*IF($T118&lt;=10,1,($T118/10)^(2/DATOS!$C$56)),PRESIONES!$C$15)-ABERTURAS!$L$65*PRESIONES!$C$12)*$S118/$M118)</f>
        <v>-11.0207410986675</v>
      </c>
      <c r="AH118" s="30" t="n">
        <f aca="false">IF($L118&lt;&gt;"OK",0,(INDEX(PRESIONES!$J$28:$J$31,$U118)*IF(INDEX(PRESIONES!$J$28:$J$31,$U118)&gt;0,PRESIONES!$C$9*IF($T118&lt;=10,1,($T118/10)^(2/DATOS!$C$56)),PRESIONES!$C$15)-ABERTURAS!$L$66*PRESIONES!$C$12)*$S118/$M118)</f>
        <v>81.239110681599</v>
      </c>
      <c r="AI118" s="30" t="n">
        <f aca="false">IF($L118&lt;&gt;"OK",0,(INDEX(PRESIONES!$M$28:$M$31,$U118)*IF(INDEX(PRESIONES!$M$28:$M$31,$U118)&gt;0,PRESIONES!$C$9*IF($T118&lt;=10,1,($T118/10)^(2/DATOS!$C$56)),PRESIONES!$C$15)-ABERTURAS!$L$67*PRESIONES!$C$12)*$S118/$M118)</f>
        <v>-72.7488883519988</v>
      </c>
    </row>
    <row r="119" customFormat="false" ht="16.5" hidden="false" customHeight="true" outlineLevel="0" collapsed="false">
      <c r="B119" s="27" t="s">
        <v>580</v>
      </c>
      <c r="C119" s="17" t="s">
        <v>228</v>
      </c>
      <c r="D119" s="27" t="s">
        <v>581</v>
      </c>
      <c r="E119" s="17" t="s">
        <v>432</v>
      </c>
      <c r="F119" s="49" t="n">
        <v>7.5885</v>
      </c>
      <c r="G119" s="49" t="n">
        <v>10.08</v>
      </c>
      <c r="H119" s="49" t="n">
        <v>0.6</v>
      </c>
      <c r="I119" s="49" t="n">
        <v>1.8</v>
      </c>
      <c r="J119" s="49"/>
      <c r="K119" s="49"/>
      <c r="L119" s="20" t="str">
        <f aca="false">IF($D119="","",IF(LEFT($C119,4)&lt;&gt;"MURO","PON EL MURO",IF(AND($E119&lt;&gt;"HORIZONTAL",$E119&lt;&gt;"VERTICAL"),"PON EL SENTIDO",IF(OR($F119="",$G119="",$H119="",$I119=""),"FALTAN a o b",IF($M119&lt;=0,"a₂ DEBE SER &gt; a₁",IF($N119&lt;=0,"b₂ DEBE SER &gt; b₁","OK"))))))</f>
        <v>OK</v>
      </c>
      <c r="M119" s="30" t="n">
        <f aca="false">IF($D119="",0,MAX(0,$G119-$F119))</f>
        <v>2.4915</v>
      </c>
      <c r="N119" s="30" t="n">
        <f aca="false">MAX(0,$W119-$V119)</f>
        <v>1.2</v>
      </c>
      <c r="O119" s="30" t="n">
        <f aca="false">$M119*$N119</f>
        <v>2.9898</v>
      </c>
      <c r="P119" s="30" t="n">
        <f aca="false">IF($U119=0,0,SUMPRODUCT((ABERTURAS!$N$7:$N$26=$U119)*ABERTURAS!$U$7:$U$26*(((($Y119)+(ABERTURAS!$P$7:$P$26)-ABS(($Y119)-(ABERTURAS!$P$7:$P$26)))/2-(($X119)+(ABERTURAS!$O$7:$O$26)+ABS(($X119)-(ABERTURAS!$O$7:$O$26)))/2)+ABS((($Y119)+(ABERTURAS!$P$7:$P$26)-ABS(($Y119)-(ABERTURAS!$P$7:$P$26)))/2-(($X119)+(ABERTURAS!$O$7:$O$26)+ABS(($X119)-(ABERTURAS!$O$7:$O$26)))/2))/2*(((($AA119)+(ABERTURAS!$R$7:$R$26)-ABS(($AA119)-(ABERTURAS!$R$7:$R$26)))/2-(($Z119)+(ABERTURAS!$Q$7:$Q$26)+ABS(($Z119)-(ABERTURAS!$Q$7:$Q$26)))/2)+ABS((($AA119)+(ABERTURAS!$R$7:$R$26)-ABS(($AA119)-(ABERTURAS!$R$7:$R$26)))/2-(($Z119)+(ABERTURAS!$Q$7:$Q$26)+ABS(($Z119)-(ABERTURAS!$Q$7:$Q$26)))/2))/2))</f>
        <v>0</v>
      </c>
      <c r="Q119" s="30" t="n">
        <f aca="false">IF($U119=0,0,SUMPRODUCT((ABERTURAS!$N$7:$N$26=$U119)*ABERTURAS!$V$7:$V$26*(((($Y119)+(ABERTURAS!$P$7:$P$26)-ABS(($Y119)-(ABERTURAS!$P$7:$P$26)))/2-(($X119)+(ABERTURAS!$O$7:$O$26)+ABS(($X119)-(ABERTURAS!$O$7:$O$26)))/2)+ABS((($Y119)+(ABERTURAS!$P$7:$P$26)-ABS(($Y119)-(ABERTURAS!$P$7:$P$26)))/2-(($X119)+(ABERTURAS!$O$7:$O$26)+ABS(($X119)-(ABERTURAS!$O$7:$O$26)))/2))/2*(((($AA119)+(ABERTURAS!$R$7:$R$26)-ABS(($AA119)-(ABERTURAS!$R$7:$R$26)))/2-(($Z119)+(ABERTURAS!$Q$7:$Q$26)+ABS(($Z119)-(ABERTURAS!$Q$7:$Q$26)))/2)+ABS((($AA119)+(ABERTURAS!$R$7:$R$26)-ABS(($AA119)-(ABERTURAS!$R$7:$R$26)))/2-(($Z119)+(ABERTURAS!$Q$7:$Q$26)+ABS(($Z119)-(ABERTURAS!$Q$7:$Q$26)))/2))/2))</f>
        <v>0</v>
      </c>
      <c r="R119" s="30" t="n">
        <f aca="false">MAX(0,$O119-$P119)</f>
        <v>2.9898</v>
      </c>
      <c r="S119" s="30" t="n">
        <f aca="false">MAX(0,$O119-$Q119)</f>
        <v>2.9898</v>
      </c>
      <c r="T119" s="50" t="n">
        <f aca="false">IF($D119="",0,IF($E119="VERTICAL",N($G119),MAX(N($I119),IF($K119="",N($I119),$K119))))</f>
        <v>1.8</v>
      </c>
      <c r="U119" s="50" t="n">
        <f aca="false">IF($L119&lt;&gt;"OK",0,VALUE(RIGHT($C119,1)))</f>
        <v>1</v>
      </c>
      <c r="V119" s="50" t="n">
        <f aca="false">IF($D119="",0,(N($H119)+IF($J119="",N($H119),$J119))/2)</f>
        <v>0.6</v>
      </c>
      <c r="W119" s="50" t="n">
        <f aca="false">IF($D119="",0,(N($I119)+IF($K119="",N($I119),$K119))/2)</f>
        <v>1.8</v>
      </c>
      <c r="X119" s="50" t="n">
        <f aca="false">IF($E119="VERTICAL",$V119,N($F119))</f>
        <v>7.5885</v>
      </c>
      <c r="Y119" s="50" t="n">
        <f aca="false">IF($E119="VERTICAL",$W119,N($G119))</f>
        <v>10.08</v>
      </c>
      <c r="Z119" s="50" t="n">
        <f aca="false">IF($E119="VERTICAL",N($F119),$V119)</f>
        <v>0.6</v>
      </c>
      <c r="AA119" s="50" t="n">
        <f aca="false">IF($E119="VERTICAL",N($G119),$W119)</f>
        <v>1.8</v>
      </c>
      <c r="AB119" s="30" t="n">
        <f aca="false">IF($L119&lt;&gt;"OK",0,(INDEX(PRESIONES!$D$28:$D$31,$U119)*IF(INDEX(PRESIONES!$D$28:$D$31,$U119)&gt;0,PRESIONES!$C$9*IF($T119&lt;=10,1,($T119/10)^(2/DATOS!$C$56)),PRESIONES!$C$15)-ABERTURAS!$L$60*PRESIONES!$C$12)*$R119/$M119)</f>
        <v>-11.0207410986675</v>
      </c>
      <c r="AC119" s="30" t="n">
        <f aca="false">IF($L119&lt;&gt;"OK",0,(INDEX(PRESIONES!$G$28:$G$31,$U119)*IF(INDEX(PRESIONES!$G$28:$G$31,$U119)&gt;0,PRESIONES!$C$9*IF($T119&lt;=10,1,($T119/10)^(2/DATOS!$C$56)),PRESIONES!$C$15)-ABERTURAS!$L$61*PRESIONES!$C$12)*$R119/$M119)</f>
        <v>-11.0207410986675</v>
      </c>
      <c r="AD119" s="30" t="n">
        <f aca="false">IF($L119&lt;&gt;"OK",0,(INDEX(PRESIONES!$J$28:$J$31,$U119)*IF(INDEX(PRESIONES!$J$28:$J$31,$U119)&gt;0,PRESIONES!$C$9*IF($T119&lt;=10,1,($T119/10)^(2/DATOS!$C$56)),PRESIONES!$C$15)-ABERTURAS!$L$62*PRESIONES!$C$12)*$R119/$M119)</f>
        <v>81.239110681599</v>
      </c>
      <c r="AE119" s="30" t="n">
        <f aca="false">IF($L119&lt;&gt;"OK",0,(INDEX(PRESIONES!$M$28:$M$31,$U119)*IF(INDEX(PRESIONES!$M$28:$M$31,$U119)&gt;0,PRESIONES!$C$9*IF($T119&lt;=10,1,($T119/10)^(2/DATOS!$C$56)),PRESIONES!$C$15)-ABERTURAS!$L$63*PRESIONES!$C$12)*$R119/$M119)</f>
        <v>-72.7488883519988</v>
      </c>
      <c r="AF119" s="30" t="n">
        <f aca="false">IF($L119&lt;&gt;"OK",0,(INDEX(PRESIONES!$D$28:$D$31,$U119)*IF(INDEX(PRESIONES!$D$28:$D$31,$U119)&gt;0,PRESIONES!$C$9*IF($T119&lt;=10,1,($T119/10)^(2/DATOS!$C$56)),PRESIONES!$C$15)-ABERTURAS!$L$64*PRESIONES!$C$12)*$S119/$M119)</f>
        <v>-11.0207410986675</v>
      </c>
      <c r="AG119" s="30" t="n">
        <f aca="false">IF($L119&lt;&gt;"OK",0,(INDEX(PRESIONES!$G$28:$G$31,$U119)*IF(INDEX(PRESIONES!$G$28:$G$31,$U119)&gt;0,PRESIONES!$C$9*IF($T119&lt;=10,1,($T119/10)^(2/DATOS!$C$56)),PRESIONES!$C$15)-ABERTURAS!$L$65*PRESIONES!$C$12)*$S119/$M119)</f>
        <v>-11.0207410986675</v>
      </c>
      <c r="AH119" s="30" t="n">
        <f aca="false">IF($L119&lt;&gt;"OK",0,(INDEX(PRESIONES!$J$28:$J$31,$U119)*IF(INDEX(PRESIONES!$J$28:$J$31,$U119)&gt;0,PRESIONES!$C$9*IF($T119&lt;=10,1,($T119/10)^(2/DATOS!$C$56)),PRESIONES!$C$15)-ABERTURAS!$L$66*PRESIONES!$C$12)*$S119/$M119)</f>
        <v>81.239110681599</v>
      </c>
      <c r="AI119" s="30" t="n">
        <f aca="false">IF($L119&lt;&gt;"OK",0,(INDEX(PRESIONES!$M$28:$M$31,$U119)*IF(INDEX(PRESIONES!$M$28:$M$31,$U119)&gt;0,PRESIONES!$C$9*IF($T119&lt;=10,1,($T119/10)^(2/DATOS!$C$56)),PRESIONES!$C$15)-ABERTURAS!$L$67*PRESIONES!$C$12)*$S119/$M119)</f>
        <v>-72.7488883519988</v>
      </c>
    </row>
    <row r="120" customFormat="false" ht="16.5" hidden="false" customHeight="true" outlineLevel="0" collapsed="false">
      <c r="B120" s="27" t="s">
        <v>582</v>
      </c>
      <c r="C120" s="17" t="s">
        <v>228</v>
      </c>
      <c r="D120" s="27" t="s">
        <v>583</v>
      </c>
      <c r="E120" s="17" t="s">
        <v>432</v>
      </c>
      <c r="F120" s="49" t="n">
        <v>0</v>
      </c>
      <c r="G120" s="49" t="n">
        <v>0.6425</v>
      </c>
      <c r="H120" s="49" t="n">
        <v>1.8</v>
      </c>
      <c r="I120" s="49" t="n">
        <v>3</v>
      </c>
      <c r="J120" s="49"/>
      <c r="K120" s="49"/>
      <c r="L120" s="20" t="str">
        <f aca="false">IF($D120="","",IF(LEFT($C120,4)&lt;&gt;"MURO","PON EL MURO",IF(AND($E120&lt;&gt;"HORIZONTAL",$E120&lt;&gt;"VERTICAL"),"PON EL SENTIDO",IF(OR($F120="",$G120="",$H120="",$I120=""),"FALTAN a o b",IF($M120&lt;=0,"a₂ DEBE SER &gt; a₁",IF($N120&lt;=0,"b₂ DEBE SER &gt; b₁","OK"))))))</f>
        <v>OK</v>
      </c>
      <c r="M120" s="30" t="n">
        <f aca="false">IF($D120="",0,MAX(0,$G120-$F120))</f>
        <v>0.6425</v>
      </c>
      <c r="N120" s="30" t="n">
        <f aca="false">MAX(0,$W120-$V120)</f>
        <v>1.2</v>
      </c>
      <c r="O120" s="30" t="n">
        <f aca="false">$M120*$N120</f>
        <v>0.771</v>
      </c>
      <c r="P120" s="30" t="n">
        <f aca="false">IF($U120=0,0,SUMPRODUCT((ABERTURAS!$N$7:$N$26=$U120)*ABERTURAS!$U$7:$U$26*(((($Y120)+(ABERTURAS!$P$7:$P$26)-ABS(($Y120)-(ABERTURAS!$P$7:$P$26)))/2-(($X120)+(ABERTURAS!$O$7:$O$26)+ABS(($X120)-(ABERTURAS!$O$7:$O$26)))/2)+ABS((($Y120)+(ABERTURAS!$P$7:$P$26)-ABS(($Y120)-(ABERTURAS!$P$7:$P$26)))/2-(($X120)+(ABERTURAS!$O$7:$O$26)+ABS(($X120)-(ABERTURAS!$O$7:$O$26)))/2))/2*(((($AA120)+(ABERTURAS!$R$7:$R$26)-ABS(($AA120)-(ABERTURAS!$R$7:$R$26)))/2-(($Z120)+(ABERTURAS!$Q$7:$Q$26)+ABS(($Z120)-(ABERTURAS!$Q$7:$Q$26)))/2)+ABS((($AA120)+(ABERTURAS!$R$7:$R$26)-ABS(($AA120)-(ABERTURAS!$R$7:$R$26)))/2-(($Z120)+(ABERTURAS!$Q$7:$Q$26)+ABS(($Z120)-(ABERTURAS!$Q$7:$Q$26)))/2))/2))</f>
        <v>0</v>
      </c>
      <c r="Q120" s="30" t="n">
        <f aca="false">IF($U120=0,0,SUMPRODUCT((ABERTURAS!$N$7:$N$26=$U120)*ABERTURAS!$V$7:$V$26*(((($Y120)+(ABERTURAS!$P$7:$P$26)-ABS(($Y120)-(ABERTURAS!$P$7:$P$26)))/2-(($X120)+(ABERTURAS!$O$7:$O$26)+ABS(($X120)-(ABERTURAS!$O$7:$O$26)))/2)+ABS((($Y120)+(ABERTURAS!$P$7:$P$26)-ABS(($Y120)-(ABERTURAS!$P$7:$P$26)))/2-(($X120)+(ABERTURAS!$O$7:$O$26)+ABS(($X120)-(ABERTURAS!$O$7:$O$26)))/2))/2*(((($AA120)+(ABERTURAS!$R$7:$R$26)-ABS(($AA120)-(ABERTURAS!$R$7:$R$26)))/2-(($Z120)+(ABERTURAS!$Q$7:$Q$26)+ABS(($Z120)-(ABERTURAS!$Q$7:$Q$26)))/2)+ABS((($AA120)+(ABERTURAS!$R$7:$R$26)-ABS(($AA120)-(ABERTURAS!$R$7:$R$26)))/2-(($Z120)+(ABERTURAS!$Q$7:$Q$26)+ABS(($Z120)-(ABERTURAS!$Q$7:$Q$26)))/2))/2))</f>
        <v>0</v>
      </c>
      <c r="R120" s="30" t="n">
        <f aca="false">MAX(0,$O120-$P120)</f>
        <v>0.771</v>
      </c>
      <c r="S120" s="30" t="n">
        <f aca="false">MAX(0,$O120-$Q120)</f>
        <v>0.771</v>
      </c>
      <c r="T120" s="50" t="n">
        <f aca="false">IF($D120="",0,IF($E120="VERTICAL",N($G120),MAX(N($I120),IF($K120="",N($I120),$K120))))</f>
        <v>3</v>
      </c>
      <c r="U120" s="50" t="n">
        <f aca="false">IF($L120&lt;&gt;"OK",0,VALUE(RIGHT($C120,1)))</f>
        <v>1</v>
      </c>
      <c r="V120" s="50" t="n">
        <f aca="false">IF($D120="",0,(N($H120)+IF($J120="",N($H120),$J120))/2)</f>
        <v>1.8</v>
      </c>
      <c r="W120" s="50" t="n">
        <f aca="false">IF($D120="",0,(N($I120)+IF($K120="",N($I120),$K120))/2)</f>
        <v>3</v>
      </c>
      <c r="X120" s="50" t="n">
        <f aca="false">IF($E120="VERTICAL",$V120,N($F120))</f>
        <v>0</v>
      </c>
      <c r="Y120" s="50" t="n">
        <f aca="false">IF($E120="VERTICAL",$W120,N($G120))</f>
        <v>0.6425</v>
      </c>
      <c r="Z120" s="50" t="n">
        <f aca="false">IF($E120="VERTICAL",N($F120),$V120)</f>
        <v>1.8</v>
      </c>
      <c r="AA120" s="50" t="n">
        <f aca="false">IF($E120="VERTICAL",N($G120),$W120)</f>
        <v>3</v>
      </c>
      <c r="AB120" s="30" t="n">
        <f aca="false">IF($L120&lt;&gt;"OK",0,(INDEX(PRESIONES!$D$28:$D$31,$U120)*IF(INDEX(PRESIONES!$D$28:$D$31,$U120)&gt;0,PRESIONES!$C$9*IF($T120&lt;=10,1,($T120/10)^(2/DATOS!$C$56)),PRESIONES!$C$15)-ABERTURAS!$L$60*PRESIONES!$C$12)*$R120/$M120)</f>
        <v>-11.0207410986675</v>
      </c>
      <c r="AC120" s="30" t="n">
        <f aca="false">IF($L120&lt;&gt;"OK",0,(INDEX(PRESIONES!$G$28:$G$31,$U120)*IF(INDEX(PRESIONES!$G$28:$G$31,$U120)&gt;0,PRESIONES!$C$9*IF($T120&lt;=10,1,($T120/10)^(2/DATOS!$C$56)),PRESIONES!$C$15)-ABERTURAS!$L$61*PRESIONES!$C$12)*$R120/$M120)</f>
        <v>-11.0207410986675</v>
      </c>
      <c r="AD120" s="30" t="n">
        <f aca="false">IF($L120&lt;&gt;"OK",0,(INDEX(PRESIONES!$J$28:$J$31,$U120)*IF(INDEX(PRESIONES!$J$28:$J$31,$U120)&gt;0,PRESIONES!$C$9*IF($T120&lt;=10,1,($T120/10)^(2/DATOS!$C$56)),PRESIONES!$C$15)-ABERTURAS!$L$62*PRESIONES!$C$12)*$R120/$M120)</f>
        <v>81.239110681599</v>
      </c>
      <c r="AE120" s="30" t="n">
        <f aca="false">IF($L120&lt;&gt;"OK",0,(INDEX(PRESIONES!$M$28:$M$31,$U120)*IF(INDEX(PRESIONES!$M$28:$M$31,$U120)&gt;0,PRESIONES!$C$9*IF($T120&lt;=10,1,($T120/10)^(2/DATOS!$C$56)),PRESIONES!$C$15)-ABERTURAS!$L$63*PRESIONES!$C$12)*$R120/$M120)</f>
        <v>-72.7488883519988</v>
      </c>
      <c r="AF120" s="30" t="n">
        <f aca="false">IF($L120&lt;&gt;"OK",0,(INDEX(PRESIONES!$D$28:$D$31,$U120)*IF(INDEX(PRESIONES!$D$28:$D$31,$U120)&gt;0,PRESIONES!$C$9*IF($T120&lt;=10,1,($T120/10)^(2/DATOS!$C$56)),PRESIONES!$C$15)-ABERTURAS!$L$64*PRESIONES!$C$12)*$S120/$M120)</f>
        <v>-11.0207410986675</v>
      </c>
      <c r="AG120" s="30" t="n">
        <f aca="false">IF($L120&lt;&gt;"OK",0,(INDEX(PRESIONES!$G$28:$G$31,$U120)*IF(INDEX(PRESIONES!$G$28:$G$31,$U120)&gt;0,PRESIONES!$C$9*IF($T120&lt;=10,1,($T120/10)^(2/DATOS!$C$56)),PRESIONES!$C$15)-ABERTURAS!$L$65*PRESIONES!$C$12)*$S120/$M120)</f>
        <v>-11.0207410986675</v>
      </c>
      <c r="AH120" s="30" t="n">
        <f aca="false">IF($L120&lt;&gt;"OK",0,(INDEX(PRESIONES!$J$28:$J$31,$U120)*IF(INDEX(PRESIONES!$J$28:$J$31,$U120)&gt;0,PRESIONES!$C$9*IF($T120&lt;=10,1,($T120/10)^(2/DATOS!$C$56)),PRESIONES!$C$15)-ABERTURAS!$L$66*PRESIONES!$C$12)*$S120/$M120)</f>
        <v>81.239110681599</v>
      </c>
      <c r="AI120" s="30" t="n">
        <f aca="false">IF($L120&lt;&gt;"OK",0,(INDEX(PRESIONES!$M$28:$M$31,$U120)*IF(INDEX(PRESIONES!$M$28:$M$31,$U120)&gt;0,PRESIONES!$C$9*IF($T120&lt;=10,1,($T120/10)^(2/DATOS!$C$56)),PRESIONES!$C$15)-ABERTURAS!$L$67*PRESIONES!$C$12)*$S120/$M120)</f>
        <v>-72.7488883519988</v>
      </c>
    </row>
    <row r="121" customFormat="false" ht="16.5" hidden="false" customHeight="true" outlineLevel="0" collapsed="false">
      <c r="B121" s="27" t="s">
        <v>584</v>
      </c>
      <c r="C121" s="17" t="s">
        <v>228</v>
      </c>
      <c r="D121" s="27" t="s">
        <v>585</v>
      </c>
      <c r="E121" s="17" t="s">
        <v>432</v>
      </c>
      <c r="F121" s="49" t="n">
        <v>0.6425</v>
      </c>
      <c r="G121" s="49" t="n">
        <v>1.9439</v>
      </c>
      <c r="H121" s="49" t="n">
        <v>1.2</v>
      </c>
      <c r="I121" s="49" t="n">
        <v>3</v>
      </c>
      <c r="J121" s="49"/>
      <c r="K121" s="49"/>
      <c r="L121" s="20" t="str">
        <f aca="false">IF($D121="","",IF(LEFT($C121,4)&lt;&gt;"MURO","PON EL MURO",IF(AND($E121&lt;&gt;"HORIZONTAL",$E121&lt;&gt;"VERTICAL"),"PON EL SENTIDO",IF(OR($F121="",$G121="",$H121="",$I121=""),"FALTAN a o b",IF($M121&lt;=0,"a₂ DEBE SER &gt; a₁",IF($N121&lt;=0,"b₂ DEBE SER &gt; b₁","OK"))))))</f>
        <v>OK</v>
      </c>
      <c r="M121" s="30" t="n">
        <f aca="false">IF($D121="",0,MAX(0,$G121-$F121))</f>
        <v>1.3014</v>
      </c>
      <c r="N121" s="30" t="n">
        <f aca="false">MAX(0,$W121-$V121)</f>
        <v>1.8</v>
      </c>
      <c r="O121" s="30" t="n">
        <f aca="false">$M121*$N121</f>
        <v>2.34252</v>
      </c>
      <c r="P121" s="30" t="n">
        <f aca="false">IF($U121=0,0,SUMPRODUCT((ABERTURAS!$N$7:$N$26=$U121)*ABERTURAS!$U$7:$U$26*(((($Y121)+(ABERTURAS!$P$7:$P$26)-ABS(($Y121)-(ABERTURAS!$P$7:$P$26)))/2-(($X121)+(ABERTURAS!$O$7:$O$26)+ABS(($X121)-(ABERTURAS!$O$7:$O$26)))/2)+ABS((($Y121)+(ABERTURAS!$P$7:$P$26)-ABS(($Y121)-(ABERTURAS!$P$7:$P$26)))/2-(($X121)+(ABERTURAS!$O$7:$O$26)+ABS(($X121)-(ABERTURAS!$O$7:$O$26)))/2))/2*(((($AA121)+(ABERTURAS!$R$7:$R$26)-ABS(($AA121)-(ABERTURAS!$R$7:$R$26)))/2-(($Z121)+(ABERTURAS!$Q$7:$Q$26)+ABS(($Z121)-(ABERTURAS!$Q$7:$Q$26)))/2)+ABS((($AA121)+(ABERTURAS!$R$7:$R$26)-ABS(($AA121)-(ABERTURAS!$R$7:$R$26)))/2-(($Z121)+(ABERTURAS!$Q$7:$Q$26)+ABS(($Z121)-(ABERTURAS!$Q$7:$Q$26)))/2))/2))</f>
        <v>0</v>
      </c>
      <c r="Q121" s="30" t="n">
        <f aca="false">IF($U121=0,0,SUMPRODUCT((ABERTURAS!$N$7:$N$26=$U121)*ABERTURAS!$V$7:$V$26*(((($Y121)+(ABERTURAS!$P$7:$P$26)-ABS(($Y121)-(ABERTURAS!$P$7:$P$26)))/2-(($X121)+(ABERTURAS!$O$7:$O$26)+ABS(($X121)-(ABERTURAS!$O$7:$O$26)))/2)+ABS((($Y121)+(ABERTURAS!$P$7:$P$26)-ABS(($Y121)-(ABERTURAS!$P$7:$P$26)))/2-(($X121)+(ABERTURAS!$O$7:$O$26)+ABS(($X121)-(ABERTURAS!$O$7:$O$26)))/2))/2*(((($AA121)+(ABERTURAS!$R$7:$R$26)-ABS(($AA121)-(ABERTURAS!$R$7:$R$26)))/2-(($Z121)+(ABERTURAS!$Q$7:$Q$26)+ABS(($Z121)-(ABERTURAS!$Q$7:$Q$26)))/2)+ABS((($AA121)+(ABERTURAS!$R$7:$R$26)-ABS(($AA121)-(ABERTURAS!$R$7:$R$26)))/2-(($Z121)+(ABERTURAS!$Q$7:$Q$26)+ABS(($Z121)-(ABERTURAS!$Q$7:$Q$26)))/2))/2))</f>
        <v>1.56168</v>
      </c>
      <c r="R121" s="30" t="n">
        <f aca="false">MAX(0,$O121-$P121)</f>
        <v>2.34252</v>
      </c>
      <c r="S121" s="30" t="n">
        <f aca="false">MAX(0,$O121-$Q121)</f>
        <v>0.78084</v>
      </c>
      <c r="T121" s="50" t="n">
        <f aca="false">IF($D121="",0,IF($E121="VERTICAL",N($G121),MAX(N($I121),IF($K121="",N($I121),$K121))))</f>
        <v>3</v>
      </c>
      <c r="U121" s="50" t="n">
        <f aca="false">IF($L121&lt;&gt;"OK",0,VALUE(RIGHT($C121,1)))</f>
        <v>1</v>
      </c>
      <c r="V121" s="50" t="n">
        <f aca="false">IF($D121="",0,(N($H121)+IF($J121="",N($H121),$J121))/2)</f>
        <v>1.2</v>
      </c>
      <c r="W121" s="50" t="n">
        <f aca="false">IF($D121="",0,(N($I121)+IF($K121="",N($I121),$K121))/2)</f>
        <v>3</v>
      </c>
      <c r="X121" s="50" t="n">
        <f aca="false">IF($E121="VERTICAL",$V121,N($F121))</f>
        <v>0.6425</v>
      </c>
      <c r="Y121" s="50" t="n">
        <f aca="false">IF($E121="VERTICAL",$W121,N($G121))</f>
        <v>1.9439</v>
      </c>
      <c r="Z121" s="50" t="n">
        <f aca="false">IF($E121="VERTICAL",N($F121),$V121)</f>
        <v>1.2</v>
      </c>
      <c r="AA121" s="50" t="n">
        <f aca="false">IF($E121="VERTICAL",N($G121),$W121)</f>
        <v>3</v>
      </c>
      <c r="AB121" s="30" t="n">
        <f aca="false">IF($L121&lt;&gt;"OK",0,(INDEX(PRESIONES!$D$28:$D$31,$U121)*IF(INDEX(PRESIONES!$D$28:$D$31,$U121)&gt;0,PRESIONES!$C$9*IF($T121&lt;=10,1,($T121/10)^(2/DATOS!$C$56)),PRESIONES!$C$15)-ABERTURAS!$L$60*PRESIONES!$C$12)*$R121/$M121)</f>
        <v>-16.5311116480012</v>
      </c>
      <c r="AC121" s="30" t="n">
        <f aca="false">IF($L121&lt;&gt;"OK",0,(INDEX(PRESIONES!$G$28:$G$31,$U121)*IF(INDEX(PRESIONES!$G$28:$G$31,$U121)&gt;0,PRESIONES!$C$9*IF($T121&lt;=10,1,($T121/10)^(2/DATOS!$C$56)),PRESIONES!$C$15)-ABERTURAS!$L$61*PRESIONES!$C$12)*$R121/$M121)</f>
        <v>-16.5311116480012</v>
      </c>
      <c r="AD121" s="30" t="n">
        <f aca="false">IF($L121&lt;&gt;"OK",0,(INDEX(PRESIONES!$J$28:$J$31,$U121)*IF(INDEX(PRESIONES!$J$28:$J$31,$U121)&gt;0,PRESIONES!$C$9*IF($T121&lt;=10,1,($T121/10)^(2/DATOS!$C$56)),PRESIONES!$C$15)-ABERTURAS!$L$62*PRESIONES!$C$12)*$R121/$M121)</f>
        <v>121.858666022399</v>
      </c>
      <c r="AE121" s="30" t="n">
        <f aca="false">IF($L121&lt;&gt;"OK",0,(INDEX(PRESIONES!$M$28:$M$31,$U121)*IF(INDEX(PRESIONES!$M$28:$M$31,$U121)&gt;0,PRESIONES!$C$9*IF($T121&lt;=10,1,($T121/10)^(2/DATOS!$C$56)),PRESIONES!$C$15)-ABERTURAS!$L$63*PRESIONES!$C$12)*$R121/$M121)</f>
        <v>-109.123332527998</v>
      </c>
      <c r="AF121" s="30" t="n">
        <f aca="false">IF($L121&lt;&gt;"OK",0,(INDEX(PRESIONES!$D$28:$D$31,$U121)*IF(INDEX(PRESIONES!$D$28:$D$31,$U121)&gt;0,PRESIONES!$C$9*IF($T121&lt;=10,1,($T121/10)^(2/DATOS!$C$56)),PRESIONES!$C$15)-ABERTURAS!$L$64*PRESIONES!$C$12)*$S121/$M121)</f>
        <v>-5.51037054933374</v>
      </c>
      <c r="AG121" s="30" t="n">
        <f aca="false">IF($L121&lt;&gt;"OK",0,(INDEX(PRESIONES!$G$28:$G$31,$U121)*IF(INDEX(PRESIONES!$G$28:$G$31,$U121)&gt;0,PRESIONES!$C$9*IF($T121&lt;=10,1,($T121/10)^(2/DATOS!$C$56)),PRESIONES!$C$15)-ABERTURAS!$L$65*PRESIONES!$C$12)*$S121/$M121)</f>
        <v>-5.51037054933374</v>
      </c>
      <c r="AH121" s="30" t="n">
        <f aca="false">IF($L121&lt;&gt;"OK",0,(INDEX(PRESIONES!$J$28:$J$31,$U121)*IF(INDEX(PRESIONES!$J$28:$J$31,$U121)&gt;0,PRESIONES!$C$9*IF($T121&lt;=10,1,($T121/10)^(2/DATOS!$C$56)),PRESIONES!$C$15)-ABERTURAS!$L$66*PRESIONES!$C$12)*$S121/$M121)</f>
        <v>40.6195553407995</v>
      </c>
      <c r="AI121" s="30" t="n">
        <f aca="false">IF($L121&lt;&gt;"OK",0,(INDEX(PRESIONES!$M$28:$M$31,$U121)*IF(INDEX(PRESIONES!$M$28:$M$31,$U121)&gt;0,PRESIONES!$C$9*IF($T121&lt;=10,1,($T121/10)^(2/DATOS!$C$56)),PRESIONES!$C$15)-ABERTURAS!$L$67*PRESIONES!$C$12)*$S121/$M121)</f>
        <v>-36.3744441759994</v>
      </c>
    </row>
    <row r="122" customFormat="false" ht="16.5" hidden="false" customHeight="true" outlineLevel="0" collapsed="false">
      <c r="B122" s="27" t="s">
        <v>586</v>
      </c>
      <c r="C122" s="17" t="s">
        <v>228</v>
      </c>
      <c r="D122" s="27" t="s">
        <v>587</v>
      </c>
      <c r="E122" s="17" t="s">
        <v>432</v>
      </c>
      <c r="F122" s="49" t="n">
        <v>1.9439</v>
      </c>
      <c r="G122" s="49" t="n">
        <v>2.4869</v>
      </c>
      <c r="H122" s="49" t="n">
        <v>1.8</v>
      </c>
      <c r="I122" s="49" t="n">
        <v>3</v>
      </c>
      <c r="J122" s="49"/>
      <c r="K122" s="49"/>
      <c r="L122" s="20" t="str">
        <f aca="false">IF($D122="","",IF(LEFT($C122,4)&lt;&gt;"MURO","PON EL MURO",IF(AND($E122&lt;&gt;"HORIZONTAL",$E122&lt;&gt;"VERTICAL"),"PON EL SENTIDO",IF(OR($F122="",$G122="",$H122="",$I122=""),"FALTAN a o b",IF($M122&lt;=0,"a₂ DEBE SER &gt; a₁",IF($N122&lt;=0,"b₂ DEBE SER &gt; b₁","OK"))))))</f>
        <v>OK</v>
      </c>
      <c r="M122" s="30" t="n">
        <f aca="false">IF($D122="",0,MAX(0,$G122-$F122))</f>
        <v>0.543</v>
      </c>
      <c r="N122" s="30" t="n">
        <f aca="false">MAX(0,$W122-$V122)</f>
        <v>1.2</v>
      </c>
      <c r="O122" s="30" t="n">
        <f aca="false">$M122*$N122</f>
        <v>0.6516</v>
      </c>
      <c r="P122" s="30" t="n">
        <f aca="false">IF($U122=0,0,SUMPRODUCT((ABERTURAS!$N$7:$N$26=$U122)*ABERTURAS!$U$7:$U$26*(((($Y122)+(ABERTURAS!$P$7:$P$26)-ABS(($Y122)-(ABERTURAS!$P$7:$P$26)))/2-(($X122)+(ABERTURAS!$O$7:$O$26)+ABS(($X122)-(ABERTURAS!$O$7:$O$26)))/2)+ABS((($Y122)+(ABERTURAS!$P$7:$P$26)-ABS(($Y122)-(ABERTURAS!$P$7:$P$26)))/2-(($X122)+(ABERTURAS!$O$7:$O$26)+ABS(($X122)-(ABERTURAS!$O$7:$O$26)))/2))/2*(((($AA122)+(ABERTURAS!$R$7:$R$26)-ABS(($AA122)-(ABERTURAS!$R$7:$R$26)))/2-(($Z122)+(ABERTURAS!$Q$7:$Q$26)+ABS(($Z122)-(ABERTURAS!$Q$7:$Q$26)))/2)+ABS((($AA122)+(ABERTURAS!$R$7:$R$26)-ABS(($AA122)-(ABERTURAS!$R$7:$R$26)))/2-(($Z122)+(ABERTURAS!$Q$7:$Q$26)+ABS(($Z122)-(ABERTURAS!$Q$7:$Q$26)))/2))/2))</f>
        <v>0</v>
      </c>
      <c r="Q122" s="30" t="n">
        <f aca="false">IF($U122=0,0,SUMPRODUCT((ABERTURAS!$N$7:$N$26=$U122)*ABERTURAS!$V$7:$V$26*(((($Y122)+(ABERTURAS!$P$7:$P$26)-ABS(($Y122)-(ABERTURAS!$P$7:$P$26)))/2-(($X122)+(ABERTURAS!$O$7:$O$26)+ABS(($X122)-(ABERTURAS!$O$7:$O$26)))/2)+ABS((($Y122)+(ABERTURAS!$P$7:$P$26)-ABS(($Y122)-(ABERTURAS!$P$7:$P$26)))/2-(($X122)+(ABERTURAS!$O$7:$O$26)+ABS(($X122)-(ABERTURAS!$O$7:$O$26)))/2))/2*(((($AA122)+(ABERTURAS!$R$7:$R$26)-ABS(($AA122)-(ABERTURAS!$R$7:$R$26)))/2-(($Z122)+(ABERTURAS!$Q$7:$Q$26)+ABS(($Z122)-(ABERTURAS!$Q$7:$Q$26)))/2)+ABS((($AA122)+(ABERTURAS!$R$7:$R$26)-ABS(($AA122)-(ABERTURAS!$R$7:$R$26)))/2-(($Z122)+(ABERTURAS!$Q$7:$Q$26)+ABS(($Z122)-(ABERTURAS!$Q$7:$Q$26)))/2))/2))</f>
        <v>0</v>
      </c>
      <c r="R122" s="30" t="n">
        <f aca="false">MAX(0,$O122-$P122)</f>
        <v>0.6516</v>
      </c>
      <c r="S122" s="30" t="n">
        <f aca="false">MAX(0,$O122-$Q122)</f>
        <v>0.6516</v>
      </c>
      <c r="T122" s="50" t="n">
        <f aca="false">IF($D122="",0,IF($E122="VERTICAL",N($G122),MAX(N($I122),IF($K122="",N($I122),$K122))))</f>
        <v>3</v>
      </c>
      <c r="U122" s="50" t="n">
        <f aca="false">IF($L122&lt;&gt;"OK",0,VALUE(RIGHT($C122,1)))</f>
        <v>1</v>
      </c>
      <c r="V122" s="50" t="n">
        <f aca="false">IF($D122="",0,(N($H122)+IF($J122="",N($H122),$J122))/2)</f>
        <v>1.8</v>
      </c>
      <c r="W122" s="50" t="n">
        <f aca="false">IF($D122="",0,(N($I122)+IF($K122="",N($I122),$K122))/2)</f>
        <v>3</v>
      </c>
      <c r="X122" s="50" t="n">
        <f aca="false">IF($E122="VERTICAL",$V122,N($F122))</f>
        <v>1.9439</v>
      </c>
      <c r="Y122" s="50" t="n">
        <f aca="false">IF($E122="VERTICAL",$W122,N($G122))</f>
        <v>2.4869</v>
      </c>
      <c r="Z122" s="50" t="n">
        <f aca="false">IF($E122="VERTICAL",N($F122),$V122)</f>
        <v>1.8</v>
      </c>
      <c r="AA122" s="50" t="n">
        <f aca="false">IF($E122="VERTICAL",N($G122),$W122)</f>
        <v>3</v>
      </c>
      <c r="AB122" s="30" t="n">
        <f aca="false">IF($L122&lt;&gt;"OK",0,(INDEX(PRESIONES!$D$28:$D$31,$U122)*IF(INDEX(PRESIONES!$D$28:$D$31,$U122)&gt;0,PRESIONES!$C$9*IF($T122&lt;=10,1,($T122/10)^(2/DATOS!$C$56)),PRESIONES!$C$15)-ABERTURAS!$L$60*PRESIONES!$C$12)*$R122/$M122)</f>
        <v>-11.0207410986675</v>
      </c>
      <c r="AC122" s="30" t="n">
        <f aca="false">IF($L122&lt;&gt;"OK",0,(INDEX(PRESIONES!$G$28:$G$31,$U122)*IF(INDEX(PRESIONES!$G$28:$G$31,$U122)&gt;0,PRESIONES!$C$9*IF($T122&lt;=10,1,($T122/10)^(2/DATOS!$C$56)),PRESIONES!$C$15)-ABERTURAS!$L$61*PRESIONES!$C$12)*$R122/$M122)</f>
        <v>-11.0207410986675</v>
      </c>
      <c r="AD122" s="30" t="n">
        <f aca="false">IF($L122&lt;&gt;"OK",0,(INDEX(PRESIONES!$J$28:$J$31,$U122)*IF(INDEX(PRESIONES!$J$28:$J$31,$U122)&gt;0,PRESIONES!$C$9*IF($T122&lt;=10,1,($T122/10)^(2/DATOS!$C$56)),PRESIONES!$C$15)-ABERTURAS!$L$62*PRESIONES!$C$12)*$R122/$M122)</f>
        <v>81.239110681599</v>
      </c>
      <c r="AE122" s="30" t="n">
        <f aca="false">IF($L122&lt;&gt;"OK",0,(INDEX(PRESIONES!$M$28:$M$31,$U122)*IF(INDEX(PRESIONES!$M$28:$M$31,$U122)&gt;0,PRESIONES!$C$9*IF($T122&lt;=10,1,($T122/10)^(2/DATOS!$C$56)),PRESIONES!$C$15)-ABERTURAS!$L$63*PRESIONES!$C$12)*$R122/$M122)</f>
        <v>-72.7488883519988</v>
      </c>
      <c r="AF122" s="30" t="n">
        <f aca="false">IF($L122&lt;&gt;"OK",0,(INDEX(PRESIONES!$D$28:$D$31,$U122)*IF(INDEX(PRESIONES!$D$28:$D$31,$U122)&gt;0,PRESIONES!$C$9*IF($T122&lt;=10,1,($T122/10)^(2/DATOS!$C$56)),PRESIONES!$C$15)-ABERTURAS!$L$64*PRESIONES!$C$12)*$S122/$M122)</f>
        <v>-11.0207410986675</v>
      </c>
      <c r="AG122" s="30" t="n">
        <f aca="false">IF($L122&lt;&gt;"OK",0,(INDEX(PRESIONES!$G$28:$G$31,$U122)*IF(INDEX(PRESIONES!$G$28:$G$31,$U122)&gt;0,PRESIONES!$C$9*IF($T122&lt;=10,1,($T122/10)^(2/DATOS!$C$56)),PRESIONES!$C$15)-ABERTURAS!$L$65*PRESIONES!$C$12)*$S122/$M122)</f>
        <v>-11.0207410986675</v>
      </c>
      <c r="AH122" s="30" t="n">
        <f aca="false">IF($L122&lt;&gt;"OK",0,(INDEX(PRESIONES!$J$28:$J$31,$U122)*IF(INDEX(PRESIONES!$J$28:$J$31,$U122)&gt;0,PRESIONES!$C$9*IF($T122&lt;=10,1,($T122/10)^(2/DATOS!$C$56)),PRESIONES!$C$15)-ABERTURAS!$L$66*PRESIONES!$C$12)*$S122/$M122)</f>
        <v>81.239110681599</v>
      </c>
      <c r="AI122" s="30" t="n">
        <f aca="false">IF($L122&lt;&gt;"OK",0,(INDEX(PRESIONES!$M$28:$M$31,$U122)*IF(INDEX(PRESIONES!$M$28:$M$31,$U122)&gt;0,PRESIONES!$C$9*IF($T122&lt;=10,1,($T122/10)^(2/DATOS!$C$56)),PRESIONES!$C$15)-ABERTURAS!$L$67*PRESIONES!$C$12)*$S122/$M122)</f>
        <v>-72.7488883519988</v>
      </c>
    </row>
    <row r="123" customFormat="false" ht="16.5" hidden="false" customHeight="true" outlineLevel="0" collapsed="false">
      <c r="B123" s="27" t="s">
        <v>588</v>
      </c>
      <c r="C123" s="17" t="s">
        <v>228</v>
      </c>
      <c r="D123" s="27" t="s">
        <v>589</v>
      </c>
      <c r="E123" s="17" t="s">
        <v>432</v>
      </c>
      <c r="F123" s="49" t="n">
        <v>7.5885</v>
      </c>
      <c r="G123" s="49" t="n">
        <v>10.08</v>
      </c>
      <c r="H123" s="49" t="n">
        <v>1.8</v>
      </c>
      <c r="I123" s="49" t="n">
        <v>3</v>
      </c>
      <c r="J123" s="49"/>
      <c r="K123" s="49"/>
      <c r="L123" s="20" t="str">
        <f aca="false">IF($D123="","",IF(LEFT($C123,4)&lt;&gt;"MURO","PON EL MURO",IF(AND($E123&lt;&gt;"HORIZONTAL",$E123&lt;&gt;"VERTICAL"),"PON EL SENTIDO",IF(OR($F123="",$G123="",$H123="",$I123=""),"FALTAN a o b",IF($M123&lt;=0,"a₂ DEBE SER &gt; a₁",IF($N123&lt;=0,"b₂ DEBE SER &gt; b₁","OK"))))))</f>
        <v>OK</v>
      </c>
      <c r="M123" s="30" t="n">
        <f aca="false">IF($D123="",0,MAX(0,$G123-$F123))</f>
        <v>2.4915</v>
      </c>
      <c r="N123" s="30" t="n">
        <f aca="false">MAX(0,$W123-$V123)</f>
        <v>1.2</v>
      </c>
      <c r="O123" s="30" t="n">
        <f aca="false">$M123*$N123</f>
        <v>2.9898</v>
      </c>
      <c r="P123" s="30" t="n">
        <f aca="false">IF($U123=0,0,SUMPRODUCT((ABERTURAS!$N$7:$N$26=$U123)*ABERTURAS!$U$7:$U$26*(((($Y123)+(ABERTURAS!$P$7:$P$26)-ABS(($Y123)-(ABERTURAS!$P$7:$P$26)))/2-(($X123)+(ABERTURAS!$O$7:$O$26)+ABS(($X123)-(ABERTURAS!$O$7:$O$26)))/2)+ABS((($Y123)+(ABERTURAS!$P$7:$P$26)-ABS(($Y123)-(ABERTURAS!$P$7:$P$26)))/2-(($X123)+(ABERTURAS!$O$7:$O$26)+ABS(($X123)-(ABERTURAS!$O$7:$O$26)))/2))/2*(((($AA123)+(ABERTURAS!$R$7:$R$26)-ABS(($AA123)-(ABERTURAS!$R$7:$R$26)))/2-(($Z123)+(ABERTURAS!$Q$7:$Q$26)+ABS(($Z123)-(ABERTURAS!$Q$7:$Q$26)))/2)+ABS((($AA123)+(ABERTURAS!$R$7:$R$26)-ABS(($AA123)-(ABERTURAS!$R$7:$R$26)))/2-(($Z123)+(ABERTURAS!$Q$7:$Q$26)+ABS(($Z123)-(ABERTURAS!$Q$7:$Q$26)))/2))/2))</f>
        <v>0</v>
      </c>
      <c r="Q123" s="30" t="n">
        <f aca="false">IF($U123=0,0,SUMPRODUCT((ABERTURAS!$N$7:$N$26=$U123)*ABERTURAS!$V$7:$V$26*(((($Y123)+(ABERTURAS!$P$7:$P$26)-ABS(($Y123)-(ABERTURAS!$P$7:$P$26)))/2-(($X123)+(ABERTURAS!$O$7:$O$26)+ABS(($X123)-(ABERTURAS!$O$7:$O$26)))/2)+ABS((($Y123)+(ABERTURAS!$P$7:$P$26)-ABS(($Y123)-(ABERTURAS!$P$7:$P$26)))/2-(($X123)+(ABERTURAS!$O$7:$O$26)+ABS(($X123)-(ABERTURAS!$O$7:$O$26)))/2))/2*(((($AA123)+(ABERTURAS!$R$7:$R$26)-ABS(($AA123)-(ABERTURAS!$R$7:$R$26)))/2-(($Z123)+(ABERTURAS!$Q$7:$Q$26)+ABS(($Z123)-(ABERTURAS!$Q$7:$Q$26)))/2)+ABS((($AA123)+(ABERTURAS!$R$7:$R$26)-ABS(($AA123)-(ABERTURAS!$R$7:$R$26)))/2-(($Z123)+(ABERTURAS!$Q$7:$Q$26)+ABS(($Z123)-(ABERTURAS!$Q$7:$Q$26)))/2))/2))</f>
        <v>0</v>
      </c>
      <c r="R123" s="30" t="n">
        <f aca="false">MAX(0,$O123-$P123)</f>
        <v>2.9898</v>
      </c>
      <c r="S123" s="30" t="n">
        <f aca="false">MAX(0,$O123-$Q123)</f>
        <v>2.9898</v>
      </c>
      <c r="T123" s="50" t="n">
        <f aca="false">IF($D123="",0,IF($E123="VERTICAL",N($G123),MAX(N($I123),IF($K123="",N($I123),$K123))))</f>
        <v>3</v>
      </c>
      <c r="U123" s="50" t="n">
        <f aca="false">IF($L123&lt;&gt;"OK",0,VALUE(RIGHT($C123,1)))</f>
        <v>1</v>
      </c>
      <c r="V123" s="50" t="n">
        <f aca="false">IF($D123="",0,(N($H123)+IF($J123="",N($H123),$J123))/2)</f>
        <v>1.8</v>
      </c>
      <c r="W123" s="50" t="n">
        <f aca="false">IF($D123="",0,(N($I123)+IF($K123="",N($I123),$K123))/2)</f>
        <v>3</v>
      </c>
      <c r="X123" s="50" t="n">
        <f aca="false">IF($E123="VERTICAL",$V123,N($F123))</f>
        <v>7.5885</v>
      </c>
      <c r="Y123" s="50" t="n">
        <f aca="false">IF($E123="VERTICAL",$W123,N($G123))</f>
        <v>10.08</v>
      </c>
      <c r="Z123" s="50" t="n">
        <f aca="false">IF($E123="VERTICAL",N($F123),$V123)</f>
        <v>1.8</v>
      </c>
      <c r="AA123" s="50" t="n">
        <f aca="false">IF($E123="VERTICAL",N($G123),$W123)</f>
        <v>3</v>
      </c>
      <c r="AB123" s="30" t="n">
        <f aca="false">IF($L123&lt;&gt;"OK",0,(INDEX(PRESIONES!$D$28:$D$31,$U123)*IF(INDEX(PRESIONES!$D$28:$D$31,$U123)&gt;0,PRESIONES!$C$9*IF($T123&lt;=10,1,($T123/10)^(2/DATOS!$C$56)),PRESIONES!$C$15)-ABERTURAS!$L$60*PRESIONES!$C$12)*$R123/$M123)</f>
        <v>-11.0207410986675</v>
      </c>
      <c r="AC123" s="30" t="n">
        <f aca="false">IF($L123&lt;&gt;"OK",0,(INDEX(PRESIONES!$G$28:$G$31,$U123)*IF(INDEX(PRESIONES!$G$28:$G$31,$U123)&gt;0,PRESIONES!$C$9*IF($T123&lt;=10,1,($T123/10)^(2/DATOS!$C$56)),PRESIONES!$C$15)-ABERTURAS!$L$61*PRESIONES!$C$12)*$R123/$M123)</f>
        <v>-11.0207410986675</v>
      </c>
      <c r="AD123" s="30" t="n">
        <f aca="false">IF($L123&lt;&gt;"OK",0,(INDEX(PRESIONES!$J$28:$J$31,$U123)*IF(INDEX(PRESIONES!$J$28:$J$31,$U123)&gt;0,PRESIONES!$C$9*IF($T123&lt;=10,1,($T123/10)^(2/DATOS!$C$56)),PRESIONES!$C$15)-ABERTURAS!$L$62*PRESIONES!$C$12)*$R123/$M123)</f>
        <v>81.239110681599</v>
      </c>
      <c r="AE123" s="30" t="n">
        <f aca="false">IF($L123&lt;&gt;"OK",0,(INDEX(PRESIONES!$M$28:$M$31,$U123)*IF(INDEX(PRESIONES!$M$28:$M$31,$U123)&gt;0,PRESIONES!$C$9*IF($T123&lt;=10,1,($T123/10)^(2/DATOS!$C$56)),PRESIONES!$C$15)-ABERTURAS!$L$63*PRESIONES!$C$12)*$R123/$M123)</f>
        <v>-72.7488883519988</v>
      </c>
      <c r="AF123" s="30" t="n">
        <f aca="false">IF($L123&lt;&gt;"OK",0,(INDEX(PRESIONES!$D$28:$D$31,$U123)*IF(INDEX(PRESIONES!$D$28:$D$31,$U123)&gt;0,PRESIONES!$C$9*IF($T123&lt;=10,1,($T123/10)^(2/DATOS!$C$56)),PRESIONES!$C$15)-ABERTURAS!$L$64*PRESIONES!$C$12)*$S123/$M123)</f>
        <v>-11.0207410986675</v>
      </c>
      <c r="AG123" s="30" t="n">
        <f aca="false">IF($L123&lt;&gt;"OK",0,(INDEX(PRESIONES!$G$28:$G$31,$U123)*IF(INDEX(PRESIONES!$G$28:$G$31,$U123)&gt;0,PRESIONES!$C$9*IF($T123&lt;=10,1,($T123/10)^(2/DATOS!$C$56)),PRESIONES!$C$15)-ABERTURAS!$L$65*PRESIONES!$C$12)*$S123/$M123)</f>
        <v>-11.0207410986675</v>
      </c>
      <c r="AH123" s="30" t="n">
        <f aca="false">IF($L123&lt;&gt;"OK",0,(INDEX(PRESIONES!$J$28:$J$31,$U123)*IF(INDEX(PRESIONES!$J$28:$J$31,$U123)&gt;0,PRESIONES!$C$9*IF($T123&lt;=10,1,($T123/10)^(2/DATOS!$C$56)),PRESIONES!$C$15)-ABERTURAS!$L$66*PRESIONES!$C$12)*$S123/$M123)</f>
        <v>81.239110681599</v>
      </c>
      <c r="AI123" s="30" t="n">
        <f aca="false">IF($L123&lt;&gt;"OK",0,(INDEX(PRESIONES!$M$28:$M$31,$U123)*IF(INDEX(PRESIONES!$M$28:$M$31,$U123)&gt;0,PRESIONES!$C$9*IF($T123&lt;=10,1,($T123/10)^(2/DATOS!$C$56)),PRESIONES!$C$15)-ABERTURAS!$L$67*PRESIONES!$C$12)*$S123/$M123)</f>
        <v>-72.7488883519988</v>
      </c>
    </row>
    <row r="124" customFormat="false" ht="16.5" hidden="false" customHeight="true" outlineLevel="0" collapsed="false">
      <c r="B124" s="27" t="s">
        <v>590</v>
      </c>
      <c r="C124" s="17" t="s">
        <v>228</v>
      </c>
      <c r="D124" s="27" t="s">
        <v>591</v>
      </c>
      <c r="E124" s="17" t="s">
        <v>432</v>
      </c>
      <c r="F124" s="49" t="n">
        <v>0</v>
      </c>
      <c r="G124" s="49" t="n">
        <v>2.4869</v>
      </c>
      <c r="H124" s="49" t="n">
        <v>3</v>
      </c>
      <c r="I124" s="49" t="n">
        <v>4.2</v>
      </c>
      <c r="J124" s="49"/>
      <c r="K124" s="49"/>
      <c r="L124" s="20" t="str">
        <f aca="false">IF($D124="","",IF(LEFT($C124,4)&lt;&gt;"MURO","PON EL MURO",IF(AND($E124&lt;&gt;"HORIZONTAL",$E124&lt;&gt;"VERTICAL"),"PON EL SENTIDO",IF(OR($F124="",$G124="",$H124="",$I124=""),"FALTAN a o b",IF($M124&lt;=0,"a₂ DEBE SER &gt; a₁",IF($N124&lt;=0,"b₂ DEBE SER &gt; b₁","OK"))))))</f>
        <v>OK</v>
      </c>
      <c r="M124" s="30" t="n">
        <f aca="false">IF($D124="",0,MAX(0,$G124-$F124))</f>
        <v>2.4869</v>
      </c>
      <c r="N124" s="30" t="n">
        <f aca="false">MAX(0,$W124-$V124)</f>
        <v>1.2</v>
      </c>
      <c r="O124" s="30" t="n">
        <f aca="false">$M124*$N124</f>
        <v>2.98428</v>
      </c>
      <c r="P124" s="30" t="n">
        <f aca="false">IF($U124=0,0,SUMPRODUCT((ABERTURAS!$N$7:$N$26=$U124)*ABERTURAS!$U$7:$U$26*(((($Y124)+(ABERTURAS!$P$7:$P$26)-ABS(($Y124)-(ABERTURAS!$P$7:$P$26)))/2-(($X124)+(ABERTURAS!$O$7:$O$26)+ABS(($X124)-(ABERTURAS!$O$7:$O$26)))/2)+ABS((($Y124)+(ABERTURAS!$P$7:$P$26)-ABS(($Y124)-(ABERTURAS!$P$7:$P$26)))/2-(($X124)+(ABERTURAS!$O$7:$O$26)+ABS(($X124)-(ABERTURAS!$O$7:$O$26)))/2))/2*(((($AA124)+(ABERTURAS!$R$7:$R$26)-ABS(($AA124)-(ABERTURAS!$R$7:$R$26)))/2-(($Z124)+(ABERTURAS!$Q$7:$Q$26)+ABS(($Z124)-(ABERTURAS!$Q$7:$Q$26)))/2)+ABS((($AA124)+(ABERTURAS!$R$7:$R$26)-ABS(($AA124)-(ABERTURAS!$R$7:$R$26)))/2-(($Z124)+(ABERTURAS!$Q$7:$Q$26)+ABS(($Z124)-(ABERTURAS!$Q$7:$Q$26)))/2))/2))</f>
        <v>0</v>
      </c>
      <c r="Q124" s="30" t="n">
        <f aca="false">IF($U124=0,0,SUMPRODUCT((ABERTURAS!$N$7:$N$26=$U124)*ABERTURAS!$V$7:$V$26*(((($Y124)+(ABERTURAS!$P$7:$P$26)-ABS(($Y124)-(ABERTURAS!$P$7:$P$26)))/2-(($X124)+(ABERTURAS!$O$7:$O$26)+ABS(($X124)-(ABERTURAS!$O$7:$O$26)))/2)+ABS((($Y124)+(ABERTURAS!$P$7:$P$26)-ABS(($Y124)-(ABERTURAS!$P$7:$P$26)))/2-(($X124)+(ABERTURAS!$O$7:$O$26)+ABS(($X124)-(ABERTURAS!$O$7:$O$26)))/2))/2*(((($AA124)+(ABERTURAS!$R$7:$R$26)-ABS(($AA124)-(ABERTURAS!$R$7:$R$26)))/2-(($Z124)+(ABERTURAS!$Q$7:$Q$26)+ABS(($Z124)-(ABERTURAS!$Q$7:$Q$26)))/2)+ABS((($AA124)+(ABERTURAS!$R$7:$R$26)-ABS(($AA124)-(ABERTURAS!$R$7:$R$26)))/2-(($Z124)+(ABERTURAS!$Q$7:$Q$26)+ABS(($Z124)-(ABERTURAS!$Q$7:$Q$26)))/2))/2))</f>
        <v>0</v>
      </c>
      <c r="R124" s="30" t="n">
        <f aca="false">MAX(0,$O124-$P124)</f>
        <v>2.98428</v>
      </c>
      <c r="S124" s="30" t="n">
        <f aca="false">MAX(0,$O124-$Q124)</f>
        <v>2.98428</v>
      </c>
      <c r="T124" s="50" t="n">
        <f aca="false">IF($D124="",0,IF($E124="VERTICAL",N($G124),MAX(N($I124),IF($K124="",N($I124),$K124))))</f>
        <v>4.2</v>
      </c>
      <c r="U124" s="50" t="n">
        <f aca="false">IF($L124&lt;&gt;"OK",0,VALUE(RIGHT($C124,1)))</f>
        <v>1</v>
      </c>
      <c r="V124" s="50" t="n">
        <f aca="false">IF($D124="",0,(N($H124)+IF($J124="",N($H124),$J124))/2)</f>
        <v>3</v>
      </c>
      <c r="W124" s="50" t="n">
        <f aca="false">IF($D124="",0,(N($I124)+IF($K124="",N($I124),$K124))/2)</f>
        <v>4.2</v>
      </c>
      <c r="X124" s="50" t="n">
        <f aca="false">IF($E124="VERTICAL",$V124,N($F124))</f>
        <v>0</v>
      </c>
      <c r="Y124" s="50" t="n">
        <f aca="false">IF($E124="VERTICAL",$W124,N($G124))</f>
        <v>2.4869</v>
      </c>
      <c r="Z124" s="50" t="n">
        <f aca="false">IF($E124="VERTICAL",N($F124),$V124)</f>
        <v>3</v>
      </c>
      <c r="AA124" s="50" t="n">
        <f aca="false">IF($E124="VERTICAL",N($G124),$W124)</f>
        <v>4.2</v>
      </c>
      <c r="AB124" s="30" t="n">
        <f aca="false">IF($L124&lt;&gt;"OK",0,(INDEX(PRESIONES!$D$28:$D$31,$U124)*IF(INDEX(PRESIONES!$D$28:$D$31,$U124)&gt;0,PRESIONES!$C$9*IF($T124&lt;=10,1,($T124/10)^(2/DATOS!$C$56)),PRESIONES!$C$15)-ABERTURAS!$L$60*PRESIONES!$C$12)*$R124/$M124)</f>
        <v>-11.0207410986675</v>
      </c>
      <c r="AC124" s="30" t="n">
        <f aca="false">IF($L124&lt;&gt;"OK",0,(INDEX(PRESIONES!$G$28:$G$31,$U124)*IF(INDEX(PRESIONES!$G$28:$G$31,$U124)&gt;0,PRESIONES!$C$9*IF($T124&lt;=10,1,($T124/10)^(2/DATOS!$C$56)),PRESIONES!$C$15)-ABERTURAS!$L$61*PRESIONES!$C$12)*$R124/$M124)</f>
        <v>-11.0207410986675</v>
      </c>
      <c r="AD124" s="30" t="n">
        <f aca="false">IF($L124&lt;&gt;"OK",0,(INDEX(PRESIONES!$J$28:$J$31,$U124)*IF(INDEX(PRESIONES!$J$28:$J$31,$U124)&gt;0,PRESIONES!$C$9*IF($T124&lt;=10,1,($T124/10)^(2/DATOS!$C$56)),PRESIONES!$C$15)-ABERTURAS!$L$62*PRESIONES!$C$12)*$R124/$M124)</f>
        <v>81.239110681599</v>
      </c>
      <c r="AE124" s="30" t="n">
        <f aca="false">IF($L124&lt;&gt;"OK",0,(INDEX(PRESIONES!$M$28:$M$31,$U124)*IF(INDEX(PRESIONES!$M$28:$M$31,$U124)&gt;0,PRESIONES!$C$9*IF($T124&lt;=10,1,($T124/10)^(2/DATOS!$C$56)),PRESIONES!$C$15)-ABERTURAS!$L$63*PRESIONES!$C$12)*$R124/$M124)</f>
        <v>-72.7488883519988</v>
      </c>
      <c r="AF124" s="30" t="n">
        <f aca="false">IF($L124&lt;&gt;"OK",0,(INDEX(PRESIONES!$D$28:$D$31,$U124)*IF(INDEX(PRESIONES!$D$28:$D$31,$U124)&gt;0,PRESIONES!$C$9*IF($T124&lt;=10,1,($T124/10)^(2/DATOS!$C$56)),PRESIONES!$C$15)-ABERTURAS!$L$64*PRESIONES!$C$12)*$S124/$M124)</f>
        <v>-11.0207410986675</v>
      </c>
      <c r="AG124" s="30" t="n">
        <f aca="false">IF($L124&lt;&gt;"OK",0,(INDEX(PRESIONES!$G$28:$G$31,$U124)*IF(INDEX(PRESIONES!$G$28:$G$31,$U124)&gt;0,PRESIONES!$C$9*IF($T124&lt;=10,1,($T124/10)^(2/DATOS!$C$56)),PRESIONES!$C$15)-ABERTURAS!$L$65*PRESIONES!$C$12)*$S124/$M124)</f>
        <v>-11.0207410986675</v>
      </c>
      <c r="AH124" s="30" t="n">
        <f aca="false">IF($L124&lt;&gt;"OK",0,(INDEX(PRESIONES!$J$28:$J$31,$U124)*IF(INDEX(PRESIONES!$J$28:$J$31,$U124)&gt;0,PRESIONES!$C$9*IF($T124&lt;=10,1,($T124/10)^(2/DATOS!$C$56)),PRESIONES!$C$15)-ABERTURAS!$L$66*PRESIONES!$C$12)*$S124/$M124)</f>
        <v>81.239110681599</v>
      </c>
      <c r="AI124" s="30" t="n">
        <f aca="false">IF($L124&lt;&gt;"OK",0,(INDEX(PRESIONES!$M$28:$M$31,$U124)*IF(INDEX(PRESIONES!$M$28:$M$31,$U124)&gt;0,PRESIONES!$C$9*IF($T124&lt;=10,1,($T124/10)^(2/DATOS!$C$56)),PRESIONES!$C$15)-ABERTURAS!$L$67*PRESIONES!$C$12)*$S124/$M124)</f>
        <v>-72.7488883519988</v>
      </c>
    </row>
    <row r="125" customFormat="false" ht="16.5" hidden="false" customHeight="true" outlineLevel="0" collapsed="false">
      <c r="B125" s="27" t="s">
        <v>592</v>
      </c>
      <c r="C125" s="17" t="s">
        <v>228</v>
      </c>
      <c r="D125" s="27" t="s">
        <v>593</v>
      </c>
      <c r="E125" s="17" t="s">
        <v>432</v>
      </c>
      <c r="F125" s="49" t="n">
        <v>7.5885</v>
      </c>
      <c r="G125" s="49" t="n">
        <v>10.08</v>
      </c>
      <c r="H125" s="49" t="n">
        <v>3</v>
      </c>
      <c r="I125" s="49" t="n">
        <v>4.2</v>
      </c>
      <c r="J125" s="49"/>
      <c r="K125" s="49"/>
      <c r="L125" s="20" t="str">
        <f aca="false">IF($D125="","",IF(LEFT($C125,4)&lt;&gt;"MURO","PON EL MURO",IF(AND($E125&lt;&gt;"HORIZONTAL",$E125&lt;&gt;"VERTICAL"),"PON EL SENTIDO",IF(OR($F125="",$G125="",$H125="",$I125=""),"FALTAN a o b",IF($M125&lt;=0,"a₂ DEBE SER &gt; a₁",IF($N125&lt;=0,"b₂ DEBE SER &gt; b₁","OK"))))))</f>
        <v>OK</v>
      </c>
      <c r="M125" s="30" t="n">
        <f aca="false">IF($D125="",0,MAX(0,$G125-$F125))</f>
        <v>2.4915</v>
      </c>
      <c r="N125" s="30" t="n">
        <f aca="false">MAX(0,$W125-$V125)</f>
        <v>1.2</v>
      </c>
      <c r="O125" s="30" t="n">
        <f aca="false">$M125*$N125</f>
        <v>2.9898</v>
      </c>
      <c r="P125" s="30" t="n">
        <f aca="false">IF($U125=0,0,SUMPRODUCT((ABERTURAS!$N$7:$N$26=$U125)*ABERTURAS!$U$7:$U$26*(((($Y125)+(ABERTURAS!$P$7:$P$26)-ABS(($Y125)-(ABERTURAS!$P$7:$P$26)))/2-(($X125)+(ABERTURAS!$O$7:$O$26)+ABS(($X125)-(ABERTURAS!$O$7:$O$26)))/2)+ABS((($Y125)+(ABERTURAS!$P$7:$P$26)-ABS(($Y125)-(ABERTURAS!$P$7:$P$26)))/2-(($X125)+(ABERTURAS!$O$7:$O$26)+ABS(($X125)-(ABERTURAS!$O$7:$O$26)))/2))/2*(((($AA125)+(ABERTURAS!$R$7:$R$26)-ABS(($AA125)-(ABERTURAS!$R$7:$R$26)))/2-(($Z125)+(ABERTURAS!$Q$7:$Q$26)+ABS(($Z125)-(ABERTURAS!$Q$7:$Q$26)))/2)+ABS((($AA125)+(ABERTURAS!$R$7:$R$26)-ABS(($AA125)-(ABERTURAS!$R$7:$R$26)))/2-(($Z125)+(ABERTURAS!$Q$7:$Q$26)+ABS(($Z125)-(ABERTURAS!$Q$7:$Q$26)))/2))/2))</f>
        <v>0</v>
      </c>
      <c r="Q125" s="30" t="n">
        <f aca="false">IF($U125=0,0,SUMPRODUCT((ABERTURAS!$N$7:$N$26=$U125)*ABERTURAS!$V$7:$V$26*(((($Y125)+(ABERTURAS!$P$7:$P$26)-ABS(($Y125)-(ABERTURAS!$P$7:$P$26)))/2-(($X125)+(ABERTURAS!$O$7:$O$26)+ABS(($X125)-(ABERTURAS!$O$7:$O$26)))/2)+ABS((($Y125)+(ABERTURAS!$P$7:$P$26)-ABS(($Y125)-(ABERTURAS!$P$7:$P$26)))/2-(($X125)+(ABERTURAS!$O$7:$O$26)+ABS(($X125)-(ABERTURAS!$O$7:$O$26)))/2))/2*(((($AA125)+(ABERTURAS!$R$7:$R$26)-ABS(($AA125)-(ABERTURAS!$R$7:$R$26)))/2-(($Z125)+(ABERTURAS!$Q$7:$Q$26)+ABS(($Z125)-(ABERTURAS!$Q$7:$Q$26)))/2)+ABS((($AA125)+(ABERTURAS!$R$7:$R$26)-ABS(($AA125)-(ABERTURAS!$R$7:$R$26)))/2-(($Z125)+(ABERTURAS!$Q$7:$Q$26)+ABS(($Z125)-(ABERTURAS!$Q$7:$Q$26)))/2))/2))</f>
        <v>0</v>
      </c>
      <c r="R125" s="30" t="n">
        <f aca="false">MAX(0,$O125-$P125)</f>
        <v>2.9898</v>
      </c>
      <c r="S125" s="30" t="n">
        <f aca="false">MAX(0,$O125-$Q125)</f>
        <v>2.9898</v>
      </c>
      <c r="T125" s="50" t="n">
        <f aca="false">IF($D125="",0,IF($E125="VERTICAL",N($G125),MAX(N($I125),IF($K125="",N($I125),$K125))))</f>
        <v>4.2</v>
      </c>
      <c r="U125" s="50" t="n">
        <f aca="false">IF($L125&lt;&gt;"OK",0,VALUE(RIGHT($C125,1)))</f>
        <v>1</v>
      </c>
      <c r="V125" s="50" t="n">
        <f aca="false">IF($D125="",0,(N($H125)+IF($J125="",N($H125),$J125))/2)</f>
        <v>3</v>
      </c>
      <c r="W125" s="50" t="n">
        <f aca="false">IF($D125="",0,(N($I125)+IF($K125="",N($I125),$K125))/2)</f>
        <v>4.2</v>
      </c>
      <c r="X125" s="50" t="n">
        <f aca="false">IF($E125="VERTICAL",$V125,N($F125))</f>
        <v>7.5885</v>
      </c>
      <c r="Y125" s="50" t="n">
        <f aca="false">IF($E125="VERTICAL",$W125,N($G125))</f>
        <v>10.08</v>
      </c>
      <c r="Z125" s="50" t="n">
        <f aca="false">IF($E125="VERTICAL",N($F125),$V125)</f>
        <v>3</v>
      </c>
      <c r="AA125" s="50" t="n">
        <f aca="false">IF($E125="VERTICAL",N($G125),$W125)</f>
        <v>4.2</v>
      </c>
      <c r="AB125" s="30" t="n">
        <f aca="false">IF($L125&lt;&gt;"OK",0,(INDEX(PRESIONES!$D$28:$D$31,$U125)*IF(INDEX(PRESIONES!$D$28:$D$31,$U125)&gt;0,PRESIONES!$C$9*IF($T125&lt;=10,1,($T125/10)^(2/DATOS!$C$56)),PRESIONES!$C$15)-ABERTURAS!$L$60*PRESIONES!$C$12)*$R125/$M125)</f>
        <v>-11.0207410986675</v>
      </c>
      <c r="AC125" s="30" t="n">
        <f aca="false">IF($L125&lt;&gt;"OK",0,(INDEX(PRESIONES!$G$28:$G$31,$U125)*IF(INDEX(PRESIONES!$G$28:$G$31,$U125)&gt;0,PRESIONES!$C$9*IF($T125&lt;=10,1,($T125/10)^(2/DATOS!$C$56)),PRESIONES!$C$15)-ABERTURAS!$L$61*PRESIONES!$C$12)*$R125/$M125)</f>
        <v>-11.0207410986675</v>
      </c>
      <c r="AD125" s="30" t="n">
        <f aca="false">IF($L125&lt;&gt;"OK",0,(INDEX(PRESIONES!$J$28:$J$31,$U125)*IF(INDEX(PRESIONES!$J$28:$J$31,$U125)&gt;0,PRESIONES!$C$9*IF($T125&lt;=10,1,($T125/10)^(2/DATOS!$C$56)),PRESIONES!$C$15)-ABERTURAS!$L$62*PRESIONES!$C$12)*$R125/$M125)</f>
        <v>81.239110681599</v>
      </c>
      <c r="AE125" s="30" t="n">
        <f aca="false">IF($L125&lt;&gt;"OK",0,(INDEX(PRESIONES!$M$28:$M$31,$U125)*IF(INDEX(PRESIONES!$M$28:$M$31,$U125)&gt;0,PRESIONES!$C$9*IF($T125&lt;=10,1,($T125/10)^(2/DATOS!$C$56)),PRESIONES!$C$15)-ABERTURAS!$L$63*PRESIONES!$C$12)*$R125/$M125)</f>
        <v>-72.7488883519988</v>
      </c>
      <c r="AF125" s="30" t="n">
        <f aca="false">IF($L125&lt;&gt;"OK",0,(INDEX(PRESIONES!$D$28:$D$31,$U125)*IF(INDEX(PRESIONES!$D$28:$D$31,$U125)&gt;0,PRESIONES!$C$9*IF($T125&lt;=10,1,($T125/10)^(2/DATOS!$C$56)),PRESIONES!$C$15)-ABERTURAS!$L$64*PRESIONES!$C$12)*$S125/$M125)</f>
        <v>-11.0207410986675</v>
      </c>
      <c r="AG125" s="30" t="n">
        <f aca="false">IF($L125&lt;&gt;"OK",0,(INDEX(PRESIONES!$G$28:$G$31,$U125)*IF(INDEX(PRESIONES!$G$28:$G$31,$U125)&gt;0,PRESIONES!$C$9*IF($T125&lt;=10,1,($T125/10)^(2/DATOS!$C$56)),PRESIONES!$C$15)-ABERTURAS!$L$65*PRESIONES!$C$12)*$S125/$M125)</f>
        <v>-11.0207410986675</v>
      </c>
      <c r="AH125" s="30" t="n">
        <f aca="false">IF($L125&lt;&gt;"OK",0,(INDEX(PRESIONES!$J$28:$J$31,$U125)*IF(INDEX(PRESIONES!$J$28:$J$31,$U125)&gt;0,PRESIONES!$C$9*IF($T125&lt;=10,1,($T125/10)^(2/DATOS!$C$56)),PRESIONES!$C$15)-ABERTURAS!$L$66*PRESIONES!$C$12)*$S125/$M125)</f>
        <v>81.239110681599</v>
      </c>
      <c r="AI125" s="30" t="n">
        <f aca="false">IF($L125&lt;&gt;"OK",0,(INDEX(PRESIONES!$M$28:$M$31,$U125)*IF(INDEX(PRESIONES!$M$28:$M$31,$U125)&gt;0,PRESIONES!$C$9*IF($T125&lt;=10,1,($T125/10)^(2/DATOS!$C$56)),PRESIONES!$C$15)-ABERTURAS!$L$67*PRESIONES!$C$12)*$S125/$M125)</f>
        <v>-72.7488883519988</v>
      </c>
    </row>
    <row r="126" customFormat="false" ht="16.5" hidden="false" customHeight="true" outlineLevel="0" collapsed="false">
      <c r="B126" s="27" t="s">
        <v>594</v>
      </c>
      <c r="C126" s="17" t="s">
        <v>228</v>
      </c>
      <c r="D126" s="27" t="s">
        <v>595</v>
      </c>
      <c r="E126" s="17" t="s">
        <v>432</v>
      </c>
      <c r="F126" s="49" t="n">
        <v>0</v>
      </c>
      <c r="G126" s="49" t="n">
        <v>2.4869</v>
      </c>
      <c r="H126" s="49" t="n">
        <v>4.2</v>
      </c>
      <c r="I126" s="49" t="n">
        <v>5.4</v>
      </c>
      <c r="J126" s="49"/>
      <c r="K126" s="49"/>
      <c r="L126" s="20" t="str">
        <f aca="false">IF($D126="","",IF(LEFT($C126,4)&lt;&gt;"MURO","PON EL MURO",IF(AND($E126&lt;&gt;"HORIZONTAL",$E126&lt;&gt;"VERTICAL"),"PON EL SENTIDO",IF(OR($F126="",$G126="",$H126="",$I126=""),"FALTAN a o b",IF($M126&lt;=0,"a₂ DEBE SER &gt; a₁",IF($N126&lt;=0,"b₂ DEBE SER &gt; b₁","OK"))))))</f>
        <v>OK</v>
      </c>
      <c r="M126" s="30" t="n">
        <f aca="false">IF($D126="",0,MAX(0,$G126-$F126))</f>
        <v>2.4869</v>
      </c>
      <c r="N126" s="30" t="n">
        <f aca="false">MAX(0,$W126-$V126)</f>
        <v>1.2</v>
      </c>
      <c r="O126" s="30" t="n">
        <f aca="false">$M126*$N126</f>
        <v>2.98428</v>
      </c>
      <c r="P126" s="30" t="n">
        <f aca="false">IF($U126=0,0,SUMPRODUCT((ABERTURAS!$N$7:$N$26=$U126)*ABERTURAS!$U$7:$U$26*(((($Y126)+(ABERTURAS!$P$7:$P$26)-ABS(($Y126)-(ABERTURAS!$P$7:$P$26)))/2-(($X126)+(ABERTURAS!$O$7:$O$26)+ABS(($X126)-(ABERTURAS!$O$7:$O$26)))/2)+ABS((($Y126)+(ABERTURAS!$P$7:$P$26)-ABS(($Y126)-(ABERTURAS!$P$7:$P$26)))/2-(($X126)+(ABERTURAS!$O$7:$O$26)+ABS(($X126)-(ABERTURAS!$O$7:$O$26)))/2))/2*(((($AA126)+(ABERTURAS!$R$7:$R$26)-ABS(($AA126)-(ABERTURAS!$R$7:$R$26)))/2-(($Z126)+(ABERTURAS!$Q$7:$Q$26)+ABS(($Z126)-(ABERTURAS!$Q$7:$Q$26)))/2)+ABS((($AA126)+(ABERTURAS!$R$7:$R$26)-ABS(($AA126)-(ABERTURAS!$R$7:$R$26)))/2-(($Z126)+(ABERTURAS!$Q$7:$Q$26)+ABS(($Z126)-(ABERTURAS!$Q$7:$Q$26)))/2))/2))</f>
        <v>0</v>
      </c>
      <c r="Q126" s="30" t="n">
        <f aca="false">IF($U126=0,0,SUMPRODUCT((ABERTURAS!$N$7:$N$26=$U126)*ABERTURAS!$V$7:$V$26*(((($Y126)+(ABERTURAS!$P$7:$P$26)-ABS(($Y126)-(ABERTURAS!$P$7:$P$26)))/2-(($X126)+(ABERTURAS!$O$7:$O$26)+ABS(($X126)-(ABERTURAS!$O$7:$O$26)))/2)+ABS((($Y126)+(ABERTURAS!$P$7:$P$26)-ABS(($Y126)-(ABERTURAS!$P$7:$P$26)))/2-(($X126)+(ABERTURAS!$O$7:$O$26)+ABS(($X126)-(ABERTURAS!$O$7:$O$26)))/2))/2*(((($AA126)+(ABERTURAS!$R$7:$R$26)-ABS(($AA126)-(ABERTURAS!$R$7:$R$26)))/2-(($Z126)+(ABERTURAS!$Q$7:$Q$26)+ABS(($Z126)-(ABERTURAS!$Q$7:$Q$26)))/2)+ABS((($AA126)+(ABERTURAS!$R$7:$R$26)-ABS(($AA126)-(ABERTURAS!$R$7:$R$26)))/2-(($Z126)+(ABERTURAS!$Q$7:$Q$26)+ABS(($Z126)-(ABERTURAS!$Q$7:$Q$26)))/2))/2))</f>
        <v>0</v>
      </c>
      <c r="R126" s="30" t="n">
        <f aca="false">MAX(0,$O126-$P126)</f>
        <v>2.98428</v>
      </c>
      <c r="S126" s="30" t="n">
        <f aca="false">MAX(0,$O126-$Q126)</f>
        <v>2.98428</v>
      </c>
      <c r="T126" s="50" t="n">
        <f aca="false">IF($D126="",0,IF($E126="VERTICAL",N($G126),MAX(N($I126),IF($K126="",N($I126),$K126))))</f>
        <v>5.4</v>
      </c>
      <c r="U126" s="50" t="n">
        <f aca="false">IF($L126&lt;&gt;"OK",0,VALUE(RIGHT($C126,1)))</f>
        <v>1</v>
      </c>
      <c r="V126" s="50" t="n">
        <f aca="false">IF($D126="",0,(N($H126)+IF($J126="",N($H126),$J126))/2)</f>
        <v>4.2</v>
      </c>
      <c r="W126" s="50" t="n">
        <f aca="false">IF($D126="",0,(N($I126)+IF($K126="",N($I126),$K126))/2)</f>
        <v>5.4</v>
      </c>
      <c r="X126" s="50" t="n">
        <f aca="false">IF($E126="VERTICAL",$V126,N($F126))</f>
        <v>0</v>
      </c>
      <c r="Y126" s="50" t="n">
        <f aca="false">IF($E126="VERTICAL",$W126,N($G126))</f>
        <v>2.4869</v>
      </c>
      <c r="Z126" s="50" t="n">
        <f aca="false">IF($E126="VERTICAL",N($F126),$V126)</f>
        <v>4.2</v>
      </c>
      <c r="AA126" s="50" t="n">
        <f aca="false">IF($E126="VERTICAL",N($G126),$W126)</f>
        <v>5.4</v>
      </c>
      <c r="AB126" s="30" t="n">
        <f aca="false">IF($L126&lt;&gt;"OK",0,(INDEX(PRESIONES!$D$28:$D$31,$U126)*IF(INDEX(PRESIONES!$D$28:$D$31,$U126)&gt;0,PRESIONES!$C$9*IF($T126&lt;=10,1,($T126/10)^(2/DATOS!$C$56)),PRESIONES!$C$15)-ABERTURAS!$L$60*PRESIONES!$C$12)*$R126/$M126)</f>
        <v>-11.0207410986675</v>
      </c>
      <c r="AC126" s="30" t="n">
        <f aca="false">IF($L126&lt;&gt;"OK",0,(INDEX(PRESIONES!$G$28:$G$31,$U126)*IF(INDEX(PRESIONES!$G$28:$G$31,$U126)&gt;0,PRESIONES!$C$9*IF($T126&lt;=10,1,($T126/10)^(2/DATOS!$C$56)),PRESIONES!$C$15)-ABERTURAS!$L$61*PRESIONES!$C$12)*$R126/$M126)</f>
        <v>-11.0207410986675</v>
      </c>
      <c r="AD126" s="30" t="n">
        <f aca="false">IF($L126&lt;&gt;"OK",0,(INDEX(PRESIONES!$J$28:$J$31,$U126)*IF(INDEX(PRESIONES!$J$28:$J$31,$U126)&gt;0,PRESIONES!$C$9*IF($T126&lt;=10,1,($T126/10)^(2/DATOS!$C$56)),PRESIONES!$C$15)-ABERTURAS!$L$62*PRESIONES!$C$12)*$R126/$M126)</f>
        <v>81.239110681599</v>
      </c>
      <c r="AE126" s="30" t="n">
        <f aca="false">IF($L126&lt;&gt;"OK",0,(INDEX(PRESIONES!$M$28:$M$31,$U126)*IF(INDEX(PRESIONES!$M$28:$M$31,$U126)&gt;0,PRESIONES!$C$9*IF($T126&lt;=10,1,($T126/10)^(2/DATOS!$C$56)),PRESIONES!$C$15)-ABERTURAS!$L$63*PRESIONES!$C$12)*$R126/$M126)</f>
        <v>-72.7488883519988</v>
      </c>
      <c r="AF126" s="30" t="n">
        <f aca="false">IF($L126&lt;&gt;"OK",0,(INDEX(PRESIONES!$D$28:$D$31,$U126)*IF(INDEX(PRESIONES!$D$28:$D$31,$U126)&gt;0,PRESIONES!$C$9*IF($T126&lt;=10,1,($T126/10)^(2/DATOS!$C$56)),PRESIONES!$C$15)-ABERTURAS!$L$64*PRESIONES!$C$12)*$S126/$M126)</f>
        <v>-11.0207410986675</v>
      </c>
      <c r="AG126" s="30" t="n">
        <f aca="false">IF($L126&lt;&gt;"OK",0,(INDEX(PRESIONES!$G$28:$G$31,$U126)*IF(INDEX(PRESIONES!$G$28:$G$31,$U126)&gt;0,PRESIONES!$C$9*IF($T126&lt;=10,1,($T126/10)^(2/DATOS!$C$56)),PRESIONES!$C$15)-ABERTURAS!$L$65*PRESIONES!$C$12)*$S126/$M126)</f>
        <v>-11.0207410986675</v>
      </c>
      <c r="AH126" s="30" t="n">
        <f aca="false">IF($L126&lt;&gt;"OK",0,(INDEX(PRESIONES!$J$28:$J$31,$U126)*IF(INDEX(PRESIONES!$J$28:$J$31,$U126)&gt;0,PRESIONES!$C$9*IF($T126&lt;=10,1,($T126/10)^(2/DATOS!$C$56)),PRESIONES!$C$15)-ABERTURAS!$L$66*PRESIONES!$C$12)*$S126/$M126)</f>
        <v>81.239110681599</v>
      </c>
      <c r="AI126" s="30" t="n">
        <f aca="false">IF($L126&lt;&gt;"OK",0,(INDEX(PRESIONES!$M$28:$M$31,$U126)*IF(INDEX(PRESIONES!$M$28:$M$31,$U126)&gt;0,PRESIONES!$C$9*IF($T126&lt;=10,1,($T126/10)^(2/DATOS!$C$56)),PRESIONES!$C$15)-ABERTURAS!$L$67*PRESIONES!$C$12)*$S126/$M126)</f>
        <v>-72.7488883519988</v>
      </c>
    </row>
    <row r="127" customFormat="false" ht="16.5" hidden="false" customHeight="true" outlineLevel="0" collapsed="false">
      <c r="B127" s="27" t="s">
        <v>596</v>
      </c>
      <c r="C127" s="17" t="s">
        <v>228</v>
      </c>
      <c r="D127" s="27" t="s">
        <v>597</v>
      </c>
      <c r="E127" s="17" t="s">
        <v>432</v>
      </c>
      <c r="F127" s="49" t="n">
        <v>7.5885</v>
      </c>
      <c r="G127" s="49" t="n">
        <v>10.08</v>
      </c>
      <c r="H127" s="49" t="n">
        <v>4.2</v>
      </c>
      <c r="I127" s="49" t="n">
        <v>5.4</v>
      </c>
      <c r="J127" s="49"/>
      <c r="K127" s="49"/>
      <c r="L127" s="20" t="str">
        <f aca="false">IF($D127="","",IF(LEFT($C127,4)&lt;&gt;"MURO","PON EL MURO",IF(AND($E127&lt;&gt;"HORIZONTAL",$E127&lt;&gt;"VERTICAL"),"PON EL SENTIDO",IF(OR($F127="",$G127="",$H127="",$I127=""),"FALTAN a o b",IF($M127&lt;=0,"a₂ DEBE SER &gt; a₁",IF($N127&lt;=0,"b₂ DEBE SER &gt; b₁","OK"))))))</f>
        <v>OK</v>
      </c>
      <c r="M127" s="30" t="n">
        <f aca="false">IF($D127="",0,MAX(0,$G127-$F127))</f>
        <v>2.4915</v>
      </c>
      <c r="N127" s="30" t="n">
        <f aca="false">MAX(0,$W127-$V127)</f>
        <v>1.2</v>
      </c>
      <c r="O127" s="30" t="n">
        <f aca="false">$M127*$N127</f>
        <v>2.9898</v>
      </c>
      <c r="P127" s="30" t="n">
        <f aca="false">IF($U127=0,0,SUMPRODUCT((ABERTURAS!$N$7:$N$26=$U127)*ABERTURAS!$U$7:$U$26*(((($Y127)+(ABERTURAS!$P$7:$P$26)-ABS(($Y127)-(ABERTURAS!$P$7:$P$26)))/2-(($X127)+(ABERTURAS!$O$7:$O$26)+ABS(($X127)-(ABERTURAS!$O$7:$O$26)))/2)+ABS((($Y127)+(ABERTURAS!$P$7:$P$26)-ABS(($Y127)-(ABERTURAS!$P$7:$P$26)))/2-(($X127)+(ABERTURAS!$O$7:$O$26)+ABS(($X127)-(ABERTURAS!$O$7:$O$26)))/2))/2*(((($AA127)+(ABERTURAS!$R$7:$R$26)-ABS(($AA127)-(ABERTURAS!$R$7:$R$26)))/2-(($Z127)+(ABERTURAS!$Q$7:$Q$26)+ABS(($Z127)-(ABERTURAS!$Q$7:$Q$26)))/2)+ABS((($AA127)+(ABERTURAS!$R$7:$R$26)-ABS(($AA127)-(ABERTURAS!$R$7:$R$26)))/2-(($Z127)+(ABERTURAS!$Q$7:$Q$26)+ABS(($Z127)-(ABERTURAS!$Q$7:$Q$26)))/2))/2))</f>
        <v>0</v>
      </c>
      <c r="Q127" s="30" t="n">
        <f aca="false">IF($U127=0,0,SUMPRODUCT((ABERTURAS!$N$7:$N$26=$U127)*ABERTURAS!$V$7:$V$26*(((($Y127)+(ABERTURAS!$P$7:$P$26)-ABS(($Y127)-(ABERTURAS!$P$7:$P$26)))/2-(($X127)+(ABERTURAS!$O$7:$O$26)+ABS(($X127)-(ABERTURAS!$O$7:$O$26)))/2)+ABS((($Y127)+(ABERTURAS!$P$7:$P$26)-ABS(($Y127)-(ABERTURAS!$P$7:$P$26)))/2-(($X127)+(ABERTURAS!$O$7:$O$26)+ABS(($X127)-(ABERTURAS!$O$7:$O$26)))/2))/2*(((($AA127)+(ABERTURAS!$R$7:$R$26)-ABS(($AA127)-(ABERTURAS!$R$7:$R$26)))/2-(($Z127)+(ABERTURAS!$Q$7:$Q$26)+ABS(($Z127)-(ABERTURAS!$Q$7:$Q$26)))/2)+ABS((($AA127)+(ABERTURAS!$R$7:$R$26)-ABS(($AA127)-(ABERTURAS!$R$7:$R$26)))/2-(($Z127)+(ABERTURAS!$Q$7:$Q$26)+ABS(($Z127)-(ABERTURAS!$Q$7:$Q$26)))/2))/2))</f>
        <v>0</v>
      </c>
      <c r="R127" s="30" t="n">
        <f aca="false">MAX(0,$O127-$P127)</f>
        <v>2.9898</v>
      </c>
      <c r="S127" s="30" t="n">
        <f aca="false">MAX(0,$O127-$Q127)</f>
        <v>2.9898</v>
      </c>
      <c r="T127" s="50" t="n">
        <f aca="false">IF($D127="",0,IF($E127="VERTICAL",N($G127),MAX(N($I127),IF($K127="",N($I127),$K127))))</f>
        <v>5.4</v>
      </c>
      <c r="U127" s="50" t="n">
        <f aca="false">IF($L127&lt;&gt;"OK",0,VALUE(RIGHT($C127,1)))</f>
        <v>1</v>
      </c>
      <c r="V127" s="50" t="n">
        <f aca="false">IF($D127="",0,(N($H127)+IF($J127="",N($H127),$J127))/2)</f>
        <v>4.2</v>
      </c>
      <c r="W127" s="50" t="n">
        <f aca="false">IF($D127="",0,(N($I127)+IF($K127="",N($I127),$K127))/2)</f>
        <v>5.4</v>
      </c>
      <c r="X127" s="50" t="n">
        <f aca="false">IF($E127="VERTICAL",$V127,N($F127))</f>
        <v>7.5885</v>
      </c>
      <c r="Y127" s="50" t="n">
        <f aca="false">IF($E127="VERTICAL",$W127,N($G127))</f>
        <v>10.08</v>
      </c>
      <c r="Z127" s="50" t="n">
        <f aca="false">IF($E127="VERTICAL",N($F127),$V127)</f>
        <v>4.2</v>
      </c>
      <c r="AA127" s="50" t="n">
        <f aca="false">IF($E127="VERTICAL",N($G127),$W127)</f>
        <v>5.4</v>
      </c>
      <c r="AB127" s="30" t="n">
        <f aca="false">IF($L127&lt;&gt;"OK",0,(INDEX(PRESIONES!$D$28:$D$31,$U127)*IF(INDEX(PRESIONES!$D$28:$D$31,$U127)&gt;0,PRESIONES!$C$9*IF($T127&lt;=10,1,($T127/10)^(2/DATOS!$C$56)),PRESIONES!$C$15)-ABERTURAS!$L$60*PRESIONES!$C$12)*$R127/$M127)</f>
        <v>-11.0207410986675</v>
      </c>
      <c r="AC127" s="30" t="n">
        <f aca="false">IF($L127&lt;&gt;"OK",0,(INDEX(PRESIONES!$G$28:$G$31,$U127)*IF(INDEX(PRESIONES!$G$28:$G$31,$U127)&gt;0,PRESIONES!$C$9*IF($T127&lt;=10,1,($T127/10)^(2/DATOS!$C$56)),PRESIONES!$C$15)-ABERTURAS!$L$61*PRESIONES!$C$12)*$R127/$M127)</f>
        <v>-11.0207410986675</v>
      </c>
      <c r="AD127" s="30" t="n">
        <f aca="false">IF($L127&lt;&gt;"OK",0,(INDEX(PRESIONES!$J$28:$J$31,$U127)*IF(INDEX(PRESIONES!$J$28:$J$31,$U127)&gt;0,PRESIONES!$C$9*IF($T127&lt;=10,1,($T127/10)^(2/DATOS!$C$56)),PRESIONES!$C$15)-ABERTURAS!$L$62*PRESIONES!$C$12)*$R127/$M127)</f>
        <v>81.239110681599</v>
      </c>
      <c r="AE127" s="30" t="n">
        <f aca="false">IF($L127&lt;&gt;"OK",0,(INDEX(PRESIONES!$M$28:$M$31,$U127)*IF(INDEX(PRESIONES!$M$28:$M$31,$U127)&gt;0,PRESIONES!$C$9*IF($T127&lt;=10,1,($T127/10)^(2/DATOS!$C$56)),PRESIONES!$C$15)-ABERTURAS!$L$63*PRESIONES!$C$12)*$R127/$M127)</f>
        <v>-72.7488883519988</v>
      </c>
      <c r="AF127" s="30" t="n">
        <f aca="false">IF($L127&lt;&gt;"OK",0,(INDEX(PRESIONES!$D$28:$D$31,$U127)*IF(INDEX(PRESIONES!$D$28:$D$31,$U127)&gt;0,PRESIONES!$C$9*IF($T127&lt;=10,1,($T127/10)^(2/DATOS!$C$56)),PRESIONES!$C$15)-ABERTURAS!$L$64*PRESIONES!$C$12)*$S127/$M127)</f>
        <v>-11.0207410986675</v>
      </c>
      <c r="AG127" s="30" t="n">
        <f aca="false">IF($L127&lt;&gt;"OK",0,(INDEX(PRESIONES!$G$28:$G$31,$U127)*IF(INDEX(PRESIONES!$G$28:$G$31,$U127)&gt;0,PRESIONES!$C$9*IF($T127&lt;=10,1,($T127/10)^(2/DATOS!$C$56)),PRESIONES!$C$15)-ABERTURAS!$L$65*PRESIONES!$C$12)*$S127/$M127)</f>
        <v>-11.0207410986675</v>
      </c>
      <c r="AH127" s="30" t="n">
        <f aca="false">IF($L127&lt;&gt;"OK",0,(INDEX(PRESIONES!$J$28:$J$31,$U127)*IF(INDEX(PRESIONES!$J$28:$J$31,$U127)&gt;0,PRESIONES!$C$9*IF($T127&lt;=10,1,($T127/10)^(2/DATOS!$C$56)),PRESIONES!$C$15)-ABERTURAS!$L$66*PRESIONES!$C$12)*$S127/$M127)</f>
        <v>81.239110681599</v>
      </c>
      <c r="AI127" s="30" t="n">
        <f aca="false">IF($L127&lt;&gt;"OK",0,(INDEX(PRESIONES!$M$28:$M$31,$U127)*IF(INDEX(PRESIONES!$M$28:$M$31,$U127)&gt;0,PRESIONES!$C$9*IF($T127&lt;=10,1,($T127/10)^(2/DATOS!$C$56)),PRESIONES!$C$15)-ABERTURAS!$L$67*PRESIONES!$C$12)*$S127/$M127)</f>
        <v>-72.7488883519988</v>
      </c>
    </row>
    <row r="128" customFormat="false" ht="16.5" hidden="false" customHeight="true" outlineLevel="0" collapsed="false">
      <c r="B128" s="27" t="s">
        <v>598</v>
      </c>
      <c r="C128" s="17" t="s">
        <v>228</v>
      </c>
      <c r="D128" s="27" t="s">
        <v>599</v>
      </c>
      <c r="E128" s="17" t="s">
        <v>432</v>
      </c>
      <c r="F128" s="49" t="n">
        <v>0</v>
      </c>
      <c r="G128" s="49" t="n">
        <v>2.4869</v>
      </c>
      <c r="H128" s="49" t="n">
        <v>5.4</v>
      </c>
      <c r="I128" s="49" t="n">
        <v>6.165</v>
      </c>
      <c r="J128" s="49"/>
      <c r="K128" s="49"/>
      <c r="L128" s="20" t="str">
        <f aca="false">IF($D128="","",IF(LEFT($C128,4)&lt;&gt;"MURO","PON EL MURO",IF(AND($E128&lt;&gt;"HORIZONTAL",$E128&lt;&gt;"VERTICAL"),"PON EL SENTIDO",IF(OR($F128="",$G128="",$H128="",$I128=""),"FALTAN a o b",IF($M128&lt;=0,"a₂ DEBE SER &gt; a₁",IF($N128&lt;=0,"b₂ DEBE SER &gt; b₁","OK"))))))</f>
        <v>OK</v>
      </c>
      <c r="M128" s="30" t="n">
        <f aca="false">IF($D128="",0,MAX(0,$G128-$F128))</f>
        <v>2.4869</v>
      </c>
      <c r="N128" s="30" t="n">
        <f aca="false">MAX(0,$W128-$V128)</f>
        <v>0.765</v>
      </c>
      <c r="O128" s="30" t="n">
        <f aca="false">$M128*$N128</f>
        <v>1.9024785</v>
      </c>
      <c r="P128" s="30" t="n">
        <f aca="false">IF($U128=0,0,SUMPRODUCT((ABERTURAS!$N$7:$N$26=$U128)*ABERTURAS!$U$7:$U$26*(((($Y128)+(ABERTURAS!$P$7:$P$26)-ABS(($Y128)-(ABERTURAS!$P$7:$P$26)))/2-(($X128)+(ABERTURAS!$O$7:$O$26)+ABS(($X128)-(ABERTURAS!$O$7:$O$26)))/2)+ABS((($Y128)+(ABERTURAS!$P$7:$P$26)-ABS(($Y128)-(ABERTURAS!$P$7:$P$26)))/2-(($X128)+(ABERTURAS!$O$7:$O$26)+ABS(($X128)-(ABERTURAS!$O$7:$O$26)))/2))/2*(((($AA128)+(ABERTURAS!$R$7:$R$26)-ABS(($AA128)-(ABERTURAS!$R$7:$R$26)))/2-(($Z128)+(ABERTURAS!$Q$7:$Q$26)+ABS(($Z128)-(ABERTURAS!$Q$7:$Q$26)))/2)+ABS((($AA128)+(ABERTURAS!$R$7:$R$26)-ABS(($AA128)-(ABERTURAS!$R$7:$R$26)))/2-(($Z128)+(ABERTURAS!$Q$7:$Q$26)+ABS(($Z128)-(ABERTURAS!$Q$7:$Q$26)))/2))/2))</f>
        <v>0</v>
      </c>
      <c r="Q128" s="30" t="n">
        <f aca="false">IF($U128=0,0,SUMPRODUCT((ABERTURAS!$N$7:$N$26=$U128)*ABERTURAS!$V$7:$V$26*(((($Y128)+(ABERTURAS!$P$7:$P$26)-ABS(($Y128)-(ABERTURAS!$P$7:$P$26)))/2-(($X128)+(ABERTURAS!$O$7:$O$26)+ABS(($X128)-(ABERTURAS!$O$7:$O$26)))/2)+ABS((($Y128)+(ABERTURAS!$P$7:$P$26)-ABS(($Y128)-(ABERTURAS!$P$7:$P$26)))/2-(($X128)+(ABERTURAS!$O$7:$O$26)+ABS(($X128)-(ABERTURAS!$O$7:$O$26)))/2))/2*(((($AA128)+(ABERTURAS!$R$7:$R$26)-ABS(($AA128)-(ABERTURAS!$R$7:$R$26)))/2-(($Z128)+(ABERTURAS!$Q$7:$Q$26)+ABS(($Z128)-(ABERTURAS!$Q$7:$Q$26)))/2)+ABS((($AA128)+(ABERTURAS!$R$7:$R$26)-ABS(($AA128)-(ABERTURAS!$R$7:$R$26)))/2-(($Z128)+(ABERTURAS!$Q$7:$Q$26)+ABS(($Z128)-(ABERTURAS!$Q$7:$Q$26)))/2))/2))</f>
        <v>0</v>
      </c>
      <c r="R128" s="30" t="n">
        <f aca="false">MAX(0,$O128-$P128)</f>
        <v>1.9024785</v>
      </c>
      <c r="S128" s="30" t="n">
        <f aca="false">MAX(0,$O128-$Q128)</f>
        <v>1.9024785</v>
      </c>
      <c r="T128" s="50" t="n">
        <f aca="false">IF($D128="",0,IF($E128="VERTICAL",N($G128),MAX(N($I128),IF($K128="",N($I128),$K128))))</f>
        <v>6.165</v>
      </c>
      <c r="U128" s="50" t="n">
        <f aca="false">IF($L128&lt;&gt;"OK",0,VALUE(RIGHT($C128,1)))</f>
        <v>1</v>
      </c>
      <c r="V128" s="50" t="n">
        <f aca="false">IF($D128="",0,(N($H128)+IF($J128="",N($H128),$J128))/2)</f>
        <v>5.4</v>
      </c>
      <c r="W128" s="50" t="n">
        <f aca="false">IF($D128="",0,(N($I128)+IF($K128="",N($I128),$K128))/2)</f>
        <v>6.165</v>
      </c>
      <c r="X128" s="50" t="n">
        <f aca="false">IF($E128="VERTICAL",$V128,N($F128))</f>
        <v>0</v>
      </c>
      <c r="Y128" s="50" t="n">
        <f aca="false">IF($E128="VERTICAL",$W128,N($G128))</f>
        <v>2.4869</v>
      </c>
      <c r="Z128" s="50" t="n">
        <f aca="false">IF($E128="VERTICAL",N($F128),$V128)</f>
        <v>5.4</v>
      </c>
      <c r="AA128" s="50" t="n">
        <f aca="false">IF($E128="VERTICAL",N($G128),$W128)</f>
        <v>6.165</v>
      </c>
      <c r="AB128" s="30" t="n">
        <f aca="false">IF($L128&lt;&gt;"OK",0,(INDEX(PRESIONES!$D$28:$D$31,$U128)*IF(INDEX(PRESIONES!$D$28:$D$31,$U128)&gt;0,PRESIONES!$C$9*IF($T128&lt;=10,1,($T128/10)^(2/DATOS!$C$56)),PRESIONES!$C$15)-ABERTURAS!$L$60*PRESIONES!$C$12)*$R128/$M128)</f>
        <v>-7.02572245040051</v>
      </c>
      <c r="AC128" s="30" t="n">
        <f aca="false">IF($L128&lt;&gt;"OK",0,(INDEX(PRESIONES!$G$28:$G$31,$U128)*IF(INDEX(PRESIONES!$G$28:$G$31,$U128)&gt;0,PRESIONES!$C$9*IF($T128&lt;=10,1,($T128/10)^(2/DATOS!$C$56)),PRESIONES!$C$15)-ABERTURAS!$L$61*PRESIONES!$C$12)*$R128/$M128)</f>
        <v>-7.02572245040051</v>
      </c>
      <c r="AD128" s="30" t="n">
        <f aca="false">IF($L128&lt;&gt;"OK",0,(INDEX(PRESIONES!$J$28:$J$31,$U128)*IF(INDEX(PRESIONES!$J$28:$J$31,$U128)&gt;0,PRESIONES!$C$9*IF($T128&lt;=10,1,($T128/10)^(2/DATOS!$C$56)),PRESIONES!$C$15)-ABERTURAS!$L$62*PRESIONES!$C$12)*$R128/$M128)</f>
        <v>51.7899330595193</v>
      </c>
      <c r="AE128" s="30" t="n">
        <f aca="false">IF($L128&lt;&gt;"OK",0,(INDEX(PRESIONES!$M$28:$M$31,$U128)*IF(INDEX(PRESIONES!$M$28:$M$31,$U128)&gt;0,PRESIONES!$C$9*IF($T128&lt;=10,1,($T128/10)^(2/DATOS!$C$56)),PRESIONES!$C$15)-ABERTURAS!$L$63*PRESIONES!$C$12)*$R128/$M128)</f>
        <v>-46.3774163243992</v>
      </c>
      <c r="AF128" s="30" t="n">
        <f aca="false">IF($L128&lt;&gt;"OK",0,(INDEX(PRESIONES!$D$28:$D$31,$U128)*IF(INDEX(PRESIONES!$D$28:$D$31,$U128)&gt;0,PRESIONES!$C$9*IF($T128&lt;=10,1,($T128/10)^(2/DATOS!$C$56)),PRESIONES!$C$15)-ABERTURAS!$L$64*PRESIONES!$C$12)*$S128/$M128)</f>
        <v>-7.02572245040051</v>
      </c>
      <c r="AG128" s="30" t="n">
        <f aca="false">IF($L128&lt;&gt;"OK",0,(INDEX(PRESIONES!$G$28:$G$31,$U128)*IF(INDEX(PRESIONES!$G$28:$G$31,$U128)&gt;0,PRESIONES!$C$9*IF($T128&lt;=10,1,($T128/10)^(2/DATOS!$C$56)),PRESIONES!$C$15)-ABERTURAS!$L$65*PRESIONES!$C$12)*$S128/$M128)</f>
        <v>-7.02572245040051</v>
      </c>
      <c r="AH128" s="30" t="n">
        <f aca="false">IF($L128&lt;&gt;"OK",0,(INDEX(PRESIONES!$J$28:$J$31,$U128)*IF(INDEX(PRESIONES!$J$28:$J$31,$U128)&gt;0,PRESIONES!$C$9*IF($T128&lt;=10,1,($T128/10)^(2/DATOS!$C$56)),PRESIONES!$C$15)-ABERTURAS!$L$66*PRESIONES!$C$12)*$S128/$M128)</f>
        <v>51.7899330595193</v>
      </c>
      <c r="AI128" s="30" t="n">
        <f aca="false">IF($L128&lt;&gt;"OK",0,(INDEX(PRESIONES!$M$28:$M$31,$U128)*IF(INDEX(PRESIONES!$M$28:$M$31,$U128)&gt;0,PRESIONES!$C$9*IF($T128&lt;=10,1,($T128/10)^(2/DATOS!$C$56)),PRESIONES!$C$15)-ABERTURAS!$L$67*PRESIONES!$C$12)*$S128/$M128)</f>
        <v>-46.3774163243992</v>
      </c>
    </row>
    <row r="129" customFormat="false" ht="16.5" hidden="false" customHeight="true" outlineLevel="0" collapsed="false">
      <c r="B129" s="27" t="s">
        <v>600</v>
      </c>
      <c r="C129" s="17" t="s">
        <v>228</v>
      </c>
      <c r="D129" s="27" t="s">
        <v>601</v>
      </c>
      <c r="E129" s="17" t="s">
        <v>432</v>
      </c>
      <c r="F129" s="49" t="n">
        <v>7.5885</v>
      </c>
      <c r="G129" s="49" t="n">
        <v>10.08</v>
      </c>
      <c r="H129" s="49" t="n">
        <v>5.4</v>
      </c>
      <c r="I129" s="49" t="n">
        <v>6.165</v>
      </c>
      <c r="J129" s="49"/>
      <c r="K129" s="49"/>
      <c r="L129" s="20" t="str">
        <f aca="false">IF($D129="","",IF(LEFT($C129,4)&lt;&gt;"MURO","PON EL MURO",IF(AND($E129&lt;&gt;"HORIZONTAL",$E129&lt;&gt;"VERTICAL"),"PON EL SENTIDO",IF(OR($F129="",$G129="",$H129="",$I129=""),"FALTAN a o b",IF($M129&lt;=0,"a₂ DEBE SER &gt; a₁",IF($N129&lt;=0,"b₂ DEBE SER &gt; b₁","OK"))))))</f>
        <v>OK</v>
      </c>
      <c r="M129" s="30" t="n">
        <f aca="false">IF($D129="",0,MAX(0,$G129-$F129))</f>
        <v>2.4915</v>
      </c>
      <c r="N129" s="30" t="n">
        <f aca="false">MAX(0,$W129-$V129)</f>
        <v>0.765</v>
      </c>
      <c r="O129" s="30" t="n">
        <f aca="false">$M129*$N129</f>
        <v>1.9059975</v>
      </c>
      <c r="P129" s="30" t="n">
        <f aca="false">IF($U129=0,0,SUMPRODUCT((ABERTURAS!$N$7:$N$26=$U129)*ABERTURAS!$U$7:$U$26*(((($Y129)+(ABERTURAS!$P$7:$P$26)-ABS(($Y129)-(ABERTURAS!$P$7:$P$26)))/2-(($X129)+(ABERTURAS!$O$7:$O$26)+ABS(($X129)-(ABERTURAS!$O$7:$O$26)))/2)+ABS((($Y129)+(ABERTURAS!$P$7:$P$26)-ABS(($Y129)-(ABERTURAS!$P$7:$P$26)))/2-(($X129)+(ABERTURAS!$O$7:$O$26)+ABS(($X129)-(ABERTURAS!$O$7:$O$26)))/2))/2*(((($AA129)+(ABERTURAS!$R$7:$R$26)-ABS(($AA129)-(ABERTURAS!$R$7:$R$26)))/2-(($Z129)+(ABERTURAS!$Q$7:$Q$26)+ABS(($Z129)-(ABERTURAS!$Q$7:$Q$26)))/2)+ABS((($AA129)+(ABERTURAS!$R$7:$R$26)-ABS(($AA129)-(ABERTURAS!$R$7:$R$26)))/2-(($Z129)+(ABERTURAS!$Q$7:$Q$26)+ABS(($Z129)-(ABERTURAS!$Q$7:$Q$26)))/2))/2))</f>
        <v>0</v>
      </c>
      <c r="Q129" s="30" t="n">
        <f aca="false">IF($U129=0,0,SUMPRODUCT((ABERTURAS!$N$7:$N$26=$U129)*ABERTURAS!$V$7:$V$26*(((($Y129)+(ABERTURAS!$P$7:$P$26)-ABS(($Y129)-(ABERTURAS!$P$7:$P$26)))/2-(($X129)+(ABERTURAS!$O$7:$O$26)+ABS(($X129)-(ABERTURAS!$O$7:$O$26)))/2)+ABS((($Y129)+(ABERTURAS!$P$7:$P$26)-ABS(($Y129)-(ABERTURAS!$P$7:$P$26)))/2-(($X129)+(ABERTURAS!$O$7:$O$26)+ABS(($X129)-(ABERTURAS!$O$7:$O$26)))/2))/2*(((($AA129)+(ABERTURAS!$R$7:$R$26)-ABS(($AA129)-(ABERTURAS!$R$7:$R$26)))/2-(($Z129)+(ABERTURAS!$Q$7:$Q$26)+ABS(($Z129)-(ABERTURAS!$Q$7:$Q$26)))/2)+ABS((($AA129)+(ABERTURAS!$R$7:$R$26)-ABS(($AA129)-(ABERTURAS!$R$7:$R$26)))/2-(($Z129)+(ABERTURAS!$Q$7:$Q$26)+ABS(($Z129)-(ABERTURAS!$Q$7:$Q$26)))/2))/2))</f>
        <v>0</v>
      </c>
      <c r="R129" s="30" t="n">
        <f aca="false">MAX(0,$O129-$P129)</f>
        <v>1.9059975</v>
      </c>
      <c r="S129" s="30" t="n">
        <f aca="false">MAX(0,$O129-$Q129)</f>
        <v>1.9059975</v>
      </c>
      <c r="T129" s="50" t="n">
        <f aca="false">IF($D129="",0,IF($E129="VERTICAL",N($G129),MAX(N($I129),IF($K129="",N($I129),$K129))))</f>
        <v>6.165</v>
      </c>
      <c r="U129" s="50" t="n">
        <f aca="false">IF($L129&lt;&gt;"OK",0,VALUE(RIGHT($C129,1)))</f>
        <v>1</v>
      </c>
      <c r="V129" s="50" t="n">
        <f aca="false">IF($D129="",0,(N($H129)+IF($J129="",N($H129),$J129))/2)</f>
        <v>5.4</v>
      </c>
      <c r="W129" s="50" t="n">
        <f aca="false">IF($D129="",0,(N($I129)+IF($K129="",N($I129),$K129))/2)</f>
        <v>6.165</v>
      </c>
      <c r="X129" s="50" t="n">
        <f aca="false">IF($E129="VERTICAL",$V129,N($F129))</f>
        <v>7.5885</v>
      </c>
      <c r="Y129" s="50" t="n">
        <f aca="false">IF($E129="VERTICAL",$W129,N($G129))</f>
        <v>10.08</v>
      </c>
      <c r="Z129" s="50" t="n">
        <f aca="false">IF($E129="VERTICAL",N($F129),$V129)</f>
        <v>5.4</v>
      </c>
      <c r="AA129" s="50" t="n">
        <f aca="false">IF($E129="VERTICAL",N($G129),$W129)</f>
        <v>6.165</v>
      </c>
      <c r="AB129" s="30" t="n">
        <f aca="false">IF($L129&lt;&gt;"OK",0,(INDEX(PRESIONES!$D$28:$D$31,$U129)*IF(INDEX(PRESIONES!$D$28:$D$31,$U129)&gt;0,PRESIONES!$C$9*IF($T129&lt;=10,1,($T129/10)^(2/DATOS!$C$56)),PRESIONES!$C$15)-ABERTURAS!$L$60*PRESIONES!$C$12)*$R129/$M129)</f>
        <v>-7.02572245040051</v>
      </c>
      <c r="AC129" s="30" t="n">
        <f aca="false">IF($L129&lt;&gt;"OK",0,(INDEX(PRESIONES!$G$28:$G$31,$U129)*IF(INDEX(PRESIONES!$G$28:$G$31,$U129)&gt;0,PRESIONES!$C$9*IF($T129&lt;=10,1,($T129/10)^(2/DATOS!$C$56)),PRESIONES!$C$15)-ABERTURAS!$L$61*PRESIONES!$C$12)*$R129/$M129)</f>
        <v>-7.02572245040051</v>
      </c>
      <c r="AD129" s="30" t="n">
        <f aca="false">IF($L129&lt;&gt;"OK",0,(INDEX(PRESIONES!$J$28:$J$31,$U129)*IF(INDEX(PRESIONES!$J$28:$J$31,$U129)&gt;0,PRESIONES!$C$9*IF($T129&lt;=10,1,($T129/10)^(2/DATOS!$C$56)),PRESIONES!$C$15)-ABERTURAS!$L$62*PRESIONES!$C$12)*$R129/$M129)</f>
        <v>51.7899330595194</v>
      </c>
      <c r="AE129" s="30" t="n">
        <f aca="false">IF($L129&lt;&gt;"OK",0,(INDEX(PRESIONES!$M$28:$M$31,$U129)*IF(INDEX(PRESIONES!$M$28:$M$31,$U129)&gt;0,PRESIONES!$C$9*IF($T129&lt;=10,1,($T129/10)^(2/DATOS!$C$56)),PRESIONES!$C$15)-ABERTURAS!$L$63*PRESIONES!$C$12)*$R129/$M129)</f>
        <v>-46.3774163243992</v>
      </c>
      <c r="AF129" s="30" t="n">
        <f aca="false">IF($L129&lt;&gt;"OK",0,(INDEX(PRESIONES!$D$28:$D$31,$U129)*IF(INDEX(PRESIONES!$D$28:$D$31,$U129)&gt;0,PRESIONES!$C$9*IF($T129&lt;=10,1,($T129/10)^(2/DATOS!$C$56)),PRESIONES!$C$15)-ABERTURAS!$L$64*PRESIONES!$C$12)*$S129/$M129)</f>
        <v>-7.02572245040051</v>
      </c>
      <c r="AG129" s="30" t="n">
        <f aca="false">IF($L129&lt;&gt;"OK",0,(INDEX(PRESIONES!$G$28:$G$31,$U129)*IF(INDEX(PRESIONES!$G$28:$G$31,$U129)&gt;0,PRESIONES!$C$9*IF($T129&lt;=10,1,($T129/10)^(2/DATOS!$C$56)),PRESIONES!$C$15)-ABERTURAS!$L$65*PRESIONES!$C$12)*$S129/$M129)</f>
        <v>-7.02572245040051</v>
      </c>
      <c r="AH129" s="30" t="n">
        <f aca="false">IF($L129&lt;&gt;"OK",0,(INDEX(PRESIONES!$J$28:$J$31,$U129)*IF(INDEX(PRESIONES!$J$28:$J$31,$U129)&gt;0,PRESIONES!$C$9*IF($T129&lt;=10,1,($T129/10)^(2/DATOS!$C$56)),PRESIONES!$C$15)-ABERTURAS!$L$66*PRESIONES!$C$12)*$S129/$M129)</f>
        <v>51.7899330595194</v>
      </c>
      <c r="AI129" s="30" t="n">
        <f aca="false">IF($L129&lt;&gt;"OK",0,(INDEX(PRESIONES!$M$28:$M$31,$U129)*IF(INDEX(PRESIONES!$M$28:$M$31,$U129)&gt;0,PRESIONES!$C$9*IF($T129&lt;=10,1,($T129/10)^(2/DATOS!$C$56)),PRESIONES!$C$15)-ABERTURAS!$L$67*PRESIONES!$C$12)*$S129/$M129)</f>
        <v>-46.3774163243992</v>
      </c>
    </row>
    <row r="130" customFormat="false" ht="16.5" hidden="false" customHeight="true" outlineLevel="0" collapsed="false">
      <c r="B130" s="27" t="s">
        <v>602</v>
      </c>
      <c r="C130" s="17" t="s">
        <v>228</v>
      </c>
      <c r="D130" s="27" t="s">
        <v>603</v>
      </c>
      <c r="E130" s="17" t="s">
        <v>432</v>
      </c>
      <c r="F130" s="49" t="n">
        <v>0</v>
      </c>
      <c r="G130" s="49" t="n">
        <v>2.4869</v>
      </c>
      <c r="H130" s="49" t="n">
        <v>6.165</v>
      </c>
      <c r="I130" s="49" t="n">
        <v>6.765</v>
      </c>
      <c r="J130" s="49"/>
      <c r="K130" s="49"/>
      <c r="L130" s="20" t="str">
        <f aca="false">IF($D130="","",IF(LEFT($C130,4)&lt;&gt;"MURO","PON EL MURO",IF(AND($E130&lt;&gt;"HORIZONTAL",$E130&lt;&gt;"VERTICAL"),"PON EL SENTIDO",IF(OR($F130="",$G130="",$H130="",$I130=""),"FALTAN a o b",IF($M130&lt;=0,"a₂ DEBE SER &gt; a₁",IF($N130&lt;=0,"b₂ DEBE SER &gt; b₁","OK"))))))</f>
        <v>OK</v>
      </c>
      <c r="M130" s="30" t="n">
        <f aca="false">IF($D130="",0,MAX(0,$G130-$F130))</f>
        <v>2.4869</v>
      </c>
      <c r="N130" s="30" t="n">
        <f aca="false">MAX(0,$W130-$V130)</f>
        <v>0.6</v>
      </c>
      <c r="O130" s="30" t="n">
        <f aca="false">$M130*$N130</f>
        <v>1.49214</v>
      </c>
      <c r="P130" s="30" t="n">
        <f aca="false">IF($U130=0,0,SUMPRODUCT((ABERTURAS!$N$7:$N$26=$U130)*ABERTURAS!$U$7:$U$26*(((($Y130)+(ABERTURAS!$P$7:$P$26)-ABS(($Y130)-(ABERTURAS!$P$7:$P$26)))/2-(($X130)+(ABERTURAS!$O$7:$O$26)+ABS(($X130)-(ABERTURAS!$O$7:$O$26)))/2)+ABS((($Y130)+(ABERTURAS!$P$7:$P$26)-ABS(($Y130)-(ABERTURAS!$P$7:$P$26)))/2-(($X130)+(ABERTURAS!$O$7:$O$26)+ABS(($X130)-(ABERTURAS!$O$7:$O$26)))/2))/2*(((($AA130)+(ABERTURAS!$R$7:$R$26)-ABS(($AA130)-(ABERTURAS!$R$7:$R$26)))/2-(($Z130)+(ABERTURAS!$Q$7:$Q$26)+ABS(($Z130)-(ABERTURAS!$Q$7:$Q$26)))/2)+ABS((($AA130)+(ABERTURAS!$R$7:$R$26)-ABS(($AA130)-(ABERTURAS!$R$7:$R$26)))/2-(($Z130)+(ABERTURAS!$Q$7:$Q$26)+ABS(($Z130)-(ABERTURAS!$Q$7:$Q$26)))/2))/2))</f>
        <v>0</v>
      </c>
      <c r="Q130" s="30" t="n">
        <f aca="false">IF($U130=0,0,SUMPRODUCT((ABERTURAS!$N$7:$N$26=$U130)*ABERTURAS!$V$7:$V$26*(((($Y130)+(ABERTURAS!$P$7:$P$26)-ABS(($Y130)-(ABERTURAS!$P$7:$P$26)))/2-(($X130)+(ABERTURAS!$O$7:$O$26)+ABS(($X130)-(ABERTURAS!$O$7:$O$26)))/2)+ABS((($Y130)+(ABERTURAS!$P$7:$P$26)-ABS(($Y130)-(ABERTURAS!$P$7:$P$26)))/2-(($X130)+(ABERTURAS!$O$7:$O$26)+ABS(($X130)-(ABERTURAS!$O$7:$O$26)))/2))/2*(((($AA130)+(ABERTURAS!$R$7:$R$26)-ABS(($AA130)-(ABERTURAS!$R$7:$R$26)))/2-(($Z130)+(ABERTURAS!$Q$7:$Q$26)+ABS(($Z130)-(ABERTURAS!$Q$7:$Q$26)))/2)+ABS((($AA130)+(ABERTURAS!$R$7:$R$26)-ABS(($AA130)-(ABERTURAS!$R$7:$R$26)))/2-(($Z130)+(ABERTURAS!$Q$7:$Q$26)+ABS(($Z130)-(ABERTURAS!$Q$7:$Q$26)))/2))/2))</f>
        <v>0</v>
      </c>
      <c r="R130" s="30" t="n">
        <f aca="false">MAX(0,$O130-$P130)</f>
        <v>1.49214</v>
      </c>
      <c r="S130" s="30" t="n">
        <f aca="false">MAX(0,$O130-$Q130)</f>
        <v>1.49214</v>
      </c>
      <c r="T130" s="50" t="n">
        <f aca="false">IF($D130="",0,IF($E130="VERTICAL",N($G130),MAX(N($I130),IF($K130="",N($I130),$K130))))</f>
        <v>6.765</v>
      </c>
      <c r="U130" s="50" t="n">
        <f aca="false">IF($L130&lt;&gt;"OK",0,VALUE(RIGHT($C130,1)))</f>
        <v>1</v>
      </c>
      <c r="V130" s="50" t="n">
        <f aca="false">IF($D130="",0,(N($H130)+IF($J130="",N($H130),$J130))/2)</f>
        <v>6.165</v>
      </c>
      <c r="W130" s="50" t="n">
        <f aca="false">IF($D130="",0,(N($I130)+IF($K130="",N($I130),$K130))/2)</f>
        <v>6.765</v>
      </c>
      <c r="X130" s="50" t="n">
        <f aca="false">IF($E130="VERTICAL",$V130,N($F130))</f>
        <v>0</v>
      </c>
      <c r="Y130" s="50" t="n">
        <f aca="false">IF($E130="VERTICAL",$W130,N($G130))</f>
        <v>2.4869</v>
      </c>
      <c r="Z130" s="50" t="n">
        <f aca="false">IF($E130="VERTICAL",N($F130),$V130)</f>
        <v>6.165</v>
      </c>
      <c r="AA130" s="50" t="n">
        <f aca="false">IF($E130="VERTICAL",N($G130),$W130)</f>
        <v>6.765</v>
      </c>
      <c r="AB130" s="30" t="n">
        <f aca="false">IF($L130&lt;&gt;"OK",0,(INDEX(PRESIONES!$D$28:$D$31,$U130)*IF(INDEX(PRESIONES!$D$28:$D$31,$U130)&gt;0,PRESIONES!$C$9*IF($T130&lt;=10,1,($T130/10)^(2/DATOS!$C$56)),PRESIONES!$C$15)-ABERTURAS!$L$60*PRESIONES!$C$12)*$R130/$M130)</f>
        <v>-5.51037054933374</v>
      </c>
      <c r="AC130" s="30" t="n">
        <f aca="false">IF($L130&lt;&gt;"OK",0,(INDEX(PRESIONES!$G$28:$G$31,$U130)*IF(INDEX(PRESIONES!$G$28:$G$31,$U130)&gt;0,PRESIONES!$C$9*IF($T130&lt;=10,1,($T130/10)^(2/DATOS!$C$56)),PRESIONES!$C$15)-ABERTURAS!$L$61*PRESIONES!$C$12)*$R130/$M130)</f>
        <v>-5.51037054933374</v>
      </c>
      <c r="AD130" s="30" t="n">
        <f aca="false">IF($L130&lt;&gt;"OK",0,(INDEX(PRESIONES!$J$28:$J$31,$U130)*IF(INDEX(PRESIONES!$J$28:$J$31,$U130)&gt;0,PRESIONES!$C$9*IF($T130&lt;=10,1,($T130/10)^(2/DATOS!$C$56)),PRESIONES!$C$15)-ABERTURAS!$L$62*PRESIONES!$C$12)*$R130/$M130)</f>
        <v>40.6195553407995</v>
      </c>
      <c r="AE130" s="30" t="n">
        <f aca="false">IF($L130&lt;&gt;"OK",0,(INDEX(PRESIONES!$M$28:$M$31,$U130)*IF(INDEX(PRESIONES!$M$28:$M$31,$U130)&gt;0,PRESIONES!$C$9*IF($T130&lt;=10,1,($T130/10)^(2/DATOS!$C$56)),PRESIONES!$C$15)-ABERTURAS!$L$63*PRESIONES!$C$12)*$R130/$M130)</f>
        <v>-36.3744441759994</v>
      </c>
      <c r="AF130" s="30" t="n">
        <f aca="false">IF($L130&lt;&gt;"OK",0,(INDEX(PRESIONES!$D$28:$D$31,$U130)*IF(INDEX(PRESIONES!$D$28:$D$31,$U130)&gt;0,PRESIONES!$C$9*IF($T130&lt;=10,1,($T130/10)^(2/DATOS!$C$56)),PRESIONES!$C$15)-ABERTURAS!$L$64*PRESIONES!$C$12)*$S130/$M130)</f>
        <v>-5.51037054933374</v>
      </c>
      <c r="AG130" s="30" t="n">
        <f aca="false">IF($L130&lt;&gt;"OK",0,(INDEX(PRESIONES!$G$28:$G$31,$U130)*IF(INDEX(PRESIONES!$G$28:$G$31,$U130)&gt;0,PRESIONES!$C$9*IF($T130&lt;=10,1,($T130/10)^(2/DATOS!$C$56)),PRESIONES!$C$15)-ABERTURAS!$L$65*PRESIONES!$C$12)*$S130/$M130)</f>
        <v>-5.51037054933374</v>
      </c>
      <c r="AH130" s="30" t="n">
        <f aca="false">IF($L130&lt;&gt;"OK",0,(INDEX(PRESIONES!$J$28:$J$31,$U130)*IF(INDEX(PRESIONES!$J$28:$J$31,$U130)&gt;0,PRESIONES!$C$9*IF($T130&lt;=10,1,($T130/10)^(2/DATOS!$C$56)),PRESIONES!$C$15)-ABERTURAS!$L$66*PRESIONES!$C$12)*$S130/$M130)</f>
        <v>40.6195553407995</v>
      </c>
      <c r="AI130" s="30" t="n">
        <f aca="false">IF($L130&lt;&gt;"OK",0,(INDEX(PRESIONES!$M$28:$M$31,$U130)*IF(INDEX(PRESIONES!$M$28:$M$31,$U130)&gt;0,PRESIONES!$C$9*IF($T130&lt;=10,1,($T130/10)^(2/DATOS!$C$56)),PRESIONES!$C$15)-ABERTURAS!$L$67*PRESIONES!$C$12)*$S130/$M130)</f>
        <v>-36.3744441759994</v>
      </c>
    </row>
    <row r="131" customFormat="false" ht="16.5" hidden="false" customHeight="true" outlineLevel="0" collapsed="false">
      <c r="B131" s="27" t="s">
        <v>604</v>
      </c>
      <c r="C131" s="17" t="s">
        <v>228</v>
      </c>
      <c r="D131" s="27" t="s">
        <v>605</v>
      </c>
      <c r="E131" s="17" t="s">
        <v>432</v>
      </c>
      <c r="F131" s="49" t="n">
        <v>2.4869</v>
      </c>
      <c r="G131" s="49" t="n">
        <v>7.5885</v>
      </c>
      <c r="H131" s="49" t="n">
        <v>6.33</v>
      </c>
      <c r="I131" s="49" t="n">
        <v>6.765</v>
      </c>
      <c r="J131" s="49"/>
      <c r="K131" s="49"/>
      <c r="L131" s="20" t="str">
        <f aca="false">IF($D131="","",IF(LEFT($C131,4)&lt;&gt;"MURO","PON EL MURO",IF(AND($E131&lt;&gt;"HORIZONTAL",$E131&lt;&gt;"VERTICAL"),"PON EL SENTIDO",IF(OR($F131="",$G131="",$H131="",$I131=""),"FALTAN a o b",IF($M131&lt;=0,"a₂ DEBE SER &gt; a₁",IF($N131&lt;=0,"b₂ DEBE SER &gt; b₁","OK"))))))</f>
        <v>OK</v>
      </c>
      <c r="M131" s="30" t="n">
        <f aca="false">IF($D131="",0,MAX(0,$G131-$F131))</f>
        <v>5.1016</v>
      </c>
      <c r="N131" s="30" t="n">
        <f aca="false">MAX(0,$W131-$V131)</f>
        <v>0.435</v>
      </c>
      <c r="O131" s="30" t="n">
        <f aca="false">$M131*$N131</f>
        <v>2.219196</v>
      </c>
      <c r="P131" s="30" t="n">
        <f aca="false">IF($U131=0,0,SUMPRODUCT((ABERTURAS!$N$7:$N$26=$U131)*ABERTURAS!$U$7:$U$26*(((($Y131)+(ABERTURAS!$P$7:$P$26)-ABS(($Y131)-(ABERTURAS!$P$7:$P$26)))/2-(($X131)+(ABERTURAS!$O$7:$O$26)+ABS(($X131)-(ABERTURAS!$O$7:$O$26)))/2)+ABS((($Y131)+(ABERTURAS!$P$7:$P$26)-ABS(($Y131)-(ABERTURAS!$P$7:$P$26)))/2-(($X131)+(ABERTURAS!$O$7:$O$26)+ABS(($X131)-(ABERTURAS!$O$7:$O$26)))/2))/2*(((($AA131)+(ABERTURAS!$R$7:$R$26)-ABS(($AA131)-(ABERTURAS!$R$7:$R$26)))/2-(($Z131)+(ABERTURAS!$Q$7:$Q$26)+ABS(($Z131)-(ABERTURAS!$Q$7:$Q$26)))/2)+ABS((($AA131)+(ABERTURAS!$R$7:$R$26)-ABS(($AA131)-(ABERTURAS!$R$7:$R$26)))/2-(($Z131)+(ABERTURAS!$Q$7:$Q$26)+ABS(($Z131)-(ABERTURAS!$Q$7:$Q$26)))/2))/2))</f>
        <v>0</v>
      </c>
      <c r="Q131" s="30" t="n">
        <f aca="false">IF($U131=0,0,SUMPRODUCT((ABERTURAS!$N$7:$N$26=$U131)*ABERTURAS!$V$7:$V$26*(((($Y131)+(ABERTURAS!$P$7:$P$26)-ABS(($Y131)-(ABERTURAS!$P$7:$P$26)))/2-(($X131)+(ABERTURAS!$O$7:$O$26)+ABS(($X131)-(ABERTURAS!$O$7:$O$26)))/2)+ABS((($Y131)+(ABERTURAS!$P$7:$P$26)-ABS(($Y131)-(ABERTURAS!$P$7:$P$26)))/2-(($X131)+(ABERTURAS!$O$7:$O$26)+ABS(($X131)-(ABERTURAS!$O$7:$O$26)))/2))/2*(((($AA131)+(ABERTURAS!$R$7:$R$26)-ABS(($AA131)-(ABERTURAS!$R$7:$R$26)))/2-(($Z131)+(ABERTURAS!$Q$7:$Q$26)+ABS(($Z131)-(ABERTURAS!$Q$7:$Q$26)))/2)+ABS((($AA131)+(ABERTURAS!$R$7:$R$26)-ABS(($AA131)-(ABERTURAS!$R$7:$R$26)))/2-(($Z131)+(ABERTURAS!$Q$7:$Q$26)+ABS(($Z131)-(ABERTURAS!$Q$7:$Q$26)))/2))/2))</f>
        <v>0</v>
      </c>
      <c r="R131" s="30" t="n">
        <f aca="false">MAX(0,$O131-$P131)</f>
        <v>2.219196</v>
      </c>
      <c r="S131" s="30" t="n">
        <f aca="false">MAX(0,$O131-$Q131)</f>
        <v>2.219196</v>
      </c>
      <c r="T131" s="50" t="n">
        <f aca="false">IF($D131="",0,IF($E131="VERTICAL",N($G131),MAX(N($I131),IF($K131="",N($I131),$K131))))</f>
        <v>6.765</v>
      </c>
      <c r="U131" s="50" t="n">
        <f aca="false">IF($L131&lt;&gt;"OK",0,VALUE(RIGHT($C131,1)))</f>
        <v>1</v>
      </c>
      <c r="V131" s="50" t="n">
        <f aca="false">IF($D131="",0,(N($H131)+IF($J131="",N($H131),$J131))/2)</f>
        <v>6.33</v>
      </c>
      <c r="W131" s="50" t="n">
        <f aca="false">IF($D131="",0,(N($I131)+IF($K131="",N($I131),$K131))/2)</f>
        <v>6.765</v>
      </c>
      <c r="X131" s="50" t="n">
        <f aca="false">IF($E131="VERTICAL",$V131,N($F131))</f>
        <v>2.4869</v>
      </c>
      <c r="Y131" s="50" t="n">
        <f aca="false">IF($E131="VERTICAL",$W131,N($G131))</f>
        <v>7.5885</v>
      </c>
      <c r="Z131" s="50" t="n">
        <f aca="false">IF($E131="VERTICAL",N($F131),$V131)</f>
        <v>6.33</v>
      </c>
      <c r="AA131" s="50" t="n">
        <f aca="false">IF($E131="VERTICAL",N($G131),$W131)</f>
        <v>6.765</v>
      </c>
      <c r="AB131" s="30" t="n">
        <f aca="false">IF($L131&lt;&gt;"OK",0,(INDEX(PRESIONES!$D$28:$D$31,$U131)*IF(INDEX(PRESIONES!$D$28:$D$31,$U131)&gt;0,PRESIONES!$C$9*IF($T131&lt;=10,1,($T131/10)^(2/DATOS!$C$56)),PRESIONES!$C$15)-ABERTURAS!$L$60*PRESIONES!$C$12)*$R131/$M131)</f>
        <v>-3.99501864826696</v>
      </c>
      <c r="AC131" s="30" t="n">
        <f aca="false">IF($L131&lt;&gt;"OK",0,(INDEX(PRESIONES!$G$28:$G$31,$U131)*IF(INDEX(PRESIONES!$G$28:$G$31,$U131)&gt;0,PRESIONES!$C$9*IF($T131&lt;=10,1,($T131/10)^(2/DATOS!$C$56)),PRESIONES!$C$15)-ABERTURAS!$L$61*PRESIONES!$C$12)*$R131/$M131)</f>
        <v>-3.99501864826696</v>
      </c>
      <c r="AD131" s="30" t="n">
        <f aca="false">IF($L131&lt;&gt;"OK",0,(INDEX(PRESIONES!$J$28:$J$31,$U131)*IF(INDEX(PRESIONES!$J$28:$J$31,$U131)&gt;0,PRESIONES!$C$9*IF($T131&lt;=10,1,($T131/10)^(2/DATOS!$C$56)),PRESIONES!$C$15)-ABERTURAS!$L$62*PRESIONES!$C$12)*$R131/$M131)</f>
        <v>29.4491776220796</v>
      </c>
      <c r="AE131" s="30" t="n">
        <f aca="false">IF($L131&lt;&gt;"OK",0,(INDEX(PRESIONES!$M$28:$M$31,$U131)*IF(INDEX(PRESIONES!$M$28:$M$31,$U131)&gt;0,PRESIONES!$C$9*IF($T131&lt;=10,1,($T131/10)^(2/DATOS!$C$56)),PRESIONES!$C$15)-ABERTURAS!$L$63*PRESIONES!$C$12)*$R131/$M131)</f>
        <v>-26.3714720275995</v>
      </c>
      <c r="AF131" s="30" t="n">
        <f aca="false">IF($L131&lt;&gt;"OK",0,(INDEX(PRESIONES!$D$28:$D$31,$U131)*IF(INDEX(PRESIONES!$D$28:$D$31,$U131)&gt;0,PRESIONES!$C$9*IF($T131&lt;=10,1,($T131/10)^(2/DATOS!$C$56)),PRESIONES!$C$15)-ABERTURAS!$L$64*PRESIONES!$C$12)*$S131/$M131)</f>
        <v>-3.99501864826696</v>
      </c>
      <c r="AG131" s="30" t="n">
        <f aca="false">IF($L131&lt;&gt;"OK",0,(INDEX(PRESIONES!$G$28:$G$31,$U131)*IF(INDEX(PRESIONES!$G$28:$G$31,$U131)&gt;0,PRESIONES!$C$9*IF($T131&lt;=10,1,($T131/10)^(2/DATOS!$C$56)),PRESIONES!$C$15)-ABERTURAS!$L$65*PRESIONES!$C$12)*$S131/$M131)</f>
        <v>-3.99501864826696</v>
      </c>
      <c r="AH131" s="30" t="n">
        <f aca="false">IF($L131&lt;&gt;"OK",0,(INDEX(PRESIONES!$J$28:$J$31,$U131)*IF(INDEX(PRESIONES!$J$28:$J$31,$U131)&gt;0,PRESIONES!$C$9*IF($T131&lt;=10,1,($T131/10)^(2/DATOS!$C$56)),PRESIONES!$C$15)-ABERTURAS!$L$66*PRESIONES!$C$12)*$S131/$M131)</f>
        <v>29.4491776220796</v>
      </c>
      <c r="AI131" s="30" t="n">
        <f aca="false">IF($L131&lt;&gt;"OK",0,(INDEX(PRESIONES!$M$28:$M$31,$U131)*IF(INDEX(PRESIONES!$M$28:$M$31,$U131)&gt;0,PRESIONES!$C$9*IF($T131&lt;=10,1,($T131/10)^(2/DATOS!$C$56)),PRESIONES!$C$15)-ABERTURAS!$L$67*PRESIONES!$C$12)*$S131/$M131)</f>
        <v>-26.3714720275995</v>
      </c>
    </row>
    <row r="132" customFormat="false" ht="16.5" hidden="false" customHeight="true" outlineLevel="0" collapsed="false">
      <c r="B132" s="27" t="s">
        <v>606</v>
      </c>
      <c r="C132" s="17" t="s">
        <v>228</v>
      </c>
      <c r="D132" s="27" t="s">
        <v>607</v>
      </c>
      <c r="E132" s="17" t="s">
        <v>432</v>
      </c>
      <c r="F132" s="49" t="n">
        <v>7.5885</v>
      </c>
      <c r="G132" s="49" t="n">
        <v>10.08</v>
      </c>
      <c r="H132" s="49" t="n">
        <v>6.165</v>
      </c>
      <c r="I132" s="49" t="n">
        <v>6.765</v>
      </c>
      <c r="J132" s="49"/>
      <c r="K132" s="49"/>
      <c r="L132" s="20" t="str">
        <f aca="false">IF($D132="","",IF(LEFT($C132,4)&lt;&gt;"MURO","PON EL MURO",IF(AND($E132&lt;&gt;"HORIZONTAL",$E132&lt;&gt;"VERTICAL"),"PON EL SENTIDO",IF(OR($F132="",$G132="",$H132="",$I132=""),"FALTAN a o b",IF($M132&lt;=0,"a₂ DEBE SER &gt; a₁",IF($N132&lt;=0,"b₂ DEBE SER &gt; b₁","OK"))))))</f>
        <v>OK</v>
      </c>
      <c r="M132" s="30" t="n">
        <f aca="false">IF($D132="",0,MAX(0,$G132-$F132))</f>
        <v>2.4915</v>
      </c>
      <c r="N132" s="30" t="n">
        <f aca="false">MAX(0,$W132-$V132)</f>
        <v>0.6</v>
      </c>
      <c r="O132" s="30" t="n">
        <f aca="false">$M132*$N132</f>
        <v>1.4949</v>
      </c>
      <c r="P132" s="30" t="n">
        <f aca="false">IF($U132=0,0,SUMPRODUCT((ABERTURAS!$N$7:$N$26=$U132)*ABERTURAS!$U$7:$U$26*(((($Y132)+(ABERTURAS!$P$7:$P$26)-ABS(($Y132)-(ABERTURAS!$P$7:$P$26)))/2-(($X132)+(ABERTURAS!$O$7:$O$26)+ABS(($X132)-(ABERTURAS!$O$7:$O$26)))/2)+ABS((($Y132)+(ABERTURAS!$P$7:$P$26)-ABS(($Y132)-(ABERTURAS!$P$7:$P$26)))/2-(($X132)+(ABERTURAS!$O$7:$O$26)+ABS(($X132)-(ABERTURAS!$O$7:$O$26)))/2))/2*(((($AA132)+(ABERTURAS!$R$7:$R$26)-ABS(($AA132)-(ABERTURAS!$R$7:$R$26)))/2-(($Z132)+(ABERTURAS!$Q$7:$Q$26)+ABS(($Z132)-(ABERTURAS!$Q$7:$Q$26)))/2)+ABS((($AA132)+(ABERTURAS!$R$7:$R$26)-ABS(($AA132)-(ABERTURAS!$R$7:$R$26)))/2-(($Z132)+(ABERTURAS!$Q$7:$Q$26)+ABS(($Z132)-(ABERTURAS!$Q$7:$Q$26)))/2))/2))</f>
        <v>0</v>
      </c>
      <c r="Q132" s="30" t="n">
        <f aca="false">IF($U132=0,0,SUMPRODUCT((ABERTURAS!$N$7:$N$26=$U132)*ABERTURAS!$V$7:$V$26*(((($Y132)+(ABERTURAS!$P$7:$P$26)-ABS(($Y132)-(ABERTURAS!$P$7:$P$26)))/2-(($X132)+(ABERTURAS!$O$7:$O$26)+ABS(($X132)-(ABERTURAS!$O$7:$O$26)))/2)+ABS((($Y132)+(ABERTURAS!$P$7:$P$26)-ABS(($Y132)-(ABERTURAS!$P$7:$P$26)))/2-(($X132)+(ABERTURAS!$O$7:$O$26)+ABS(($X132)-(ABERTURAS!$O$7:$O$26)))/2))/2*(((($AA132)+(ABERTURAS!$R$7:$R$26)-ABS(($AA132)-(ABERTURAS!$R$7:$R$26)))/2-(($Z132)+(ABERTURAS!$Q$7:$Q$26)+ABS(($Z132)-(ABERTURAS!$Q$7:$Q$26)))/2)+ABS((($AA132)+(ABERTURAS!$R$7:$R$26)-ABS(($AA132)-(ABERTURAS!$R$7:$R$26)))/2-(($Z132)+(ABERTURAS!$Q$7:$Q$26)+ABS(($Z132)-(ABERTURAS!$Q$7:$Q$26)))/2))/2))</f>
        <v>0</v>
      </c>
      <c r="R132" s="30" t="n">
        <f aca="false">MAX(0,$O132-$P132)</f>
        <v>1.4949</v>
      </c>
      <c r="S132" s="30" t="n">
        <f aca="false">MAX(0,$O132-$Q132)</f>
        <v>1.4949</v>
      </c>
      <c r="T132" s="50" t="n">
        <f aca="false">IF($D132="",0,IF($E132="VERTICAL",N($G132),MAX(N($I132),IF($K132="",N($I132),$K132))))</f>
        <v>6.765</v>
      </c>
      <c r="U132" s="50" t="n">
        <f aca="false">IF($L132&lt;&gt;"OK",0,VALUE(RIGHT($C132,1)))</f>
        <v>1</v>
      </c>
      <c r="V132" s="50" t="n">
        <f aca="false">IF($D132="",0,(N($H132)+IF($J132="",N($H132),$J132))/2)</f>
        <v>6.165</v>
      </c>
      <c r="W132" s="50" t="n">
        <f aca="false">IF($D132="",0,(N($I132)+IF($K132="",N($I132),$K132))/2)</f>
        <v>6.765</v>
      </c>
      <c r="X132" s="50" t="n">
        <f aca="false">IF($E132="VERTICAL",$V132,N($F132))</f>
        <v>7.5885</v>
      </c>
      <c r="Y132" s="50" t="n">
        <f aca="false">IF($E132="VERTICAL",$W132,N($G132))</f>
        <v>10.08</v>
      </c>
      <c r="Z132" s="50" t="n">
        <f aca="false">IF($E132="VERTICAL",N($F132),$V132)</f>
        <v>6.165</v>
      </c>
      <c r="AA132" s="50" t="n">
        <f aca="false">IF($E132="VERTICAL",N($G132),$W132)</f>
        <v>6.765</v>
      </c>
      <c r="AB132" s="30" t="n">
        <f aca="false">IF($L132&lt;&gt;"OK",0,(INDEX(PRESIONES!$D$28:$D$31,$U132)*IF(INDEX(PRESIONES!$D$28:$D$31,$U132)&gt;0,PRESIONES!$C$9*IF($T132&lt;=10,1,($T132/10)^(2/DATOS!$C$56)),PRESIONES!$C$15)-ABERTURAS!$L$60*PRESIONES!$C$12)*$R132/$M132)</f>
        <v>-5.51037054933374</v>
      </c>
      <c r="AC132" s="30" t="n">
        <f aca="false">IF($L132&lt;&gt;"OK",0,(INDEX(PRESIONES!$G$28:$G$31,$U132)*IF(INDEX(PRESIONES!$G$28:$G$31,$U132)&gt;0,PRESIONES!$C$9*IF($T132&lt;=10,1,($T132/10)^(2/DATOS!$C$56)),PRESIONES!$C$15)-ABERTURAS!$L$61*PRESIONES!$C$12)*$R132/$M132)</f>
        <v>-5.51037054933374</v>
      </c>
      <c r="AD132" s="30" t="n">
        <f aca="false">IF($L132&lt;&gt;"OK",0,(INDEX(PRESIONES!$J$28:$J$31,$U132)*IF(INDEX(PRESIONES!$J$28:$J$31,$U132)&gt;0,PRESIONES!$C$9*IF($T132&lt;=10,1,($T132/10)^(2/DATOS!$C$56)),PRESIONES!$C$15)-ABERTURAS!$L$62*PRESIONES!$C$12)*$R132/$M132)</f>
        <v>40.6195553407995</v>
      </c>
      <c r="AE132" s="30" t="n">
        <f aca="false">IF($L132&lt;&gt;"OK",0,(INDEX(PRESIONES!$M$28:$M$31,$U132)*IF(INDEX(PRESIONES!$M$28:$M$31,$U132)&gt;0,PRESIONES!$C$9*IF($T132&lt;=10,1,($T132/10)^(2/DATOS!$C$56)),PRESIONES!$C$15)-ABERTURAS!$L$63*PRESIONES!$C$12)*$R132/$M132)</f>
        <v>-36.3744441759994</v>
      </c>
      <c r="AF132" s="30" t="n">
        <f aca="false">IF($L132&lt;&gt;"OK",0,(INDEX(PRESIONES!$D$28:$D$31,$U132)*IF(INDEX(PRESIONES!$D$28:$D$31,$U132)&gt;0,PRESIONES!$C$9*IF($T132&lt;=10,1,($T132/10)^(2/DATOS!$C$56)),PRESIONES!$C$15)-ABERTURAS!$L$64*PRESIONES!$C$12)*$S132/$M132)</f>
        <v>-5.51037054933374</v>
      </c>
      <c r="AG132" s="30" t="n">
        <f aca="false">IF($L132&lt;&gt;"OK",0,(INDEX(PRESIONES!$G$28:$G$31,$U132)*IF(INDEX(PRESIONES!$G$28:$G$31,$U132)&gt;0,PRESIONES!$C$9*IF($T132&lt;=10,1,($T132/10)^(2/DATOS!$C$56)),PRESIONES!$C$15)-ABERTURAS!$L$65*PRESIONES!$C$12)*$S132/$M132)</f>
        <v>-5.51037054933374</v>
      </c>
      <c r="AH132" s="30" t="n">
        <f aca="false">IF($L132&lt;&gt;"OK",0,(INDEX(PRESIONES!$J$28:$J$31,$U132)*IF(INDEX(PRESIONES!$J$28:$J$31,$U132)&gt;0,PRESIONES!$C$9*IF($T132&lt;=10,1,($T132/10)^(2/DATOS!$C$56)),PRESIONES!$C$15)-ABERTURAS!$L$66*PRESIONES!$C$12)*$S132/$M132)</f>
        <v>40.6195553407995</v>
      </c>
      <c r="AI132" s="30" t="n">
        <f aca="false">IF($L132&lt;&gt;"OK",0,(INDEX(PRESIONES!$M$28:$M$31,$U132)*IF(INDEX(PRESIONES!$M$28:$M$31,$U132)&gt;0,PRESIONES!$C$9*IF($T132&lt;=10,1,($T132/10)^(2/DATOS!$C$56)),PRESIONES!$C$15)-ABERTURAS!$L$67*PRESIONES!$C$12)*$S132/$M132)</f>
        <v>-36.3744441759994</v>
      </c>
    </row>
    <row r="133" customFormat="false" ht="16.5" hidden="false" customHeight="true" outlineLevel="0" collapsed="false">
      <c r="B133" s="27" t="s">
        <v>608</v>
      </c>
      <c r="C133" s="17" t="s">
        <v>228</v>
      </c>
      <c r="D133" s="27" t="s">
        <v>609</v>
      </c>
      <c r="E133" s="17" t="s">
        <v>432</v>
      </c>
      <c r="F133" s="49" t="n">
        <v>0</v>
      </c>
      <c r="G133" s="49" t="n">
        <v>10.08</v>
      </c>
      <c r="H133" s="49" t="n">
        <v>6.765</v>
      </c>
      <c r="I133" s="49" t="n">
        <v>7.8</v>
      </c>
      <c r="J133" s="49"/>
      <c r="K133" s="49"/>
      <c r="L133" s="20" t="str">
        <f aca="false">IF($D133="","",IF(LEFT($C133,4)&lt;&gt;"MURO","PON EL MURO",IF(AND($E133&lt;&gt;"HORIZONTAL",$E133&lt;&gt;"VERTICAL"),"PON EL SENTIDO",IF(OR($F133="",$G133="",$H133="",$I133=""),"FALTAN a o b",IF($M133&lt;=0,"a₂ DEBE SER &gt; a₁",IF($N133&lt;=0,"b₂ DEBE SER &gt; b₁","OK"))))))</f>
        <v>OK</v>
      </c>
      <c r="M133" s="30" t="n">
        <f aca="false">IF($D133="",0,MAX(0,$G133-$F133))</f>
        <v>10.08</v>
      </c>
      <c r="N133" s="30" t="n">
        <f aca="false">MAX(0,$W133-$V133)</f>
        <v>1.035</v>
      </c>
      <c r="O133" s="30" t="n">
        <f aca="false">$M133*$N133</f>
        <v>10.4328</v>
      </c>
      <c r="P133" s="30" t="n">
        <f aca="false">IF($U133=0,0,SUMPRODUCT((ABERTURAS!$N$7:$N$26=$U133)*ABERTURAS!$U$7:$U$26*(((($Y133)+(ABERTURAS!$P$7:$P$26)-ABS(($Y133)-(ABERTURAS!$P$7:$P$26)))/2-(($X133)+(ABERTURAS!$O$7:$O$26)+ABS(($X133)-(ABERTURAS!$O$7:$O$26)))/2)+ABS((($Y133)+(ABERTURAS!$P$7:$P$26)-ABS(($Y133)-(ABERTURAS!$P$7:$P$26)))/2-(($X133)+(ABERTURAS!$O$7:$O$26)+ABS(($X133)-(ABERTURAS!$O$7:$O$26)))/2))/2*(((($AA133)+(ABERTURAS!$R$7:$R$26)-ABS(($AA133)-(ABERTURAS!$R$7:$R$26)))/2-(($Z133)+(ABERTURAS!$Q$7:$Q$26)+ABS(($Z133)-(ABERTURAS!$Q$7:$Q$26)))/2)+ABS((($AA133)+(ABERTURAS!$R$7:$R$26)-ABS(($AA133)-(ABERTURAS!$R$7:$R$26)))/2-(($Z133)+(ABERTURAS!$Q$7:$Q$26)+ABS(($Z133)-(ABERTURAS!$Q$7:$Q$26)))/2))/2))</f>
        <v>0</v>
      </c>
      <c r="Q133" s="30" t="n">
        <f aca="false">IF($U133=0,0,SUMPRODUCT((ABERTURAS!$N$7:$N$26=$U133)*ABERTURAS!$V$7:$V$26*(((($Y133)+(ABERTURAS!$P$7:$P$26)-ABS(($Y133)-(ABERTURAS!$P$7:$P$26)))/2-(($X133)+(ABERTURAS!$O$7:$O$26)+ABS(($X133)-(ABERTURAS!$O$7:$O$26)))/2)+ABS((($Y133)+(ABERTURAS!$P$7:$P$26)-ABS(($Y133)-(ABERTURAS!$P$7:$P$26)))/2-(($X133)+(ABERTURAS!$O$7:$O$26)+ABS(($X133)-(ABERTURAS!$O$7:$O$26)))/2))/2*(((($AA133)+(ABERTURAS!$R$7:$R$26)-ABS(($AA133)-(ABERTURAS!$R$7:$R$26)))/2-(($Z133)+(ABERTURAS!$Q$7:$Q$26)+ABS(($Z133)-(ABERTURAS!$Q$7:$Q$26)))/2)+ABS((($AA133)+(ABERTURAS!$R$7:$R$26)-ABS(($AA133)-(ABERTURAS!$R$7:$R$26)))/2-(($Z133)+(ABERTURAS!$Q$7:$Q$26)+ABS(($Z133)-(ABERTURAS!$Q$7:$Q$26)))/2))/2))</f>
        <v>0</v>
      </c>
      <c r="R133" s="30" t="n">
        <f aca="false">MAX(0,$O133-$P133)</f>
        <v>10.4328</v>
      </c>
      <c r="S133" s="30" t="n">
        <f aca="false">MAX(0,$O133-$Q133)</f>
        <v>10.4328</v>
      </c>
      <c r="T133" s="50" t="n">
        <f aca="false">IF($D133="",0,IF($E133="VERTICAL",N($G133),MAX(N($I133),IF($K133="",N($I133),$K133))))</f>
        <v>7.8</v>
      </c>
      <c r="U133" s="50" t="n">
        <f aca="false">IF($L133&lt;&gt;"OK",0,VALUE(RIGHT($C133,1)))</f>
        <v>1</v>
      </c>
      <c r="V133" s="50" t="n">
        <f aca="false">IF($D133="",0,(N($H133)+IF($J133="",N($H133),$J133))/2)</f>
        <v>6.765</v>
      </c>
      <c r="W133" s="50" t="n">
        <f aca="false">IF($D133="",0,(N($I133)+IF($K133="",N($I133),$K133))/2)</f>
        <v>7.8</v>
      </c>
      <c r="X133" s="50" t="n">
        <f aca="false">IF($E133="VERTICAL",$V133,N($F133))</f>
        <v>0</v>
      </c>
      <c r="Y133" s="50" t="n">
        <f aca="false">IF($E133="VERTICAL",$W133,N($G133))</f>
        <v>10.08</v>
      </c>
      <c r="Z133" s="50" t="n">
        <f aca="false">IF($E133="VERTICAL",N($F133),$V133)</f>
        <v>6.765</v>
      </c>
      <c r="AA133" s="50" t="n">
        <f aca="false">IF($E133="VERTICAL",N($G133),$W133)</f>
        <v>7.8</v>
      </c>
      <c r="AB133" s="30" t="n">
        <f aca="false">IF($L133&lt;&gt;"OK",0,(INDEX(PRESIONES!$D$28:$D$31,$U133)*IF(INDEX(PRESIONES!$D$28:$D$31,$U133)&gt;0,PRESIONES!$C$9*IF($T133&lt;=10,1,($T133/10)^(2/DATOS!$C$56)),PRESIONES!$C$15)-ABERTURAS!$L$60*PRESIONES!$C$12)*$R133/$M133)</f>
        <v>-9.5053891976007</v>
      </c>
      <c r="AC133" s="30" t="n">
        <f aca="false">IF($L133&lt;&gt;"OK",0,(INDEX(PRESIONES!$G$28:$G$31,$U133)*IF(INDEX(PRESIONES!$G$28:$G$31,$U133)&gt;0,PRESIONES!$C$9*IF($T133&lt;=10,1,($T133/10)^(2/DATOS!$C$56)),PRESIONES!$C$15)-ABERTURAS!$L$61*PRESIONES!$C$12)*$R133/$M133)</f>
        <v>-9.5053891976007</v>
      </c>
      <c r="AD133" s="30" t="n">
        <f aca="false">IF($L133&lt;&gt;"OK",0,(INDEX(PRESIONES!$J$28:$J$31,$U133)*IF(INDEX(PRESIONES!$J$28:$J$31,$U133)&gt;0,PRESIONES!$C$9*IF($T133&lt;=10,1,($T133/10)^(2/DATOS!$C$56)),PRESIONES!$C$15)-ABERTURAS!$L$62*PRESIONES!$C$12)*$R133/$M133)</f>
        <v>70.0687329628792</v>
      </c>
      <c r="AE133" s="30" t="n">
        <f aca="false">IF($L133&lt;&gt;"OK",0,(INDEX(PRESIONES!$M$28:$M$31,$U133)*IF(INDEX(PRESIONES!$M$28:$M$31,$U133)&gt;0,PRESIONES!$C$9*IF($T133&lt;=10,1,($T133/10)^(2/DATOS!$C$56)),PRESIONES!$C$15)-ABERTURAS!$L$63*PRESIONES!$C$12)*$R133/$M133)</f>
        <v>-62.745916203599</v>
      </c>
      <c r="AF133" s="30" t="n">
        <f aca="false">IF($L133&lt;&gt;"OK",0,(INDEX(PRESIONES!$D$28:$D$31,$U133)*IF(INDEX(PRESIONES!$D$28:$D$31,$U133)&gt;0,PRESIONES!$C$9*IF($T133&lt;=10,1,($T133/10)^(2/DATOS!$C$56)),PRESIONES!$C$15)-ABERTURAS!$L$64*PRESIONES!$C$12)*$S133/$M133)</f>
        <v>-9.5053891976007</v>
      </c>
      <c r="AG133" s="30" t="n">
        <f aca="false">IF($L133&lt;&gt;"OK",0,(INDEX(PRESIONES!$G$28:$G$31,$U133)*IF(INDEX(PRESIONES!$G$28:$G$31,$U133)&gt;0,PRESIONES!$C$9*IF($T133&lt;=10,1,($T133/10)^(2/DATOS!$C$56)),PRESIONES!$C$15)-ABERTURAS!$L$65*PRESIONES!$C$12)*$S133/$M133)</f>
        <v>-9.5053891976007</v>
      </c>
      <c r="AH133" s="30" t="n">
        <f aca="false">IF($L133&lt;&gt;"OK",0,(INDEX(PRESIONES!$J$28:$J$31,$U133)*IF(INDEX(PRESIONES!$J$28:$J$31,$U133)&gt;0,PRESIONES!$C$9*IF($T133&lt;=10,1,($T133/10)^(2/DATOS!$C$56)),PRESIONES!$C$15)-ABERTURAS!$L$66*PRESIONES!$C$12)*$S133/$M133)</f>
        <v>70.0687329628792</v>
      </c>
      <c r="AI133" s="30" t="n">
        <f aca="false">IF($L133&lt;&gt;"OK",0,(INDEX(PRESIONES!$M$28:$M$31,$U133)*IF(INDEX(PRESIONES!$M$28:$M$31,$U133)&gt;0,PRESIONES!$C$9*IF($T133&lt;=10,1,($T133/10)^(2/DATOS!$C$56)),PRESIONES!$C$15)-ABERTURAS!$L$67*PRESIONES!$C$12)*$S133/$M133)</f>
        <v>-62.745916203599</v>
      </c>
    </row>
    <row r="134" customFormat="false" ht="16.5" hidden="false" customHeight="true" outlineLevel="0" collapsed="false">
      <c r="B134" s="27" t="s">
        <v>610</v>
      </c>
      <c r="C134" s="17" t="s">
        <v>228</v>
      </c>
      <c r="D134" s="27" t="s">
        <v>611</v>
      </c>
      <c r="E134" s="17" t="s">
        <v>432</v>
      </c>
      <c r="F134" s="49" t="n">
        <v>0</v>
      </c>
      <c r="G134" s="49" t="n">
        <v>10.08</v>
      </c>
      <c r="H134" s="49" t="n">
        <v>7.8</v>
      </c>
      <c r="I134" s="49" t="n">
        <v>9</v>
      </c>
      <c r="J134" s="49"/>
      <c r="K134" s="49"/>
      <c r="L134" s="20" t="str">
        <f aca="false">IF($D134="","",IF(LEFT($C134,4)&lt;&gt;"MURO","PON EL MURO",IF(AND($E134&lt;&gt;"HORIZONTAL",$E134&lt;&gt;"VERTICAL"),"PON EL SENTIDO",IF(OR($F134="",$G134="",$H134="",$I134=""),"FALTAN a o b",IF($M134&lt;=0,"a₂ DEBE SER &gt; a₁",IF($N134&lt;=0,"b₂ DEBE SER &gt; b₁","OK"))))))</f>
        <v>OK</v>
      </c>
      <c r="M134" s="30" t="n">
        <f aca="false">IF($D134="",0,MAX(0,$G134-$F134))</f>
        <v>10.08</v>
      </c>
      <c r="N134" s="30" t="n">
        <f aca="false">MAX(0,$W134-$V134)</f>
        <v>1.2</v>
      </c>
      <c r="O134" s="30" t="n">
        <f aca="false">$M134*$N134</f>
        <v>12.096</v>
      </c>
      <c r="P134" s="30" t="n">
        <f aca="false">IF($U134=0,0,SUMPRODUCT((ABERTURAS!$N$7:$N$26=$U134)*ABERTURAS!$U$7:$U$26*(((($Y134)+(ABERTURAS!$P$7:$P$26)-ABS(($Y134)-(ABERTURAS!$P$7:$P$26)))/2-(($X134)+(ABERTURAS!$O$7:$O$26)+ABS(($X134)-(ABERTURAS!$O$7:$O$26)))/2)+ABS((($Y134)+(ABERTURAS!$P$7:$P$26)-ABS(($Y134)-(ABERTURAS!$P$7:$P$26)))/2-(($X134)+(ABERTURAS!$O$7:$O$26)+ABS(($X134)-(ABERTURAS!$O$7:$O$26)))/2))/2*(((($AA134)+(ABERTURAS!$R$7:$R$26)-ABS(($AA134)-(ABERTURAS!$R$7:$R$26)))/2-(($Z134)+(ABERTURAS!$Q$7:$Q$26)+ABS(($Z134)-(ABERTURAS!$Q$7:$Q$26)))/2)+ABS((($AA134)+(ABERTURAS!$R$7:$R$26)-ABS(($AA134)-(ABERTURAS!$R$7:$R$26)))/2-(($Z134)+(ABERTURAS!$Q$7:$Q$26)+ABS(($Z134)-(ABERTURAS!$Q$7:$Q$26)))/2))/2))</f>
        <v>0</v>
      </c>
      <c r="Q134" s="30" t="n">
        <f aca="false">IF($U134=0,0,SUMPRODUCT((ABERTURAS!$N$7:$N$26=$U134)*ABERTURAS!$V$7:$V$26*(((($Y134)+(ABERTURAS!$P$7:$P$26)-ABS(($Y134)-(ABERTURAS!$P$7:$P$26)))/2-(($X134)+(ABERTURAS!$O$7:$O$26)+ABS(($X134)-(ABERTURAS!$O$7:$O$26)))/2)+ABS((($Y134)+(ABERTURAS!$P$7:$P$26)-ABS(($Y134)-(ABERTURAS!$P$7:$P$26)))/2-(($X134)+(ABERTURAS!$O$7:$O$26)+ABS(($X134)-(ABERTURAS!$O$7:$O$26)))/2))/2*(((($AA134)+(ABERTURAS!$R$7:$R$26)-ABS(($AA134)-(ABERTURAS!$R$7:$R$26)))/2-(($Z134)+(ABERTURAS!$Q$7:$Q$26)+ABS(($Z134)-(ABERTURAS!$Q$7:$Q$26)))/2)+ABS((($AA134)+(ABERTURAS!$R$7:$R$26)-ABS(($AA134)-(ABERTURAS!$R$7:$R$26)))/2-(($Z134)+(ABERTURAS!$Q$7:$Q$26)+ABS(($Z134)-(ABERTURAS!$Q$7:$Q$26)))/2))/2))</f>
        <v>0</v>
      </c>
      <c r="R134" s="30" t="n">
        <f aca="false">MAX(0,$O134-$P134)</f>
        <v>12.096</v>
      </c>
      <c r="S134" s="30" t="n">
        <f aca="false">MAX(0,$O134-$Q134)</f>
        <v>12.096</v>
      </c>
      <c r="T134" s="50" t="n">
        <f aca="false">IF($D134="",0,IF($E134="VERTICAL",N($G134),MAX(N($I134),IF($K134="",N($I134),$K134))))</f>
        <v>9</v>
      </c>
      <c r="U134" s="50" t="n">
        <f aca="false">IF($L134&lt;&gt;"OK",0,VALUE(RIGHT($C134,1)))</f>
        <v>1</v>
      </c>
      <c r="V134" s="50" t="n">
        <f aca="false">IF($D134="",0,(N($H134)+IF($J134="",N($H134),$J134))/2)</f>
        <v>7.8</v>
      </c>
      <c r="W134" s="50" t="n">
        <f aca="false">IF($D134="",0,(N($I134)+IF($K134="",N($I134),$K134))/2)</f>
        <v>9</v>
      </c>
      <c r="X134" s="50" t="n">
        <f aca="false">IF($E134="VERTICAL",$V134,N($F134))</f>
        <v>0</v>
      </c>
      <c r="Y134" s="50" t="n">
        <f aca="false">IF($E134="VERTICAL",$W134,N($G134))</f>
        <v>10.08</v>
      </c>
      <c r="Z134" s="50" t="n">
        <f aca="false">IF($E134="VERTICAL",N($F134),$V134)</f>
        <v>7.8</v>
      </c>
      <c r="AA134" s="50" t="n">
        <f aca="false">IF($E134="VERTICAL",N($G134),$W134)</f>
        <v>9</v>
      </c>
      <c r="AB134" s="30" t="n">
        <f aca="false">IF($L134&lt;&gt;"OK",0,(INDEX(PRESIONES!$D$28:$D$31,$U134)*IF(INDEX(PRESIONES!$D$28:$D$31,$U134)&gt;0,PRESIONES!$C$9*IF($T134&lt;=10,1,($T134/10)^(2/DATOS!$C$56)),PRESIONES!$C$15)-ABERTURAS!$L$60*PRESIONES!$C$12)*$R134/$M134)</f>
        <v>-11.0207410986675</v>
      </c>
      <c r="AC134" s="30" t="n">
        <f aca="false">IF($L134&lt;&gt;"OK",0,(INDEX(PRESIONES!$G$28:$G$31,$U134)*IF(INDEX(PRESIONES!$G$28:$G$31,$U134)&gt;0,PRESIONES!$C$9*IF($T134&lt;=10,1,($T134/10)^(2/DATOS!$C$56)),PRESIONES!$C$15)-ABERTURAS!$L$61*PRESIONES!$C$12)*$R134/$M134)</f>
        <v>-11.0207410986675</v>
      </c>
      <c r="AD134" s="30" t="n">
        <f aca="false">IF($L134&lt;&gt;"OK",0,(INDEX(PRESIONES!$J$28:$J$31,$U134)*IF(INDEX(PRESIONES!$J$28:$J$31,$U134)&gt;0,PRESIONES!$C$9*IF($T134&lt;=10,1,($T134/10)^(2/DATOS!$C$56)),PRESIONES!$C$15)-ABERTURAS!$L$62*PRESIONES!$C$12)*$R134/$M134)</f>
        <v>81.239110681599</v>
      </c>
      <c r="AE134" s="30" t="n">
        <f aca="false">IF($L134&lt;&gt;"OK",0,(INDEX(PRESIONES!$M$28:$M$31,$U134)*IF(INDEX(PRESIONES!$M$28:$M$31,$U134)&gt;0,PRESIONES!$C$9*IF($T134&lt;=10,1,($T134/10)^(2/DATOS!$C$56)),PRESIONES!$C$15)-ABERTURAS!$L$63*PRESIONES!$C$12)*$R134/$M134)</f>
        <v>-72.7488883519988</v>
      </c>
      <c r="AF134" s="30" t="n">
        <f aca="false">IF($L134&lt;&gt;"OK",0,(INDEX(PRESIONES!$D$28:$D$31,$U134)*IF(INDEX(PRESIONES!$D$28:$D$31,$U134)&gt;0,PRESIONES!$C$9*IF($T134&lt;=10,1,($T134/10)^(2/DATOS!$C$56)),PRESIONES!$C$15)-ABERTURAS!$L$64*PRESIONES!$C$12)*$S134/$M134)</f>
        <v>-11.0207410986675</v>
      </c>
      <c r="AG134" s="30" t="n">
        <f aca="false">IF($L134&lt;&gt;"OK",0,(INDEX(PRESIONES!$G$28:$G$31,$U134)*IF(INDEX(PRESIONES!$G$28:$G$31,$U134)&gt;0,PRESIONES!$C$9*IF($T134&lt;=10,1,($T134/10)^(2/DATOS!$C$56)),PRESIONES!$C$15)-ABERTURAS!$L$65*PRESIONES!$C$12)*$S134/$M134)</f>
        <v>-11.0207410986675</v>
      </c>
      <c r="AH134" s="30" t="n">
        <f aca="false">IF($L134&lt;&gt;"OK",0,(INDEX(PRESIONES!$J$28:$J$31,$U134)*IF(INDEX(PRESIONES!$J$28:$J$31,$U134)&gt;0,PRESIONES!$C$9*IF($T134&lt;=10,1,($T134/10)^(2/DATOS!$C$56)),PRESIONES!$C$15)-ABERTURAS!$L$66*PRESIONES!$C$12)*$S134/$M134)</f>
        <v>81.239110681599</v>
      </c>
      <c r="AI134" s="30" t="n">
        <f aca="false">IF($L134&lt;&gt;"OK",0,(INDEX(PRESIONES!$M$28:$M$31,$U134)*IF(INDEX(PRESIONES!$M$28:$M$31,$U134)&gt;0,PRESIONES!$C$9*IF($T134&lt;=10,1,($T134/10)^(2/DATOS!$C$56)),PRESIONES!$C$15)-ABERTURAS!$L$67*PRESIONES!$C$12)*$S134/$M134)</f>
        <v>-72.7488883519988</v>
      </c>
    </row>
    <row r="135" customFormat="false" ht="16.5" hidden="false" customHeight="true" outlineLevel="0" collapsed="false">
      <c r="B135" s="27" t="s">
        <v>612</v>
      </c>
      <c r="C135" s="17" t="s">
        <v>228</v>
      </c>
      <c r="D135" s="27" t="s">
        <v>613</v>
      </c>
      <c r="E135" s="17" t="s">
        <v>432</v>
      </c>
      <c r="F135" s="49" t="n">
        <v>0</v>
      </c>
      <c r="G135" s="49" t="n">
        <v>10.08</v>
      </c>
      <c r="H135" s="49" t="n">
        <v>9</v>
      </c>
      <c r="I135" s="49" t="n">
        <v>10.11</v>
      </c>
      <c r="J135" s="49"/>
      <c r="K135" s="49"/>
      <c r="L135" s="20" t="str">
        <f aca="false">IF($D135="","",IF(LEFT($C135,4)&lt;&gt;"MURO","PON EL MURO",IF(AND($E135&lt;&gt;"HORIZONTAL",$E135&lt;&gt;"VERTICAL"),"PON EL SENTIDO",IF(OR($F135="",$G135="",$H135="",$I135=""),"FALTAN a o b",IF($M135&lt;=0,"a₂ DEBE SER &gt; a₁",IF($N135&lt;=0,"b₂ DEBE SER &gt; b₁","OK"))))))</f>
        <v>OK</v>
      </c>
      <c r="M135" s="30" t="n">
        <f aca="false">IF($D135="",0,MAX(0,$G135-$F135))</f>
        <v>10.08</v>
      </c>
      <c r="N135" s="30" t="n">
        <f aca="false">MAX(0,$W135-$V135)</f>
        <v>1.11</v>
      </c>
      <c r="O135" s="30" t="n">
        <f aca="false">$M135*$N135</f>
        <v>11.1888</v>
      </c>
      <c r="P135" s="30" t="n">
        <f aca="false">IF($U135=0,0,SUMPRODUCT((ABERTURAS!$N$7:$N$26=$U135)*ABERTURAS!$U$7:$U$26*(((($Y135)+(ABERTURAS!$P$7:$P$26)-ABS(($Y135)-(ABERTURAS!$P$7:$P$26)))/2-(($X135)+(ABERTURAS!$O$7:$O$26)+ABS(($X135)-(ABERTURAS!$O$7:$O$26)))/2)+ABS((($Y135)+(ABERTURAS!$P$7:$P$26)-ABS(($Y135)-(ABERTURAS!$P$7:$P$26)))/2-(($X135)+(ABERTURAS!$O$7:$O$26)+ABS(($X135)-(ABERTURAS!$O$7:$O$26)))/2))/2*(((($AA135)+(ABERTURAS!$R$7:$R$26)-ABS(($AA135)-(ABERTURAS!$R$7:$R$26)))/2-(($Z135)+(ABERTURAS!$Q$7:$Q$26)+ABS(($Z135)-(ABERTURAS!$Q$7:$Q$26)))/2)+ABS((($AA135)+(ABERTURAS!$R$7:$R$26)-ABS(($AA135)-(ABERTURAS!$R$7:$R$26)))/2-(($Z135)+(ABERTURAS!$Q$7:$Q$26)+ABS(($Z135)-(ABERTURAS!$Q$7:$Q$26)))/2))/2))</f>
        <v>0</v>
      </c>
      <c r="Q135" s="30" t="n">
        <f aca="false">IF($U135=0,0,SUMPRODUCT((ABERTURAS!$N$7:$N$26=$U135)*ABERTURAS!$V$7:$V$26*(((($Y135)+(ABERTURAS!$P$7:$P$26)-ABS(($Y135)-(ABERTURAS!$P$7:$P$26)))/2-(($X135)+(ABERTURAS!$O$7:$O$26)+ABS(($X135)-(ABERTURAS!$O$7:$O$26)))/2)+ABS((($Y135)+(ABERTURAS!$P$7:$P$26)-ABS(($Y135)-(ABERTURAS!$P$7:$P$26)))/2-(($X135)+(ABERTURAS!$O$7:$O$26)+ABS(($X135)-(ABERTURAS!$O$7:$O$26)))/2))/2*(((($AA135)+(ABERTURAS!$R$7:$R$26)-ABS(($AA135)-(ABERTURAS!$R$7:$R$26)))/2-(($Z135)+(ABERTURAS!$Q$7:$Q$26)+ABS(($Z135)-(ABERTURAS!$Q$7:$Q$26)))/2)+ABS((($AA135)+(ABERTURAS!$R$7:$R$26)-ABS(($AA135)-(ABERTURAS!$R$7:$R$26)))/2-(($Z135)+(ABERTURAS!$Q$7:$Q$26)+ABS(($Z135)-(ABERTURAS!$Q$7:$Q$26)))/2))/2))</f>
        <v>0</v>
      </c>
      <c r="R135" s="30" t="n">
        <f aca="false">MAX(0,$O135-$P135)</f>
        <v>11.1888</v>
      </c>
      <c r="S135" s="30" t="n">
        <f aca="false">MAX(0,$O135-$Q135)</f>
        <v>11.1888</v>
      </c>
      <c r="T135" s="50" t="n">
        <f aca="false">IF($D135="",0,IF($E135="VERTICAL",N($G135),MAX(N($I135),IF($K135="",N($I135),$K135))))</f>
        <v>10.11</v>
      </c>
      <c r="U135" s="50" t="n">
        <f aca="false">IF($L135&lt;&gt;"OK",0,VALUE(RIGHT($C135,1)))</f>
        <v>1</v>
      </c>
      <c r="V135" s="50" t="n">
        <f aca="false">IF($D135="",0,(N($H135)+IF($J135="",N($H135),$J135))/2)</f>
        <v>9</v>
      </c>
      <c r="W135" s="50" t="n">
        <f aca="false">IF($D135="",0,(N($I135)+IF($K135="",N($I135),$K135))/2)</f>
        <v>10.11</v>
      </c>
      <c r="X135" s="50" t="n">
        <f aca="false">IF($E135="VERTICAL",$V135,N($F135))</f>
        <v>0</v>
      </c>
      <c r="Y135" s="50" t="n">
        <f aca="false">IF($E135="VERTICAL",$W135,N($G135))</f>
        <v>10.08</v>
      </c>
      <c r="Z135" s="50" t="n">
        <f aca="false">IF($E135="VERTICAL",N($F135),$V135)</f>
        <v>9</v>
      </c>
      <c r="AA135" s="50" t="n">
        <f aca="false">IF($E135="VERTICAL",N($G135),$W135)</f>
        <v>10.11</v>
      </c>
      <c r="AB135" s="30" t="n">
        <f aca="false">IF($L135&lt;&gt;"OK",0,(INDEX(PRESIONES!$D$28:$D$31,$U135)*IF(INDEX(PRESIONES!$D$28:$D$31,$U135)&gt;0,PRESIONES!$C$9*IF($T135&lt;=10,1,($T135/10)^(2/DATOS!$C$56)),PRESIONES!$C$15)-ABERTURAS!$L$60*PRESIONES!$C$12)*$R135/$M135)</f>
        <v>-10.1941855162674</v>
      </c>
      <c r="AC135" s="30" t="n">
        <f aca="false">IF($L135&lt;&gt;"OK",0,(INDEX(PRESIONES!$G$28:$G$31,$U135)*IF(INDEX(PRESIONES!$G$28:$G$31,$U135)&gt;0,PRESIONES!$C$9*IF($T135&lt;=10,1,($T135/10)^(2/DATOS!$C$56)),PRESIONES!$C$15)-ABERTURAS!$L$61*PRESIONES!$C$12)*$R135/$M135)</f>
        <v>-10.1941855162674</v>
      </c>
      <c r="AD135" s="30" t="n">
        <f aca="false">IF($L135&lt;&gt;"OK",0,(INDEX(PRESIONES!$J$28:$J$31,$U135)*IF(INDEX(PRESIONES!$J$28:$J$31,$U135)&gt;0,PRESIONES!$C$9*IF($T135&lt;=10,1,($T135/10)^(2/DATOS!$C$56)),PRESIONES!$C$15)-ABERTURAS!$L$62*PRESIONES!$C$12)*$R135/$M135)</f>
        <v>75.2796155309459</v>
      </c>
      <c r="AE135" s="30" t="n">
        <f aca="false">IF($L135&lt;&gt;"OK",0,(INDEX(PRESIONES!$M$28:$M$31,$U135)*IF(INDEX(PRESIONES!$M$28:$M$31,$U135)&gt;0,PRESIONES!$C$9*IF($T135&lt;=10,1,($T135/10)^(2/DATOS!$C$56)),PRESIONES!$C$15)-ABERTURAS!$L$63*PRESIONES!$C$12)*$R135/$M135)</f>
        <v>-67.2927217255988</v>
      </c>
      <c r="AF135" s="30" t="n">
        <f aca="false">IF($L135&lt;&gt;"OK",0,(INDEX(PRESIONES!$D$28:$D$31,$U135)*IF(INDEX(PRESIONES!$D$28:$D$31,$U135)&gt;0,PRESIONES!$C$9*IF($T135&lt;=10,1,($T135/10)^(2/DATOS!$C$56)),PRESIONES!$C$15)-ABERTURAS!$L$64*PRESIONES!$C$12)*$S135/$M135)</f>
        <v>-10.1941855162674</v>
      </c>
      <c r="AG135" s="30" t="n">
        <f aca="false">IF($L135&lt;&gt;"OK",0,(INDEX(PRESIONES!$G$28:$G$31,$U135)*IF(INDEX(PRESIONES!$G$28:$G$31,$U135)&gt;0,PRESIONES!$C$9*IF($T135&lt;=10,1,($T135/10)^(2/DATOS!$C$56)),PRESIONES!$C$15)-ABERTURAS!$L$65*PRESIONES!$C$12)*$S135/$M135)</f>
        <v>-10.1941855162674</v>
      </c>
      <c r="AH135" s="30" t="n">
        <f aca="false">IF($L135&lt;&gt;"OK",0,(INDEX(PRESIONES!$J$28:$J$31,$U135)*IF(INDEX(PRESIONES!$J$28:$J$31,$U135)&gt;0,PRESIONES!$C$9*IF($T135&lt;=10,1,($T135/10)^(2/DATOS!$C$56)),PRESIONES!$C$15)-ABERTURAS!$L$66*PRESIONES!$C$12)*$S135/$M135)</f>
        <v>75.2796155309459</v>
      </c>
      <c r="AI135" s="30" t="n">
        <f aca="false">IF($L135&lt;&gt;"OK",0,(INDEX(PRESIONES!$M$28:$M$31,$U135)*IF(INDEX(PRESIONES!$M$28:$M$31,$U135)&gt;0,PRESIONES!$C$9*IF($T135&lt;=10,1,($T135/10)^(2/DATOS!$C$56)),PRESIONES!$C$15)-ABERTURAS!$L$67*PRESIONES!$C$12)*$S135/$M135)</f>
        <v>-67.2927217255988</v>
      </c>
    </row>
    <row r="136" customFormat="false" ht="29.25" hidden="false" customHeight="true" outlineLevel="0" collapsed="false">
      <c r="B136" s="27" t="s">
        <v>614</v>
      </c>
      <c r="C136" s="17" t="s">
        <v>228</v>
      </c>
      <c r="D136" s="27" t="s">
        <v>400</v>
      </c>
      <c r="E136" s="17" t="s">
        <v>432</v>
      </c>
      <c r="F136" s="49" t="n">
        <v>0</v>
      </c>
      <c r="G136" s="49" t="n">
        <v>10.08</v>
      </c>
      <c r="H136" s="49" t="n">
        <v>10.11</v>
      </c>
      <c r="I136" s="49" t="n">
        <v>10.62</v>
      </c>
      <c r="J136" s="49"/>
      <c r="K136" s="49"/>
      <c r="L136" s="20" t="str">
        <f aca="false">IF($D136="","",IF(LEFT($C136,4)&lt;&gt;"MURO","PON EL MURO",IF(AND($E136&lt;&gt;"HORIZONTAL",$E136&lt;&gt;"VERTICAL"),"PON EL SENTIDO",IF(OR($F136="",$G136="",$H136="",$I136=""),"FALTAN a o b",IF($M136&lt;=0,"a₂ DEBE SER &gt; a₁",IF($N136&lt;=0,"b₂ DEBE SER &gt; b₁","OK"))))))</f>
        <v>OK</v>
      </c>
      <c r="M136" s="30" t="n">
        <f aca="false">IF($D136="",0,MAX(0,$G136-$F136))</f>
        <v>10.08</v>
      </c>
      <c r="N136" s="30" t="n">
        <f aca="false">MAX(0,$W136-$V136)</f>
        <v>0.51</v>
      </c>
      <c r="O136" s="30" t="n">
        <f aca="false">$M136*$N136</f>
        <v>5.1408</v>
      </c>
      <c r="P136" s="30" t="n">
        <f aca="false">IF($U136=0,0,SUMPRODUCT((ABERTURAS!$N$7:$N$26=$U136)*ABERTURAS!$U$7:$U$26*(((($Y136)+(ABERTURAS!$P$7:$P$26)-ABS(($Y136)-(ABERTURAS!$P$7:$P$26)))/2-(($X136)+(ABERTURAS!$O$7:$O$26)+ABS(($X136)-(ABERTURAS!$O$7:$O$26)))/2)+ABS((($Y136)+(ABERTURAS!$P$7:$P$26)-ABS(($Y136)-(ABERTURAS!$P$7:$P$26)))/2-(($X136)+(ABERTURAS!$O$7:$O$26)+ABS(($X136)-(ABERTURAS!$O$7:$O$26)))/2))/2*(((($AA136)+(ABERTURAS!$R$7:$R$26)-ABS(($AA136)-(ABERTURAS!$R$7:$R$26)))/2-(($Z136)+(ABERTURAS!$Q$7:$Q$26)+ABS(($Z136)-(ABERTURAS!$Q$7:$Q$26)))/2)+ABS((($AA136)+(ABERTURAS!$R$7:$R$26)-ABS(($AA136)-(ABERTURAS!$R$7:$R$26)))/2-(($Z136)+(ABERTURAS!$Q$7:$Q$26)+ABS(($Z136)-(ABERTURAS!$Q$7:$Q$26)))/2))/2))</f>
        <v>0</v>
      </c>
      <c r="Q136" s="30" t="n">
        <f aca="false">IF($U136=0,0,SUMPRODUCT((ABERTURAS!$N$7:$N$26=$U136)*ABERTURAS!$V$7:$V$26*(((($Y136)+(ABERTURAS!$P$7:$P$26)-ABS(($Y136)-(ABERTURAS!$P$7:$P$26)))/2-(($X136)+(ABERTURAS!$O$7:$O$26)+ABS(($X136)-(ABERTURAS!$O$7:$O$26)))/2)+ABS((($Y136)+(ABERTURAS!$P$7:$P$26)-ABS(($Y136)-(ABERTURAS!$P$7:$P$26)))/2-(($X136)+(ABERTURAS!$O$7:$O$26)+ABS(($X136)-(ABERTURAS!$O$7:$O$26)))/2))/2*(((($AA136)+(ABERTURAS!$R$7:$R$26)-ABS(($AA136)-(ABERTURAS!$R$7:$R$26)))/2-(($Z136)+(ABERTURAS!$Q$7:$Q$26)+ABS(($Z136)-(ABERTURAS!$Q$7:$Q$26)))/2)+ABS((($AA136)+(ABERTURAS!$R$7:$R$26)-ABS(($AA136)-(ABERTURAS!$R$7:$R$26)))/2-(($Z136)+(ABERTURAS!$Q$7:$Q$26)+ABS(($Z136)-(ABERTURAS!$Q$7:$Q$26)))/2))/2))</f>
        <v>0</v>
      </c>
      <c r="R136" s="30" t="n">
        <f aca="false">MAX(0,$O136-$P136)</f>
        <v>5.1408</v>
      </c>
      <c r="S136" s="30" t="n">
        <f aca="false">MAX(0,$O136-$Q136)</f>
        <v>5.1408</v>
      </c>
      <c r="T136" s="50" t="n">
        <f aca="false">IF($D136="",0,IF($E136="VERTICAL",N($G136),MAX(N($I136),IF($K136="",N($I136),$K136))))</f>
        <v>10.62</v>
      </c>
      <c r="U136" s="50" t="n">
        <f aca="false">IF($L136&lt;&gt;"OK",0,VALUE(RIGHT($C136,1)))</f>
        <v>1</v>
      </c>
      <c r="V136" s="50" t="n">
        <f aca="false">IF($D136="",0,(N($H136)+IF($J136="",N($H136),$J136))/2)</f>
        <v>10.11</v>
      </c>
      <c r="W136" s="50" t="n">
        <f aca="false">IF($D136="",0,(N($I136)+IF($K136="",N($I136),$K136))/2)</f>
        <v>10.62</v>
      </c>
      <c r="X136" s="50" t="n">
        <f aca="false">IF($E136="VERTICAL",$V136,N($F136))</f>
        <v>0</v>
      </c>
      <c r="Y136" s="50" t="n">
        <f aca="false">IF($E136="VERTICAL",$W136,N($G136))</f>
        <v>10.08</v>
      </c>
      <c r="Z136" s="50" t="n">
        <f aca="false">IF($E136="VERTICAL",N($F136),$V136)</f>
        <v>10.11</v>
      </c>
      <c r="AA136" s="50" t="n">
        <f aca="false">IF($E136="VERTICAL",N($G136),$W136)</f>
        <v>10.62</v>
      </c>
      <c r="AB136" s="30" t="n">
        <f aca="false">IF($L136&lt;&gt;"OK",0,(INDEX(PRESIONES!$D$28:$D$31,$U136)*IF(INDEX(PRESIONES!$D$28:$D$31,$U136)&gt;0,PRESIONES!$C$9*IF($T136&lt;=10,1,($T136/10)^(2/DATOS!$C$56)),PRESIONES!$C$15)-ABERTURAS!$L$60*PRESIONES!$C$12)*$R136/$M136)</f>
        <v>-4.68381496693368</v>
      </c>
      <c r="AC136" s="30" t="n">
        <f aca="false">IF($L136&lt;&gt;"OK",0,(INDEX(PRESIONES!$G$28:$G$31,$U136)*IF(INDEX(PRESIONES!$G$28:$G$31,$U136)&gt;0,PRESIONES!$C$9*IF($T136&lt;=10,1,($T136/10)^(2/DATOS!$C$56)),PRESIONES!$C$15)-ABERTURAS!$L$61*PRESIONES!$C$12)*$R136/$M136)</f>
        <v>-4.68381496693368</v>
      </c>
      <c r="AD136" s="30" t="n">
        <f aca="false">IF($L136&lt;&gt;"OK",0,(INDEX(PRESIONES!$J$28:$J$31,$U136)*IF(INDEX(PRESIONES!$J$28:$J$31,$U136)&gt;0,PRESIONES!$C$9*IF($T136&lt;=10,1,($T136/10)^(2/DATOS!$C$56)),PRESIONES!$C$15)-ABERTURAS!$L$62*PRESIONES!$C$12)*$R136/$M136)</f>
        <v>34.8661180925857</v>
      </c>
      <c r="AE136" s="30" t="n">
        <f aca="false">IF($L136&lt;&gt;"OK",0,(INDEX(PRESIONES!$M$28:$M$31,$U136)*IF(INDEX(PRESIONES!$M$28:$M$31,$U136)&gt;0,PRESIONES!$C$9*IF($T136&lt;=10,1,($T136/10)^(2/DATOS!$C$56)),PRESIONES!$C$15)-ABERTURAS!$L$63*PRESIONES!$C$12)*$R136/$M136)</f>
        <v>-30.9182775495995</v>
      </c>
      <c r="AF136" s="30" t="n">
        <f aca="false">IF($L136&lt;&gt;"OK",0,(INDEX(PRESIONES!$D$28:$D$31,$U136)*IF(INDEX(PRESIONES!$D$28:$D$31,$U136)&gt;0,PRESIONES!$C$9*IF($T136&lt;=10,1,($T136/10)^(2/DATOS!$C$56)),PRESIONES!$C$15)-ABERTURAS!$L$64*PRESIONES!$C$12)*$S136/$M136)</f>
        <v>-4.68381496693368</v>
      </c>
      <c r="AG136" s="30" t="n">
        <f aca="false">IF($L136&lt;&gt;"OK",0,(INDEX(PRESIONES!$G$28:$G$31,$U136)*IF(INDEX(PRESIONES!$G$28:$G$31,$U136)&gt;0,PRESIONES!$C$9*IF($T136&lt;=10,1,($T136/10)^(2/DATOS!$C$56)),PRESIONES!$C$15)-ABERTURAS!$L$65*PRESIONES!$C$12)*$S136/$M136)</f>
        <v>-4.68381496693368</v>
      </c>
      <c r="AH136" s="30" t="n">
        <f aca="false">IF($L136&lt;&gt;"OK",0,(INDEX(PRESIONES!$J$28:$J$31,$U136)*IF(INDEX(PRESIONES!$J$28:$J$31,$U136)&gt;0,PRESIONES!$C$9*IF($T136&lt;=10,1,($T136/10)^(2/DATOS!$C$56)),PRESIONES!$C$15)-ABERTURAS!$L$66*PRESIONES!$C$12)*$S136/$M136)</f>
        <v>34.8661180925857</v>
      </c>
      <c r="AI136" s="30" t="n">
        <f aca="false">IF($L136&lt;&gt;"OK",0,(INDEX(PRESIONES!$M$28:$M$31,$U136)*IF(INDEX(PRESIONES!$M$28:$M$31,$U136)&gt;0,PRESIONES!$C$9*IF($T136&lt;=10,1,($T136/10)^(2/DATOS!$C$56)),PRESIONES!$C$15)-ABERTURAS!$L$67*PRESIONES!$C$12)*$S136/$M136)</f>
        <v>-30.9182775495995</v>
      </c>
    </row>
    <row r="137" customFormat="false" ht="29.25" hidden="false" customHeight="true" outlineLevel="0" collapsed="false">
      <c r="B137" s="27" t="s">
        <v>615</v>
      </c>
      <c r="C137" s="17" t="s">
        <v>228</v>
      </c>
      <c r="D137" s="27" t="s">
        <v>616</v>
      </c>
      <c r="E137" s="17" t="s">
        <v>617</v>
      </c>
      <c r="F137" s="49" t="n">
        <v>0</v>
      </c>
      <c r="G137" s="49" t="n">
        <v>6.33</v>
      </c>
      <c r="H137" s="49" t="n">
        <v>2.4869</v>
      </c>
      <c r="I137" s="49" t="n">
        <v>5.0377</v>
      </c>
      <c r="J137" s="49"/>
      <c r="K137" s="49"/>
      <c r="L137" s="20" t="str">
        <f aca="false">IF($D137="","",IF(LEFT($C137,4)&lt;&gt;"MURO","PON EL MURO",IF(AND($E137&lt;&gt;"HORIZONTAL",$E137&lt;&gt;"VERTICAL"),"PON EL SENTIDO",IF(OR($F137="",$G137="",$H137="",$I137=""),"FALTAN a o b",IF($M137&lt;=0,"a₂ DEBE SER &gt; a₁",IF($N137&lt;=0,"b₂ DEBE SER &gt; b₁","OK"))))))</f>
        <v>OK</v>
      </c>
      <c r="M137" s="30" t="n">
        <f aca="false">IF($D137="",0,MAX(0,$G137-$F137))</f>
        <v>6.33</v>
      </c>
      <c r="N137" s="30" t="n">
        <f aca="false">MAX(0,$W137-$V137)</f>
        <v>2.5508</v>
      </c>
      <c r="O137" s="30" t="n">
        <f aca="false">$M137*$N137</f>
        <v>16.146564</v>
      </c>
      <c r="P137" s="30" t="n">
        <f aca="false">IF($U137=0,0,SUMPRODUCT((ABERTURAS!$N$7:$N$26=$U137)*ABERTURAS!$U$7:$U$26*(((($Y137)+(ABERTURAS!$P$7:$P$26)-ABS(($Y137)-(ABERTURAS!$P$7:$P$26)))/2-(($X137)+(ABERTURAS!$O$7:$O$26)+ABS(($X137)-(ABERTURAS!$O$7:$O$26)))/2)+ABS((($Y137)+(ABERTURAS!$P$7:$P$26)-ABS(($Y137)-(ABERTURAS!$P$7:$P$26)))/2-(($X137)+(ABERTURAS!$O$7:$O$26)+ABS(($X137)-(ABERTURAS!$O$7:$O$26)))/2))/2*(((($AA137)+(ABERTURAS!$R$7:$R$26)-ABS(($AA137)-(ABERTURAS!$R$7:$R$26)))/2-(($Z137)+(ABERTURAS!$Q$7:$Q$26)+ABS(($Z137)-(ABERTURAS!$Q$7:$Q$26)))/2)+ABS((($AA137)+(ABERTURAS!$R$7:$R$26)-ABS(($AA137)-(ABERTURAS!$R$7:$R$26)))/2-(($Z137)+(ABERTURAS!$Q$7:$Q$26)+ABS(($Z137)-(ABERTURAS!$Q$7:$Q$26)))/2))/2))</f>
        <v>0</v>
      </c>
      <c r="Q137" s="30" t="n">
        <f aca="false">IF($U137=0,0,SUMPRODUCT((ABERTURAS!$N$7:$N$26=$U137)*ABERTURAS!$V$7:$V$26*(((($Y137)+(ABERTURAS!$P$7:$P$26)-ABS(($Y137)-(ABERTURAS!$P$7:$P$26)))/2-(($X137)+(ABERTURAS!$O$7:$O$26)+ABS(($X137)-(ABERTURAS!$O$7:$O$26)))/2)+ABS((($Y137)+(ABERTURAS!$P$7:$P$26)-ABS(($Y137)-(ABERTURAS!$P$7:$P$26)))/2-(($X137)+(ABERTURAS!$O$7:$O$26)+ABS(($X137)-(ABERTURAS!$O$7:$O$26)))/2))/2*(((($AA137)+(ABERTURAS!$R$7:$R$26)-ABS(($AA137)-(ABERTURAS!$R$7:$R$26)))/2-(($Z137)+(ABERTURAS!$Q$7:$Q$26)+ABS(($Z137)-(ABERTURAS!$Q$7:$Q$26)))/2)+ABS((($AA137)+(ABERTURAS!$R$7:$R$26)-ABS(($AA137)-(ABERTURAS!$R$7:$R$26)))/2-(($Z137)+(ABERTURAS!$Q$7:$Q$26)+ABS(($Z137)-(ABERTURAS!$Q$7:$Q$26)))/2))/2))</f>
        <v>16.146564</v>
      </c>
      <c r="R137" s="30" t="n">
        <f aca="false">MAX(0,$O137-$P137)</f>
        <v>16.146564</v>
      </c>
      <c r="S137" s="30" t="n">
        <f aca="false">MAX(0,$O137-$Q137)</f>
        <v>0</v>
      </c>
      <c r="T137" s="50" t="n">
        <f aca="false">IF($D137="",0,IF($E137="VERTICAL",N($G137),MAX(N($I137),IF($K137="",N($I137),$K137))))</f>
        <v>6.33</v>
      </c>
      <c r="U137" s="50" t="n">
        <f aca="false">IF($L137&lt;&gt;"OK",0,VALUE(RIGHT($C137,1)))</f>
        <v>1</v>
      </c>
      <c r="V137" s="50" t="n">
        <f aca="false">IF($D137="",0,(N($H137)+IF($J137="",N($H137),$J137))/2)</f>
        <v>2.4869</v>
      </c>
      <c r="W137" s="50" t="n">
        <f aca="false">IF($D137="",0,(N($I137)+IF($K137="",N($I137),$K137))/2)</f>
        <v>5.0377</v>
      </c>
      <c r="X137" s="50" t="n">
        <f aca="false">IF($E137="VERTICAL",$V137,N($F137))</f>
        <v>2.4869</v>
      </c>
      <c r="Y137" s="50" t="n">
        <f aca="false">IF($E137="VERTICAL",$W137,N($G137))</f>
        <v>5.0377</v>
      </c>
      <c r="Z137" s="50" t="n">
        <f aca="false">IF($E137="VERTICAL",N($F137),$V137)</f>
        <v>0</v>
      </c>
      <c r="AA137" s="50" t="n">
        <f aca="false">IF($E137="VERTICAL",N($G137),$W137)</f>
        <v>6.33</v>
      </c>
      <c r="AB137" s="30" t="n">
        <f aca="false">IF($L137&lt;&gt;"OK",0,(INDEX(PRESIONES!$D$28:$D$31,$U137)*IF(INDEX(PRESIONES!$D$28:$D$31,$U137)&gt;0,PRESIONES!$C$9*IF($T137&lt;=10,1,($T137/10)^(2/DATOS!$C$56)),PRESIONES!$C$15)-ABERTURAS!$L$60*PRESIONES!$C$12)*$R137/$M137)</f>
        <v>-23.4264219954008</v>
      </c>
      <c r="AC137" s="30" t="n">
        <f aca="false">IF($L137&lt;&gt;"OK",0,(INDEX(PRESIONES!$G$28:$G$31,$U137)*IF(INDEX(PRESIONES!$G$28:$G$31,$U137)&gt;0,PRESIONES!$C$9*IF($T137&lt;=10,1,($T137/10)^(2/DATOS!$C$56)),PRESIONES!$C$15)-ABERTURAS!$L$61*PRESIONES!$C$12)*$R137/$M137)</f>
        <v>-23.4264219954008</v>
      </c>
      <c r="AD137" s="30" t="n">
        <f aca="false">IF($L137&lt;&gt;"OK",0,(INDEX(PRESIONES!$J$28:$J$31,$U137)*IF(INDEX(PRESIONES!$J$28:$J$31,$U137)&gt;0,PRESIONES!$C$9*IF($T137&lt;=10,1,($T137/10)^(2/DATOS!$C$56)),PRESIONES!$C$15)-ABERTURAS!$L$62*PRESIONES!$C$12)*$R137/$M137)</f>
        <v>172.687269605519</v>
      </c>
      <c r="AE137" s="30" t="n">
        <f aca="false">IF($L137&lt;&gt;"OK",0,(INDEX(PRESIONES!$M$28:$M$31,$U137)*IF(INDEX(PRESIONES!$M$28:$M$31,$U137)&gt;0,PRESIONES!$C$9*IF($T137&lt;=10,1,($T137/10)^(2/DATOS!$C$56)),PRESIONES!$C$15)-ABERTURAS!$L$63*PRESIONES!$C$12)*$R137/$M137)</f>
        <v>-154.639887006899</v>
      </c>
      <c r="AF137" s="30" t="n">
        <f aca="false">IF($L137&lt;&gt;"OK",0,(INDEX(PRESIONES!$D$28:$D$31,$U137)*IF(INDEX(PRESIONES!$D$28:$D$31,$U137)&gt;0,PRESIONES!$C$9*IF($T137&lt;=10,1,($T137/10)^(2/DATOS!$C$56)),PRESIONES!$C$15)-ABERTURAS!$L$64*PRESIONES!$C$12)*$S137/$M137)</f>
        <v>-0</v>
      </c>
      <c r="AG137" s="30" t="n">
        <f aca="false">IF($L137&lt;&gt;"OK",0,(INDEX(PRESIONES!$G$28:$G$31,$U137)*IF(INDEX(PRESIONES!$G$28:$G$31,$U137)&gt;0,PRESIONES!$C$9*IF($T137&lt;=10,1,($T137/10)^(2/DATOS!$C$56)),PRESIONES!$C$15)-ABERTURAS!$L$65*PRESIONES!$C$12)*$S137/$M137)</f>
        <v>-0</v>
      </c>
      <c r="AH137" s="30" t="n">
        <f aca="false">IF($L137&lt;&gt;"OK",0,(INDEX(PRESIONES!$J$28:$J$31,$U137)*IF(INDEX(PRESIONES!$J$28:$J$31,$U137)&gt;0,PRESIONES!$C$9*IF($T137&lt;=10,1,($T137/10)^(2/DATOS!$C$56)),PRESIONES!$C$15)-ABERTURAS!$L$66*PRESIONES!$C$12)*$S137/$M137)</f>
        <v>0</v>
      </c>
      <c r="AI137" s="30" t="n">
        <f aca="false">IF($L137&lt;&gt;"OK",0,(INDEX(PRESIONES!$M$28:$M$31,$U137)*IF(INDEX(PRESIONES!$M$28:$M$31,$U137)&gt;0,PRESIONES!$C$9*IF($T137&lt;=10,1,($T137/10)^(2/DATOS!$C$56)),PRESIONES!$C$15)-ABERTURAS!$L$67*PRESIONES!$C$12)*$S137/$M137)</f>
        <v>-0</v>
      </c>
    </row>
    <row r="138" customFormat="false" ht="29.25" hidden="false" customHeight="true" outlineLevel="0" collapsed="false">
      <c r="B138" s="27" t="s">
        <v>618</v>
      </c>
      <c r="C138" s="17" t="s">
        <v>228</v>
      </c>
      <c r="D138" s="27" t="s">
        <v>619</v>
      </c>
      <c r="E138" s="17" t="s">
        <v>617</v>
      </c>
      <c r="F138" s="49" t="n">
        <v>0</v>
      </c>
      <c r="G138" s="49" t="n">
        <v>6.33</v>
      </c>
      <c r="H138" s="49" t="n">
        <v>5.0377</v>
      </c>
      <c r="I138" s="49" t="n">
        <v>7.5885</v>
      </c>
      <c r="J138" s="49"/>
      <c r="K138" s="49"/>
      <c r="L138" s="20" t="str">
        <f aca="false">IF($D138="","",IF(LEFT($C138,4)&lt;&gt;"MURO","PON EL MURO",IF(AND($E138&lt;&gt;"HORIZONTAL",$E138&lt;&gt;"VERTICAL"),"PON EL SENTIDO",IF(OR($F138="",$G138="",$H138="",$I138=""),"FALTAN a o b",IF($M138&lt;=0,"a₂ DEBE SER &gt; a₁",IF($N138&lt;=0,"b₂ DEBE SER &gt; b₁","OK"))))))</f>
        <v>OK</v>
      </c>
      <c r="M138" s="30" t="n">
        <f aca="false">IF($D138="",0,MAX(0,$G138-$F138))</f>
        <v>6.33</v>
      </c>
      <c r="N138" s="30" t="n">
        <f aca="false">MAX(0,$W138-$V138)</f>
        <v>2.5508</v>
      </c>
      <c r="O138" s="30" t="n">
        <f aca="false">$M138*$N138</f>
        <v>16.146564</v>
      </c>
      <c r="P138" s="30" t="n">
        <f aca="false">IF($U138=0,0,SUMPRODUCT((ABERTURAS!$N$7:$N$26=$U138)*ABERTURAS!$U$7:$U$26*(((($Y138)+(ABERTURAS!$P$7:$P$26)-ABS(($Y138)-(ABERTURAS!$P$7:$P$26)))/2-(($X138)+(ABERTURAS!$O$7:$O$26)+ABS(($X138)-(ABERTURAS!$O$7:$O$26)))/2)+ABS((($Y138)+(ABERTURAS!$P$7:$P$26)-ABS(($Y138)-(ABERTURAS!$P$7:$P$26)))/2-(($X138)+(ABERTURAS!$O$7:$O$26)+ABS(($X138)-(ABERTURAS!$O$7:$O$26)))/2))/2*(((($AA138)+(ABERTURAS!$R$7:$R$26)-ABS(($AA138)-(ABERTURAS!$R$7:$R$26)))/2-(($Z138)+(ABERTURAS!$Q$7:$Q$26)+ABS(($Z138)-(ABERTURAS!$Q$7:$Q$26)))/2)+ABS((($AA138)+(ABERTURAS!$R$7:$R$26)-ABS(($AA138)-(ABERTURAS!$R$7:$R$26)))/2-(($Z138)+(ABERTURAS!$Q$7:$Q$26)+ABS(($Z138)-(ABERTURAS!$Q$7:$Q$26)))/2))/2))</f>
        <v>0</v>
      </c>
      <c r="Q138" s="30" t="n">
        <f aca="false">IF($U138=0,0,SUMPRODUCT((ABERTURAS!$N$7:$N$26=$U138)*ABERTURAS!$V$7:$V$26*(((($Y138)+(ABERTURAS!$P$7:$P$26)-ABS(($Y138)-(ABERTURAS!$P$7:$P$26)))/2-(($X138)+(ABERTURAS!$O$7:$O$26)+ABS(($X138)-(ABERTURAS!$O$7:$O$26)))/2)+ABS((($Y138)+(ABERTURAS!$P$7:$P$26)-ABS(($Y138)-(ABERTURAS!$P$7:$P$26)))/2-(($X138)+(ABERTURAS!$O$7:$O$26)+ABS(($X138)-(ABERTURAS!$O$7:$O$26)))/2))/2*(((($AA138)+(ABERTURAS!$R$7:$R$26)-ABS(($AA138)-(ABERTURAS!$R$7:$R$26)))/2-(($Z138)+(ABERTURAS!$Q$7:$Q$26)+ABS(($Z138)-(ABERTURAS!$Q$7:$Q$26)))/2)+ABS((($AA138)+(ABERTURAS!$R$7:$R$26)-ABS(($AA138)-(ABERTURAS!$R$7:$R$26)))/2-(($Z138)+(ABERTURAS!$Q$7:$Q$26)+ABS(($Z138)-(ABERTURAS!$Q$7:$Q$26)))/2))/2))</f>
        <v>16.146564</v>
      </c>
      <c r="R138" s="30" t="n">
        <f aca="false">MAX(0,$O138-$P138)</f>
        <v>16.146564</v>
      </c>
      <c r="S138" s="30" t="n">
        <f aca="false">MAX(0,$O138-$Q138)</f>
        <v>0</v>
      </c>
      <c r="T138" s="50" t="n">
        <f aca="false">IF($D138="",0,IF($E138="VERTICAL",N($G138),MAX(N($I138),IF($K138="",N($I138),$K138))))</f>
        <v>6.33</v>
      </c>
      <c r="U138" s="50" t="n">
        <f aca="false">IF($L138&lt;&gt;"OK",0,VALUE(RIGHT($C138,1)))</f>
        <v>1</v>
      </c>
      <c r="V138" s="50" t="n">
        <f aca="false">IF($D138="",0,(N($H138)+IF($J138="",N($H138),$J138))/2)</f>
        <v>5.0377</v>
      </c>
      <c r="W138" s="50" t="n">
        <f aca="false">IF($D138="",0,(N($I138)+IF($K138="",N($I138),$K138))/2)</f>
        <v>7.5885</v>
      </c>
      <c r="X138" s="50" t="n">
        <f aca="false">IF($E138="VERTICAL",$V138,N($F138))</f>
        <v>5.0377</v>
      </c>
      <c r="Y138" s="50" t="n">
        <f aca="false">IF($E138="VERTICAL",$W138,N($G138))</f>
        <v>7.5885</v>
      </c>
      <c r="Z138" s="50" t="n">
        <f aca="false">IF($E138="VERTICAL",N($F138),$V138)</f>
        <v>0</v>
      </c>
      <c r="AA138" s="50" t="n">
        <f aca="false">IF($E138="VERTICAL",N($G138),$W138)</f>
        <v>6.33</v>
      </c>
      <c r="AB138" s="30" t="n">
        <f aca="false">IF($L138&lt;&gt;"OK",0,(INDEX(PRESIONES!$D$28:$D$31,$U138)*IF(INDEX(PRESIONES!$D$28:$D$31,$U138)&gt;0,PRESIONES!$C$9*IF($T138&lt;=10,1,($T138/10)^(2/DATOS!$C$56)),PRESIONES!$C$15)-ABERTURAS!$L$60*PRESIONES!$C$12)*$R138/$M138)</f>
        <v>-23.4264219954008</v>
      </c>
      <c r="AC138" s="30" t="n">
        <f aca="false">IF($L138&lt;&gt;"OK",0,(INDEX(PRESIONES!$G$28:$G$31,$U138)*IF(INDEX(PRESIONES!$G$28:$G$31,$U138)&gt;0,PRESIONES!$C$9*IF($T138&lt;=10,1,($T138/10)^(2/DATOS!$C$56)),PRESIONES!$C$15)-ABERTURAS!$L$61*PRESIONES!$C$12)*$R138/$M138)</f>
        <v>-23.4264219954008</v>
      </c>
      <c r="AD138" s="30" t="n">
        <f aca="false">IF($L138&lt;&gt;"OK",0,(INDEX(PRESIONES!$J$28:$J$31,$U138)*IF(INDEX(PRESIONES!$J$28:$J$31,$U138)&gt;0,PRESIONES!$C$9*IF($T138&lt;=10,1,($T138/10)^(2/DATOS!$C$56)),PRESIONES!$C$15)-ABERTURAS!$L$62*PRESIONES!$C$12)*$R138/$M138)</f>
        <v>172.687269605519</v>
      </c>
      <c r="AE138" s="30" t="n">
        <f aca="false">IF($L138&lt;&gt;"OK",0,(INDEX(PRESIONES!$M$28:$M$31,$U138)*IF(INDEX(PRESIONES!$M$28:$M$31,$U138)&gt;0,PRESIONES!$C$9*IF($T138&lt;=10,1,($T138/10)^(2/DATOS!$C$56)),PRESIONES!$C$15)-ABERTURAS!$L$63*PRESIONES!$C$12)*$R138/$M138)</f>
        <v>-154.639887006899</v>
      </c>
      <c r="AF138" s="30" t="n">
        <f aca="false">IF($L138&lt;&gt;"OK",0,(INDEX(PRESIONES!$D$28:$D$31,$U138)*IF(INDEX(PRESIONES!$D$28:$D$31,$U138)&gt;0,PRESIONES!$C$9*IF($T138&lt;=10,1,($T138/10)^(2/DATOS!$C$56)),PRESIONES!$C$15)-ABERTURAS!$L$64*PRESIONES!$C$12)*$S138/$M138)</f>
        <v>-0</v>
      </c>
      <c r="AG138" s="30" t="n">
        <f aca="false">IF($L138&lt;&gt;"OK",0,(INDEX(PRESIONES!$G$28:$G$31,$U138)*IF(INDEX(PRESIONES!$G$28:$G$31,$U138)&gt;0,PRESIONES!$C$9*IF($T138&lt;=10,1,($T138/10)^(2/DATOS!$C$56)),PRESIONES!$C$15)-ABERTURAS!$L$65*PRESIONES!$C$12)*$S138/$M138)</f>
        <v>-0</v>
      </c>
      <c r="AH138" s="30" t="n">
        <f aca="false">IF($L138&lt;&gt;"OK",0,(INDEX(PRESIONES!$J$28:$J$31,$U138)*IF(INDEX(PRESIONES!$J$28:$J$31,$U138)&gt;0,PRESIONES!$C$9*IF($T138&lt;=10,1,($T138/10)^(2/DATOS!$C$56)),PRESIONES!$C$15)-ABERTURAS!$L$66*PRESIONES!$C$12)*$S138/$M138)</f>
        <v>0</v>
      </c>
      <c r="AI138" s="30" t="n">
        <f aca="false">IF($L138&lt;&gt;"OK",0,(INDEX(PRESIONES!$M$28:$M$31,$U138)*IF(INDEX(PRESIONES!$M$28:$M$31,$U138)&gt;0,PRESIONES!$C$9*IF($T138&lt;=10,1,($T138/10)^(2/DATOS!$C$56)),PRESIONES!$C$15)-ABERTURAS!$L$67*PRESIONES!$C$12)*$S138/$M138)</f>
        <v>-0</v>
      </c>
    </row>
    <row r="139" customFormat="false" ht="15" hidden="false" customHeight="true" outlineLevel="0" collapsed="false">
      <c r="B139" s="27"/>
      <c r="C139" s="17"/>
      <c r="D139" s="27"/>
      <c r="E139" s="17"/>
      <c r="F139" s="49"/>
      <c r="G139" s="49"/>
      <c r="H139" s="49"/>
      <c r="I139" s="49"/>
      <c r="J139" s="49"/>
      <c r="K139" s="49"/>
      <c r="L139" s="20" t="str">
        <f aca="false">IF($D139="","",IF(LEFT($C139,4)&lt;&gt;"MURO","PON EL MURO",IF(AND($E139&lt;&gt;"HORIZONTAL",$E139&lt;&gt;"VERTICAL"),"PON EL SENTIDO",IF(OR($F139="",$G139="",$H139="",$I139=""),"FALTAN a o b",IF($M139&lt;=0,"a₂ DEBE SER &gt; a₁",IF($N139&lt;=0,"b₂ DEBE SER &gt; b₁","OK"))))))</f>
        <v/>
      </c>
      <c r="M139" s="30" t="n">
        <f aca="false">IF($D139="",0,MAX(0,$G139-$F139))</f>
        <v>0</v>
      </c>
      <c r="N139" s="30" t="n">
        <f aca="false">MAX(0,$W139-$V139)</f>
        <v>0</v>
      </c>
      <c r="O139" s="30" t="n">
        <f aca="false">$M139*$N139</f>
        <v>0</v>
      </c>
      <c r="P139" s="30" t="n">
        <f aca="false">IF($U139=0,0,SUMPRODUCT((ABERTURAS!$N$7:$N$26=$U139)*ABERTURAS!$U$7:$U$26*(((($Y139)+(ABERTURAS!$P$7:$P$26)-ABS(($Y139)-(ABERTURAS!$P$7:$P$26)))/2-(($X139)+(ABERTURAS!$O$7:$O$26)+ABS(($X139)-(ABERTURAS!$O$7:$O$26)))/2)+ABS((($Y139)+(ABERTURAS!$P$7:$P$26)-ABS(($Y139)-(ABERTURAS!$P$7:$P$26)))/2-(($X139)+(ABERTURAS!$O$7:$O$26)+ABS(($X139)-(ABERTURAS!$O$7:$O$26)))/2))/2*(((($AA139)+(ABERTURAS!$R$7:$R$26)-ABS(($AA139)-(ABERTURAS!$R$7:$R$26)))/2-(($Z139)+(ABERTURAS!$Q$7:$Q$26)+ABS(($Z139)-(ABERTURAS!$Q$7:$Q$26)))/2)+ABS((($AA139)+(ABERTURAS!$R$7:$R$26)-ABS(($AA139)-(ABERTURAS!$R$7:$R$26)))/2-(($Z139)+(ABERTURAS!$Q$7:$Q$26)+ABS(($Z139)-(ABERTURAS!$Q$7:$Q$26)))/2))/2))</f>
        <v>0</v>
      </c>
      <c r="Q139" s="30" t="n">
        <f aca="false">IF($U139=0,0,SUMPRODUCT((ABERTURAS!$N$7:$N$26=$U139)*ABERTURAS!$V$7:$V$26*(((($Y139)+(ABERTURAS!$P$7:$P$26)-ABS(($Y139)-(ABERTURAS!$P$7:$P$26)))/2-(($X139)+(ABERTURAS!$O$7:$O$26)+ABS(($X139)-(ABERTURAS!$O$7:$O$26)))/2)+ABS((($Y139)+(ABERTURAS!$P$7:$P$26)-ABS(($Y139)-(ABERTURAS!$P$7:$P$26)))/2-(($X139)+(ABERTURAS!$O$7:$O$26)+ABS(($X139)-(ABERTURAS!$O$7:$O$26)))/2))/2*(((($AA139)+(ABERTURAS!$R$7:$R$26)-ABS(($AA139)-(ABERTURAS!$R$7:$R$26)))/2-(($Z139)+(ABERTURAS!$Q$7:$Q$26)+ABS(($Z139)-(ABERTURAS!$Q$7:$Q$26)))/2)+ABS((($AA139)+(ABERTURAS!$R$7:$R$26)-ABS(($AA139)-(ABERTURAS!$R$7:$R$26)))/2-(($Z139)+(ABERTURAS!$Q$7:$Q$26)+ABS(($Z139)-(ABERTURAS!$Q$7:$Q$26)))/2))/2))</f>
        <v>0</v>
      </c>
      <c r="R139" s="30" t="n">
        <f aca="false">MAX(0,$O139-$P139)</f>
        <v>0</v>
      </c>
      <c r="S139" s="30" t="n">
        <f aca="false">MAX(0,$O139-$Q139)</f>
        <v>0</v>
      </c>
      <c r="T139" s="50" t="n">
        <f aca="false">IF($D139="",0,IF($E139="VERTICAL",N($G139),MAX(N($I139),IF($K139="",N($I139),$K139))))</f>
        <v>0</v>
      </c>
      <c r="U139" s="50" t="n">
        <f aca="false">IF($L139&lt;&gt;"OK",0,VALUE(RIGHT($C139,1)))</f>
        <v>0</v>
      </c>
      <c r="V139" s="50" t="n">
        <f aca="false">IF($D139="",0,(N($H139)+IF($J139="",N($H139),$J139))/2)</f>
        <v>0</v>
      </c>
      <c r="W139" s="50" t="n">
        <f aca="false">IF($D139="",0,(N($I139)+IF($K139="",N($I139),$K139))/2)</f>
        <v>0</v>
      </c>
      <c r="X139" s="50" t="n">
        <f aca="false">IF($E139="VERTICAL",$V139,N($F139))</f>
        <v>0</v>
      </c>
      <c r="Y139" s="50" t="n">
        <f aca="false">IF($E139="VERTICAL",$W139,N($G139))</f>
        <v>0</v>
      </c>
      <c r="Z139" s="50" t="n">
        <f aca="false">IF($E139="VERTICAL",N($F139),$V139)</f>
        <v>0</v>
      </c>
      <c r="AA139" s="50" t="n">
        <f aca="false">IF($E139="VERTICAL",N($G139),$W139)</f>
        <v>0</v>
      </c>
      <c r="AB139" s="30" t="n">
        <f aca="false">IF($L139&lt;&gt;"OK",0,(INDEX(PRESIONES!$D$28:$D$31,$U139)*IF(INDEX(PRESIONES!$D$28:$D$31,$U139)&gt;0,PRESIONES!$C$9*IF($T139&lt;=10,1,($T139/10)^(2/DATOS!$C$56)),PRESIONES!$C$15)-ABERTURAS!$L$60*PRESIONES!$C$12)*$R139/$M139)</f>
        <v>0</v>
      </c>
      <c r="AC139" s="30" t="n">
        <f aca="false">IF($L139&lt;&gt;"OK",0,(INDEX(PRESIONES!$G$28:$G$31,$U139)*IF(INDEX(PRESIONES!$G$28:$G$31,$U139)&gt;0,PRESIONES!$C$9*IF($T139&lt;=10,1,($T139/10)^(2/DATOS!$C$56)),PRESIONES!$C$15)-ABERTURAS!$L$61*PRESIONES!$C$12)*$R139/$M139)</f>
        <v>0</v>
      </c>
      <c r="AD139" s="30" t="n">
        <f aca="false">IF($L139&lt;&gt;"OK",0,(INDEX(PRESIONES!$J$28:$J$31,$U139)*IF(INDEX(PRESIONES!$J$28:$J$31,$U139)&gt;0,PRESIONES!$C$9*IF($T139&lt;=10,1,($T139/10)^(2/DATOS!$C$56)),PRESIONES!$C$15)-ABERTURAS!$L$62*PRESIONES!$C$12)*$R139/$M139)</f>
        <v>0</v>
      </c>
      <c r="AE139" s="30" t="n">
        <f aca="false">IF($L139&lt;&gt;"OK",0,(INDEX(PRESIONES!$M$28:$M$31,$U139)*IF(INDEX(PRESIONES!$M$28:$M$31,$U139)&gt;0,PRESIONES!$C$9*IF($T139&lt;=10,1,($T139/10)^(2/DATOS!$C$56)),PRESIONES!$C$15)-ABERTURAS!$L$63*PRESIONES!$C$12)*$R139/$M139)</f>
        <v>0</v>
      </c>
      <c r="AF139" s="30" t="n">
        <f aca="false">IF($L139&lt;&gt;"OK",0,(INDEX(PRESIONES!$D$28:$D$31,$U139)*IF(INDEX(PRESIONES!$D$28:$D$31,$U139)&gt;0,PRESIONES!$C$9*IF($T139&lt;=10,1,($T139/10)^(2/DATOS!$C$56)),PRESIONES!$C$15)-ABERTURAS!$L$64*PRESIONES!$C$12)*$S139/$M139)</f>
        <v>0</v>
      </c>
      <c r="AG139" s="30" t="n">
        <f aca="false">IF($L139&lt;&gt;"OK",0,(INDEX(PRESIONES!$G$28:$G$31,$U139)*IF(INDEX(PRESIONES!$G$28:$G$31,$U139)&gt;0,PRESIONES!$C$9*IF($T139&lt;=10,1,($T139/10)^(2/DATOS!$C$56)),PRESIONES!$C$15)-ABERTURAS!$L$65*PRESIONES!$C$12)*$S139/$M139)</f>
        <v>0</v>
      </c>
      <c r="AH139" s="30" t="n">
        <f aca="false">IF($L139&lt;&gt;"OK",0,(INDEX(PRESIONES!$J$28:$J$31,$U139)*IF(INDEX(PRESIONES!$J$28:$J$31,$U139)&gt;0,PRESIONES!$C$9*IF($T139&lt;=10,1,($T139/10)^(2/DATOS!$C$56)),PRESIONES!$C$15)-ABERTURAS!$L$66*PRESIONES!$C$12)*$S139/$M139)</f>
        <v>0</v>
      </c>
      <c r="AI139" s="30" t="n">
        <f aca="false">IF($L139&lt;&gt;"OK",0,(INDEX(PRESIONES!$M$28:$M$31,$U139)*IF(INDEX(PRESIONES!$M$28:$M$31,$U139)&gt;0,PRESIONES!$C$9*IF($T139&lt;=10,1,($T139/10)^(2/DATOS!$C$56)),PRESIONES!$C$15)-ABERTURAS!$L$67*PRESIONES!$C$12)*$S139/$M139)</f>
        <v>0</v>
      </c>
    </row>
    <row r="140" customFormat="false" ht="15" hidden="false" customHeight="true" outlineLevel="0" collapsed="false">
      <c r="B140" s="27"/>
      <c r="C140" s="17"/>
      <c r="D140" s="27"/>
      <c r="E140" s="17"/>
      <c r="F140" s="49"/>
      <c r="G140" s="49"/>
      <c r="H140" s="49"/>
      <c r="I140" s="49"/>
      <c r="J140" s="49"/>
      <c r="K140" s="49"/>
      <c r="L140" s="20" t="str">
        <f aca="false">IF($D140="","",IF(LEFT($C140,4)&lt;&gt;"MURO","PON EL MURO",IF(AND($E140&lt;&gt;"HORIZONTAL",$E140&lt;&gt;"VERTICAL"),"PON EL SENTIDO",IF(OR($F140="",$G140="",$H140="",$I140=""),"FALTAN a o b",IF($M140&lt;=0,"a₂ DEBE SER &gt; a₁",IF($N140&lt;=0,"b₂ DEBE SER &gt; b₁","OK"))))))</f>
        <v/>
      </c>
      <c r="M140" s="30" t="n">
        <f aca="false">IF($D140="",0,MAX(0,$G140-$F140))</f>
        <v>0</v>
      </c>
      <c r="N140" s="30" t="n">
        <f aca="false">MAX(0,$W140-$V140)</f>
        <v>0</v>
      </c>
      <c r="O140" s="30" t="n">
        <f aca="false">$M140*$N140</f>
        <v>0</v>
      </c>
      <c r="P140" s="30" t="n">
        <f aca="false">IF($U140=0,0,SUMPRODUCT((ABERTURAS!$N$7:$N$26=$U140)*ABERTURAS!$U$7:$U$26*(((($Y140)+(ABERTURAS!$P$7:$P$26)-ABS(($Y140)-(ABERTURAS!$P$7:$P$26)))/2-(($X140)+(ABERTURAS!$O$7:$O$26)+ABS(($X140)-(ABERTURAS!$O$7:$O$26)))/2)+ABS((($Y140)+(ABERTURAS!$P$7:$P$26)-ABS(($Y140)-(ABERTURAS!$P$7:$P$26)))/2-(($X140)+(ABERTURAS!$O$7:$O$26)+ABS(($X140)-(ABERTURAS!$O$7:$O$26)))/2))/2*(((($AA140)+(ABERTURAS!$R$7:$R$26)-ABS(($AA140)-(ABERTURAS!$R$7:$R$26)))/2-(($Z140)+(ABERTURAS!$Q$7:$Q$26)+ABS(($Z140)-(ABERTURAS!$Q$7:$Q$26)))/2)+ABS((($AA140)+(ABERTURAS!$R$7:$R$26)-ABS(($AA140)-(ABERTURAS!$R$7:$R$26)))/2-(($Z140)+(ABERTURAS!$Q$7:$Q$26)+ABS(($Z140)-(ABERTURAS!$Q$7:$Q$26)))/2))/2))</f>
        <v>0</v>
      </c>
      <c r="Q140" s="30" t="n">
        <f aca="false">IF($U140=0,0,SUMPRODUCT((ABERTURAS!$N$7:$N$26=$U140)*ABERTURAS!$V$7:$V$26*(((($Y140)+(ABERTURAS!$P$7:$P$26)-ABS(($Y140)-(ABERTURAS!$P$7:$P$26)))/2-(($X140)+(ABERTURAS!$O$7:$O$26)+ABS(($X140)-(ABERTURAS!$O$7:$O$26)))/2)+ABS((($Y140)+(ABERTURAS!$P$7:$P$26)-ABS(($Y140)-(ABERTURAS!$P$7:$P$26)))/2-(($X140)+(ABERTURAS!$O$7:$O$26)+ABS(($X140)-(ABERTURAS!$O$7:$O$26)))/2))/2*(((($AA140)+(ABERTURAS!$R$7:$R$26)-ABS(($AA140)-(ABERTURAS!$R$7:$R$26)))/2-(($Z140)+(ABERTURAS!$Q$7:$Q$26)+ABS(($Z140)-(ABERTURAS!$Q$7:$Q$26)))/2)+ABS((($AA140)+(ABERTURAS!$R$7:$R$26)-ABS(($AA140)-(ABERTURAS!$R$7:$R$26)))/2-(($Z140)+(ABERTURAS!$Q$7:$Q$26)+ABS(($Z140)-(ABERTURAS!$Q$7:$Q$26)))/2))/2))</f>
        <v>0</v>
      </c>
      <c r="R140" s="30" t="n">
        <f aca="false">MAX(0,$O140-$P140)</f>
        <v>0</v>
      </c>
      <c r="S140" s="30" t="n">
        <f aca="false">MAX(0,$O140-$Q140)</f>
        <v>0</v>
      </c>
      <c r="T140" s="50" t="n">
        <f aca="false">IF($D140="",0,IF($E140="VERTICAL",N($G140),MAX(N($I140),IF($K140="",N($I140),$K140))))</f>
        <v>0</v>
      </c>
      <c r="U140" s="50" t="n">
        <f aca="false">IF($L140&lt;&gt;"OK",0,VALUE(RIGHT($C140,1)))</f>
        <v>0</v>
      </c>
      <c r="V140" s="50" t="n">
        <f aca="false">IF($D140="",0,(N($H140)+IF($J140="",N($H140),$J140))/2)</f>
        <v>0</v>
      </c>
      <c r="W140" s="50" t="n">
        <f aca="false">IF($D140="",0,(N($I140)+IF($K140="",N($I140),$K140))/2)</f>
        <v>0</v>
      </c>
      <c r="X140" s="50" t="n">
        <f aca="false">IF($E140="VERTICAL",$V140,N($F140))</f>
        <v>0</v>
      </c>
      <c r="Y140" s="50" t="n">
        <f aca="false">IF($E140="VERTICAL",$W140,N($G140))</f>
        <v>0</v>
      </c>
      <c r="Z140" s="50" t="n">
        <f aca="false">IF($E140="VERTICAL",N($F140),$V140)</f>
        <v>0</v>
      </c>
      <c r="AA140" s="50" t="n">
        <f aca="false">IF($E140="VERTICAL",N($G140),$W140)</f>
        <v>0</v>
      </c>
      <c r="AB140" s="30" t="n">
        <f aca="false">IF($L140&lt;&gt;"OK",0,(INDEX(PRESIONES!$D$28:$D$31,$U140)*IF(INDEX(PRESIONES!$D$28:$D$31,$U140)&gt;0,PRESIONES!$C$9*IF($T140&lt;=10,1,($T140/10)^(2/DATOS!$C$56)),PRESIONES!$C$15)-ABERTURAS!$L$60*PRESIONES!$C$12)*$R140/$M140)</f>
        <v>0</v>
      </c>
      <c r="AC140" s="30" t="n">
        <f aca="false">IF($L140&lt;&gt;"OK",0,(INDEX(PRESIONES!$G$28:$G$31,$U140)*IF(INDEX(PRESIONES!$G$28:$G$31,$U140)&gt;0,PRESIONES!$C$9*IF($T140&lt;=10,1,($T140/10)^(2/DATOS!$C$56)),PRESIONES!$C$15)-ABERTURAS!$L$61*PRESIONES!$C$12)*$R140/$M140)</f>
        <v>0</v>
      </c>
      <c r="AD140" s="30" t="n">
        <f aca="false">IF($L140&lt;&gt;"OK",0,(INDEX(PRESIONES!$J$28:$J$31,$U140)*IF(INDEX(PRESIONES!$J$28:$J$31,$U140)&gt;0,PRESIONES!$C$9*IF($T140&lt;=10,1,($T140/10)^(2/DATOS!$C$56)),PRESIONES!$C$15)-ABERTURAS!$L$62*PRESIONES!$C$12)*$R140/$M140)</f>
        <v>0</v>
      </c>
      <c r="AE140" s="30" t="n">
        <f aca="false">IF($L140&lt;&gt;"OK",0,(INDEX(PRESIONES!$M$28:$M$31,$U140)*IF(INDEX(PRESIONES!$M$28:$M$31,$U140)&gt;0,PRESIONES!$C$9*IF($T140&lt;=10,1,($T140/10)^(2/DATOS!$C$56)),PRESIONES!$C$15)-ABERTURAS!$L$63*PRESIONES!$C$12)*$R140/$M140)</f>
        <v>0</v>
      </c>
      <c r="AF140" s="30" t="n">
        <f aca="false">IF($L140&lt;&gt;"OK",0,(INDEX(PRESIONES!$D$28:$D$31,$U140)*IF(INDEX(PRESIONES!$D$28:$D$31,$U140)&gt;0,PRESIONES!$C$9*IF($T140&lt;=10,1,($T140/10)^(2/DATOS!$C$56)),PRESIONES!$C$15)-ABERTURAS!$L$64*PRESIONES!$C$12)*$S140/$M140)</f>
        <v>0</v>
      </c>
      <c r="AG140" s="30" t="n">
        <f aca="false">IF($L140&lt;&gt;"OK",0,(INDEX(PRESIONES!$G$28:$G$31,$U140)*IF(INDEX(PRESIONES!$G$28:$G$31,$U140)&gt;0,PRESIONES!$C$9*IF($T140&lt;=10,1,($T140/10)^(2/DATOS!$C$56)),PRESIONES!$C$15)-ABERTURAS!$L$65*PRESIONES!$C$12)*$S140/$M140)</f>
        <v>0</v>
      </c>
      <c r="AH140" s="30" t="n">
        <f aca="false">IF($L140&lt;&gt;"OK",0,(INDEX(PRESIONES!$J$28:$J$31,$U140)*IF(INDEX(PRESIONES!$J$28:$J$31,$U140)&gt;0,PRESIONES!$C$9*IF($T140&lt;=10,1,($T140/10)^(2/DATOS!$C$56)),PRESIONES!$C$15)-ABERTURAS!$L$66*PRESIONES!$C$12)*$S140/$M140)</f>
        <v>0</v>
      </c>
      <c r="AI140" s="30" t="n">
        <f aca="false">IF($L140&lt;&gt;"OK",0,(INDEX(PRESIONES!$M$28:$M$31,$U140)*IF(INDEX(PRESIONES!$M$28:$M$31,$U140)&gt;0,PRESIONES!$C$9*IF($T140&lt;=10,1,($T140/10)^(2/DATOS!$C$56)),PRESIONES!$C$15)-ABERTURAS!$L$67*PRESIONES!$C$12)*$S140/$M140)</f>
        <v>0</v>
      </c>
    </row>
    <row r="141" customFormat="false" ht="15" hidden="false" customHeight="true" outlineLevel="0" collapsed="false">
      <c r="B141" s="27"/>
      <c r="C141" s="17"/>
      <c r="D141" s="27"/>
      <c r="E141" s="17"/>
      <c r="F141" s="49"/>
      <c r="G141" s="49"/>
      <c r="H141" s="49"/>
      <c r="I141" s="49"/>
      <c r="J141" s="49"/>
      <c r="K141" s="49"/>
      <c r="L141" s="20" t="str">
        <f aca="false">IF($D141="","",IF(LEFT($C141,4)&lt;&gt;"MURO","PON EL MURO",IF(AND($E141&lt;&gt;"HORIZONTAL",$E141&lt;&gt;"VERTICAL"),"PON EL SENTIDO",IF(OR($F141="",$G141="",$H141="",$I141=""),"FALTAN a o b",IF($M141&lt;=0,"a₂ DEBE SER &gt; a₁",IF($N141&lt;=0,"b₂ DEBE SER &gt; b₁","OK"))))))</f>
        <v/>
      </c>
      <c r="M141" s="30" t="n">
        <f aca="false">IF($D141="",0,MAX(0,$G141-$F141))</f>
        <v>0</v>
      </c>
      <c r="N141" s="30" t="n">
        <f aca="false">MAX(0,$W141-$V141)</f>
        <v>0</v>
      </c>
      <c r="O141" s="30" t="n">
        <f aca="false">$M141*$N141</f>
        <v>0</v>
      </c>
      <c r="P141" s="30" t="n">
        <f aca="false">IF($U141=0,0,SUMPRODUCT((ABERTURAS!$N$7:$N$26=$U141)*ABERTURAS!$U$7:$U$26*(((($Y141)+(ABERTURAS!$P$7:$P$26)-ABS(($Y141)-(ABERTURAS!$P$7:$P$26)))/2-(($X141)+(ABERTURAS!$O$7:$O$26)+ABS(($X141)-(ABERTURAS!$O$7:$O$26)))/2)+ABS((($Y141)+(ABERTURAS!$P$7:$P$26)-ABS(($Y141)-(ABERTURAS!$P$7:$P$26)))/2-(($X141)+(ABERTURAS!$O$7:$O$26)+ABS(($X141)-(ABERTURAS!$O$7:$O$26)))/2))/2*(((($AA141)+(ABERTURAS!$R$7:$R$26)-ABS(($AA141)-(ABERTURAS!$R$7:$R$26)))/2-(($Z141)+(ABERTURAS!$Q$7:$Q$26)+ABS(($Z141)-(ABERTURAS!$Q$7:$Q$26)))/2)+ABS((($AA141)+(ABERTURAS!$R$7:$R$26)-ABS(($AA141)-(ABERTURAS!$R$7:$R$26)))/2-(($Z141)+(ABERTURAS!$Q$7:$Q$26)+ABS(($Z141)-(ABERTURAS!$Q$7:$Q$26)))/2))/2))</f>
        <v>0</v>
      </c>
      <c r="Q141" s="30" t="n">
        <f aca="false">IF($U141=0,0,SUMPRODUCT((ABERTURAS!$N$7:$N$26=$U141)*ABERTURAS!$V$7:$V$26*(((($Y141)+(ABERTURAS!$P$7:$P$26)-ABS(($Y141)-(ABERTURAS!$P$7:$P$26)))/2-(($X141)+(ABERTURAS!$O$7:$O$26)+ABS(($X141)-(ABERTURAS!$O$7:$O$26)))/2)+ABS((($Y141)+(ABERTURAS!$P$7:$P$26)-ABS(($Y141)-(ABERTURAS!$P$7:$P$26)))/2-(($X141)+(ABERTURAS!$O$7:$O$26)+ABS(($X141)-(ABERTURAS!$O$7:$O$26)))/2))/2*(((($AA141)+(ABERTURAS!$R$7:$R$26)-ABS(($AA141)-(ABERTURAS!$R$7:$R$26)))/2-(($Z141)+(ABERTURAS!$Q$7:$Q$26)+ABS(($Z141)-(ABERTURAS!$Q$7:$Q$26)))/2)+ABS((($AA141)+(ABERTURAS!$R$7:$R$26)-ABS(($AA141)-(ABERTURAS!$R$7:$R$26)))/2-(($Z141)+(ABERTURAS!$Q$7:$Q$26)+ABS(($Z141)-(ABERTURAS!$Q$7:$Q$26)))/2))/2))</f>
        <v>0</v>
      </c>
      <c r="R141" s="30" t="n">
        <f aca="false">MAX(0,$O141-$P141)</f>
        <v>0</v>
      </c>
      <c r="S141" s="30" t="n">
        <f aca="false">MAX(0,$O141-$Q141)</f>
        <v>0</v>
      </c>
      <c r="T141" s="50" t="n">
        <f aca="false">IF($D141="",0,IF($E141="VERTICAL",N($G141),MAX(N($I141),IF($K141="",N($I141),$K141))))</f>
        <v>0</v>
      </c>
      <c r="U141" s="50" t="n">
        <f aca="false">IF($L141&lt;&gt;"OK",0,VALUE(RIGHT($C141,1)))</f>
        <v>0</v>
      </c>
      <c r="V141" s="50" t="n">
        <f aca="false">IF($D141="",0,(N($H141)+IF($J141="",N($H141),$J141))/2)</f>
        <v>0</v>
      </c>
      <c r="W141" s="50" t="n">
        <f aca="false">IF($D141="",0,(N($I141)+IF($K141="",N($I141),$K141))/2)</f>
        <v>0</v>
      </c>
      <c r="X141" s="50" t="n">
        <f aca="false">IF($E141="VERTICAL",$V141,N($F141))</f>
        <v>0</v>
      </c>
      <c r="Y141" s="50" t="n">
        <f aca="false">IF($E141="VERTICAL",$W141,N($G141))</f>
        <v>0</v>
      </c>
      <c r="Z141" s="50" t="n">
        <f aca="false">IF($E141="VERTICAL",N($F141),$V141)</f>
        <v>0</v>
      </c>
      <c r="AA141" s="50" t="n">
        <f aca="false">IF($E141="VERTICAL",N($G141),$W141)</f>
        <v>0</v>
      </c>
      <c r="AB141" s="30" t="n">
        <f aca="false">IF($L141&lt;&gt;"OK",0,(INDEX(PRESIONES!$D$28:$D$31,$U141)*IF(INDEX(PRESIONES!$D$28:$D$31,$U141)&gt;0,PRESIONES!$C$9*IF($T141&lt;=10,1,($T141/10)^(2/DATOS!$C$56)),PRESIONES!$C$15)-ABERTURAS!$L$60*PRESIONES!$C$12)*$R141/$M141)</f>
        <v>0</v>
      </c>
      <c r="AC141" s="30" t="n">
        <f aca="false">IF($L141&lt;&gt;"OK",0,(INDEX(PRESIONES!$G$28:$G$31,$U141)*IF(INDEX(PRESIONES!$G$28:$G$31,$U141)&gt;0,PRESIONES!$C$9*IF($T141&lt;=10,1,($T141/10)^(2/DATOS!$C$56)),PRESIONES!$C$15)-ABERTURAS!$L$61*PRESIONES!$C$12)*$R141/$M141)</f>
        <v>0</v>
      </c>
      <c r="AD141" s="30" t="n">
        <f aca="false">IF($L141&lt;&gt;"OK",0,(INDEX(PRESIONES!$J$28:$J$31,$U141)*IF(INDEX(PRESIONES!$J$28:$J$31,$U141)&gt;0,PRESIONES!$C$9*IF($T141&lt;=10,1,($T141/10)^(2/DATOS!$C$56)),PRESIONES!$C$15)-ABERTURAS!$L$62*PRESIONES!$C$12)*$R141/$M141)</f>
        <v>0</v>
      </c>
      <c r="AE141" s="30" t="n">
        <f aca="false">IF($L141&lt;&gt;"OK",0,(INDEX(PRESIONES!$M$28:$M$31,$U141)*IF(INDEX(PRESIONES!$M$28:$M$31,$U141)&gt;0,PRESIONES!$C$9*IF($T141&lt;=10,1,($T141/10)^(2/DATOS!$C$56)),PRESIONES!$C$15)-ABERTURAS!$L$63*PRESIONES!$C$12)*$R141/$M141)</f>
        <v>0</v>
      </c>
      <c r="AF141" s="30" t="n">
        <f aca="false">IF($L141&lt;&gt;"OK",0,(INDEX(PRESIONES!$D$28:$D$31,$U141)*IF(INDEX(PRESIONES!$D$28:$D$31,$U141)&gt;0,PRESIONES!$C$9*IF($T141&lt;=10,1,($T141/10)^(2/DATOS!$C$56)),PRESIONES!$C$15)-ABERTURAS!$L$64*PRESIONES!$C$12)*$S141/$M141)</f>
        <v>0</v>
      </c>
      <c r="AG141" s="30" t="n">
        <f aca="false">IF($L141&lt;&gt;"OK",0,(INDEX(PRESIONES!$G$28:$G$31,$U141)*IF(INDEX(PRESIONES!$G$28:$G$31,$U141)&gt;0,PRESIONES!$C$9*IF($T141&lt;=10,1,($T141/10)^(2/DATOS!$C$56)),PRESIONES!$C$15)-ABERTURAS!$L$65*PRESIONES!$C$12)*$S141/$M141)</f>
        <v>0</v>
      </c>
      <c r="AH141" s="30" t="n">
        <f aca="false">IF($L141&lt;&gt;"OK",0,(INDEX(PRESIONES!$J$28:$J$31,$U141)*IF(INDEX(PRESIONES!$J$28:$J$31,$U141)&gt;0,PRESIONES!$C$9*IF($T141&lt;=10,1,($T141/10)^(2/DATOS!$C$56)),PRESIONES!$C$15)-ABERTURAS!$L$66*PRESIONES!$C$12)*$S141/$M141)</f>
        <v>0</v>
      </c>
      <c r="AI141" s="30" t="n">
        <f aca="false">IF($L141&lt;&gt;"OK",0,(INDEX(PRESIONES!$M$28:$M$31,$U141)*IF(INDEX(PRESIONES!$M$28:$M$31,$U141)&gt;0,PRESIONES!$C$9*IF($T141&lt;=10,1,($T141/10)^(2/DATOS!$C$56)),PRESIONES!$C$15)-ABERTURAS!$L$67*PRESIONES!$C$12)*$S141/$M141)</f>
        <v>0</v>
      </c>
    </row>
    <row r="142" customFormat="false" ht="15" hidden="false" customHeight="true" outlineLevel="0" collapsed="false">
      <c r="B142" s="27"/>
      <c r="C142" s="17"/>
      <c r="D142" s="27"/>
      <c r="E142" s="17"/>
      <c r="F142" s="49"/>
      <c r="G142" s="49"/>
      <c r="H142" s="49"/>
      <c r="I142" s="49"/>
      <c r="J142" s="49"/>
      <c r="K142" s="49"/>
      <c r="L142" s="20" t="str">
        <f aca="false">IF($D142="","",IF(LEFT($C142,4)&lt;&gt;"MURO","PON EL MURO",IF(AND($E142&lt;&gt;"HORIZONTAL",$E142&lt;&gt;"VERTICAL"),"PON EL SENTIDO",IF(OR($F142="",$G142="",$H142="",$I142=""),"FALTAN a o b",IF($M142&lt;=0,"a₂ DEBE SER &gt; a₁",IF($N142&lt;=0,"b₂ DEBE SER &gt; b₁","OK"))))))</f>
        <v/>
      </c>
      <c r="M142" s="30" t="n">
        <f aca="false">IF($D142="",0,MAX(0,$G142-$F142))</f>
        <v>0</v>
      </c>
      <c r="N142" s="30" t="n">
        <f aca="false">MAX(0,$W142-$V142)</f>
        <v>0</v>
      </c>
      <c r="O142" s="30" t="n">
        <f aca="false">$M142*$N142</f>
        <v>0</v>
      </c>
      <c r="P142" s="30" t="n">
        <f aca="false">IF($U142=0,0,SUMPRODUCT((ABERTURAS!$N$7:$N$26=$U142)*ABERTURAS!$U$7:$U$26*(((($Y142)+(ABERTURAS!$P$7:$P$26)-ABS(($Y142)-(ABERTURAS!$P$7:$P$26)))/2-(($X142)+(ABERTURAS!$O$7:$O$26)+ABS(($X142)-(ABERTURAS!$O$7:$O$26)))/2)+ABS((($Y142)+(ABERTURAS!$P$7:$P$26)-ABS(($Y142)-(ABERTURAS!$P$7:$P$26)))/2-(($X142)+(ABERTURAS!$O$7:$O$26)+ABS(($X142)-(ABERTURAS!$O$7:$O$26)))/2))/2*(((($AA142)+(ABERTURAS!$R$7:$R$26)-ABS(($AA142)-(ABERTURAS!$R$7:$R$26)))/2-(($Z142)+(ABERTURAS!$Q$7:$Q$26)+ABS(($Z142)-(ABERTURAS!$Q$7:$Q$26)))/2)+ABS((($AA142)+(ABERTURAS!$R$7:$R$26)-ABS(($AA142)-(ABERTURAS!$R$7:$R$26)))/2-(($Z142)+(ABERTURAS!$Q$7:$Q$26)+ABS(($Z142)-(ABERTURAS!$Q$7:$Q$26)))/2))/2))</f>
        <v>0</v>
      </c>
      <c r="Q142" s="30" t="n">
        <f aca="false">IF($U142=0,0,SUMPRODUCT((ABERTURAS!$N$7:$N$26=$U142)*ABERTURAS!$V$7:$V$26*(((($Y142)+(ABERTURAS!$P$7:$P$26)-ABS(($Y142)-(ABERTURAS!$P$7:$P$26)))/2-(($X142)+(ABERTURAS!$O$7:$O$26)+ABS(($X142)-(ABERTURAS!$O$7:$O$26)))/2)+ABS((($Y142)+(ABERTURAS!$P$7:$P$26)-ABS(($Y142)-(ABERTURAS!$P$7:$P$26)))/2-(($X142)+(ABERTURAS!$O$7:$O$26)+ABS(($X142)-(ABERTURAS!$O$7:$O$26)))/2))/2*(((($AA142)+(ABERTURAS!$R$7:$R$26)-ABS(($AA142)-(ABERTURAS!$R$7:$R$26)))/2-(($Z142)+(ABERTURAS!$Q$7:$Q$26)+ABS(($Z142)-(ABERTURAS!$Q$7:$Q$26)))/2)+ABS((($AA142)+(ABERTURAS!$R$7:$R$26)-ABS(($AA142)-(ABERTURAS!$R$7:$R$26)))/2-(($Z142)+(ABERTURAS!$Q$7:$Q$26)+ABS(($Z142)-(ABERTURAS!$Q$7:$Q$26)))/2))/2))</f>
        <v>0</v>
      </c>
      <c r="R142" s="30" t="n">
        <f aca="false">MAX(0,$O142-$P142)</f>
        <v>0</v>
      </c>
      <c r="S142" s="30" t="n">
        <f aca="false">MAX(0,$O142-$Q142)</f>
        <v>0</v>
      </c>
      <c r="T142" s="50" t="n">
        <f aca="false">IF($D142="",0,IF($E142="VERTICAL",N($G142),MAX(N($I142),IF($K142="",N($I142),$K142))))</f>
        <v>0</v>
      </c>
      <c r="U142" s="50" t="n">
        <f aca="false">IF($L142&lt;&gt;"OK",0,VALUE(RIGHT($C142,1)))</f>
        <v>0</v>
      </c>
      <c r="V142" s="50" t="n">
        <f aca="false">IF($D142="",0,(N($H142)+IF($J142="",N($H142),$J142))/2)</f>
        <v>0</v>
      </c>
      <c r="W142" s="50" t="n">
        <f aca="false">IF($D142="",0,(N($I142)+IF($K142="",N($I142),$K142))/2)</f>
        <v>0</v>
      </c>
      <c r="X142" s="50" t="n">
        <f aca="false">IF($E142="VERTICAL",$V142,N($F142))</f>
        <v>0</v>
      </c>
      <c r="Y142" s="50" t="n">
        <f aca="false">IF($E142="VERTICAL",$W142,N($G142))</f>
        <v>0</v>
      </c>
      <c r="Z142" s="50" t="n">
        <f aca="false">IF($E142="VERTICAL",N($F142),$V142)</f>
        <v>0</v>
      </c>
      <c r="AA142" s="50" t="n">
        <f aca="false">IF($E142="VERTICAL",N($G142),$W142)</f>
        <v>0</v>
      </c>
      <c r="AB142" s="30" t="n">
        <f aca="false">IF($L142&lt;&gt;"OK",0,(INDEX(PRESIONES!$D$28:$D$31,$U142)*IF(INDEX(PRESIONES!$D$28:$D$31,$U142)&gt;0,PRESIONES!$C$9*IF($T142&lt;=10,1,($T142/10)^(2/DATOS!$C$56)),PRESIONES!$C$15)-ABERTURAS!$L$60*PRESIONES!$C$12)*$R142/$M142)</f>
        <v>0</v>
      </c>
      <c r="AC142" s="30" t="n">
        <f aca="false">IF($L142&lt;&gt;"OK",0,(INDEX(PRESIONES!$G$28:$G$31,$U142)*IF(INDEX(PRESIONES!$G$28:$G$31,$U142)&gt;0,PRESIONES!$C$9*IF($T142&lt;=10,1,($T142/10)^(2/DATOS!$C$56)),PRESIONES!$C$15)-ABERTURAS!$L$61*PRESIONES!$C$12)*$R142/$M142)</f>
        <v>0</v>
      </c>
      <c r="AD142" s="30" t="n">
        <f aca="false">IF($L142&lt;&gt;"OK",0,(INDEX(PRESIONES!$J$28:$J$31,$U142)*IF(INDEX(PRESIONES!$J$28:$J$31,$U142)&gt;0,PRESIONES!$C$9*IF($T142&lt;=10,1,($T142/10)^(2/DATOS!$C$56)),PRESIONES!$C$15)-ABERTURAS!$L$62*PRESIONES!$C$12)*$R142/$M142)</f>
        <v>0</v>
      </c>
      <c r="AE142" s="30" t="n">
        <f aca="false">IF($L142&lt;&gt;"OK",0,(INDEX(PRESIONES!$M$28:$M$31,$U142)*IF(INDEX(PRESIONES!$M$28:$M$31,$U142)&gt;0,PRESIONES!$C$9*IF($T142&lt;=10,1,($T142/10)^(2/DATOS!$C$56)),PRESIONES!$C$15)-ABERTURAS!$L$63*PRESIONES!$C$12)*$R142/$M142)</f>
        <v>0</v>
      </c>
      <c r="AF142" s="30" t="n">
        <f aca="false">IF($L142&lt;&gt;"OK",0,(INDEX(PRESIONES!$D$28:$D$31,$U142)*IF(INDEX(PRESIONES!$D$28:$D$31,$U142)&gt;0,PRESIONES!$C$9*IF($T142&lt;=10,1,($T142/10)^(2/DATOS!$C$56)),PRESIONES!$C$15)-ABERTURAS!$L$64*PRESIONES!$C$12)*$S142/$M142)</f>
        <v>0</v>
      </c>
      <c r="AG142" s="30" t="n">
        <f aca="false">IF($L142&lt;&gt;"OK",0,(INDEX(PRESIONES!$G$28:$G$31,$U142)*IF(INDEX(PRESIONES!$G$28:$G$31,$U142)&gt;0,PRESIONES!$C$9*IF($T142&lt;=10,1,($T142/10)^(2/DATOS!$C$56)),PRESIONES!$C$15)-ABERTURAS!$L$65*PRESIONES!$C$12)*$S142/$M142)</f>
        <v>0</v>
      </c>
      <c r="AH142" s="30" t="n">
        <f aca="false">IF($L142&lt;&gt;"OK",0,(INDEX(PRESIONES!$J$28:$J$31,$U142)*IF(INDEX(PRESIONES!$J$28:$J$31,$U142)&gt;0,PRESIONES!$C$9*IF($T142&lt;=10,1,($T142/10)^(2/DATOS!$C$56)),PRESIONES!$C$15)-ABERTURAS!$L$66*PRESIONES!$C$12)*$S142/$M142)</f>
        <v>0</v>
      </c>
      <c r="AI142" s="30" t="n">
        <f aca="false">IF($L142&lt;&gt;"OK",0,(INDEX(PRESIONES!$M$28:$M$31,$U142)*IF(INDEX(PRESIONES!$M$28:$M$31,$U142)&gt;0,PRESIONES!$C$9*IF($T142&lt;=10,1,($T142/10)^(2/DATOS!$C$56)),PRESIONES!$C$15)-ABERTURAS!$L$67*PRESIONES!$C$12)*$S142/$M142)</f>
        <v>0</v>
      </c>
    </row>
    <row r="143" customFormat="false" ht="15" hidden="false" customHeight="true" outlineLevel="0" collapsed="false">
      <c r="B143" s="27"/>
      <c r="C143" s="17"/>
      <c r="D143" s="27"/>
      <c r="E143" s="17"/>
      <c r="F143" s="49"/>
      <c r="G143" s="49"/>
      <c r="H143" s="49"/>
      <c r="I143" s="49"/>
      <c r="J143" s="49"/>
      <c r="K143" s="49"/>
      <c r="L143" s="20" t="str">
        <f aca="false">IF($D143="","",IF(LEFT($C143,4)&lt;&gt;"MURO","PON EL MURO",IF(AND($E143&lt;&gt;"HORIZONTAL",$E143&lt;&gt;"VERTICAL"),"PON EL SENTIDO",IF(OR($F143="",$G143="",$H143="",$I143=""),"FALTAN a o b",IF($M143&lt;=0,"a₂ DEBE SER &gt; a₁",IF($N143&lt;=0,"b₂ DEBE SER &gt; b₁","OK"))))))</f>
        <v/>
      </c>
      <c r="M143" s="30" t="n">
        <f aca="false">IF($D143="",0,MAX(0,$G143-$F143))</f>
        <v>0</v>
      </c>
      <c r="N143" s="30" t="n">
        <f aca="false">MAX(0,$W143-$V143)</f>
        <v>0</v>
      </c>
      <c r="O143" s="30" t="n">
        <f aca="false">$M143*$N143</f>
        <v>0</v>
      </c>
      <c r="P143" s="30" t="n">
        <f aca="false">IF($U143=0,0,SUMPRODUCT((ABERTURAS!$N$7:$N$26=$U143)*ABERTURAS!$U$7:$U$26*(((($Y143)+(ABERTURAS!$P$7:$P$26)-ABS(($Y143)-(ABERTURAS!$P$7:$P$26)))/2-(($X143)+(ABERTURAS!$O$7:$O$26)+ABS(($X143)-(ABERTURAS!$O$7:$O$26)))/2)+ABS((($Y143)+(ABERTURAS!$P$7:$P$26)-ABS(($Y143)-(ABERTURAS!$P$7:$P$26)))/2-(($X143)+(ABERTURAS!$O$7:$O$26)+ABS(($X143)-(ABERTURAS!$O$7:$O$26)))/2))/2*(((($AA143)+(ABERTURAS!$R$7:$R$26)-ABS(($AA143)-(ABERTURAS!$R$7:$R$26)))/2-(($Z143)+(ABERTURAS!$Q$7:$Q$26)+ABS(($Z143)-(ABERTURAS!$Q$7:$Q$26)))/2)+ABS((($AA143)+(ABERTURAS!$R$7:$R$26)-ABS(($AA143)-(ABERTURAS!$R$7:$R$26)))/2-(($Z143)+(ABERTURAS!$Q$7:$Q$26)+ABS(($Z143)-(ABERTURAS!$Q$7:$Q$26)))/2))/2))</f>
        <v>0</v>
      </c>
      <c r="Q143" s="30" t="n">
        <f aca="false">IF($U143=0,0,SUMPRODUCT((ABERTURAS!$N$7:$N$26=$U143)*ABERTURAS!$V$7:$V$26*(((($Y143)+(ABERTURAS!$P$7:$P$26)-ABS(($Y143)-(ABERTURAS!$P$7:$P$26)))/2-(($X143)+(ABERTURAS!$O$7:$O$26)+ABS(($X143)-(ABERTURAS!$O$7:$O$26)))/2)+ABS((($Y143)+(ABERTURAS!$P$7:$P$26)-ABS(($Y143)-(ABERTURAS!$P$7:$P$26)))/2-(($X143)+(ABERTURAS!$O$7:$O$26)+ABS(($X143)-(ABERTURAS!$O$7:$O$26)))/2))/2*(((($AA143)+(ABERTURAS!$R$7:$R$26)-ABS(($AA143)-(ABERTURAS!$R$7:$R$26)))/2-(($Z143)+(ABERTURAS!$Q$7:$Q$26)+ABS(($Z143)-(ABERTURAS!$Q$7:$Q$26)))/2)+ABS((($AA143)+(ABERTURAS!$R$7:$R$26)-ABS(($AA143)-(ABERTURAS!$R$7:$R$26)))/2-(($Z143)+(ABERTURAS!$Q$7:$Q$26)+ABS(($Z143)-(ABERTURAS!$Q$7:$Q$26)))/2))/2))</f>
        <v>0</v>
      </c>
      <c r="R143" s="30" t="n">
        <f aca="false">MAX(0,$O143-$P143)</f>
        <v>0</v>
      </c>
      <c r="S143" s="30" t="n">
        <f aca="false">MAX(0,$O143-$Q143)</f>
        <v>0</v>
      </c>
      <c r="T143" s="50" t="n">
        <f aca="false">IF($D143="",0,IF($E143="VERTICAL",N($G143),MAX(N($I143),IF($K143="",N($I143),$K143))))</f>
        <v>0</v>
      </c>
      <c r="U143" s="50" t="n">
        <f aca="false">IF($L143&lt;&gt;"OK",0,VALUE(RIGHT($C143,1)))</f>
        <v>0</v>
      </c>
      <c r="V143" s="50" t="n">
        <f aca="false">IF($D143="",0,(N($H143)+IF($J143="",N($H143),$J143))/2)</f>
        <v>0</v>
      </c>
      <c r="W143" s="50" t="n">
        <f aca="false">IF($D143="",0,(N($I143)+IF($K143="",N($I143),$K143))/2)</f>
        <v>0</v>
      </c>
      <c r="X143" s="50" t="n">
        <f aca="false">IF($E143="VERTICAL",$V143,N($F143))</f>
        <v>0</v>
      </c>
      <c r="Y143" s="50" t="n">
        <f aca="false">IF($E143="VERTICAL",$W143,N($G143))</f>
        <v>0</v>
      </c>
      <c r="Z143" s="50" t="n">
        <f aca="false">IF($E143="VERTICAL",N($F143),$V143)</f>
        <v>0</v>
      </c>
      <c r="AA143" s="50" t="n">
        <f aca="false">IF($E143="VERTICAL",N($G143),$W143)</f>
        <v>0</v>
      </c>
      <c r="AB143" s="30" t="n">
        <f aca="false">IF($L143&lt;&gt;"OK",0,(INDEX(PRESIONES!$D$28:$D$31,$U143)*IF(INDEX(PRESIONES!$D$28:$D$31,$U143)&gt;0,PRESIONES!$C$9*IF($T143&lt;=10,1,($T143/10)^(2/DATOS!$C$56)),PRESIONES!$C$15)-ABERTURAS!$L$60*PRESIONES!$C$12)*$R143/$M143)</f>
        <v>0</v>
      </c>
      <c r="AC143" s="30" t="n">
        <f aca="false">IF($L143&lt;&gt;"OK",0,(INDEX(PRESIONES!$G$28:$G$31,$U143)*IF(INDEX(PRESIONES!$G$28:$G$31,$U143)&gt;0,PRESIONES!$C$9*IF($T143&lt;=10,1,($T143/10)^(2/DATOS!$C$56)),PRESIONES!$C$15)-ABERTURAS!$L$61*PRESIONES!$C$12)*$R143/$M143)</f>
        <v>0</v>
      </c>
      <c r="AD143" s="30" t="n">
        <f aca="false">IF($L143&lt;&gt;"OK",0,(INDEX(PRESIONES!$J$28:$J$31,$U143)*IF(INDEX(PRESIONES!$J$28:$J$31,$U143)&gt;0,PRESIONES!$C$9*IF($T143&lt;=10,1,($T143/10)^(2/DATOS!$C$56)),PRESIONES!$C$15)-ABERTURAS!$L$62*PRESIONES!$C$12)*$R143/$M143)</f>
        <v>0</v>
      </c>
      <c r="AE143" s="30" t="n">
        <f aca="false">IF($L143&lt;&gt;"OK",0,(INDEX(PRESIONES!$M$28:$M$31,$U143)*IF(INDEX(PRESIONES!$M$28:$M$31,$U143)&gt;0,PRESIONES!$C$9*IF($T143&lt;=10,1,($T143/10)^(2/DATOS!$C$56)),PRESIONES!$C$15)-ABERTURAS!$L$63*PRESIONES!$C$12)*$R143/$M143)</f>
        <v>0</v>
      </c>
      <c r="AF143" s="30" t="n">
        <f aca="false">IF($L143&lt;&gt;"OK",0,(INDEX(PRESIONES!$D$28:$D$31,$U143)*IF(INDEX(PRESIONES!$D$28:$D$31,$U143)&gt;0,PRESIONES!$C$9*IF($T143&lt;=10,1,($T143/10)^(2/DATOS!$C$56)),PRESIONES!$C$15)-ABERTURAS!$L$64*PRESIONES!$C$12)*$S143/$M143)</f>
        <v>0</v>
      </c>
      <c r="AG143" s="30" t="n">
        <f aca="false">IF($L143&lt;&gt;"OK",0,(INDEX(PRESIONES!$G$28:$G$31,$U143)*IF(INDEX(PRESIONES!$G$28:$G$31,$U143)&gt;0,PRESIONES!$C$9*IF($T143&lt;=10,1,($T143/10)^(2/DATOS!$C$56)),PRESIONES!$C$15)-ABERTURAS!$L$65*PRESIONES!$C$12)*$S143/$M143)</f>
        <v>0</v>
      </c>
      <c r="AH143" s="30" t="n">
        <f aca="false">IF($L143&lt;&gt;"OK",0,(INDEX(PRESIONES!$J$28:$J$31,$U143)*IF(INDEX(PRESIONES!$J$28:$J$31,$U143)&gt;0,PRESIONES!$C$9*IF($T143&lt;=10,1,($T143/10)^(2/DATOS!$C$56)),PRESIONES!$C$15)-ABERTURAS!$L$66*PRESIONES!$C$12)*$S143/$M143)</f>
        <v>0</v>
      </c>
      <c r="AI143" s="30" t="n">
        <f aca="false">IF($L143&lt;&gt;"OK",0,(INDEX(PRESIONES!$M$28:$M$31,$U143)*IF(INDEX(PRESIONES!$M$28:$M$31,$U143)&gt;0,PRESIONES!$C$9*IF($T143&lt;=10,1,($T143/10)^(2/DATOS!$C$56)),PRESIONES!$C$15)-ABERTURAS!$L$67*PRESIONES!$C$12)*$S143/$M143)</f>
        <v>0</v>
      </c>
    </row>
    <row r="144" customFormat="false" ht="15" hidden="false" customHeight="true" outlineLevel="0" collapsed="false">
      <c r="B144" s="27"/>
      <c r="C144" s="17"/>
      <c r="D144" s="27"/>
      <c r="E144" s="17"/>
      <c r="F144" s="49"/>
      <c r="G144" s="49"/>
      <c r="H144" s="49"/>
      <c r="I144" s="49"/>
      <c r="J144" s="49"/>
      <c r="K144" s="49"/>
      <c r="L144" s="20" t="str">
        <f aca="false">IF($D144="","",IF(LEFT($C144,4)&lt;&gt;"MURO","PON EL MURO",IF(AND($E144&lt;&gt;"HORIZONTAL",$E144&lt;&gt;"VERTICAL"),"PON EL SENTIDO",IF(OR($F144="",$G144="",$H144="",$I144=""),"FALTAN a o b",IF($M144&lt;=0,"a₂ DEBE SER &gt; a₁",IF($N144&lt;=0,"b₂ DEBE SER &gt; b₁","OK"))))))</f>
        <v/>
      </c>
      <c r="M144" s="30" t="n">
        <f aca="false">IF($D144="",0,MAX(0,$G144-$F144))</f>
        <v>0</v>
      </c>
      <c r="N144" s="30" t="n">
        <f aca="false">MAX(0,$W144-$V144)</f>
        <v>0</v>
      </c>
      <c r="O144" s="30" t="n">
        <f aca="false">$M144*$N144</f>
        <v>0</v>
      </c>
      <c r="P144" s="30" t="n">
        <f aca="false">IF($U144=0,0,SUMPRODUCT((ABERTURAS!$N$7:$N$26=$U144)*ABERTURAS!$U$7:$U$26*(((($Y144)+(ABERTURAS!$P$7:$P$26)-ABS(($Y144)-(ABERTURAS!$P$7:$P$26)))/2-(($X144)+(ABERTURAS!$O$7:$O$26)+ABS(($X144)-(ABERTURAS!$O$7:$O$26)))/2)+ABS((($Y144)+(ABERTURAS!$P$7:$P$26)-ABS(($Y144)-(ABERTURAS!$P$7:$P$26)))/2-(($X144)+(ABERTURAS!$O$7:$O$26)+ABS(($X144)-(ABERTURAS!$O$7:$O$26)))/2))/2*(((($AA144)+(ABERTURAS!$R$7:$R$26)-ABS(($AA144)-(ABERTURAS!$R$7:$R$26)))/2-(($Z144)+(ABERTURAS!$Q$7:$Q$26)+ABS(($Z144)-(ABERTURAS!$Q$7:$Q$26)))/2)+ABS((($AA144)+(ABERTURAS!$R$7:$R$26)-ABS(($AA144)-(ABERTURAS!$R$7:$R$26)))/2-(($Z144)+(ABERTURAS!$Q$7:$Q$26)+ABS(($Z144)-(ABERTURAS!$Q$7:$Q$26)))/2))/2))</f>
        <v>0</v>
      </c>
      <c r="Q144" s="30" t="n">
        <f aca="false">IF($U144=0,0,SUMPRODUCT((ABERTURAS!$N$7:$N$26=$U144)*ABERTURAS!$V$7:$V$26*(((($Y144)+(ABERTURAS!$P$7:$P$26)-ABS(($Y144)-(ABERTURAS!$P$7:$P$26)))/2-(($X144)+(ABERTURAS!$O$7:$O$26)+ABS(($X144)-(ABERTURAS!$O$7:$O$26)))/2)+ABS((($Y144)+(ABERTURAS!$P$7:$P$26)-ABS(($Y144)-(ABERTURAS!$P$7:$P$26)))/2-(($X144)+(ABERTURAS!$O$7:$O$26)+ABS(($X144)-(ABERTURAS!$O$7:$O$26)))/2))/2*(((($AA144)+(ABERTURAS!$R$7:$R$26)-ABS(($AA144)-(ABERTURAS!$R$7:$R$26)))/2-(($Z144)+(ABERTURAS!$Q$7:$Q$26)+ABS(($Z144)-(ABERTURAS!$Q$7:$Q$26)))/2)+ABS((($AA144)+(ABERTURAS!$R$7:$R$26)-ABS(($AA144)-(ABERTURAS!$R$7:$R$26)))/2-(($Z144)+(ABERTURAS!$Q$7:$Q$26)+ABS(($Z144)-(ABERTURAS!$Q$7:$Q$26)))/2))/2))</f>
        <v>0</v>
      </c>
      <c r="R144" s="30" t="n">
        <f aca="false">MAX(0,$O144-$P144)</f>
        <v>0</v>
      </c>
      <c r="S144" s="30" t="n">
        <f aca="false">MAX(0,$O144-$Q144)</f>
        <v>0</v>
      </c>
      <c r="T144" s="50" t="n">
        <f aca="false">IF($D144="",0,IF($E144="VERTICAL",N($G144),MAX(N($I144),IF($K144="",N($I144),$K144))))</f>
        <v>0</v>
      </c>
      <c r="U144" s="50" t="n">
        <f aca="false">IF($L144&lt;&gt;"OK",0,VALUE(RIGHT($C144,1)))</f>
        <v>0</v>
      </c>
      <c r="V144" s="50" t="n">
        <f aca="false">IF($D144="",0,(N($H144)+IF($J144="",N($H144),$J144))/2)</f>
        <v>0</v>
      </c>
      <c r="W144" s="50" t="n">
        <f aca="false">IF($D144="",0,(N($I144)+IF($K144="",N($I144),$K144))/2)</f>
        <v>0</v>
      </c>
      <c r="X144" s="50" t="n">
        <f aca="false">IF($E144="VERTICAL",$V144,N($F144))</f>
        <v>0</v>
      </c>
      <c r="Y144" s="50" t="n">
        <f aca="false">IF($E144="VERTICAL",$W144,N($G144))</f>
        <v>0</v>
      </c>
      <c r="Z144" s="50" t="n">
        <f aca="false">IF($E144="VERTICAL",N($F144),$V144)</f>
        <v>0</v>
      </c>
      <c r="AA144" s="50" t="n">
        <f aca="false">IF($E144="VERTICAL",N($G144),$W144)</f>
        <v>0</v>
      </c>
      <c r="AB144" s="30" t="n">
        <f aca="false">IF($L144&lt;&gt;"OK",0,(INDEX(PRESIONES!$D$28:$D$31,$U144)*IF(INDEX(PRESIONES!$D$28:$D$31,$U144)&gt;0,PRESIONES!$C$9*IF($T144&lt;=10,1,($T144/10)^(2/DATOS!$C$56)),PRESIONES!$C$15)-ABERTURAS!$L$60*PRESIONES!$C$12)*$R144/$M144)</f>
        <v>0</v>
      </c>
      <c r="AC144" s="30" t="n">
        <f aca="false">IF($L144&lt;&gt;"OK",0,(INDEX(PRESIONES!$G$28:$G$31,$U144)*IF(INDEX(PRESIONES!$G$28:$G$31,$U144)&gt;0,PRESIONES!$C$9*IF($T144&lt;=10,1,($T144/10)^(2/DATOS!$C$56)),PRESIONES!$C$15)-ABERTURAS!$L$61*PRESIONES!$C$12)*$R144/$M144)</f>
        <v>0</v>
      </c>
      <c r="AD144" s="30" t="n">
        <f aca="false">IF($L144&lt;&gt;"OK",0,(INDEX(PRESIONES!$J$28:$J$31,$U144)*IF(INDEX(PRESIONES!$J$28:$J$31,$U144)&gt;0,PRESIONES!$C$9*IF($T144&lt;=10,1,($T144/10)^(2/DATOS!$C$56)),PRESIONES!$C$15)-ABERTURAS!$L$62*PRESIONES!$C$12)*$R144/$M144)</f>
        <v>0</v>
      </c>
      <c r="AE144" s="30" t="n">
        <f aca="false">IF($L144&lt;&gt;"OK",0,(INDEX(PRESIONES!$M$28:$M$31,$U144)*IF(INDEX(PRESIONES!$M$28:$M$31,$U144)&gt;0,PRESIONES!$C$9*IF($T144&lt;=10,1,($T144/10)^(2/DATOS!$C$56)),PRESIONES!$C$15)-ABERTURAS!$L$63*PRESIONES!$C$12)*$R144/$M144)</f>
        <v>0</v>
      </c>
      <c r="AF144" s="30" t="n">
        <f aca="false">IF($L144&lt;&gt;"OK",0,(INDEX(PRESIONES!$D$28:$D$31,$U144)*IF(INDEX(PRESIONES!$D$28:$D$31,$U144)&gt;0,PRESIONES!$C$9*IF($T144&lt;=10,1,($T144/10)^(2/DATOS!$C$56)),PRESIONES!$C$15)-ABERTURAS!$L$64*PRESIONES!$C$12)*$S144/$M144)</f>
        <v>0</v>
      </c>
      <c r="AG144" s="30" t="n">
        <f aca="false">IF($L144&lt;&gt;"OK",0,(INDEX(PRESIONES!$G$28:$G$31,$U144)*IF(INDEX(PRESIONES!$G$28:$G$31,$U144)&gt;0,PRESIONES!$C$9*IF($T144&lt;=10,1,($T144/10)^(2/DATOS!$C$56)),PRESIONES!$C$15)-ABERTURAS!$L$65*PRESIONES!$C$12)*$S144/$M144)</f>
        <v>0</v>
      </c>
      <c r="AH144" s="30" t="n">
        <f aca="false">IF($L144&lt;&gt;"OK",0,(INDEX(PRESIONES!$J$28:$J$31,$U144)*IF(INDEX(PRESIONES!$J$28:$J$31,$U144)&gt;0,PRESIONES!$C$9*IF($T144&lt;=10,1,($T144/10)^(2/DATOS!$C$56)),PRESIONES!$C$15)-ABERTURAS!$L$66*PRESIONES!$C$12)*$S144/$M144)</f>
        <v>0</v>
      </c>
      <c r="AI144" s="30" t="n">
        <f aca="false">IF($L144&lt;&gt;"OK",0,(INDEX(PRESIONES!$M$28:$M$31,$U144)*IF(INDEX(PRESIONES!$M$28:$M$31,$U144)&gt;0,PRESIONES!$C$9*IF($T144&lt;=10,1,($T144/10)^(2/DATOS!$C$56)),PRESIONES!$C$15)-ABERTURAS!$L$67*PRESIONES!$C$12)*$S144/$M144)</f>
        <v>0</v>
      </c>
    </row>
    <row r="145" customFormat="false" ht="15" hidden="false" customHeight="true" outlineLevel="0" collapsed="false">
      <c r="B145" s="27"/>
      <c r="C145" s="17"/>
      <c r="D145" s="27"/>
      <c r="E145" s="17"/>
      <c r="F145" s="49"/>
      <c r="G145" s="49"/>
      <c r="H145" s="49"/>
      <c r="I145" s="49"/>
      <c r="J145" s="49"/>
      <c r="K145" s="49"/>
      <c r="L145" s="20" t="str">
        <f aca="false">IF($D145="","",IF(LEFT($C145,4)&lt;&gt;"MURO","PON EL MURO",IF(AND($E145&lt;&gt;"HORIZONTAL",$E145&lt;&gt;"VERTICAL"),"PON EL SENTIDO",IF(OR($F145="",$G145="",$H145="",$I145=""),"FALTAN a o b",IF($M145&lt;=0,"a₂ DEBE SER &gt; a₁",IF($N145&lt;=0,"b₂ DEBE SER &gt; b₁","OK"))))))</f>
        <v/>
      </c>
      <c r="M145" s="30" t="n">
        <f aca="false">IF($D145="",0,MAX(0,$G145-$F145))</f>
        <v>0</v>
      </c>
      <c r="N145" s="30" t="n">
        <f aca="false">MAX(0,$W145-$V145)</f>
        <v>0</v>
      </c>
      <c r="O145" s="30" t="n">
        <f aca="false">$M145*$N145</f>
        <v>0</v>
      </c>
      <c r="P145" s="30" t="n">
        <f aca="false">IF($U145=0,0,SUMPRODUCT((ABERTURAS!$N$7:$N$26=$U145)*ABERTURAS!$U$7:$U$26*(((($Y145)+(ABERTURAS!$P$7:$P$26)-ABS(($Y145)-(ABERTURAS!$P$7:$P$26)))/2-(($X145)+(ABERTURAS!$O$7:$O$26)+ABS(($X145)-(ABERTURAS!$O$7:$O$26)))/2)+ABS((($Y145)+(ABERTURAS!$P$7:$P$26)-ABS(($Y145)-(ABERTURAS!$P$7:$P$26)))/2-(($X145)+(ABERTURAS!$O$7:$O$26)+ABS(($X145)-(ABERTURAS!$O$7:$O$26)))/2))/2*(((($AA145)+(ABERTURAS!$R$7:$R$26)-ABS(($AA145)-(ABERTURAS!$R$7:$R$26)))/2-(($Z145)+(ABERTURAS!$Q$7:$Q$26)+ABS(($Z145)-(ABERTURAS!$Q$7:$Q$26)))/2)+ABS((($AA145)+(ABERTURAS!$R$7:$R$26)-ABS(($AA145)-(ABERTURAS!$R$7:$R$26)))/2-(($Z145)+(ABERTURAS!$Q$7:$Q$26)+ABS(($Z145)-(ABERTURAS!$Q$7:$Q$26)))/2))/2))</f>
        <v>0</v>
      </c>
      <c r="Q145" s="30" t="n">
        <f aca="false">IF($U145=0,0,SUMPRODUCT((ABERTURAS!$N$7:$N$26=$U145)*ABERTURAS!$V$7:$V$26*(((($Y145)+(ABERTURAS!$P$7:$P$26)-ABS(($Y145)-(ABERTURAS!$P$7:$P$26)))/2-(($X145)+(ABERTURAS!$O$7:$O$26)+ABS(($X145)-(ABERTURAS!$O$7:$O$26)))/2)+ABS((($Y145)+(ABERTURAS!$P$7:$P$26)-ABS(($Y145)-(ABERTURAS!$P$7:$P$26)))/2-(($X145)+(ABERTURAS!$O$7:$O$26)+ABS(($X145)-(ABERTURAS!$O$7:$O$26)))/2))/2*(((($AA145)+(ABERTURAS!$R$7:$R$26)-ABS(($AA145)-(ABERTURAS!$R$7:$R$26)))/2-(($Z145)+(ABERTURAS!$Q$7:$Q$26)+ABS(($Z145)-(ABERTURAS!$Q$7:$Q$26)))/2)+ABS((($AA145)+(ABERTURAS!$R$7:$R$26)-ABS(($AA145)-(ABERTURAS!$R$7:$R$26)))/2-(($Z145)+(ABERTURAS!$Q$7:$Q$26)+ABS(($Z145)-(ABERTURAS!$Q$7:$Q$26)))/2))/2))</f>
        <v>0</v>
      </c>
      <c r="R145" s="30" t="n">
        <f aca="false">MAX(0,$O145-$P145)</f>
        <v>0</v>
      </c>
      <c r="S145" s="30" t="n">
        <f aca="false">MAX(0,$O145-$Q145)</f>
        <v>0</v>
      </c>
      <c r="T145" s="50" t="n">
        <f aca="false">IF($D145="",0,IF($E145="VERTICAL",N($G145),MAX(N($I145),IF($K145="",N($I145),$K145))))</f>
        <v>0</v>
      </c>
      <c r="U145" s="50" t="n">
        <f aca="false">IF($L145&lt;&gt;"OK",0,VALUE(RIGHT($C145,1)))</f>
        <v>0</v>
      </c>
      <c r="V145" s="50" t="n">
        <f aca="false">IF($D145="",0,(N($H145)+IF($J145="",N($H145),$J145))/2)</f>
        <v>0</v>
      </c>
      <c r="W145" s="50" t="n">
        <f aca="false">IF($D145="",0,(N($I145)+IF($K145="",N($I145),$K145))/2)</f>
        <v>0</v>
      </c>
      <c r="X145" s="50" t="n">
        <f aca="false">IF($E145="VERTICAL",$V145,N($F145))</f>
        <v>0</v>
      </c>
      <c r="Y145" s="50" t="n">
        <f aca="false">IF($E145="VERTICAL",$W145,N($G145))</f>
        <v>0</v>
      </c>
      <c r="Z145" s="50" t="n">
        <f aca="false">IF($E145="VERTICAL",N($F145),$V145)</f>
        <v>0</v>
      </c>
      <c r="AA145" s="50" t="n">
        <f aca="false">IF($E145="VERTICAL",N($G145),$W145)</f>
        <v>0</v>
      </c>
      <c r="AB145" s="30" t="n">
        <f aca="false">IF($L145&lt;&gt;"OK",0,(INDEX(PRESIONES!$D$28:$D$31,$U145)*IF(INDEX(PRESIONES!$D$28:$D$31,$U145)&gt;0,PRESIONES!$C$9*IF($T145&lt;=10,1,($T145/10)^(2/DATOS!$C$56)),PRESIONES!$C$15)-ABERTURAS!$L$60*PRESIONES!$C$12)*$R145/$M145)</f>
        <v>0</v>
      </c>
      <c r="AC145" s="30" t="n">
        <f aca="false">IF($L145&lt;&gt;"OK",0,(INDEX(PRESIONES!$G$28:$G$31,$U145)*IF(INDEX(PRESIONES!$G$28:$G$31,$U145)&gt;0,PRESIONES!$C$9*IF($T145&lt;=10,1,($T145/10)^(2/DATOS!$C$56)),PRESIONES!$C$15)-ABERTURAS!$L$61*PRESIONES!$C$12)*$R145/$M145)</f>
        <v>0</v>
      </c>
      <c r="AD145" s="30" t="n">
        <f aca="false">IF($L145&lt;&gt;"OK",0,(INDEX(PRESIONES!$J$28:$J$31,$U145)*IF(INDEX(PRESIONES!$J$28:$J$31,$U145)&gt;0,PRESIONES!$C$9*IF($T145&lt;=10,1,($T145/10)^(2/DATOS!$C$56)),PRESIONES!$C$15)-ABERTURAS!$L$62*PRESIONES!$C$12)*$R145/$M145)</f>
        <v>0</v>
      </c>
      <c r="AE145" s="30" t="n">
        <f aca="false">IF($L145&lt;&gt;"OK",0,(INDEX(PRESIONES!$M$28:$M$31,$U145)*IF(INDEX(PRESIONES!$M$28:$M$31,$U145)&gt;0,PRESIONES!$C$9*IF($T145&lt;=10,1,($T145/10)^(2/DATOS!$C$56)),PRESIONES!$C$15)-ABERTURAS!$L$63*PRESIONES!$C$12)*$R145/$M145)</f>
        <v>0</v>
      </c>
      <c r="AF145" s="30" t="n">
        <f aca="false">IF($L145&lt;&gt;"OK",0,(INDEX(PRESIONES!$D$28:$D$31,$U145)*IF(INDEX(PRESIONES!$D$28:$D$31,$U145)&gt;0,PRESIONES!$C$9*IF($T145&lt;=10,1,($T145/10)^(2/DATOS!$C$56)),PRESIONES!$C$15)-ABERTURAS!$L$64*PRESIONES!$C$12)*$S145/$M145)</f>
        <v>0</v>
      </c>
      <c r="AG145" s="30" t="n">
        <f aca="false">IF($L145&lt;&gt;"OK",0,(INDEX(PRESIONES!$G$28:$G$31,$U145)*IF(INDEX(PRESIONES!$G$28:$G$31,$U145)&gt;0,PRESIONES!$C$9*IF($T145&lt;=10,1,($T145/10)^(2/DATOS!$C$56)),PRESIONES!$C$15)-ABERTURAS!$L$65*PRESIONES!$C$12)*$S145/$M145)</f>
        <v>0</v>
      </c>
      <c r="AH145" s="30" t="n">
        <f aca="false">IF($L145&lt;&gt;"OK",0,(INDEX(PRESIONES!$J$28:$J$31,$U145)*IF(INDEX(PRESIONES!$J$28:$J$31,$U145)&gt;0,PRESIONES!$C$9*IF($T145&lt;=10,1,($T145/10)^(2/DATOS!$C$56)),PRESIONES!$C$15)-ABERTURAS!$L$66*PRESIONES!$C$12)*$S145/$M145)</f>
        <v>0</v>
      </c>
      <c r="AI145" s="30" t="n">
        <f aca="false">IF($L145&lt;&gt;"OK",0,(INDEX(PRESIONES!$M$28:$M$31,$U145)*IF(INDEX(PRESIONES!$M$28:$M$31,$U145)&gt;0,PRESIONES!$C$9*IF($T145&lt;=10,1,($T145/10)^(2/DATOS!$C$56)),PRESIONES!$C$15)-ABERTURAS!$L$67*PRESIONES!$C$12)*$S145/$M145)</f>
        <v>0</v>
      </c>
    </row>
    <row r="146" customFormat="false" ht="15" hidden="false" customHeight="true" outlineLevel="0" collapsed="false">
      <c r="B146" s="27"/>
      <c r="C146" s="17"/>
      <c r="D146" s="27"/>
      <c r="E146" s="17"/>
      <c r="F146" s="49"/>
      <c r="G146" s="49"/>
      <c r="H146" s="49"/>
      <c r="I146" s="49"/>
      <c r="J146" s="49"/>
      <c r="K146" s="49"/>
      <c r="L146" s="20" t="str">
        <f aca="false">IF($D146="","",IF(LEFT($C146,4)&lt;&gt;"MURO","PON EL MURO",IF(AND($E146&lt;&gt;"HORIZONTAL",$E146&lt;&gt;"VERTICAL"),"PON EL SENTIDO",IF(OR($F146="",$G146="",$H146="",$I146=""),"FALTAN a o b",IF($M146&lt;=0,"a₂ DEBE SER &gt; a₁",IF($N146&lt;=0,"b₂ DEBE SER &gt; b₁","OK"))))))</f>
        <v/>
      </c>
      <c r="M146" s="30" t="n">
        <f aca="false">IF($D146="",0,MAX(0,$G146-$F146))</f>
        <v>0</v>
      </c>
      <c r="N146" s="30" t="n">
        <f aca="false">MAX(0,$W146-$V146)</f>
        <v>0</v>
      </c>
      <c r="O146" s="30" t="n">
        <f aca="false">$M146*$N146</f>
        <v>0</v>
      </c>
      <c r="P146" s="30" t="n">
        <f aca="false">IF($U146=0,0,SUMPRODUCT((ABERTURAS!$N$7:$N$26=$U146)*ABERTURAS!$U$7:$U$26*(((($Y146)+(ABERTURAS!$P$7:$P$26)-ABS(($Y146)-(ABERTURAS!$P$7:$P$26)))/2-(($X146)+(ABERTURAS!$O$7:$O$26)+ABS(($X146)-(ABERTURAS!$O$7:$O$26)))/2)+ABS((($Y146)+(ABERTURAS!$P$7:$P$26)-ABS(($Y146)-(ABERTURAS!$P$7:$P$26)))/2-(($X146)+(ABERTURAS!$O$7:$O$26)+ABS(($X146)-(ABERTURAS!$O$7:$O$26)))/2))/2*(((($AA146)+(ABERTURAS!$R$7:$R$26)-ABS(($AA146)-(ABERTURAS!$R$7:$R$26)))/2-(($Z146)+(ABERTURAS!$Q$7:$Q$26)+ABS(($Z146)-(ABERTURAS!$Q$7:$Q$26)))/2)+ABS((($AA146)+(ABERTURAS!$R$7:$R$26)-ABS(($AA146)-(ABERTURAS!$R$7:$R$26)))/2-(($Z146)+(ABERTURAS!$Q$7:$Q$26)+ABS(($Z146)-(ABERTURAS!$Q$7:$Q$26)))/2))/2))</f>
        <v>0</v>
      </c>
      <c r="Q146" s="30" t="n">
        <f aca="false">IF($U146=0,0,SUMPRODUCT((ABERTURAS!$N$7:$N$26=$U146)*ABERTURAS!$V$7:$V$26*(((($Y146)+(ABERTURAS!$P$7:$P$26)-ABS(($Y146)-(ABERTURAS!$P$7:$P$26)))/2-(($X146)+(ABERTURAS!$O$7:$O$26)+ABS(($X146)-(ABERTURAS!$O$7:$O$26)))/2)+ABS((($Y146)+(ABERTURAS!$P$7:$P$26)-ABS(($Y146)-(ABERTURAS!$P$7:$P$26)))/2-(($X146)+(ABERTURAS!$O$7:$O$26)+ABS(($X146)-(ABERTURAS!$O$7:$O$26)))/2))/2*(((($AA146)+(ABERTURAS!$R$7:$R$26)-ABS(($AA146)-(ABERTURAS!$R$7:$R$26)))/2-(($Z146)+(ABERTURAS!$Q$7:$Q$26)+ABS(($Z146)-(ABERTURAS!$Q$7:$Q$26)))/2)+ABS((($AA146)+(ABERTURAS!$R$7:$R$26)-ABS(($AA146)-(ABERTURAS!$R$7:$R$26)))/2-(($Z146)+(ABERTURAS!$Q$7:$Q$26)+ABS(($Z146)-(ABERTURAS!$Q$7:$Q$26)))/2))/2))</f>
        <v>0</v>
      </c>
      <c r="R146" s="30" t="n">
        <f aca="false">MAX(0,$O146-$P146)</f>
        <v>0</v>
      </c>
      <c r="S146" s="30" t="n">
        <f aca="false">MAX(0,$O146-$Q146)</f>
        <v>0</v>
      </c>
      <c r="T146" s="50" t="n">
        <f aca="false">IF($D146="",0,IF($E146="VERTICAL",N($G146),MAX(N($I146),IF($K146="",N($I146),$K146))))</f>
        <v>0</v>
      </c>
      <c r="U146" s="50" t="n">
        <f aca="false">IF($L146&lt;&gt;"OK",0,VALUE(RIGHT($C146,1)))</f>
        <v>0</v>
      </c>
      <c r="V146" s="50" t="n">
        <f aca="false">IF($D146="",0,(N($H146)+IF($J146="",N($H146),$J146))/2)</f>
        <v>0</v>
      </c>
      <c r="W146" s="50" t="n">
        <f aca="false">IF($D146="",0,(N($I146)+IF($K146="",N($I146),$K146))/2)</f>
        <v>0</v>
      </c>
      <c r="X146" s="50" t="n">
        <f aca="false">IF($E146="VERTICAL",$V146,N($F146))</f>
        <v>0</v>
      </c>
      <c r="Y146" s="50" t="n">
        <f aca="false">IF($E146="VERTICAL",$W146,N($G146))</f>
        <v>0</v>
      </c>
      <c r="Z146" s="50" t="n">
        <f aca="false">IF($E146="VERTICAL",N($F146),$V146)</f>
        <v>0</v>
      </c>
      <c r="AA146" s="50" t="n">
        <f aca="false">IF($E146="VERTICAL",N($G146),$W146)</f>
        <v>0</v>
      </c>
      <c r="AB146" s="30" t="n">
        <f aca="false">IF($L146&lt;&gt;"OK",0,(INDEX(PRESIONES!$D$28:$D$31,$U146)*IF(INDEX(PRESIONES!$D$28:$D$31,$U146)&gt;0,PRESIONES!$C$9*IF($T146&lt;=10,1,($T146/10)^(2/DATOS!$C$56)),PRESIONES!$C$15)-ABERTURAS!$L$60*PRESIONES!$C$12)*$R146/$M146)</f>
        <v>0</v>
      </c>
      <c r="AC146" s="30" t="n">
        <f aca="false">IF($L146&lt;&gt;"OK",0,(INDEX(PRESIONES!$G$28:$G$31,$U146)*IF(INDEX(PRESIONES!$G$28:$G$31,$U146)&gt;0,PRESIONES!$C$9*IF($T146&lt;=10,1,($T146/10)^(2/DATOS!$C$56)),PRESIONES!$C$15)-ABERTURAS!$L$61*PRESIONES!$C$12)*$R146/$M146)</f>
        <v>0</v>
      </c>
      <c r="AD146" s="30" t="n">
        <f aca="false">IF($L146&lt;&gt;"OK",0,(INDEX(PRESIONES!$J$28:$J$31,$U146)*IF(INDEX(PRESIONES!$J$28:$J$31,$U146)&gt;0,PRESIONES!$C$9*IF($T146&lt;=10,1,($T146/10)^(2/DATOS!$C$56)),PRESIONES!$C$15)-ABERTURAS!$L$62*PRESIONES!$C$12)*$R146/$M146)</f>
        <v>0</v>
      </c>
      <c r="AE146" s="30" t="n">
        <f aca="false">IF($L146&lt;&gt;"OK",0,(INDEX(PRESIONES!$M$28:$M$31,$U146)*IF(INDEX(PRESIONES!$M$28:$M$31,$U146)&gt;0,PRESIONES!$C$9*IF($T146&lt;=10,1,($T146/10)^(2/DATOS!$C$56)),PRESIONES!$C$15)-ABERTURAS!$L$63*PRESIONES!$C$12)*$R146/$M146)</f>
        <v>0</v>
      </c>
      <c r="AF146" s="30" t="n">
        <f aca="false">IF($L146&lt;&gt;"OK",0,(INDEX(PRESIONES!$D$28:$D$31,$U146)*IF(INDEX(PRESIONES!$D$28:$D$31,$U146)&gt;0,PRESIONES!$C$9*IF($T146&lt;=10,1,($T146/10)^(2/DATOS!$C$56)),PRESIONES!$C$15)-ABERTURAS!$L$64*PRESIONES!$C$12)*$S146/$M146)</f>
        <v>0</v>
      </c>
      <c r="AG146" s="30" t="n">
        <f aca="false">IF($L146&lt;&gt;"OK",0,(INDEX(PRESIONES!$G$28:$G$31,$U146)*IF(INDEX(PRESIONES!$G$28:$G$31,$U146)&gt;0,PRESIONES!$C$9*IF($T146&lt;=10,1,($T146/10)^(2/DATOS!$C$56)),PRESIONES!$C$15)-ABERTURAS!$L$65*PRESIONES!$C$12)*$S146/$M146)</f>
        <v>0</v>
      </c>
      <c r="AH146" s="30" t="n">
        <f aca="false">IF($L146&lt;&gt;"OK",0,(INDEX(PRESIONES!$J$28:$J$31,$U146)*IF(INDEX(PRESIONES!$J$28:$J$31,$U146)&gt;0,PRESIONES!$C$9*IF($T146&lt;=10,1,($T146/10)^(2/DATOS!$C$56)),PRESIONES!$C$15)-ABERTURAS!$L$66*PRESIONES!$C$12)*$S146/$M146)</f>
        <v>0</v>
      </c>
      <c r="AI146" s="30" t="n">
        <f aca="false">IF($L146&lt;&gt;"OK",0,(INDEX(PRESIONES!$M$28:$M$31,$U146)*IF(INDEX(PRESIONES!$M$28:$M$31,$U146)&gt;0,PRESIONES!$C$9*IF($T146&lt;=10,1,($T146/10)^(2/DATOS!$C$56)),PRESIONES!$C$15)-ABERTURAS!$L$67*PRESIONES!$C$12)*$S146/$M146)</f>
        <v>0</v>
      </c>
    </row>
    <row r="147" customFormat="false" ht="15" hidden="false" customHeight="true" outlineLevel="0" collapsed="false">
      <c r="B147" s="27"/>
      <c r="C147" s="17"/>
      <c r="D147" s="27"/>
      <c r="E147" s="17"/>
      <c r="F147" s="49"/>
      <c r="G147" s="49"/>
      <c r="H147" s="49"/>
      <c r="I147" s="49"/>
      <c r="J147" s="49"/>
      <c r="K147" s="49"/>
      <c r="L147" s="20" t="str">
        <f aca="false">IF($D147="","",IF(LEFT($C147,4)&lt;&gt;"MURO","PON EL MURO",IF(AND($E147&lt;&gt;"HORIZONTAL",$E147&lt;&gt;"VERTICAL"),"PON EL SENTIDO",IF(OR($F147="",$G147="",$H147="",$I147=""),"FALTAN a o b",IF($M147&lt;=0,"a₂ DEBE SER &gt; a₁",IF($N147&lt;=0,"b₂ DEBE SER &gt; b₁","OK"))))))</f>
        <v/>
      </c>
      <c r="M147" s="30" t="n">
        <f aca="false">IF($D147="",0,MAX(0,$G147-$F147))</f>
        <v>0</v>
      </c>
      <c r="N147" s="30" t="n">
        <f aca="false">MAX(0,$W147-$V147)</f>
        <v>0</v>
      </c>
      <c r="O147" s="30" t="n">
        <f aca="false">$M147*$N147</f>
        <v>0</v>
      </c>
      <c r="P147" s="30" t="n">
        <f aca="false">IF($U147=0,0,SUMPRODUCT((ABERTURAS!$N$7:$N$26=$U147)*ABERTURAS!$U$7:$U$26*(((($Y147)+(ABERTURAS!$P$7:$P$26)-ABS(($Y147)-(ABERTURAS!$P$7:$P$26)))/2-(($X147)+(ABERTURAS!$O$7:$O$26)+ABS(($X147)-(ABERTURAS!$O$7:$O$26)))/2)+ABS((($Y147)+(ABERTURAS!$P$7:$P$26)-ABS(($Y147)-(ABERTURAS!$P$7:$P$26)))/2-(($X147)+(ABERTURAS!$O$7:$O$26)+ABS(($X147)-(ABERTURAS!$O$7:$O$26)))/2))/2*(((($AA147)+(ABERTURAS!$R$7:$R$26)-ABS(($AA147)-(ABERTURAS!$R$7:$R$26)))/2-(($Z147)+(ABERTURAS!$Q$7:$Q$26)+ABS(($Z147)-(ABERTURAS!$Q$7:$Q$26)))/2)+ABS((($AA147)+(ABERTURAS!$R$7:$R$26)-ABS(($AA147)-(ABERTURAS!$R$7:$R$26)))/2-(($Z147)+(ABERTURAS!$Q$7:$Q$26)+ABS(($Z147)-(ABERTURAS!$Q$7:$Q$26)))/2))/2))</f>
        <v>0</v>
      </c>
      <c r="Q147" s="30" t="n">
        <f aca="false">IF($U147=0,0,SUMPRODUCT((ABERTURAS!$N$7:$N$26=$U147)*ABERTURAS!$V$7:$V$26*(((($Y147)+(ABERTURAS!$P$7:$P$26)-ABS(($Y147)-(ABERTURAS!$P$7:$P$26)))/2-(($X147)+(ABERTURAS!$O$7:$O$26)+ABS(($X147)-(ABERTURAS!$O$7:$O$26)))/2)+ABS((($Y147)+(ABERTURAS!$P$7:$P$26)-ABS(($Y147)-(ABERTURAS!$P$7:$P$26)))/2-(($X147)+(ABERTURAS!$O$7:$O$26)+ABS(($X147)-(ABERTURAS!$O$7:$O$26)))/2))/2*(((($AA147)+(ABERTURAS!$R$7:$R$26)-ABS(($AA147)-(ABERTURAS!$R$7:$R$26)))/2-(($Z147)+(ABERTURAS!$Q$7:$Q$26)+ABS(($Z147)-(ABERTURAS!$Q$7:$Q$26)))/2)+ABS((($AA147)+(ABERTURAS!$R$7:$R$26)-ABS(($AA147)-(ABERTURAS!$R$7:$R$26)))/2-(($Z147)+(ABERTURAS!$Q$7:$Q$26)+ABS(($Z147)-(ABERTURAS!$Q$7:$Q$26)))/2))/2))</f>
        <v>0</v>
      </c>
      <c r="R147" s="30" t="n">
        <f aca="false">MAX(0,$O147-$P147)</f>
        <v>0</v>
      </c>
      <c r="S147" s="30" t="n">
        <f aca="false">MAX(0,$O147-$Q147)</f>
        <v>0</v>
      </c>
      <c r="T147" s="50" t="n">
        <f aca="false">IF($D147="",0,IF($E147="VERTICAL",N($G147),MAX(N($I147),IF($K147="",N($I147),$K147))))</f>
        <v>0</v>
      </c>
      <c r="U147" s="50" t="n">
        <f aca="false">IF($L147&lt;&gt;"OK",0,VALUE(RIGHT($C147,1)))</f>
        <v>0</v>
      </c>
      <c r="V147" s="50" t="n">
        <f aca="false">IF($D147="",0,(N($H147)+IF($J147="",N($H147),$J147))/2)</f>
        <v>0</v>
      </c>
      <c r="W147" s="50" t="n">
        <f aca="false">IF($D147="",0,(N($I147)+IF($K147="",N($I147),$K147))/2)</f>
        <v>0</v>
      </c>
      <c r="X147" s="50" t="n">
        <f aca="false">IF($E147="VERTICAL",$V147,N($F147))</f>
        <v>0</v>
      </c>
      <c r="Y147" s="50" t="n">
        <f aca="false">IF($E147="VERTICAL",$W147,N($G147))</f>
        <v>0</v>
      </c>
      <c r="Z147" s="50" t="n">
        <f aca="false">IF($E147="VERTICAL",N($F147),$V147)</f>
        <v>0</v>
      </c>
      <c r="AA147" s="50" t="n">
        <f aca="false">IF($E147="VERTICAL",N($G147),$W147)</f>
        <v>0</v>
      </c>
      <c r="AB147" s="30" t="n">
        <f aca="false">IF($L147&lt;&gt;"OK",0,(INDEX(PRESIONES!$D$28:$D$31,$U147)*IF(INDEX(PRESIONES!$D$28:$D$31,$U147)&gt;0,PRESIONES!$C$9*IF($T147&lt;=10,1,($T147/10)^(2/DATOS!$C$56)),PRESIONES!$C$15)-ABERTURAS!$L$60*PRESIONES!$C$12)*$R147/$M147)</f>
        <v>0</v>
      </c>
      <c r="AC147" s="30" t="n">
        <f aca="false">IF($L147&lt;&gt;"OK",0,(INDEX(PRESIONES!$G$28:$G$31,$U147)*IF(INDEX(PRESIONES!$G$28:$G$31,$U147)&gt;0,PRESIONES!$C$9*IF($T147&lt;=10,1,($T147/10)^(2/DATOS!$C$56)),PRESIONES!$C$15)-ABERTURAS!$L$61*PRESIONES!$C$12)*$R147/$M147)</f>
        <v>0</v>
      </c>
      <c r="AD147" s="30" t="n">
        <f aca="false">IF($L147&lt;&gt;"OK",0,(INDEX(PRESIONES!$J$28:$J$31,$U147)*IF(INDEX(PRESIONES!$J$28:$J$31,$U147)&gt;0,PRESIONES!$C$9*IF($T147&lt;=10,1,($T147/10)^(2/DATOS!$C$56)),PRESIONES!$C$15)-ABERTURAS!$L$62*PRESIONES!$C$12)*$R147/$M147)</f>
        <v>0</v>
      </c>
      <c r="AE147" s="30" t="n">
        <f aca="false">IF($L147&lt;&gt;"OK",0,(INDEX(PRESIONES!$M$28:$M$31,$U147)*IF(INDEX(PRESIONES!$M$28:$M$31,$U147)&gt;0,PRESIONES!$C$9*IF($T147&lt;=10,1,($T147/10)^(2/DATOS!$C$56)),PRESIONES!$C$15)-ABERTURAS!$L$63*PRESIONES!$C$12)*$R147/$M147)</f>
        <v>0</v>
      </c>
      <c r="AF147" s="30" t="n">
        <f aca="false">IF($L147&lt;&gt;"OK",0,(INDEX(PRESIONES!$D$28:$D$31,$U147)*IF(INDEX(PRESIONES!$D$28:$D$31,$U147)&gt;0,PRESIONES!$C$9*IF($T147&lt;=10,1,($T147/10)^(2/DATOS!$C$56)),PRESIONES!$C$15)-ABERTURAS!$L$64*PRESIONES!$C$12)*$S147/$M147)</f>
        <v>0</v>
      </c>
      <c r="AG147" s="30" t="n">
        <f aca="false">IF($L147&lt;&gt;"OK",0,(INDEX(PRESIONES!$G$28:$G$31,$U147)*IF(INDEX(PRESIONES!$G$28:$G$31,$U147)&gt;0,PRESIONES!$C$9*IF($T147&lt;=10,1,($T147/10)^(2/DATOS!$C$56)),PRESIONES!$C$15)-ABERTURAS!$L$65*PRESIONES!$C$12)*$S147/$M147)</f>
        <v>0</v>
      </c>
      <c r="AH147" s="30" t="n">
        <f aca="false">IF($L147&lt;&gt;"OK",0,(INDEX(PRESIONES!$J$28:$J$31,$U147)*IF(INDEX(PRESIONES!$J$28:$J$31,$U147)&gt;0,PRESIONES!$C$9*IF($T147&lt;=10,1,($T147/10)^(2/DATOS!$C$56)),PRESIONES!$C$15)-ABERTURAS!$L$66*PRESIONES!$C$12)*$S147/$M147)</f>
        <v>0</v>
      </c>
      <c r="AI147" s="30" t="n">
        <f aca="false">IF($L147&lt;&gt;"OK",0,(INDEX(PRESIONES!$M$28:$M$31,$U147)*IF(INDEX(PRESIONES!$M$28:$M$31,$U147)&gt;0,PRESIONES!$C$9*IF($T147&lt;=10,1,($T147/10)^(2/DATOS!$C$56)),PRESIONES!$C$15)-ABERTURAS!$L$67*PRESIONES!$C$12)*$S147/$M147)</f>
        <v>0</v>
      </c>
    </row>
    <row r="148" customFormat="false" ht="15" hidden="false" customHeight="true" outlineLevel="0" collapsed="false">
      <c r="B148" s="27"/>
      <c r="C148" s="17"/>
      <c r="D148" s="27"/>
      <c r="E148" s="17"/>
      <c r="F148" s="49"/>
      <c r="G148" s="49"/>
      <c r="H148" s="49"/>
      <c r="I148" s="49"/>
      <c r="J148" s="49"/>
      <c r="K148" s="49"/>
      <c r="L148" s="20" t="str">
        <f aca="false">IF($D148="","",IF(LEFT($C148,4)&lt;&gt;"MURO","PON EL MURO",IF(AND($E148&lt;&gt;"HORIZONTAL",$E148&lt;&gt;"VERTICAL"),"PON EL SENTIDO",IF(OR($F148="",$G148="",$H148="",$I148=""),"FALTAN a o b",IF($M148&lt;=0,"a₂ DEBE SER &gt; a₁",IF($N148&lt;=0,"b₂ DEBE SER &gt; b₁","OK"))))))</f>
        <v/>
      </c>
      <c r="M148" s="30" t="n">
        <f aca="false">IF($D148="",0,MAX(0,$G148-$F148))</f>
        <v>0</v>
      </c>
      <c r="N148" s="30" t="n">
        <f aca="false">MAX(0,$W148-$V148)</f>
        <v>0</v>
      </c>
      <c r="O148" s="30" t="n">
        <f aca="false">$M148*$N148</f>
        <v>0</v>
      </c>
      <c r="P148" s="30" t="n">
        <f aca="false">IF($U148=0,0,SUMPRODUCT((ABERTURAS!$N$7:$N$26=$U148)*ABERTURAS!$U$7:$U$26*(((($Y148)+(ABERTURAS!$P$7:$P$26)-ABS(($Y148)-(ABERTURAS!$P$7:$P$26)))/2-(($X148)+(ABERTURAS!$O$7:$O$26)+ABS(($X148)-(ABERTURAS!$O$7:$O$26)))/2)+ABS((($Y148)+(ABERTURAS!$P$7:$P$26)-ABS(($Y148)-(ABERTURAS!$P$7:$P$26)))/2-(($X148)+(ABERTURAS!$O$7:$O$26)+ABS(($X148)-(ABERTURAS!$O$7:$O$26)))/2))/2*(((($AA148)+(ABERTURAS!$R$7:$R$26)-ABS(($AA148)-(ABERTURAS!$R$7:$R$26)))/2-(($Z148)+(ABERTURAS!$Q$7:$Q$26)+ABS(($Z148)-(ABERTURAS!$Q$7:$Q$26)))/2)+ABS((($AA148)+(ABERTURAS!$R$7:$R$26)-ABS(($AA148)-(ABERTURAS!$R$7:$R$26)))/2-(($Z148)+(ABERTURAS!$Q$7:$Q$26)+ABS(($Z148)-(ABERTURAS!$Q$7:$Q$26)))/2))/2))</f>
        <v>0</v>
      </c>
      <c r="Q148" s="30" t="n">
        <f aca="false">IF($U148=0,0,SUMPRODUCT((ABERTURAS!$N$7:$N$26=$U148)*ABERTURAS!$V$7:$V$26*(((($Y148)+(ABERTURAS!$P$7:$P$26)-ABS(($Y148)-(ABERTURAS!$P$7:$P$26)))/2-(($X148)+(ABERTURAS!$O$7:$O$26)+ABS(($X148)-(ABERTURAS!$O$7:$O$26)))/2)+ABS((($Y148)+(ABERTURAS!$P$7:$P$26)-ABS(($Y148)-(ABERTURAS!$P$7:$P$26)))/2-(($X148)+(ABERTURAS!$O$7:$O$26)+ABS(($X148)-(ABERTURAS!$O$7:$O$26)))/2))/2*(((($AA148)+(ABERTURAS!$R$7:$R$26)-ABS(($AA148)-(ABERTURAS!$R$7:$R$26)))/2-(($Z148)+(ABERTURAS!$Q$7:$Q$26)+ABS(($Z148)-(ABERTURAS!$Q$7:$Q$26)))/2)+ABS((($AA148)+(ABERTURAS!$R$7:$R$26)-ABS(($AA148)-(ABERTURAS!$R$7:$R$26)))/2-(($Z148)+(ABERTURAS!$Q$7:$Q$26)+ABS(($Z148)-(ABERTURAS!$Q$7:$Q$26)))/2))/2))</f>
        <v>0</v>
      </c>
      <c r="R148" s="30" t="n">
        <f aca="false">MAX(0,$O148-$P148)</f>
        <v>0</v>
      </c>
      <c r="S148" s="30" t="n">
        <f aca="false">MAX(0,$O148-$Q148)</f>
        <v>0</v>
      </c>
      <c r="T148" s="50" t="n">
        <f aca="false">IF($D148="",0,IF($E148="VERTICAL",N($G148),MAX(N($I148),IF($K148="",N($I148),$K148))))</f>
        <v>0</v>
      </c>
      <c r="U148" s="50" t="n">
        <f aca="false">IF($L148&lt;&gt;"OK",0,VALUE(RIGHT($C148,1)))</f>
        <v>0</v>
      </c>
      <c r="V148" s="50" t="n">
        <f aca="false">IF($D148="",0,(N($H148)+IF($J148="",N($H148),$J148))/2)</f>
        <v>0</v>
      </c>
      <c r="W148" s="50" t="n">
        <f aca="false">IF($D148="",0,(N($I148)+IF($K148="",N($I148),$K148))/2)</f>
        <v>0</v>
      </c>
      <c r="X148" s="50" t="n">
        <f aca="false">IF($E148="VERTICAL",$V148,N($F148))</f>
        <v>0</v>
      </c>
      <c r="Y148" s="50" t="n">
        <f aca="false">IF($E148="VERTICAL",$W148,N($G148))</f>
        <v>0</v>
      </c>
      <c r="Z148" s="50" t="n">
        <f aca="false">IF($E148="VERTICAL",N($F148),$V148)</f>
        <v>0</v>
      </c>
      <c r="AA148" s="50" t="n">
        <f aca="false">IF($E148="VERTICAL",N($G148),$W148)</f>
        <v>0</v>
      </c>
      <c r="AB148" s="30" t="n">
        <f aca="false">IF($L148&lt;&gt;"OK",0,(INDEX(PRESIONES!$D$28:$D$31,$U148)*IF(INDEX(PRESIONES!$D$28:$D$31,$U148)&gt;0,PRESIONES!$C$9*IF($T148&lt;=10,1,($T148/10)^(2/DATOS!$C$56)),PRESIONES!$C$15)-ABERTURAS!$L$60*PRESIONES!$C$12)*$R148/$M148)</f>
        <v>0</v>
      </c>
      <c r="AC148" s="30" t="n">
        <f aca="false">IF($L148&lt;&gt;"OK",0,(INDEX(PRESIONES!$G$28:$G$31,$U148)*IF(INDEX(PRESIONES!$G$28:$G$31,$U148)&gt;0,PRESIONES!$C$9*IF($T148&lt;=10,1,($T148/10)^(2/DATOS!$C$56)),PRESIONES!$C$15)-ABERTURAS!$L$61*PRESIONES!$C$12)*$R148/$M148)</f>
        <v>0</v>
      </c>
      <c r="AD148" s="30" t="n">
        <f aca="false">IF($L148&lt;&gt;"OK",0,(INDEX(PRESIONES!$J$28:$J$31,$U148)*IF(INDEX(PRESIONES!$J$28:$J$31,$U148)&gt;0,PRESIONES!$C$9*IF($T148&lt;=10,1,($T148/10)^(2/DATOS!$C$56)),PRESIONES!$C$15)-ABERTURAS!$L$62*PRESIONES!$C$12)*$R148/$M148)</f>
        <v>0</v>
      </c>
      <c r="AE148" s="30" t="n">
        <f aca="false">IF($L148&lt;&gt;"OK",0,(INDEX(PRESIONES!$M$28:$M$31,$U148)*IF(INDEX(PRESIONES!$M$28:$M$31,$U148)&gt;0,PRESIONES!$C$9*IF($T148&lt;=10,1,($T148/10)^(2/DATOS!$C$56)),PRESIONES!$C$15)-ABERTURAS!$L$63*PRESIONES!$C$12)*$R148/$M148)</f>
        <v>0</v>
      </c>
      <c r="AF148" s="30" t="n">
        <f aca="false">IF($L148&lt;&gt;"OK",0,(INDEX(PRESIONES!$D$28:$D$31,$U148)*IF(INDEX(PRESIONES!$D$28:$D$31,$U148)&gt;0,PRESIONES!$C$9*IF($T148&lt;=10,1,($T148/10)^(2/DATOS!$C$56)),PRESIONES!$C$15)-ABERTURAS!$L$64*PRESIONES!$C$12)*$S148/$M148)</f>
        <v>0</v>
      </c>
      <c r="AG148" s="30" t="n">
        <f aca="false">IF($L148&lt;&gt;"OK",0,(INDEX(PRESIONES!$G$28:$G$31,$U148)*IF(INDEX(PRESIONES!$G$28:$G$31,$U148)&gt;0,PRESIONES!$C$9*IF($T148&lt;=10,1,($T148/10)^(2/DATOS!$C$56)),PRESIONES!$C$15)-ABERTURAS!$L$65*PRESIONES!$C$12)*$S148/$M148)</f>
        <v>0</v>
      </c>
      <c r="AH148" s="30" t="n">
        <f aca="false">IF($L148&lt;&gt;"OK",0,(INDEX(PRESIONES!$J$28:$J$31,$U148)*IF(INDEX(PRESIONES!$J$28:$J$31,$U148)&gt;0,PRESIONES!$C$9*IF($T148&lt;=10,1,($T148/10)^(2/DATOS!$C$56)),PRESIONES!$C$15)-ABERTURAS!$L$66*PRESIONES!$C$12)*$S148/$M148)</f>
        <v>0</v>
      </c>
      <c r="AI148" s="30" t="n">
        <f aca="false">IF($L148&lt;&gt;"OK",0,(INDEX(PRESIONES!$M$28:$M$31,$U148)*IF(INDEX(PRESIONES!$M$28:$M$31,$U148)&gt;0,PRESIONES!$C$9*IF($T148&lt;=10,1,($T148/10)^(2/DATOS!$C$56)),PRESIONES!$C$15)-ABERTURAS!$L$67*PRESIONES!$C$12)*$S148/$M148)</f>
        <v>0</v>
      </c>
    </row>
    <row r="149" customFormat="false" ht="15" hidden="false" customHeight="true" outlineLevel="0" collapsed="false">
      <c r="B149" s="27"/>
      <c r="C149" s="17"/>
      <c r="D149" s="27"/>
      <c r="E149" s="17"/>
      <c r="F149" s="49"/>
      <c r="G149" s="49"/>
      <c r="H149" s="49"/>
      <c r="I149" s="49"/>
      <c r="J149" s="49"/>
      <c r="K149" s="49"/>
      <c r="L149" s="20" t="str">
        <f aca="false">IF($D149="","",IF(LEFT($C149,4)&lt;&gt;"MURO","PON EL MURO",IF(AND($E149&lt;&gt;"HORIZONTAL",$E149&lt;&gt;"VERTICAL"),"PON EL SENTIDO",IF(OR($F149="",$G149="",$H149="",$I149=""),"FALTAN a o b",IF($M149&lt;=0,"a₂ DEBE SER &gt; a₁",IF($N149&lt;=0,"b₂ DEBE SER &gt; b₁","OK"))))))</f>
        <v/>
      </c>
      <c r="M149" s="30" t="n">
        <f aca="false">IF($D149="",0,MAX(0,$G149-$F149))</f>
        <v>0</v>
      </c>
      <c r="N149" s="30" t="n">
        <f aca="false">MAX(0,$W149-$V149)</f>
        <v>0</v>
      </c>
      <c r="O149" s="30" t="n">
        <f aca="false">$M149*$N149</f>
        <v>0</v>
      </c>
      <c r="P149" s="30" t="n">
        <f aca="false">IF($U149=0,0,SUMPRODUCT((ABERTURAS!$N$7:$N$26=$U149)*ABERTURAS!$U$7:$U$26*(((($Y149)+(ABERTURAS!$P$7:$P$26)-ABS(($Y149)-(ABERTURAS!$P$7:$P$26)))/2-(($X149)+(ABERTURAS!$O$7:$O$26)+ABS(($X149)-(ABERTURAS!$O$7:$O$26)))/2)+ABS((($Y149)+(ABERTURAS!$P$7:$P$26)-ABS(($Y149)-(ABERTURAS!$P$7:$P$26)))/2-(($X149)+(ABERTURAS!$O$7:$O$26)+ABS(($X149)-(ABERTURAS!$O$7:$O$26)))/2))/2*(((($AA149)+(ABERTURAS!$R$7:$R$26)-ABS(($AA149)-(ABERTURAS!$R$7:$R$26)))/2-(($Z149)+(ABERTURAS!$Q$7:$Q$26)+ABS(($Z149)-(ABERTURAS!$Q$7:$Q$26)))/2)+ABS((($AA149)+(ABERTURAS!$R$7:$R$26)-ABS(($AA149)-(ABERTURAS!$R$7:$R$26)))/2-(($Z149)+(ABERTURAS!$Q$7:$Q$26)+ABS(($Z149)-(ABERTURAS!$Q$7:$Q$26)))/2))/2))</f>
        <v>0</v>
      </c>
      <c r="Q149" s="30" t="n">
        <f aca="false">IF($U149=0,0,SUMPRODUCT((ABERTURAS!$N$7:$N$26=$U149)*ABERTURAS!$V$7:$V$26*(((($Y149)+(ABERTURAS!$P$7:$P$26)-ABS(($Y149)-(ABERTURAS!$P$7:$P$26)))/2-(($X149)+(ABERTURAS!$O$7:$O$26)+ABS(($X149)-(ABERTURAS!$O$7:$O$26)))/2)+ABS((($Y149)+(ABERTURAS!$P$7:$P$26)-ABS(($Y149)-(ABERTURAS!$P$7:$P$26)))/2-(($X149)+(ABERTURAS!$O$7:$O$26)+ABS(($X149)-(ABERTURAS!$O$7:$O$26)))/2))/2*(((($AA149)+(ABERTURAS!$R$7:$R$26)-ABS(($AA149)-(ABERTURAS!$R$7:$R$26)))/2-(($Z149)+(ABERTURAS!$Q$7:$Q$26)+ABS(($Z149)-(ABERTURAS!$Q$7:$Q$26)))/2)+ABS((($AA149)+(ABERTURAS!$R$7:$R$26)-ABS(($AA149)-(ABERTURAS!$R$7:$R$26)))/2-(($Z149)+(ABERTURAS!$Q$7:$Q$26)+ABS(($Z149)-(ABERTURAS!$Q$7:$Q$26)))/2))/2))</f>
        <v>0</v>
      </c>
      <c r="R149" s="30" t="n">
        <f aca="false">MAX(0,$O149-$P149)</f>
        <v>0</v>
      </c>
      <c r="S149" s="30" t="n">
        <f aca="false">MAX(0,$O149-$Q149)</f>
        <v>0</v>
      </c>
      <c r="T149" s="50" t="n">
        <f aca="false">IF($D149="",0,IF($E149="VERTICAL",N($G149),MAX(N($I149),IF($K149="",N($I149),$K149))))</f>
        <v>0</v>
      </c>
      <c r="U149" s="50" t="n">
        <f aca="false">IF($L149&lt;&gt;"OK",0,VALUE(RIGHT($C149,1)))</f>
        <v>0</v>
      </c>
      <c r="V149" s="50" t="n">
        <f aca="false">IF($D149="",0,(N($H149)+IF($J149="",N($H149),$J149))/2)</f>
        <v>0</v>
      </c>
      <c r="W149" s="50" t="n">
        <f aca="false">IF($D149="",0,(N($I149)+IF($K149="",N($I149),$K149))/2)</f>
        <v>0</v>
      </c>
      <c r="X149" s="50" t="n">
        <f aca="false">IF($E149="VERTICAL",$V149,N($F149))</f>
        <v>0</v>
      </c>
      <c r="Y149" s="50" t="n">
        <f aca="false">IF($E149="VERTICAL",$W149,N($G149))</f>
        <v>0</v>
      </c>
      <c r="Z149" s="50" t="n">
        <f aca="false">IF($E149="VERTICAL",N($F149),$V149)</f>
        <v>0</v>
      </c>
      <c r="AA149" s="50" t="n">
        <f aca="false">IF($E149="VERTICAL",N($G149),$W149)</f>
        <v>0</v>
      </c>
      <c r="AB149" s="30" t="n">
        <f aca="false">IF($L149&lt;&gt;"OK",0,(INDEX(PRESIONES!$D$28:$D$31,$U149)*IF(INDEX(PRESIONES!$D$28:$D$31,$U149)&gt;0,PRESIONES!$C$9*IF($T149&lt;=10,1,($T149/10)^(2/DATOS!$C$56)),PRESIONES!$C$15)-ABERTURAS!$L$60*PRESIONES!$C$12)*$R149/$M149)</f>
        <v>0</v>
      </c>
      <c r="AC149" s="30" t="n">
        <f aca="false">IF($L149&lt;&gt;"OK",0,(INDEX(PRESIONES!$G$28:$G$31,$U149)*IF(INDEX(PRESIONES!$G$28:$G$31,$U149)&gt;0,PRESIONES!$C$9*IF($T149&lt;=10,1,($T149/10)^(2/DATOS!$C$56)),PRESIONES!$C$15)-ABERTURAS!$L$61*PRESIONES!$C$12)*$R149/$M149)</f>
        <v>0</v>
      </c>
      <c r="AD149" s="30" t="n">
        <f aca="false">IF($L149&lt;&gt;"OK",0,(INDEX(PRESIONES!$J$28:$J$31,$U149)*IF(INDEX(PRESIONES!$J$28:$J$31,$U149)&gt;0,PRESIONES!$C$9*IF($T149&lt;=10,1,($T149/10)^(2/DATOS!$C$56)),PRESIONES!$C$15)-ABERTURAS!$L$62*PRESIONES!$C$12)*$R149/$M149)</f>
        <v>0</v>
      </c>
      <c r="AE149" s="30" t="n">
        <f aca="false">IF($L149&lt;&gt;"OK",0,(INDEX(PRESIONES!$M$28:$M$31,$U149)*IF(INDEX(PRESIONES!$M$28:$M$31,$U149)&gt;0,PRESIONES!$C$9*IF($T149&lt;=10,1,($T149/10)^(2/DATOS!$C$56)),PRESIONES!$C$15)-ABERTURAS!$L$63*PRESIONES!$C$12)*$R149/$M149)</f>
        <v>0</v>
      </c>
      <c r="AF149" s="30" t="n">
        <f aca="false">IF($L149&lt;&gt;"OK",0,(INDEX(PRESIONES!$D$28:$D$31,$U149)*IF(INDEX(PRESIONES!$D$28:$D$31,$U149)&gt;0,PRESIONES!$C$9*IF($T149&lt;=10,1,($T149/10)^(2/DATOS!$C$56)),PRESIONES!$C$15)-ABERTURAS!$L$64*PRESIONES!$C$12)*$S149/$M149)</f>
        <v>0</v>
      </c>
      <c r="AG149" s="30" t="n">
        <f aca="false">IF($L149&lt;&gt;"OK",0,(INDEX(PRESIONES!$G$28:$G$31,$U149)*IF(INDEX(PRESIONES!$G$28:$G$31,$U149)&gt;0,PRESIONES!$C$9*IF($T149&lt;=10,1,($T149/10)^(2/DATOS!$C$56)),PRESIONES!$C$15)-ABERTURAS!$L$65*PRESIONES!$C$12)*$S149/$M149)</f>
        <v>0</v>
      </c>
      <c r="AH149" s="30" t="n">
        <f aca="false">IF($L149&lt;&gt;"OK",0,(INDEX(PRESIONES!$J$28:$J$31,$U149)*IF(INDEX(PRESIONES!$J$28:$J$31,$U149)&gt;0,PRESIONES!$C$9*IF($T149&lt;=10,1,($T149/10)^(2/DATOS!$C$56)),PRESIONES!$C$15)-ABERTURAS!$L$66*PRESIONES!$C$12)*$S149/$M149)</f>
        <v>0</v>
      </c>
      <c r="AI149" s="30" t="n">
        <f aca="false">IF($L149&lt;&gt;"OK",0,(INDEX(PRESIONES!$M$28:$M$31,$U149)*IF(INDEX(PRESIONES!$M$28:$M$31,$U149)&gt;0,PRESIONES!$C$9*IF($T149&lt;=10,1,($T149/10)^(2/DATOS!$C$56)),PRESIONES!$C$15)-ABERTURAS!$L$67*PRESIONES!$C$12)*$S149/$M149)</f>
        <v>0</v>
      </c>
    </row>
    <row r="150" customFormat="false" ht="15" hidden="false" customHeight="true" outlineLevel="0" collapsed="false">
      <c r="B150" s="27"/>
      <c r="C150" s="17"/>
      <c r="D150" s="27"/>
      <c r="E150" s="17"/>
      <c r="F150" s="49"/>
      <c r="G150" s="49"/>
      <c r="H150" s="49"/>
      <c r="I150" s="49"/>
      <c r="J150" s="49"/>
      <c r="K150" s="49"/>
      <c r="L150" s="20" t="str">
        <f aca="false">IF($D150="","",IF(LEFT($C150,4)&lt;&gt;"MURO","PON EL MURO",IF(AND($E150&lt;&gt;"HORIZONTAL",$E150&lt;&gt;"VERTICAL"),"PON EL SENTIDO",IF(OR($F150="",$G150="",$H150="",$I150=""),"FALTAN a o b",IF($M150&lt;=0,"a₂ DEBE SER &gt; a₁",IF($N150&lt;=0,"b₂ DEBE SER &gt; b₁","OK"))))))</f>
        <v/>
      </c>
      <c r="M150" s="30" t="n">
        <f aca="false">IF($D150="",0,MAX(0,$G150-$F150))</f>
        <v>0</v>
      </c>
      <c r="N150" s="30" t="n">
        <f aca="false">MAX(0,$W150-$V150)</f>
        <v>0</v>
      </c>
      <c r="O150" s="30" t="n">
        <f aca="false">$M150*$N150</f>
        <v>0</v>
      </c>
      <c r="P150" s="30" t="n">
        <f aca="false">IF($U150=0,0,SUMPRODUCT((ABERTURAS!$N$7:$N$26=$U150)*ABERTURAS!$U$7:$U$26*(((($Y150)+(ABERTURAS!$P$7:$P$26)-ABS(($Y150)-(ABERTURAS!$P$7:$P$26)))/2-(($X150)+(ABERTURAS!$O$7:$O$26)+ABS(($X150)-(ABERTURAS!$O$7:$O$26)))/2)+ABS((($Y150)+(ABERTURAS!$P$7:$P$26)-ABS(($Y150)-(ABERTURAS!$P$7:$P$26)))/2-(($X150)+(ABERTURAS!$O$7:$O$26)+ABS(($X150)-(ABERTURAS!$O$7:$O$26)))/2))/2*(((($AA150)+(ABERTURAS!$R$7:$R$26)-ABS(($AA150)-(ABERTURAS!$R$7:$R$26)))/2-(($Z150)+(ABERTURAS!$Q$7:$Q$26)+ABS(($Z150)-(ABERTURAS!$Q$7:$Q$26)))/2)+ABS((($AA150)+(ABERTURAS!$R$7:$R$26)-ABS(($AA150)-(ABERTURAS!$R$7:$R$26)))/2-(($Z150)+(ABERTURAS!$Q$7:$Q$26)+ABS(($Z150)-(ABERTURAS!$Q$7:$Q$26)))/2))/2))</f>
        <v>0</v>
      </c>
      <c r="Q150" s="30" t="n">
        <f aca="false">IF($U150=0,0,SUMPRODUCT((ABERTURAS!$N$7:$N$26=$U150)*ABERTURAS!$V$7:$V$26*(((($Y150)+(ABERTURAS!$P$7:$P$26)-ABS(($Y150)-(ABERTURAS!$P$7:$P$26)))/2-(($X150)+(ABERTURAS!$O$7:$O$26)+ABS(($X150)-(ABERTURAS!$O$7:$O$26)))/2)+ABS((($Y150)+(ABERTURAS!$P$7:$P$26)-ABS(($Y150)-(ABERTURAS!$P$7:$P$26)))/2-(($X150)+(ABERTURAS!$O$7:$O$26)+ABS(($X150)-(ABERTURAS!$O$7:$O$26)))/2))/2*(((($AA150)+(ABERTURAS!$R$7:$R$26)-ABS(($AA150)-(ABERTURAS!$R$7:$R$26)))/2-(($Z150)+(ABERTURAS!$Q$7:$Q$26)+ABS(($Z150)-(ABERTURAS!$Q$7:$Q$26)))/2)+ABS((($AA150)+(ABERTURAS!$R$7:$R$26)-ABS(($AA150)-(ABERTURAS!$R$7:$R$26)))/2-(($Z150)+(ABERTURAS!$Q$7:$Q$26)+ABS(($Z150)-(ABERTURAS!$Q$7:$Q$26)))/2))/2))</f>
        <v>0</v>
      </c>
      <c r="R150" s="30" t="n">
        <f aca="false">MAX(0,$O150-$P150)</f>
        <v>0</v>
      </c>
      <c r="S150" s="30" t="n">
        <f aca="false">MAX(0,$O150-$Q150)</f>
        <v>0</v>
      </c>
      <c r="T150" s="50" t="n">
        <f aca="false">IF($D150="",0,IF($E150="VERTICAL",N($G150),MAX(N($I150),IF($K150="",N($I150),$K150))))</f>
        <v>0</v>
      </c>
      <c r="U150" s="50" t="n">
        <f aca="false">IF($L150&lt;&gt;"OK",0,VALUE(RIGHT($C150,1)))</f>
        <v>0</v>
      </c>
      <c r="V150" s="50" t="n">
        <f aca="false">IF($D150="",0,(N($H150)+IF($J150="",N($H150),$J150))/2)</f>
        <v>0</v>
      </c>
      <c r="W150" s="50" t="n">
        <f aca="false">IF($D150="",0,(N($I150)+IF($K150="",N($I150),$K150))/2)</f>
        <v>0</v>
      </c>
      <c r="X150" s="50" t="n">
        <f aca="false">IF($E150="VERTICAL",$V150,N($F150))</f>
        <v>0</v>
      </c>
      <c r="Y150" s="50" t="n">
        <f aca="false">IF($E150="VERTICAL",$W150,N($G150))</f>
        <v>0</v>
      </c>
      <c r="Z150" s="50" t="n">
        <f aca="false">IF($E150="VERTICAL",N($F150),$V150)</f>
        <v>0</v>
      </c>
      <c r="AA150" s="50" t="n">
        <f aca="false">IF($E150="VERTICAL",N($G150),$W150)</f>
        <v>0</v>
      </c>
      <c r="AB150" s="30" t="n">
        <f aca="false">IF($L150&lt;&gt;"OK",0,(INDEX(PRESIONES!$D$28:$D$31,$U150)*IF(INDEX(PRESIONES!$D$28:$D$31,$U150)&gt;0,PRESIONES!$C$9*IF($T150&lt;=10,1,($T150/10)^(2/DATOS!$C$56)),PRESIONES!$C$15)-ABERTURAS!$L$60*PRESIONES!$C$12)*$R150/$M150)</f>
        <v>0</v>
      </c>
      <c r="AC150" s="30" t="n">
        <f aca="false">IF($L150&lt;&gt;"OK",0,(INDEX(PRESIONES!$G$28:$G$31,$U150)*IF(INDEX(PRESIONES!$G$28:$G$31,$U150)&gt;0,PRESIONES!$C$9*IF($T150&lt;=10,1,($T150/10)^(2/DATOS!$C$56)),PRESIONES!$C$15)-ABERTURAS!$L$61*PRESIONES!$C$12)*$R150/$M150)</f>
        <v>0</v>
      </c>
      <c r="AD150" s="30" t="n">
        <f aca="false">IF($L150&lt;&gt;"OK",0,(INDEX(PRESIONES!$J$28:$J$31,$U150)*IF(INDEX(PRESIONES!$J$28:$J$31,$U150)&gt;0,PRESIONES!$C$9*IF($T150&lt;=10,1,($T150/10)^(2/DATOS!$C$56)),PRESIONES!$C$15)-ABERTURAS!$L$62*PRESIONES!$C$12)*$R150/$M150)</f>
        <v>0</v>
      </c>
      <c r="AE150" s="30" t="n">
        <f aca="false">IF($L150&lt;&gt;"OK",0,(INDEX(PRESIONES!$M$28:$M$31,$U150)*IF(INDEX(PRESIONES!$M$28:$M$31,$U150)&gt;0,PRESIONES!$C$9*IF($T150&lt;=10,1,($T150/10)^(2/DATOS!$C$56)),PRESIONES!$C$15)-ABERTURAS!$L$63*PRESIONES!$C$12)*$R150/$M150)</f>
        <v>0</v>
      </c>
      <c r="AF150" s="30" t="n">
        <f aca="false">IF($L150&lt;&gt;"OK",0,(INDEX(PRESIONES!$D$28:$D$31,$U150)*IF(INDEX(PRESIONES!$D$28:$D$31,$U150)&gt;0,PRESIONES!$C$9*IF($T150&lt;=10,1,($T150/10)^(2/DATOS!$C$56)),PRESIONES!$C$15)-ABERTURAS!$L$64*PRESIONES!$C$12)*$S150/$M150)</f>
        <v>0</v>
      </c>
      <c r="AG150" s="30" t="n">
        <f aca="false">IF($L150&lt;&gt;"OK",0,(INDEX(PRESIONES!$G$28:$G$31,$U150)*IF(INDEX(PRESIONES!$G$28:$G$31,$U150)&gt;0,PRESIONES!$C$9*IF($T150&lt;=10,1,($T150/10)^(2/DATOS!$C$56)),PRESIONES!$C$15)-ABERTURAS!$L$65*PRESIONES!$C$12)*$S150/$M150)</f>
        <v>0</v>
      </c>
      <c r="AH150" s="30" t="n">
        <f aca="false">IF($L150&lt;&gt;"OK",0,(INDEX(PRESIONES!$J$28:$J$31,$U150)*IF(INDEX(PRESIONES!$J$28:$J$31,$U150)&gt;0,PRESIONES!$C$9*IF($T150&lt;=10,1,($T150/10)^(2/DATOS!$C$56)),PRESIONES!$C$15)-ABERTURAS!$L$66*PRESIONES!$C$12)*$S150/$M150)</f>
        <v>0</v>
      </c>
      <c r="AI150" s="30" t="n">
        <f aca="false">IF($L150&lt;&gt;"OK",0,(INDEX(PRESIONES!$M$28:$M$31,$U150)*IF(INDEX(PRESIONES!$M$28:$M$31,$U150)&gt;0,PRESIONES!$C$9*IF($T150&lt;=10,1,($T150/10)^(2/DATOS!$C$56)),PRESIONES!$C$15)-ABERTURAS!$L$67*PRESIONES!$C$12)*$S150/$M150)</f>
        <v>0</v>
      </c>
    </row>
    <row r="151" customFormat="false" ht="15" hidden="false" customHeight="true" outlineLevel="0" collapsed="false">
      <c r="B151" s="27"/>
      <c r="C151" s="17"/>
      <c r="D151" s="27"/>
      <c r="E151" s="17"/>
      <c r="F151" s="49"/>
      <c r="G151" s="49"/>
      <c r="H151" s="49"/>
      <c r="I151" s="49"/>
      <c r="J151" s="49"/>
      <c r="K151" s="49"/>
      <c r="L151" s="20" t="str">
        <f aca="false">IF($D151="","",IF(LEFT($C151,4)&lt;&gt;"MURO","PON EL MURO",IF(AND($E151&lt;&gt;"HORIZONTAL",$E151&lt;&gt;"VERTICAL"),"PON EL SENTIDO",IF(OR($F151="",$G151="",$H151="",$I151=""),"FALTAN a o b",IF($M151&lt;=0,"a₂ DEBE SER &gt; a₁",IF($N151&lt;=0,"b₂ DEBE SER &gt; b₁","OK"))))))</f>
        <v/>
      </c>
      <c r="M151" s="30" t="n">
        <f aca="false">IF($D151="",0,MAX(0,$G151-$F151))</f>
        <v>0</v>
      </c>
      <c r="N151" s="30" t="n">
        <f aca="false">MAX(0,$W151-$V151)</f>
        <v>0</v>
      </c>
      <c r="O151" s="30" t="n">
        <f aca="false">$M151*$N151</f>
        <v>0</v>
      </c>
      <c r="P151" s="30" t="n">
        <f aca="false">IF($U151=0,0,SUMPRODUCT((ABERTURAS!$N$7:$N$26=$U151)*ABERTURAS!$U$7:$U$26*(((($Y151)+(ABERTURAS!$P$7:$P$26)-ABS(($Y151)-(ABERTURAS!$P$7:$P$26)))/2-(($X151)+(ABERTURAS!$O$7:$O$26)+ABS(($X151)-(ABERTURAS!$O$7:$O$26)))/2)+ABS((($Y151)+(ABERTURAS!$P$7:$P$26)-ABS(($Y151)-(ABERTURAS!$P$7:$P$26)))/2-(($X151)+(ABERTURAS!$O$7:$O$26)+ABS(($X151)-(ABERTURAS!$O$7:$O$26)))/2))/2*(((($AA151)+(ABERTURAS!$R$7:$R$26)-ABS(($AA151)-(ABERTURAS!$R$7:$R$26)))/2-(($Z151)+(ABERTURAS!$Q$7:$Q$26)+ABS(($Z151)-(ABERTURAS!$Q$7:$Q$26)))/2)+ABS((($AA151)+(ABERTURAS!$R$7:$R$26)-ABS(($AA151)-(ABERTURAS!$R$7:$R$26)))/2-(($Z151)+(ABERTURAS!$Q$7:$Q$26)+ABS(($Z151)-(ABERTURAS!$Q$7:$Q$26)))/2))/2))</f>
        <v>0</v>
      </c>
      <c r="Q151" s="30" t="n">
        <f aca="false">IF($U151=0,0,SUMPRODUCT((ABERTURAS!$N$7:$N$26=$U151)*ABERTURAS!$V$7:$V$26*(((($Y151)+(ABERTURAS!$P$7:$P$26)-ABS(($Y151)-(ABERTURAS!$P$7:$P$26)))/2-(($X151)+(ABERTURAS!$O$7:$O$26)+ABS(($X151)-(ABERTURAS!$O$7:$O$26)))/2)+ABS((($Y151)+(ABERTURAS!$P$7:$P$26)-ABS(($Y151)-(ABERTURAS!$P$7:$P$26)))/2-(($X151)+(ABERTURAS!$O$7:$O$26)+ABS(($X151)-(ABERTURAS!$O$7:$O$26)))/2))/2*(((($AA151)+(ABERTURAS!$R$7:$R$26)-ABS(($AA151)-(ABERTURAS!$R$7:$R$26)))/2-(($Z151)+(ABERTURAS!$Q$7:$Q$26)+ABS(($Z151)-(ABERTURAS!$Q$7:$Q$26)))/2)+ABS((($AA151)+(ABERTURAS!$R$7:$R$26)-ABS(($AA151)-(ABERTURAS!$R$7:$R$26)))/2-(($Z151)+(ABERTURAS!$Q$7:$Q$26)+ABS(($Z151)-(ABERTURAS!$Q$7:$Q$26)))/2))/2))</f>
        <v>0</v>
      </c>
      <c r="R151" s="30" t="n">
        <f aca="false">MAX(0,$O151-$P151)</f>
        <v>0</v>
      </c>
      <c r="S151" s="30" t="n">
        <f aca="false">MAX(0,$O151-$Q151)</f>
        <v>0</v>
      </c>
      <c r="T151" s="50" t="n">
        <f aca="false">IF($D151="",0,IF($E151="VERTICAL",N($G151),MAX(N($I151),IF($K151="",N($I151),$K151))))</f>
        <v>0</v>
      </c>
      <c r="U151" s="50" t="n">
        <f aca="false">IF($L151&lt;&gt;"OK",0,VALUE(RIGHT($C151,1)))</f>
        <v>0</v>
      </c>
      <c r="V151" s="50" t="n">
        <f aca="false">IF($D151="",0,(N($H151)+IF($J151="",N($H151),$J151))/2)</f>
        <v>0</v>
      </c>
      <c r="W151" s="50" t="n">
        <f aca="false">IF($D151="",0,(N($I151)+IF($K151="",N($I151),$K151))/2)</f>
        <v>0</v>
      </c>
      <c r="X151" s="50" t="n">
        <f aca="false">IF($E151="VERTICAL",$V151,N($F151))</f>
        <v>0</v>
      </c>
      <c r="Y151" s="50" t="n">
        <f aca="false">IF($E151="VERTICAL",$W151,N($G151))</f>
        <v>0</v>
      </c>
      <c r="Z151" s="50" t="n">
        <f aca="false">IF($E151="VERTICAL",N($F151),$V151)</f>
        <v>0</v>
      </c>
      <c r="AA151" s="50" t="n">
        <f aca="false">IF($E151="VERTICAL",N($G151),$W151)</f>
        <v>0</v>
      </c>
      <c r="AB151" s="30" t="n">
        <f aca="false">IF($L151&lt;&gt;"OK",0,(INDEX(PRESIONES!$D$28:$D$31,$U151)*IF(INDEX(PRESIONES!$D$28:$D$31,$U151)&gt;0,PRESIONES!$C$9*IF($T151&lt;=10,1,($T151/10)^(2/DATOS!$C$56)),PRESIONES!$C$15)-ABERTURAS!$L$60*PRESIONES!$C$12)*$R151/$M151)</f>
        <v>0</v>
      </c>
      <c r="AC151" s="30" t="n">
        <f aca="false">IF($L151&lt;&gt;"OK",0,(INDEX(PRESIONES!$G$28:$G$31,$U151)*IF(INDEX(PRESIONES!$G$28:$G$31,$U151)&gt;0,PRESIONES!$C$9*IF($T151&lt;=10,1,($T151/10)^(2/DATOS!$C$56)),PRESIONES!$C$15)-ABERTURAS!$L$61*PRESIONES!$C$12)*$R151/$M151)</f>
        <v>0</v>
      </c>
      <c r="AD151" s="30" t="n">
        <f aca="false">IF($L151&lt;&gt;"OK",0,(INDEX(PRESIONES!$J$28:$J$31,$U151)*IF(INDEX(PRESIONES!$J$28:$J$31,$U151)&gt;0,PRESIONES!$C$9*IF($T151&lt;=10,1,($T151/10)^(2/DATOS!$C$56)),PRESIONES!$C$15)-ABERTURAS!$L$62*PRESIONES!$C$12)*$R151/$M151)</f>
        <v>0</v>
      </c>
      <c r="AE151" s="30" t="n">
        <f aca="false">IF($L151&lt;&gt;"OK",0,(INDEX(PRESIONES!$M$28:$M$31,$U151)*IF(INDEX(PRESIONES!$M$28:$M$31,$U151)&gt;0,PRESIONES!$C$9*IF($T151&lt;=10,1,($T151/10)^(2/DATOS!$C$56)),PRESIONES!$C$15)-ABERTURAS!$L$63*PRESIONES!$C$12)*$R151/$M151)</f>
        <v>0</v>
      </c>
      <c r="AF151" s="30" t="n">
        <f aca="false">IF($L151&lt;&gt;"OK",0,(INDEX(PRESIONES!$D$28:$D$31,$U151)*IF(INDEX(PRESIONES!$D$28:$D$31,$U151)&gt;0,PRESIONES!$C$9*IF($T151&lt;=10,1,($T151/10)^(2/DATOS!$C$56)),PRESIONES!$C$15)-ABERTURAS!$L$64*PRESIONES!$C$12)*$S151/$M151)</f>
        <v>0</v>
      </c>
      <c r="AG151" s="30" t="n">
        <f aca="false">IF($L151&lt;&gt;"OK",0,(INDEX(PRESIONES!$G$28:$G$31,$U151)*IF(INDEX(PRESIONES!$G$28:$G$31,$U151)&gt;0,PRESIONES!$C$9*IF($T151&lt;=10,1,($T151/10)^(2/DATOS!$C$56)),PRESIONES!$C$15)-ABERTURAS!$L$65*PRESIONES!$C$12)*$S151/$M151)</f>
        <v>0</v>
      </c>
      <c r="AH151" s="30" t="n">
        <f aca="false">IF($L151&lt;&gt;"OK",0,(INDEX(PRESIONES!$J$28:$J$31,$U151)*IF(INDEX(PRESIONES!$J$28:$J$31,$U151)&gt;0,PRESIONES!$C$9*IF($T151&lt;=10,1,($T151/10)^(2/DATOS!$C$56)),PRESIONES!$C$15)-ABERTURAS!$L$66*PRESIONES!$C$12)*$S151/$M151)</f>
        <v>0</v>
      </c>
      <c r="AI151" s="30" t="n">
        <f aca="false">IF($L151&lt;&gt;"OK",0,(INDEX(PRESIONES!$M$28:$M$31,$U151)*IF(INDEX(PRESIONES!$M$28:$M$31,$U151)&gt;0,PRESIONES!$C$9*IF($T151&lt;=10,1,($T151/10)^(2/DATOS!$C$56)),PRESIONES!$C$15)-ABERTURAS!$L$67*PRESIONES!$C$12)*$S151/$M151)</f>
        <v>0</v>
      </c>
    </row>
    <row r="152" customFormat="false" ht="15" hidden="false" customHeight="true" outlineLevel="0" collapsed="false">
      <c r="B152" s="27"/>
      <c r="C152" s="17"/>
      <c r="D152" s="27"/>
      <c r="E152" s="17"/>
      <c r="F152" s="49"/>
      <c r="G152" s="49"/>
      <c r="H152" s="49"/>
      <c r="I152" s="49"/>
      <c r="J152" s="49"/>
      <c r="K152" s="49"/>
      <c r="L152" s="20" t="str">
        <f aca="false">IF($D152="","",IF(LEFT($C152,4)&lt;&gt;"MURO","PON EL MURO",IF(AND($E152&lt;&gt;"HORIZONTAL",$E152&lt;&gt;"VERTICAL"),"PON EL SENTIDO",IF(OR($F152="",$G152="",$H152="",$I152=""),"FALTAN a o b",IF($M152&lt;=0,"a₂ DEBE SER &gt; a₁",IF($N152&lt;=0,"b₂ DEBE SER &gt; b₁","OK"))))))</f>
        <v/>
      </c>
      <c r="M152" s="30" t="n">
        <f aca="false">IF($D152="",0,MAX(0,$G152-$F152))</f>
        <v>0</v>
      </c>
      <c r="N152" s="30" t="n">
        <f aca="false">MAX(0,$W152-$V152)</f>
        <v>0</v>
      </c>
      <c r="O152" s="30" t="n">
        <f aca="false">$M152*$N152</f>
        <v>0</v>
      </c>
      <c r="P152" s="30" t="n">
        <f aca="false">IF($U152=0,0,SUMPRODUCT((ABERTURAS!$N$7:$N$26=$U152)*ABERTURAS!$U$7:$U$26*(((($Y152)+(ABERTURAS!$P$7:$P$26)-ABS(($Y152)-(ABERTURAS!$P$7:$P$26)))/2-(($X152)+(ABERTURAS!$O$7:$O$26)+ABS(($X152)-(ABERTURAS!$O$7:$O$26)))/2)+ABS((($Y152)+(ABERTURAS!$P$7:$P$26)-ABS(($Y152)-(ABERTURAS!$P$7:$P$26)))/2-(($X152)+(ABERTURAS!$O$7:$O$26)+ABS(($X152)-(ABERTURAS!$O$7:$O$26)))/2))/2*(((($AA152)+(ABERTURAS!$R$7:$R$26)-ABS(($AA152)-(ABERTURAS!$R$7:$R$26)))/2-(($Z152)+(ABERTURAS!$Q$7:$Q$26)+ABS(($Z152)-(ABERTURAS!$Q$7:$Q$26)))/2)+ABS((($AA152)+(ABERTURAS!$R$7:$R$26)-ABS(($AA152)-(ABERTURAS!$R$7:$R$26)))/2-(($Z152)+(ABERTURAS!$Q$7:$Q$26)+ABS(($Z152)-(ABERTURAS!$Q$7:$Q$26)))/2))/2))</f>
        <v>0</v>
      </c>
      <c r="Q152" s="30" t="n">
        <f aca="false">IF($U152=0,0,SUMPRODUCT((ABERTURAS!$N$7:$N$26=$U152)*ABERTURAS!$V$7:$V$26*(((($Y152)+(ABERTURAS!$P$7:$P$26)-ABS(($Y152)-(ABERTURAS!$P$7:$P$26)))/2-(($X152)+(ABERTURAS!$O$7:$O$26)+ABS(($X152)-(ABERTURAS!$O$7:$O$26)))/2)+ABS((($Y152)+(ABERTURAS!$P$7:$P$26)-ABS(($Y152)-(ABERTURAS!$P$7:$P$26)))/2-(($X152)+(ABERTURAS!$O$7:$O$26)+ABS(($X152)-(ABERTURAS!$O$7:$O$26)))/2))/2*(((($AA152)+(ABERTURAS!$R$7:$R$26)-ABS(($AA152)-(ABERTURAS!$R$7:$R$26)))/2-(($Z152)+(ABERTURAS!$Q$7:$Q$26)+ABS(($Z152)-(ABERTURAS!$Q$7:$Q$26)))/2)+ABS((($AA152)+(ABERTURAS!$R$7:$R$26)-ABS(($AA152)-(ABERTURAS!$R$7:$R$26)))/2-(($Z152)+(ABERTURAS!$Q$7:$Q$26)+ABS(($Z152)-(ABERTURAS!$Q$7:$Q$26)))/2))/2))</f>
        <v>0</v>
      </c>
      <c r="R152" s="30" t="n">
        <f aca="false">MAX(0,$O152-$P152)</f>
        <v>0</v>
      </c>
      <c r="S152" s="30" t="n">
        <f aca="false">MAX(0,$O152-$Q152)</f>
        <v>0</v>
      </c>
      <c r="T152" s="50" t="n">
        <f aca="false">IF($D152="",0,IF($E152="VERTICAL",N($G152),MAX(N($I152),IF($K152="",N($I152),$K152))))</f>
        <v>0</v>
      </c>
      <c r="U152" s="50" t="n">
        <f aca="false">IF($L152&lt;&gt;"OK",0,VALUE(RIGHT($C152,1)))</f>
        <v>0</v>
      </c>
      <c r="V152" s="50" t="n">
        <f aca="false">IF($D152="",0,(N($H152)+IF($J152="",N($H152),$J152))/2)</f>
        <v>0</v>
      </c>
      <c r="W152" s="50" t="n">
        <f aca="false">IF($D152="",0,(N($I152)+IF($K152="",N($I152),$K152))/2)</f>
        <v>0</v>
      </c>
      <c r="X152" s="50" t="n">
        <f aca="false">IF($E152="VERTICAL",$V152,N($F152))</f>
        <v>0</v>
      </c>
      <c r="Y152" s="50" t="n">
        <f aca="false">IF($E152="VERTICAL",$W152,N($G152))</f>
        <v>0</v>
      </c>
      <c r="Z152" s="50" t="n">
        <f aca="false">IF($E152="VERTICAL",N($F152),$V152)</f>
        <v>0</v>
      </c>
      <c r="AA152" s="50" t="n">
        <f aca="false">IF($E152="VERTICAL",N($G152),$W152)</f>
        <v>0</v>
      </c>
      <c r="AB152" s="30" t="n">
        <f aca="false">IF($L152&lt;&gt;"OK",0,(INDEX(PRESIONES!$D$28:$D$31,$U152)*IF(INDEX(PRESIONES!$D$28:$D$31,$U152)&gt;0,PRESIONES!$C$9*IF($T152&lt;=10,1,($T152/10)^(2/DATOS!$C$56)),PRESIONES!$C$15)-ABERTURAS!$L$60*PRESIONES!$C$12)*$R152/$M152)</f>
        <v>0</v>
      </c>
      <c r="AC152" s="30" t="n">
        <f aca="false">IF($L152&lt;&gt;"OK",0,(INDEX(PRESIONES!$G$28:$G$31,$U152)*IF(INDEX(PRESIONES!$G$28:$G$31,$U152)&gt;0,PRESIONES!$C$9*IF($T152&lt;=10,1,($T152/10)^(2/DATOS!$C$56)),PRESIONES!$C$15)-ABERTURAS!$L$61*PRESIONES!$C$12)*$R152/$M152)</f>
        <v>0</v>
      </c>
      <c r="AD152" s="30" t="n">
        <f aca="false">IF($L152&lt;&gt;"OK",0,(INDEX(PRESIONES!$J$28:$J$31,$U152)*IF(INDEX(PRESIONES!$J$28:$J$31,$U152)&gt;0,PRESIONES!$C$9*IF($T152&lt;=10,1,($T152/10)^(2/DATOS!$C$56)),PRESIONES!$C$15)-ABERTURAS!$L$62*PRESIONES!$C$12)*$R152/$M152)</f>
        <v>0</v>
      </c>
      <c r="AE152" s="30" t="n">
        <f aca="false">IF($L152&lt;&gt;"OK",0,(INDEX(PRESIONES!$M$28:$M$31,$U152)*IF(INDEX(PRESIONES!$M$28:$M$31,$U152)&gt;0,PRESIONES!$C$9*IF($T152&lt;=10,1,($T152/10)^(2/DATOS!$C$56)),PRESIONES!$C$15)-ABERTURAS!$L$63*PRESIONES!$C$12)*$R152/$M152)</f>
        <v>0</v>
      </c>
      <c r="AF152" s="30" t="n">
        <f aca="false">IF($L152&lt;&gt;"OK",0,(INDEX(PRESIONES!$D$28:$D$31,$U152)*IF(INDEX(PRESIONES!$D$28:$D$31,$U152)&gt;0,PRESIONES!$C$9*IF($T152&lt;=10,1,($T152/10)^(2/DATOS!$C$56)),PRESIONES!$C$15)-ABERTURAS!$L$64*PRESIONES!$C$12)*$S152/$M152)</f>
        <v>0</v>
      </c>
      <c r="AG152" s="30" t="n">
        <f aca="false">IF($L152&lt;&gt;"OK",0,(INDEX(PRESIONES!$G$28:$G$31,$U152)*IF(INDEX(PRESIONES!$G$28:$G$31,$U152)&gt;0,PRESIONES!$C$9*IF($T152&lt;=10,1,($T152/10)^(2/DATOS!$C$56)),PRESIONES!$C$15)-ABERTURAS!$L$65*PRESIONES!$C$12)*$S152/$M152)</f>
        <v>0</v>
      </c>
      <c r="AH152" s="30" t="n">
        <f aca="false">IF($L152&lt;&gt;"OK",0,(INDEX(PRESIONES!$J$28:$J$31,$U152)*IF(INDEX(PRESIONES!$J$28:$J$31,$U152)&gt;0,PRESIONES!$C$9*IF($T152&lt;=10,1,($T152/10)^(2/DATOS!$C$56)),PRESIONES!$C$15)-ABERTURAS!$L$66*PRESIONES!$C$12)*$S152/$M152)</f>
        <v>0</v>
      </c>
      <c r="AI152" s="30" t="n">
        <f aca="false">IF($L152&lt;&gt;"OK",0,(INDEX(PRESIONES!$M$28:$M$31,$U152)*IF(INDEX(PRESIONES!$M$28:$M$31,$U152)&gt;0,PRESIONES!$C$9*IF($T152&lt;=10,1,($T152/10)^(2/DATOS!$C$56)),PRESIONES!$C$15)-ABERTURAS!$L$67*PRESIONES!$C$12)*$S152/$M152)</f>
        <v>0</v>
      </c>
    </row>
    <row r="153" customFormat="false" ht="15" hidden="false" customHeight="true" outlineLevel="0" collapsed="false">
      <c r="B153" s="27"/>
      <c r="C153" s="17"/>
      <c r="D153" s="27"/>
      <c r="E153" s="17"/>
      <c r="F153" s="49"/>
      <c r="G153" s="49"/>
      <c r="H153" s="49"/>
      <c r="I153" s="49"/>
      <c r="J153" s="49"/>
      <c r="K153" s="49"/>
      <c r="L153" s="20" t="str">
        <f aca="false">IF($D153="","",IF(LEFT($C153,4)&lt;&gt;"MURO","PON EL MURO",IF(AND($E153&lt;&gt;"HORIZONTAL",$E153&lt;&gt;"VERTICAL"),"PON EL SENTIDO",IF(OR($F153="",$G153="",$H153="",$I153=""),"FALTAN a o b",IF($M153&lt;=0,"a₂ DEBE SER &gt; a₁",IF($N153&lt;=0,"b₂ DEBE SER &gt; b₁","OK"))))))</f>
        <v/>
      </c>
      <c r="M153" s="30" t="n">
        <f aca="false">IF($D153="",0,MAX(0,$G153-$F153))</f>
        <v>0</v>
      </c>
      <c r="N153" s="30" t="n">
        <f aca="false">MAX(0,$W153-$V153)</f>
        <v>0</v>
      </c>
      <c r="O153" s="30" t="n">
        <f aca="false">$M153*$N153</f>
        <v>0</v>
      </c>
      <c r="P153" s="30" t="n">
        <f aca="false">IF($U153=0,0,SUMPRODUCT((ABERTURAS!$N$7:$N$26=$U153)*ABERTURAS!$U$7:$U$26*(((($Y153)+(ABERTURAS!$P$7:$P$26)-ABS(($Y153)-(ABERTURAS!$P$7:$P$26)))/2-(($X153)+(ABERTURAS!$O$7:$O$26)+ABS(($X153)-(ABERTURAS!$O$7:$O$26)))/2)+ABS((($Y153)+(ABERTURAS!$P$7:$P$26)-ABS(($Y153)-(ABERTURAS!$P$7:$P$26)))/2-(($X153)+(ABERTURAS!$O$7:$O$26)+ABS(($X153)-(ABERTURAS!$O$7:$O$26)))/2))/2*(((($AA153)+(ABERTURAS!$R$7:$R$26)-ABS(($AA153)-(ABERTURAS!$R$7:$R$26)))/2-(($Z153)+(ABERTURAS!$Q$7:$Q$26)+ABS(($Z153)-(ABERTURAS!$Q$7:$Q$26)))/2)+ABS((($AA153)+(ABERTURAS!$R$7:$R$26)-ABS(($AA153)-(ABERTURAS!$R$7:$R$26)))/2-(($Z153)+(ABERTURAS!$Q$7:$Q$26)+ABS(($Z153)-(ABERTURAS!$Q$7:$Q$26)))/2))/2))</f>
        <v>0</v>
      </c>
      <c r="Q153" s="30" t="n">
        <f aca="false">IF($U153=0,0,SUMPRODUCT((ABERTURAS!$N$7:$N$26=$U153)*ABERTURAS!$V$7:$V$26*(((($Y153)+(ABERTURAS!$P$7:$P$26)-ABS(($Y153)-(ABERTURAS!$P$7:$P$26)))/2-(($X153)+(ABERTURAS!$O$7:$O$26)+ABS(($X153)-(ABERTURAS!$O$7:$O$26)))/2)+ABS((($Y153)+(ABERTURAS!$P$7:$P$26)-ABS(($Y153)-(ABERTURAS!$P$7:$P$26)))/2-(($X153)+(ABERTURAS!$O$7:$O$26)+ABS(($X153)-(ABERTURAS!$O$7:$O$26)))/2))/2*(((($AA153)+(ABERTURAS!$R$7:$R$26)-ABS(($AA153)-(ABERTURAS!$R$7:$R$26)))/2-(($Z153)+(ABERTURAS!$Q$7:$Q$26)+ABS(($Z153)-(ABERTURAS!$Q$7:$Q$26)))/2)+ABS((($AA153)+(ABERTURAS!$R$7:$R$26)-ABS(($AA153)-(ABERTURAS!$R$7:$R$26)))/2-(($Z153)+(ABERTURAS!$Q$7:$Q$26)+ABS(($Z153)-(ABERTURAS!$Q$7:$Q$26)))/2))/2))</f>
        <v>0</v>
      </c>
      <c r="R153" s="30" t="n">
        <f aca="false">MAX(0,$O153-$P153)</f>
        <v>0</v>
      </c>
      <c r="S153" s="30" t="n">
        <f aca="false">MAX(0,$O153-$Q153)</f>
        <v>0</v>
      </c>
      <c r="T153" s="50" t="n">
        <f aca="false">IF($D153="",0,IF($E153="VERTICAL",N($G153),MAX(N($I153),IF($K153="",N($I153),$K153))))</f>
        <v>0</v>
      </c>
      <c r="U153" s="50" t="n">
        <f aca="false">IF($L153&lt;&gt;"OK",0,VALUE(RIGHT($C153,1)))</f>
        <v>0</v>
      </c>
      <c r="V153" s="50" t="n">
        <f aca="false">IF($D153="",0,(N($H153)+IF($J153="",N($H153),$J153))/2)</f>
        <v>0</v>
      </c>
      <c r="W153" s="50" t="n">
        <f aca="false">IF($D153="",0,(N($I153)+IF($K153="",N($I153),$K153))/2)</f>
        <v>0</v>
      </c>
      <c r="X153" s="50" t="n">
        <f aca="false">IF($E153="VERTICAL",$V153,N($F153))</f>
        <v>0</v>
      </c>
      <c r="Y153" s="50" t="n">
        <f aca="false">IF($E153="VERTICAL",$W153,N($G153))</f>
        <v>0</v>
      </c>
      <c r="Z153" s="50" t="n">
        <f aca="false">IF($E153="VERTICAL",N($F153),$V153)</f>
        <v>0</v>
      </c>
      <c r="AA153" s="50" t="n">
        <f aca="false">IF($E153="VERTICAL",N($G153),$W153)</f>
        <v>0</v>
      </c>
      <c r="AB153" s="30" t="n">
        <f aca="false">IF($L153&lt;&gt;"OK",0,(INDEX(PRESIONES!$D$28:$D$31,$U153)*IF(INDEX(PRESIONES!$D$28:$D$31,$U153)&gt;0,PRESIONES!$C$9*IF($T153&lt;=10,1,($T153/10)^(2/DATOS!$C$56)),PRESIONES!$C$15)-ABERTURAS!$L$60*PRESIONES!$C$12)*$R153/$M153)</f>
        <v>0</v>
      </c>
      <c r="AC153" s="30" t="n">
        <f aca="false">IF($L153&lt;&gt;"OK",0,(INDEX(PRESIONES!$G$28:$G$31,$U153)*IF(INDEX(PRESIONES!$G$28:$G$31,$U153)&gt;0,PRESIONES!$C$9*IF($T153&lt;=10,1,($T153/10)^(2/DATOS!$C$56)),PRESIONES!$C$15)-ABERTURAS!$L$61*PRESIONES!$C$12)*$R153/$M153)</f>
        <v>0</v>
      </c>
      <c r="AD153" s="30" t="n">
        <f aca="false">IF($L153&lt;&gt;"OK",0,(INDEX(PRESIONES!$J$28:$J$31,$U153)*IF(INDEX(PRESIONES!$J$28:$J$31,$U153)&gt;0,PRESIONES!$C$9*IF($T153&lt;=10,1,($T153/10)^(2/DATOS!$C$56)),PRESIONES!$C$15)-ABERTURAS!$L$62*PRESIONES!$C$12)*$R153/$M153)</f>
        <v>0</v>
      </c>
      <c r="AE153" s="30" t="n">
        <f aca="false">IF($L153&lt;&gt;"OK",0,(INDEX(PRESIONES!$M$28:$M$31,$U153)*IF(INDEX(PRESIONES!$M$28:$M$31,$U153)&gt;0,PRESIONES!$C$9*IF($T153&lt;=10,1,($T153/10)^(2/DATOS!$C$56)),PRESIONES!$C$15)-ABERTURAS!$L$63*PRESIONES!$C$12)*$R153/$M153)</f>
        <v>0</v>
      </c>
      <c r="AF153" s="30" t="n">
        <f aca="false">IF($L153&lt;&gt;"OK",0,(INDEX(PRESIONES!$D$28:$D$31,$U153)*IF(INDEX(PRESIONES!$D$28:$D$31,$U153)&gt;0,PRESIONES!$C$9*IF($T153&lt;=10,1,($T153/10)^(2/DATOS!$C$56)),PRESIONES!$C$15)-ABERTURAS!$L$64*PRESIONES!$C$12)*$S153/$M153)</f>
        <v>0</v>
      </c>
      <c r="AG153" s="30" t="n">
        <f aca="false">IF($L153&lt;&gt;"OK",0,(INDEX(PRESIONES!$G$28:$G$31,$U153)*IF(INDEX(PRESIONES!$G$28:$G$31,$U153)&gt;0,PRESIONES!$C$9*IF($T153&lt;=10,1,($T153/10)^(2/DATOS!$C$56)),PRESIONES!$C$15)-ABERTURAS!$L$65*PRESIONES!$C$12)*$S153/$M153)</f>
        <v>0</v>
      </c>
      <c r="AH153" s="30" t="n">
        <f aca="false">IF($L153&lt;&gt;"OK",0,(INDEX(PRESIONES!$J$28:$J$31,$U153)*IF(INDEX(PRESIONES!$J$28:$J$31,$U153)&gt;0,PRESIONES!$C$9*IF($T153&lt;=10,1,($T153/10)^(2/DATOS!$C$56)),PRESIONES!$C$15)-ABERTURAS!$L$66*PRESIONES!$C$12)*$S153/$M153)</f>
        <v>0</v>
      </c>
      <c r="AI153" s="30" t="n">
        <f aca="false">IF($L153&lt;&gt;"OK",0,(INDEX(PRESIONES!$M$28:$M$31,$U153)*IF(INDEX(PRESIONES!$M$28:$M$31,$U153)&gt;0,PRESIONES!$C$9*IF($T153&lt;=10,1,($T153/10)^(2/DATOS!$C$56)),PRESIONES!$C$15)-ABERTURAS!$L$67*PRESIONES!$C$12)*$S153/$M153)</f>
        <v>0</v>
      </c>
    </row>
    <row r="154" customFormat="false" ht="15" hidden="false" customHeight="true" outlineLevel="0" collapsed="false">
      <c r="B154" s="27"/>
      <c r="C154" s="17"/>
      <c r="D154" s="27"/>
      <c r="E154" s="17"/>
      <c r="F154" s="49"/>
      <c r="G154" s="49"/>
      <c r="H154" s="49"/>
      <c r="I154" s="49"/>
      <c r="J154" s="49"/>
      <c r="K154" s="49"/>
      <c r="L154" s="20" t="str">
        <f aca="false">IF($D154="","",IF(LEFT($C154,4)&lt;&gt;"MURO","PON EL MURO",IF(AND($E154&lt;&gt;"HORIZONTAL",$E154&lt;&gt;"VERTICAL"),"PON EL SENTIDO",IF(OR($F154="",$G154="",$H154="",$I154=""),"FALTAN a o b",IF($M154&lt;=0,"a₂ DEBE SER &gt; a₁",IF($N154&lt;=0,"b₂ DEBE SER &gt; b₁","OK"))))))</f>
        <v/>
      </c>
      <c r="M154" s="30" t="n">
        <f aca="false">IF($D154="",0,MAX(0,$G154-$F154))</f>
        <v>0</v>
      </c>
      <c r="N154" s="30" t="n">
        <f aca="false">MAX(0,$W154-$V154)</f>
        <v>0</v>
      </c>
      <c r="O154" s="30" t="n">
        <f aca="false">$M154*$N154</f>
        <v>0</v>
      </c>
      <c r="P154" s="30" t="n">
        <f aca="false">IF($U154=0,0,SUMPRODUCT((ABERTURAS!$N$7:$N$26=$U154)*ABERTURAS!$U$7:$U$26*(((($Y154)+(ABERTURAS!$P$7:$P$26)-ABS(($Y154)-(ABERTURAS!$P$7:$P$26)))/2-(($X154)+(ABERTURAS!$O$7:$O$26)+ABS(($X154)-(ABERTURAS!$O$7:$O$26)))/2)+ABS((($Y154)+(ABERTURAS!$P$7:$P$26)-ABS(($Y154)-(ABERTURAS!$P$7:$P$26)))/2-(($X154)+(ABERTURAS!$O$7:$O$26)+ABS(($X154)-(ABERTURAS!$O$7:$O$26)))/2))/2*(((($AA154)+(ABERTURAS!$R$7:$R$26)-ABS(($AA154)-(ABERTURAS!$R$7:$R$26)))/2-(($Z154)+(ABERTURAS!$Q$7:$Q$26)+ABS(($Z154)-(ABERTURAS!$Q$7:$Q$26)))/2)+ABS((($AA154)+(ABERTURAS!$R$7:$R$26)-ABS(($AA154)-(ABERTURAS!$R$7:$R$26)))/2-(($Z154)+(ABERTURAS!$Q$7:$Q$26)+ABS(($Z154)-(ABERTURAS!$Q$7:$Q$26)))/2))/2))</f>
        <v>0</v>
      </c>
      <c r="Q154" s="30" t="n">
        <f aca="false">IF($U154=0,0,SUMPRODUCT((ABERTURAS!$N$7:$N$26=$U154)*ABERTURAS!$V$7:$V$26*(((($Y154)+(ABERTURAS!$P$7:$P$26)-ABS(($Y154)-(ABERTURAS!$P$7:$P$26)))/2-(($X154)+(ABERTURAS!$O$7:$O$26)+ABS(($X154)-(ABERTURAS!$O$7:$O$26)))/2)+ABS((($Y154)+(ABERTURAS!$P$7:$P$26)-ABS(($Y154)-(ABERTURAS!$P$7:$P$26)))/2-(($X154)+(ABERTURAS!$O$7:$O$26)+ABS(($X154)-(ABERTURAS!$O$7:$O$26)))/2))/2*(((($AA154)+(ABERTURAS!$R$7:$R$26)-ABS(($AA154)-(ABERTURAS!$R$7:$R$26)))/2-(($Z154)+(ABERTURAS!$Q$7:$Q$26)+ABS(($Z154)-(ABERTURAS!$Q$7:$Q$26)))/2)+ABS((($AA154)+(ABERTURAS!$R$7:$R$26)-ABS(($AA154)-(ABERTURAS!$R$7:$R$26)))/2-(($Z154)+(ABERTURAS!$Q$7:$Q$26)+ABS(($Z154)-(ABERTURAS!$Q$7:$Q$26)))/2))/2))</f>
        <v>0</v>
      </c>
      <c r="R154" s="30" t="n">
        <f aca="false">MAX(0,$O154-$P154)</f>
        <v>0</v>
      </c>
      <c r="S154" s="30" t="n">
        <f aca="false">MAX(0,$O154-$Q154)</f>
        <v>0</v>
      </c>
      <c r="T154" s="50" t="n">
        <f aca="false">IF($D154="",0,IF($E154="VERTICAL",N($G154),MAX(N($I154),IF($K154="",N($I154),$K154))))</f>
        <v>0</v>
      </c>
      <c r="U154" s="50" t="n">
        <f aca="false">IF($L154&lt;&gt;"OK",0,VALUE(RIGHT($C154,1)))</f>
        <v>0</v>
      </c>
      <c r="V154" s="50" t="n">
        <f aca="false">IF($D154="",0,(N($H154)+IF($J154="",N($H154),$J154))/2)</f>
        <v>0</v>
      </c>
      <c r="W154" s="50" t="n">
        <f aca="false">IF($D154="",0,(N($I154)+IF($K154="",N($I154),$K154))/2)</f>
        <v>0</v>
      </c>
      <c r="X154" s="50" t="n">
        <f aca="false">IF($E154="VERTICAL",$V154,N($F154))</f>
        <v>0</v>
      </c>
      <c r="Y154" s="50" t="n">
        <f aca="false">IF($E154="VERTICAL",$W154,N($G154))</f>
        <v>0</v>
      </c>
      <c r="Z154" s="50" t="n">
        <f aca="false">IF($E154="VERTICAL",N($F154),$V154)</f>
        <v>0</v>
      </c>
      <c r="AA154" s="50" t="n">
        <f aca="false">IF($E154="VERTICAL",N($G154),$W154)</f>
        <v>0</v>
      </c>
      <c r="AB154" s="30" t="n">
        <f aca="false">IF($L154&lt;&gt;"OK",0,(INDEX(PRESIONES!$D$28:$D$31,$U154)*IF(INDEX(PRESIONES!$D$28:$D$31,$U154)&gt;0,PRESIONES!$C$9*IF($T154&lt;=10,1,($T154/10)^(2/DATOS!$C$56)),PRESIONES!$C$15)-ABERTURAS!$L$60*PRESIONES!$C$12)*$R154/$M154)</f>
        <v>0</v>
      </c>
      <c r="AC154" s="30" t="n">
        <f aca="false">IF($L154&lt;&gt;"OK",0,(INDEX(PRESIONES!$G$28:$G$31,$U154)*IF(INDEX(PRESIONES!$G$28:$G$31,$U154)&gt;0,PRESIONES!$C$9*IF($T154&lt;=10,1,($T154/10)^(2/DATOS!$C$56)),PRESIONES!$C$15)-ABERTURAS!$L$61*PRESIONES!$C$12)*$R154/$M154)</f>
        <v>0</v>
      </c>
      <c r="AD154" s="30" t="n">
        <f aca="false">IF($L154&lt;&gt;"OK",0,(INDEX(PRESIONES!$J$28:$J$31,$U154)*IF(INDEX(PRESIONES!$J$28:$J$31,$U154)&gt;0,PRESIONES!$C$9*IF($T154&lt;=10,1,($T154/10)^(2/DATOS!$C$56)),PRESIONES!$C$15)-ABERTURAS!$L$62*PRESIONES!$C$12)*$R154/$M154)</f>
        <v>0</v>
      </c>
      <c r="AE154" s="30" t="n">
        <f aca="false">IF($L154&lt;&gt;"OK",0,(INDEX(PRESIONES!$M$28:$M$31,$U154)*IF(INDEX(PRESIONES!$M$28:$M$31,$U154)&gt;0,PRESIONES!$C$9*IF($T154&lt;=10,1,($T154/10)^(2/DATOS!$C$56)),PRESIONES!$C$15)-ABERTURAS!$L$63*PRESIONES!$C$12)*$R154/$M154)</f>
        <v>0</v>
      </c>
      <c r="AF154" s="30" t="n">
        <f aca="false">IF($L154&lt;&gt;"OK",0,(INDEX(PRESIONES!$D$28:$D$31,$U154)*IF(INDEX(PRESIONES!$D$28:$D$31,$U154)&gt;0,PRESIONES!$C$9*IF($T154&lt;=10,1,($T154/10)^(2/DATOS!$C$56)),PRESIONES!$C$15)-ABERTURAS!$L$64*PRESIONES!$C$12)*$S154/$M154)</f>
        <v>0</v>
      </c>
      <c r="AG154" s="30" t="n">
        <f aca="false">IF($L154&lt;&gt;"OK",0,(INDEX(PRESIONES!$G$28:$G$31,$U154)*IF(INDEX(PRESIONES!$G$28:$G$31,$U154)&gt;0,PRESIONES!$C$9*IF($T154&lt;=10,1,($T154/10)^(2/DATOS!$C$56)),PRESIONES!$C$15)-ABERTURAS!$L$65*PRESIONES!$C$12)*$S154/$M154)</f>
        <v>0</v>
      </c>
      <c r="AH154" s="30" t="n">
        <f aca="false">IF($L154&lt;&gt;"OK",0,(INDEX(PRESIONES!$J$28:$J$31,$U154)*IF(INDEX(PRESIONES!$J$28:$J$31,$U154)&gt;0,PRESIONES!$C$9*IF($T154&lt;=10,1,($T154/10)^(2/DATOS!$C$56)),PRESIONES!$C$15)-ABERTURAS!$L$66*PRESIONES!$C$12)*$S154/$M154)</f>
        <v>0</v>
      </c>
      <c r="AI154" s="30" t="n">
        <f aca="false">IF($L154&lt;&gt;"OK",0,(INDEX(PRESIONES!$M$28:$M$31,$U154)*IF(INDEX(PRESIONES!$M$28:$M$31,$U154)&gt;0,PRESIONES!$C$9*IF($T154&lt;=10,1,($T154/10)^(2/DATOS!$C$56)),PRESIONES!$C$15)-ABERTURAS!$L$67*PRESIONES!$C$12)*$S154/$M154)</f>
        <v>0</v>
      </c>
    </row>
    <row r="155" customFormat="false" ht="15" hidden="false" customHeight="true" outlineLevel="0" collapsed="false">
      <c r="B155" s="27"/>
      <c r="C155" s="17"/>
      <c r="D155" s="27"/>
      <c r="E155" s="17"/>
      <c r="F155" s="49"/>
      <c r="G155" s="49"/>
      <c r="H155" s="49"/>
      <c r="I155" s="49"/>
      <c r="J155" s="49"/>
      <c r="K155" s="49"/>
      <c r="L155" s="20" t="str">
        <f aca="false">IF($D155="","",IF(LEFT($C155,4)&lt;&gt;"MURO","PON EL MURO",IF(AND($E155&lt;&gt;"HORIZONTAL",$E155&lt;&gt;"VERTICAL"),"PON EL SENTIDO",IF(OR($F155="",$G155="",$H155="",$I155=""),"FALTAN a o b",IF($M155&lt;=0,"a₂ DEBE SER &gt; a₁",IF($N155&lt;=0,"b₂ DEBE SER &gt; b₁","OK"))))))</f>
        <v/>
      </c>
      <c r="M155" s="30" t="n">
        <f aca="false">IF($D155="",0,MAX(0,$G155-$F155))</f>
        <v>0</v>
      </c>
      <c r="N155" s="30" t="n">
        <f aca="false">MAX(0,$W155-$V155)</f>
        <v>0</v>
      </c>
      <c r="O155" s="30" t="n">
        <f aca="false">$M155*$N155</f>
        <v>0</v>
      </c>
      <c r="P155" s="30" t="n">
        <f aca="false">IF($U155=0,0,SUMPRODUCT((ABERTURAS!$N$7:$N$26=$U155)*ABERTURAS!$U$7:$U$26*(((($Y155)+(ABERTURAS!$P$7:$P$26)-ABS(($Y155)-(ABERTURAS!$P$7:$P$26)))/2-(($X155)+(ABERTURAS!$O$7:$O$26)+ABS(($X155)-(ABERTURAS!$O$7:$O$26)))/2)+ABS((($Y155)+(ABERTURAS!$P$7:$P$26)-ABS(($Y155)-(ABERTURAS!$P$7:$P$26)))/2-(($X155)+(ABERTURAS!$O$7:$O$26)+ABS(($X155)-(ABERTURAS!$O$7:$O$26)))/2))/2*(((($AA155)+(ABERTURAS!$R$7:$R$26)-ABS(($AA155)-(ABERTURAS!$R$7:$R$26)))/2-(($Z155)+(ABERTURAS!$Q$7:$Q$26)+ABS(($Z155)-(ABERTURAS!$Q$7:$Q$26)))/2)+ABS((($AA155)+(ABERTURAS!$R$7:$R$26)-ABS(($AA155)-(ABERTURAS!$R$7:$R$26)))/2-(($Z155)+(ABERTURAS!$Q$7:$Q$26)+ABS(($Z155)-(ABERTURAS!$Q$7:$Q$26)))/2))/2))</f>
        <v>0</v>
      </c>
      <c r="Q155" s="30" t="n">
        <f aca="false">IF($U155=0,0,SUMPRODUCT((ABERTURAS!$N$7:$N$26=$U155)*ABERTURAS!$V$7:$V$26*(((($Y155)+(ABERTURAS!$P$7:$P$26)-ABS(($Y155)-(ABERTURAS!$P$7:$P$26)))/2-(($X155)+(ABERTURAS!$O$7:$O$26)+ABS(($X155)-(ABERTURAS!$O$7:$O$26)))/2)+ABS((($Y155)+(ABERTURAS!$P$7:$P$26)-ABS(($Y155)-(ABERTURAS!$P$7:$P$26)))/2-(($X155)+(ABERTURAS!$O$7:$O$26)+ABS(($X155)-(ABERTURAS!$O$7:$O$26)))/2))/2*(((($AA155)+(ABERTURAS!$R$7:$R$26)-ABS(($AA155)-(ABERTURAS!$R$7:$R$26)))/2-(($Z155)+(ABERTURAS!$Q$7:$Q$26)+ABS(($Z155)-(ABERTURAS!$Q$7:$Q$26)))/2)+ABS((($AA155)+(ABERTURAS!$R$7:$R$26)-ABS(($AA155)-(ABERTURAS!$R$7:$R$26)))/2-(($Z155)+(ABERTURAS!$Q$7:$Q$26)+ABS(($Z155)-(ABERTURAS!$Q$7:$Q$26)))/2))/2))</f>
        <v>0</v>
      </c>
      <c r="R155" s="30" t="n">
        <f aca="false">MAX(0,$O155-$P155)</f>
        <v>0</v>
      </c>
      <c r="S155" s="30" t="n">
        <f aca="false">MAX(0,$O155-$Q155)</f>
        <v>0</v>
      </c>
      <c r="T155" s="50" t="n">
        <f aca="false">IF($D155="",0,IF($E155="VERTICAL",N($G155),MAX(N($I155),IF($K155="",N($I155),$K155))))</f>
        <v>0</v>
      </c>
      <c r="U155" s="50" t="n">
        <f aca="false">IF($L155&lt;&gt;"OK",0,VALUE(RIGHT($C155,1)))</f>
        <v>0</v>
      </c>
      <c r="V155" s="50" t="n">
        <f aca="false">IF($D155="",0,(N($H155)+IF($J155="",N($H155),$J155))/2)</f>
        <v>0</v>
      </c>
      <c r="W155" s="50" t="n">
        <f aca="false">IF($D155="",0,(N($I155)+IF($K155="",N($I155),$K155))/2)</f>
        <v>0</v>
      </c>
      <c r="X155" s="50" t="n">
        <f aca="false">IF($E155="VERTICAL",$V155,N($F155))</f>
        <v>0</v>
      </c>
      <c r="Y155" s="50" t="n">
        <f aca="false">IF($E155="VERTICAL",$W155,N($G155))</f>
        <v>0</v>
      </c>
      <c r="Z155" s="50" t="n">
        <f aca="false">IF($E155="VERTICAL",N($F155),$V155)</f>
        <v>0</v>
      </c>
      <c r="AA155" s="50" t="n">
        <f aca="false">IF($E155="VERTICAL",N($G155),$W155)</f>
        <v>0</v>
      </c>
      <c r="AB155" s="30" t="n">
        <f aca="false">IF($L155&lt;&gt;"OK",0,(INDEX(PRESIONES!$D$28:$D$31,$U155)*IF(INDEX(PRESIONES!$D$28:$D$31,$U155)&gt;0,PRESIONES!$C$9*IF($T155&lt;=10,1,($T155/10)^(2/DATOS!$C$56)),PRESIONES!$C$15)-ABERTURAS!$L$60*PRESIONES!$C$12)*$R155/$M155)</f>
        <v>0</v>
      </c>
      <c r="AC155" s="30" t="n">
        <f aca="false">IF($L155&lt;&gt;"OK",0,(INDEX(PRESIONES!$G$28:$G$31,$U155)*IF(INDEX(PRESIONES!$G$28:$G$31,$U155)&gt;0,PRESIONES!$C$9*IF($T155&lt;=10,1,($T155/10)^(2/DATOS!$C$56)),PRESIONES!$C$15)-ABERTURAS!$L$61*PRESIONES!$C$12)*$R155/$M155)</f>
        <v>0</v>
      </c>
      <c r="AD155" s="30" t="n">
        <f aca="false">IF($L155&lt;&gt;"OK",0,(INDEX(PRESIONES!$J$28:$J$31,$U155)*IF(INDEX(PRESIONES!$J$28:$J$31,$U155)&gt;0,PRESIONES!$C$9*IF($T155&lt;=10,1,($T155/10)^(2/DATOS!$C$56)),PRESIONES!$C$15)-ABERTURAS!$L$62*PRESIONES!$C$12)*$R155/$M155)</f>
        <v>0</v>
      </c>
      <c r="AE155" s="30" t="n">
        <f aca="false">IF($L155&lt;&gt;"OK",0,(INDEX(PRESIONES!$M$28:$M$31,$U155)*IF(INDEX(PRESIONES!$M$28:$M$31,$U155)&gt;0,PRESIONES!$C$9*IF($T155&lt;=10,1,($T155/10)^(2/DATOS!$C$56)),PRESIONES!$C$15)-ABERTURAS!$L$63*PRESIONES!$C$12)*$R155/$M155)</f>
        <v>0</v>
      </c>
      <c r="AF155" s="30" t="n">
        <f aca="false">IF($L155&lt;&gt;"OK",0,(INDEX(PRESIONES!$D$28:$D$31,$U155)*IF(INDEX(PRESIONES!$D$28:$D$31,$U155)&gt;0,PRESIONES!$C$9*IF($T155&lt;=10,1,($T155/10)^(2/DATOS!$C$56)),PRESIONES!$C$15)-ABERTURAS!$L$64*PRESIONES!$C$12)*$S155/$M155)</f>
        <v>0</v>
      </c>
      <c r="AG155" s="30" t="n">
        <f aca="false">IF($L155&lt;&gt;"OK",0,(INDEX(PRESIONES!$G$28:$G$31,$U155)*IF(INDEX(PRESIONES!$G$28:$G$31,$U155)&gt;0,PRESIONES!$C$9*IF($T155&lt;=10,1,($T155/10)^(2/DATOS!$C$56)),PRESIONES!$C$15)-ABERTURAS!$L$65*PRESIONES!$C$12)*$S155/$M155)</f>
        <v>0</v>
      </c>
      <c r="AH155" s="30" t="n">
        <f aca="false">IF($L155&lt;&gt;"OK",0,(INDEX(PRESIONES!$J$28:$J$31,$U155)*IF(INDEX(PRESIONES!$J$28:$J$31,$U155)&gt;0,PRESIONES!$C$9*IF($T155&lt;=10,1,($T155/10)^(2/DATOS!$C$56)),PRESIONES!$C$15)-ABERTURAS!$L$66*PRESIONES!$C$12)*$S155/$M155)</f>
        <v>0</v>
      </c>
      <c r="AI155" s="30" t="n">
        <f aca="false">IF($L155&lt;&gt;"OK",0,(INDEX(PRESIONES!$M$28:$M$31,$U155)*IF(INDEX(PRESIONES!$M$28:$M$31,$U155)&gt;0,PRESIONES!$C$9*IF($T155&lt;=10,1,($T155/10)^(2/DATOS!$C$56)),PRESIONES!$C$15)-ABERTURAS!$L$67*PRESIONES!$C$12)*$S155/$M155)</f>
        <v>0</v>
      </c>
    </row>
    <row r="156" customFormat="false" ht="15" hidden="false" customHeight="true" outlineLevel="0" collapsed="false">
      <c r="B156" s="27"/>
      <c r="C156" s="17"/>
      <c r="D156" s="27"/>
      <c r="E156" s="17"/>
      <c r="F156" s="49"/>
      <c r="G156" s="49"/>
      <c r="H156" s="49"/>
      <c r="I156" s="49"/>
      <c r="J156" s="49"/>
      <c r="K156" s="49"/>
      <c r="L156" s="20" t="str">
        <f aca="false">IF($D156="","",IF(LEFT($C156,4)&lt;&gt;"MURO","PON EL MURO",IF(AND($E156&lt;&gt;"HORIZONTAL",$E156&lt;&gt;"VERTICAL"),"PON EL SENTIDO",IF(OR($F156="",$G156="",$H156="",$I156=""),"FALTAN a o b",IF($M156&lt;=0,"a₂ DEBE SER &gt; a₁",IF($N156&lt;=0,"b₂ DEBE SER &gt; b₁","OK"))))))</f>
        <v/>
      </c>
      <c r="M156" s="30" t="n">
        <f aca="false">IF($D156="",0,MAX(0,$G156-$F156))</f>
        <v>0</v>
      </c>
      <c r="N156" s="30" t="n">
        <f aca="false">MAX(0,$W156-$V156)</f>
        <v>0</v>
      </c>
      <c r="O156" s="30" t="n">
        <f aca="false">$M156*$N156</f>
        <v>0</v>
      </c>
      <c r="P156" s="30" t="n">
        <f aca="false">IF($U156=0,0,SUMPRODUCT((ABERTURAS!$N$7:$N$26=$U156)*ABERTURAS!$U$7:$U$26*(((($Y156)+(ABERTURAS!$P$7:$P$26)-ABS(($Y156)-(ABERTURAS!$P$7:$P$26)))/2-(($X156)+(ABERTURAS!$O$7:$O$26)+ABS(($X156)-(ABERTURAS!$O$7:$O$26)))/2)+ABS((($Y156)+(ABERTURAS!$P$7:$P$26)-ABS(($Y156)-(ABERTURAS!$P$7:$P$26)))/2-(($X156)+(ABERTURAS!$O$7:$O$26)+ABS(($X156)-(ABERTURAS!$O$7:$O$26)))/2))/2*(((($AA156)+(ABERTURAS!$R$7:$R$26)-ABS(($AA156)-(ABERTURAS!$R$7:$R$26)))/2-(($Z156)+(ABERTURAS!$Q$7:$Q$26)+ABS(($Z156)-(ABERTURAS!$Q$7:$Q$26)))/2)+ABS((($AA156)+(ABERTURAS!$R$7:$R$26)-ABS(($AA156)-(ABERTURAS!$R$7:$R$26)))/2-(($Z156)+(ABERTURAS!$Q$7:$Q$26)+ABS(($Z156)-(ABERTURAS!$Q$7:$Q$26)))/2))/2))</f>
        <v>0</v>
      </c>
      <c r="Q156" s="30" t="n">
        <f aca="false">IF($U156=0,0,SUMPRODUCT((ABERTURAS!$N$7:$N$26=$U156)*ABERTURAS!$V$7:$V$26*(((($Y156)+(ABERTURAS!$P$7:$P$26)-ABS(($Y156)-(ABERTURAS!$P$7:$P$26)))/2-(($X156)+(ABERTURAS!$O$7:$O$26)+ABS(($X156)-(ABERTURAS!$O$7:$O$26)))/2)+ABS((($Y156)+(ABERTURAS!$P$7:$P$26)-ABS(($Y156)-(ABERTURAS!$P$7:$P$26)))/2-(($X156)+(ABERTURAS!$O$7:$O$26)+ABS(($X156)-(ABERTURAS!$O$7:$O$26)))/2))/2*(((($AA156)+(ABERTURAS!$R$7:$R$26)-ABS(($AA156)-(ABERTURAS!$R$7:$R$26)))/2-(($Z156)+(ABERTURAS!$Q$7:$Q$26)+ABS(($Z156)-(ABERTURAS!$Q$7:$Q$26)))/2)+ABS((($AA156)+(ABERTURAS!$R$7:$R$26)-ABS(($AA156)-(ABERTURAS!$R$7:$R$26)))/2-(($Z156)+(ABERTURAS!$Q$7:$Q$26)+ABS(($Z156)-(ABERTURAS!$Q$7:$Q$26)))/2))/2))</f>
        <v>0</v>
      </c>
      <c r="R156" s="30" t="n">
        <f aca="false">MAX(0,$O156-$P156)</f>
        <v>0</v>
      </c>
      <c r="S156" s="30" t="n">
        <f aca="false">MAX(0,$O156-$Q156)</f>
        <v>0</v>
      </c>
      <c r="T156" s="50" t="n">
        <f aca="false">IF($D156="",0,IF($E156="VERTICAL",N($G156),MAX(N($I156),IF($K156="",N($I156),$K156))))</f>
        <v>0</v>
      </c>
      <c r="U156" s="50" t="n">
        <f aca="false">IF($L156&lt;&gt;"OK",0,VALUE(RIGHT($C156,1)))</f>
        <v>0</v>
      </c>
      <c r="V156" s="50" t="n">
        <f aca="false">IF($D156="",0,(N($H156)+IF($J156="",N($H156),$J156))/2)</f>
        <v>0</v>
      </c>
      <c r="W156" s="50" t="n">
        <f aca="false">IF($D156="",0,(N($I156)+IF($K156="",N($I156),$K156))/2)</f>
        <v>0</v>
      </c>
      <c r="X156" s="50" t="n">
        <f aca="false">IF($E156="VERTICAL",$V156,N($F156))</f>
        <v>0</v>
      </c>
      <c r="Y156" s="50" t="n">
        <f aca="false">IF($E156="VERTICAL",$W156,N($G156))</f>
        <v>0</v>
      </c>
      <c r="Z156" s="50" t="n">
        <f aca="false">IF($E156="VERTICAL",N($F156),$V156)</f>
        <v>0</v>
      </c>
      <c r="AA156" s="50" t="n">
        <f aca="false">IF($E156="VERTICAL",N($G156),$W156)</f>
        <v>0</v>
      </c>
      <c r="AB156" s="30" t="n">
        <f aca="false">IF($L156&lt;&gt;"OK",0,(INDEX(PRESIONES!$D$28:$D$31,$U156)*IF(INDEX(PRESIONES!$D$28:$D$31,$U156)&gt;0,PRESIONES!$C$9*IF($T156&lt;=10,1,($T156/10)^(2/DATOS!$C$56)),PRESIONES!$C$15)-ABERTURAS!$L$60*PRESIONES!$C$12)*$R156/$M156)</f>
        <v>0</v>
      </c>
      <c r="AC156" s="30" t="n">
        <f aca="false">IF($L156&lt;&gt;"OK",0,(INDEX(PRESIONES!$G$28:$G$31,$U156)*IF(INDEX(PRESIONES!$G$28:$G$31,$U156)&gt;0,PRESIONES!$C$9*IF($T156&lt;=10,1,($T156/10)^(2/DATOS!$C$56)),PRESIONES!$C$15)-ABERTURAS!$L$61*PRESIONES!$C$12)*$R156/$M156)</f>
        <v>0</v>
      </c>
      <c r="AD156" s="30" t="n">
        <f aca="false">IF($L156&lt;&gt;"OK",0,(INDEX(PRESIONES!$J$28:$J$31,$U156)*IF(INDEX(PRESIONES!$J$28:$J$31,$U156)&gt;0,PRESIONES!$C$9*IF($T156&lt;=10,1,($T156/10)^(2/DATOS!$C$56)),PRESIONES!$C$15)-ABERTURAS!$L$62*PRESIONES!$C$12)*$R156/$M156)</f>
        <v>0</v>
      </c>
      <c r="AE156" s="30" t="n">
        <f aca="false">IF($L156&lt;&gt;"OK",0,(INDEX(PRESIONES!$M$28:$M$31,$U156)*IF(INDEX(PRESIONES!$M$28:$M$31,$U156)&gt;0,PRESIONES!$C$9*IF($T156&lt;=10,1,($T156/10)^(2/DATOS!$C$56)),PRESIONES!$C$15)-ABERTURAS!$L$63*PRESIONES!$C$12)*$R156/$M156)</f>
        <v>0</v>
      </c>
      <c r="AF156" s="30" t="n">
        <f aca="false">IF($L156&lt;&gt;"OK",0,(INDEX(PRESIONES!$D$28:$D$31,$U156)*IF(INDEX(PRESIONES!$D$28:$D$31,$U156)&gt;0,PRESIONES!$C$9*IF($T156&lt;=10,1,($T156/10)^(2/DATOS!$C$56)),PRESIONES!$C$15)-ABERTURAS!$L$64*PRESIONES!$C$12)*$S156/$M156)</f>
        <v>0</v>
      </c>
      <c r="AG156" s="30" t="n">
        <f aca="false">IF($L156&lt;&gt;"OK",0,(INDEX(PRESIONES!$G$28:$G$31,$U156)*IF(INDEX(PRESIONES!$G$28:$G$31,$U156)&gt;0,PRESIONES!$C$9*IF($T156&lt;=10,1,($T156/10)^(2/DATOS!$C$56)),PRESIONES!$C$15)-ABERTURAS!$L$65*PRESIONES!$C$12)*$S156/$M156)</f>
        <v>0</v>
      </c>
      <c r="AH156" s="30" t="n">
        <f aca="false">IF($L156&lt;&gt;"OK",0,(INDEX(PRESIONES!$J$28:$J$31,$U156)*IF(INDEX(PRESIONES!$J$28:$J$31,$U156)&gt;0,PRESIONES!$C$9*IF($T156&lt;=10,1,($T156/10)^(2/DATOS!$C$56)),PRESIONES!$C$15)-ABERTURAS!$L$66*PRESIONES!$C$12)*$S156/$M156)</f>
        <v>0</v>
      </c>
      <c r="AI156" s="30" t="n">
        <f aca="false">IF($L156&lt;&gt;"OK",0,(INDEX(PRESIONES!$M$28:$M$31,$U156)*IF(INDEX(PRESIONES!$M$28:$M$31,$U156)&gt;0,PRESIONES!$C$9*IF($T156&lt;=10,1,($T156/10)^(2/DATOS!$C$56)),PRESIONES!$C$15)-ABERTURAS!$L$67*PRESIONES!$C$12)*$S156/$M156)</f>
        <v>0</v>
      </c>
    </row>
    <row r="157" customFormat="false" ht="15" hidden="false" customHeight="true" outlineLevel="0" collapsed="false">
      <c r="B157" s="27"/>
      <c r="C157" s="17"/>
      <c r="D157" s="27"/>
      <c r="E157" s="17"/>
      <c r="F157" s="49"/>
      <c r="G157" s="49"/>
      <c r="H157" s="49"/>
      <c r="I157" s="49"/>
      <c r="J157" s="49"/>
      <c r="K157" s="49"/>
      <c r="L157" s="20" t="str">
        <f aca="false">IF($D157="","",IF(LEFT($C157,4)&lt;&gt;"MURO","PON EL MURO",IF(AND($E157&lt;&gt;"HORIZONTAL",$E157&lt;&gt;"VERTICAL"),"PON EL SENTIDO",IF(OR($F157="",$G157="",$H157="",$I157=""),"FALTAN a o b",IF($M157&lt;=0,"a₂ DEBE SER &gt; a₁",IF($N157&lt;=0,"b₂ DEBE SER &gt; b₁","OK"))))))</f>
        <v/>
      </c>
      <c r="M157" s="30" t="n">
        <f aca="false">IF($D157="",0,MAX(0,$G157-$F157))</f>
        <v>0</v>
      </c>
      <c r="N157" s="30" t="n">
        <f aca="false">MAX(0,$W157-$V157)</f>
        <v>0</v>
      </c>
      <c r="O157" s="30" t="n">
        <f aca="false">$M157*$N157</f>
        <v>0</v>
      </c>
      <c r="P157" s="30" t="n">
        <f aca="false">IF($U157=0,0,SUMPRODUCT((ABERTURAS!$N$7:$N$26=$U157)*ABERTURAS!$U$7:$U$26*(((($Y157)+(ABERTURAS!$P$7:$P$26)-ABS(($Y157)-(ABERTURAS!$P$7:$P$26)))/2-(($X157)+(ABERTURAS!$O$7:$O$26)+ABS(($X157)-(ABERTURAS!$O$7:$O$26)))/2)+ABS((($Y157)+(ABERTURAS!$P$7:$P$26)-ABS(($Y157)-(ABERTURAS!$P$7:$P$26)))/2-(($X157)+(ABERTURAS!$O$7:$O$26)+ABS(($X157)-(ABERTURAS!$O$7:$O$26)))/2))/2*(((($AA157)+(ABERTURAS!$R$7:$R$26)-ABS(($AA157)-(ABERTURAS!$R$7:$R$26)))/2-(($Z157)+(ABERTURAS!$Q$7:$Q$26)+ABS(($Z157)-(ABERTURAS!$Q$7:$Q$26)))/2)+ABS((($AA157)+(ABERTURAS!$R$7:$R$26)-ABS(($AA157)-(ABERTURAS!$R$7:$R$26)))/2-(($Z157)+(ABERTURAS!$Q$7:$Q$26)+ABS(($Z157)-(ABERTURAS!$Q$7:$Q$26)))/2))/2))</f>
        <v>0</v>
      </c>
      <c r="Q157" s="30" t="n">
        <f aca="false">IF($U157=0,0,SUMPRODUCT((ABERTURAS!$N$7:$N$26=$U157)*ABERTURAS!$V$7:$V$26*(((($Y157)+(ABERTURAS!$P$7:$P$26)-ABS(($Y157)-(ABERTURAS!$P$7:$P$26)))/2-(($X157)+(ABERTURAS!$O$7:$O$26)+ABS(($X157)-(ABERTURAS!$O$7:$O$26)))/2)+ABS((($Y157)+(ABERTURAS!$P$7:$P$26)-ABS(($Y157)-(ABERTURAS!$P$7:$P$26)))/2-(($X157)+(ABERTURAS!$O$7:$O$26)+ABS(($X157)-(ABERTURAS!$O$7:$O$26)))/2))/2*(((($AA157)+(ABERTURAS!$R$7:$R$26)-ABS(($AA157)-(ABERTURAS!$R$7:$R$26)))/2-(($Z157)+(ABERTURAS!$Q$7:$Q$26)+ABS(($Z157)-(ABERTURAS!$Q$7:$Q$26)))/2)+ABS((($AA157)+(ABERTURAS!$R$7:$R$26)-ABS(($AA157)-(ABERTURAS!$R$7:$R$26)))/2-(($Z157)+(ABERTURAS!$Q$7:$Q$26)+ABS(($Z157)-(ABERTURAS!$Q$7:$Q$26)))/2))/2))</f>
        <v>0</v>
      </c>
      <c r="R157" s="30" t="n">
        <f aca="false">MAX(0,$O157-$P157)</f>
        <v>0</v>
      </c>
      <c r="S157" s="30" t="n">
        <f aca="false">MAX(0,$O157-$Q157)</f>
        <v>0</v>
      </c>
      <c r="T157" s="50" t="n">
        <f aca="false">IF($D157="",0,IF($E157="VERTICAL",N($G157),MAX(N($I157),IF($K157="",N($I157),$K157))))</f>
        <v>0</v>
      </c>
      <c r="U157" s="50" t="n">
        <f aca="false">IF($L157&lt;&gt;"OK",0,VALUE(RIGHT($C157,1)))</f>
        <v>0</v>
      </c>
      <c r="V157" s="50" t="n">
        <f aca="false">IF($D157="",0,(N($H157)+IF($J157="",N($H157),$J157))/2)</f>
        <v>0</v>
      </c>
      <c r="W157" s="50" t="n">
        <f aca="false">IF($D157="",0,(N($I157)+IF($K157="",N($I157),$K157))/2)</f>
        <v>0</v>
      </c>
      <c r="X157" s="50" t="n">
        <f aca="false">IF($E157="VERTICAL",$V157,N($F157))</f>
        <v>0</v>
      </c>
      <c r="Y157" s="50" t="n">
        <f aca="false">IF($E157="VERTICAL",$W157,N($G157))</f>
        <v>0</v>
      </c>
      <c r="Z157" s="50" t="n">
        <f aca="false">IF($E157="VERTICAL",N($F157),$V157)</f>
        <v>0</v>
      </c>
      <c r="AA157" s="50" t="n">
        <f aca="false">IF($E157="VERTICAL",N($G157),$W157)</f>
        <v>0</v>
      </c>
      <c r="AB157" s="30" t="n">
        <f aca="false">IF($L157&lt;&gt;"OK",0,(INDEX(PRESIONES!$D$28:$D$31,$U157)*IF(INDEX(PRESIONES!$D$28:$D$31,$U157)&gt;0,PRESIONES!$C$9*IF($T157&lt;=10,1,($T157/10)^(2/DATOS!$C$56)),PRESIONES!$C$15)-ABERTURAS!$L$60*PRESIONES!$C$12)*$R157/$M157)</f>
        <v>0</v>
      </c>
      <c r="AC157" s="30" t="n">
        <f aca="false">IF($L157&lt;&gt;"OK",0,(INDEX(PRESIONES!$G$28:$G$31,$U157)*IF(INDEX(PRESIONES!$G$28:$G$31,$U157)&gt;0,PRESIONES!$C$9*IF($T157&lt;=10,1,($T157/10)^(2/DATOS!$C$56)),PRESIONES!$C$15)-ABERTURAS!$L$61*PRESIONES!$C$12)*$R157/$M157)</f>
        <v>0</v>
      </c>
      <c r="AD157" s="30" t="n">
        <f aca="false">IF($L157&lt;&gt;"OK",0,(INDEX(PRESIONES!$J$28:$J$31,$U157)*IF(INDEX(PRESIONES!$J$28:$J$31,$U157)&gt;0,PRESIONES!$C$9*IF($T157&lt;=10,1,($T157/10)^(2/DATOS!$C$56)),PRESIONES!$C$15)-ABERTURAS!$L$62*PRESIONES!$C$12)*$R157/$M157)</f>
        <v>0</v>
      </c>
      <c r="AE157" s="30" t="n">
        <f aca="false">IF($L157&lt;&gt;"OK",0,(INDEX(PRESIONES!$M$28:$M$31,$U157)*IF(INDEX(PRESIONES!$M$28:$M$31,$U157)&gt;0,PRESIONES!$C$9*IF($T157&lt;=10,1,($T157/10)^(2/DATOS!$C$56)),PRESIONES!$C$15)-ABERTURAS!$L$63*PRESIONES!$C$12)*$R157/$M157)</f>
        <v>0</v>
      </c>
      <c r="AF157" s="30" t="n">
        <f aca="false">IF($L157&lt;&gt;"OK",0,(INDEX(PRESIONES!$D$28:$D$31,$U157)*IF(INDEX(PRESIONES!$D$28:$D$31,$U157)&gt;0,PRESIONES!$C$9*IF($T157&lt;=10,1,($T157/10)^(2/DATOS!$C$56)),PRESIONES!$C$15)-ABERTURAS!$L$64*PRESIONES!$C$12)*$S157/$M157)</f>
        <v>0</v>
      </c>
      <c r="AG157" s="30" t="n">
        <f aca="false">IF($L157&lt;&gt;"OK",0,(INDEX(PRESIONES!$G$28:$G$31,$U157)*IF(INDEX(PRESIONES!$G$28:$G$31,$U157)&gt;0,PRESIONES!$C$9*IF($T157&lt;=10,1,($T157/10)^(2/DATOS!$C$56)),PRESIONES!$C$15)-ABERTURAS!$L$65*PRESIONES!$C$12)*$S157/$M157)</f>
        <v>0</v>
      </c>
      <c r="AH157" s="30" t="n">
        <f aca="false">IF($L157&lt;&gt;"OK",0,(INDEX(PRESIONES!$J$28:$J$31,$U157)*IF(INDEX(PRESIONES!$J$28:$J$31,$U157)&gt;0,PRESIONES!$C$9*IF($T157&lt;=10,1,($T157/10)^(2/DATOS!$C$56)),PRESIONES!$C$15)-ABERTURAS!$L$66*PRESIONES!$C$12)*$S157/$M157)</f>
        <v>0</v>
      </c>
      <c r="AI157" s="30" t="n">
        <f aca="false">IF($L157&lt;&gt;"OK",0,(INDEX(PRESIONES!$M$28:$M$31,$U157)*IF(INDEX(PRESIONES!$M$28:$M$31,$U157)&gt;0,PRESIONES!$C$9*IF($T157&lt;=10,1,($T157/10)^(2/DATOS!$C$56)),PRESIONES!$C$15)-ABERTURAS!$L$67*PRESIONES!$C$12)*$S157/$M157)</f>
        <v>0</v>
      </c>
    </row>
    <row r="158" customFormat="false" ht="15" hidden="false" customHeight="true" outlineLevel="0" collapsed="false">
      <c r="B158" s="27"/>
      <c r="C158" s="17"/>
      <c r="D158" s="27"/>
      <c r="E158" s="17"/>
      <c r="F158" s="49"/>
      <c r="G158" s="49"/>
      <c r="H158" s="49"/>
      <c r="I158" s="49"/>
      <c r="J158" s="49"/>
      <c r="K158" s="49"/>
      <c r="L158" s="20" t="str">
        <f aca="false">IF($D158="","",IF(LEFT($C158,4)&lt;&gt;"MURO","PON EL MURO",IF(AND($E158&lt;&gt;"HORIZONTAL",$E158&lt;&gt;"VERTICAL"),"PON EL SENTIDO",IF(OR($F158="",$G158="",$H158="",$I158=""),"FALTAN a o b",IF($M158&lt;=0,"a₂ DEBE SER &gt; a₁",IF($N158&lt;=0,"b₂ DEBE SER &gt; b₁","OK"))))))</f>
        <v/>
      </c>
      <c r="M158" s="30" t="n">
        <f aca="false">IF($D158="",0,MAX(0,$G158-$F158))</f>
        <v>0</v>
      </c>
      <c r="N158" s="30" t="n">
        <f aca="false">MAX(0,$W158-$V158)</f>
        <v>0</v>
      </c>
      <c r="O158" s="30" t="n">
        <f aca="false">$M158*$N158</f>
        <v>0</v>
      </c>
      <c r="P158" s="30" t="n">
        <f aca="false">IF($U158=0,0,SUMPRODUCT((ABERTURAS!$N$7:$N$26=$U158)*ABERTURAS!$U$7:$U$26*(((($Y158)+(ABERTURAS!$P$7:$P$26)-ABS(($Y158)-(ABERTURAS!$P$7:$P$26)))/2-(($X158)+(ABERTURAS!$O$7:$O$26)+ABS(($X158)-(ABERTURAS!$O$7:$O$26)))/2)+ABS((($Y158)+(ABERTURAS!$P$7:$P$26)-ABS(($Y158)-(ABERTURAS!$P$7:$P$26)))/2-(($X158)+(ABERTURAS!$O$7:$O$26)+ABS(($X158)-(ABERTURAS!$O$7:$O$26)))/2))/2*(((($AA158)+(ABERTURAS!$R$7:$R$26)-ABS(($AA158)-(ABERTURAS!$R$7:$R$26)))/2-(($Z158)+(ABERTURAS!$Q$7:$Q$26)+ABS(($Z158)-(ABERTURAS!$Q$7:$Q$26)))/2)+ABS((($AA158)+(ABERTURAS!$R$7:$R$26)-ABS(($AA158)-(ABERTURAS!$R$7:$R$26)))/2-(($Z158)+(ABERTURAS!$Q$7:$Q$26)+ABS(($Z158)-(ABERTURAS!$Q$7:$Q$26)))/2))/2))</f>
        <v>0</v>
      </c>
      <c r="Q158" s="30" t="n">
        <f aca="false">IF($U158=0,0,SUMPRODUCT((ABERTURAS!$N$7:$N$26=$U158)*ABERTURAS!$V$7:$V$26*(((($Y158)+(ABERTURAS!$P$7:$P$26)-ABS(($Y158)-(ABERTURAS!$P$7:$P$26)))/2-(($X158)+(ABERTURAS!$O$7:$O$26)+ABS(($X158)-(ABERTURAS!$O$7:$O$26)))/2)+ABS((($Y158)+(ABERTURAS!$P$7:$P$26)-ABS(($Y158)-(ABERTURAS!$P$7:$P$26)))/2-(($X158)+(ABERTURAS!$O$7:$O$26)+ABS(($X158)-(ABERTURAS!$O$7:$O$26)))/2))/2*(((($AA158)+(ABERTURAS!$R$7:$R$26)-ABS(($AA158)-(ABERTURAS!$R$7:$R$26)))/2-(($Z158)+(ABERTURAS!$Q$7:$Q$26)+ABS(($Z158)-(ABERTURAS!$Q$7:$Q$26)))/2)+ABS((($AA158)+(ABERTURAS!$R$7:$R$26)-ABS(($AA158)-(ABERTURAS!$R$7:$R$26)))/2-(($Z158)+(ABERTURAS!$Q$7:$Q$26)+ABS(($Z158)-(ABERTURAS!$Q$7:$Q$26)))/2))/2))</f>
        <v>0</v>
      </c>
      <c r="R158" s="30" t="n">
        <f aca="false">MAX(0,$O158-$P158)</f>
        <v>0</v>
      </c>
      <c r="S158" s="30" t="n">
        <f aca="false">MAX(0,$O158-$Q158)</f>
        <v>0</v>
      </c>
      <c r="T158" s="50" t="n">
        <f aca="false">IF($D158="",0,IF($E158="VERTICAL",N($G158),MAX(N($I158),IF($K158="",N($I158),$K158))))</f>
        <v>0</v>
      </c>
      <c r="U158" s="50" t="n">
        <f aca="false">IF($L158&lt;&gt;"OK",0,VALUE(RIGHT($C158,1)))</f>
        <v>0</v>
      </c>
      <c r="V158" s="50" t="n">
        <f aca="false">IF($D158="",0,(N($H158)+IF($J158="",N($H158),$J158))/2)</f>
        <v>0</v>
      </c>
      <c r="W158" s="50" t="n">
        <f aca="false">IF($D158="",0,(N($I158)+IF($K158="",N($I158),$K158))/2)</f>
        <v>0</v>
      </c>
      <c r="X158" s="50" t="n">
        <f aca="false">IF($E158="VERTICAL",$V158,N($F158))</f>
        <v>0</v>
      </c>
      <c r="Y158" s="50" t="n">
        <f aca="false">IF($E158="VERTICAL",$W158,N($G158))</f>
        <v>0</v>
      </c>
      <c r="Z158" s="50" t="n">
        <f aca="false">IF($E158="VERTICAL",N($F158),$V158)</f>
        <v>0</v>
      </c>
      <c r="AA158" s="50" t="n">
        <f aca="false">IF($E158="VERTICAL",N($G158),$W158)</f>
        <v>0</v>
      </c>
      <c r="AB158" s="30" t="n">
        <f aca="false">IF($L158&lt;&gt;"OK",0,(INDEX(PRESIONES!$D$28:$D$31,$U158)*IF(INDEX(PRESIONES!$D$28:$D$31,$U158)&gt;0,PRESIONES!$C$9*IF($T158&lt;=10,1,($T158/10)^(2/DATOS!$C$56)),PRESIONES!$C$15)-ABERTURAS!$L$60*PRESIONES!$C$12)*$R158/$M158)</f>
        <v>0</v>
      </c>
      <c r="AC158" s="30" t="n">
        <f aca="false">IF($L158&lt;&gt;"OK",0,(INDEX(PRESIONES!$G$28:$G$31,$U158)*IF(INDEX(PRESIONES!$G$28:$G$31,$U158)&gt;0,PRESIONES!$C$9*IF($T158&lt;=10,1,($T158/10)^(2/DATOS!$C$56)),PRESIONES!$C$15)-ABERTURAS!$L$61*PRESIONES!$C$12)*$R158/$M158)</f>
        <v>0</v>
      </c>
      <c r="AD158" s="30" t="n">
        <f aca="false">IF($L158&lt;&gt;"OK",0,(INDEX(PRESIONES!$J$28:$J$31,$U158)*IF(INDEX(PRESIONES!$J$28:$J$31,$U158)&gt;0,PRESIONES!$C$9*IF($T158&lt;=10,1,($T158/10)^(2/DATOS!$C$56)),PRESIONES!$C$15)-ABERTURAS!$L$62*PRESIONES!$C$12)*$R158/$M158)</f>
        <v>0</v>
      </c>
      <c r="AE158" s="30" t="n">
        <f aca="false">IF($L158&lt;&gt;"OK",0,(INDEX(PRESIONES!$M$28:$M$31,$U158)*IF(INDEX(PRESIONES!$M$28:$M$31,$U158)&gt;0,PRESIONES!$C$9*IF($T158&lt;=10,1,($T158/10)^(2/DATOS!$C$56)),PRESIONES!$C$15)-ABERTURAS!$L$63*PRESIONES!$C$12)*$R158/$M158)</f>
        <v>0</v>
      </c>
      <c r="AF158" s="30" t="n">
        <f aca="false">IF($L158&lt;&gt;"OK",0,(INDEX(PRESIONES!$D$28:$D$31,$U158)*IF(INDEX(PRESIONES!$D$28:$D$31,$U158)&gt;0,PRESIONES!$C$9*IF($T158&lt;=10,1,($T158/10)^(2/DATOS!$C$56)),PRESIONES!$C$15)-ABERTURAS!$L$64*PRESIONES!$C$12)*$S158/$M158)</f>
        <v>0</v>
      </c>
      <c r="AG158" s="30" t="n">
        <f aca="false">IF($L158&lt;&gt;"OK",0,(INDEX(PRESIONES!$G$28:$G$31,$U158)*IF(INDEX(PRESIONES!$G$28:$G$31,$U158)&gt;0,PRESIONES!$C$9*IF($T158&lt;=10,1,($T158/10)^(2/DATOS!$C$56)),PRESIONES!$C$15)-ABERTURAS!$L$65*PRESIONES!$C$12)*$S158/$M158)</f>
        <v>0</v>
      </c>
      <c r="AH158" s="30" t="n">
        <f aca="false">IF($L158&lt;&gt;"OK",0,(INDEX(PRESIONES!$J$28:$J$31,$U158)*IF(INDEX(PRESIONES!$J$28:$J$31,$U158)&gt;0,PRESIONES!$C$9*IF($T158&lt;=10,1,($T158/10)^(2/DATOS!$C$56)),PRESIONES!$C$15)-ABERTURAS!$L$66*PRESIONES!$C$12)*$S158/$M158)</f>
        <v>0</v>
      </c>
      <c r="AI158" s="30" t="n">
        <f aca="false">IF($L158&lt;&gt;"OK",0,(INDEX(PRESIONES!$M$28:$M$31,$U158)*IF(INDEX(PRESIONES!$M$28:$M$31,$U158)&gt;0,PRESIONES!$C$9*IF($T158&lt;=10,1,($T158/10)^(2/DATOS!$C$56)),PRESIONES!$C$15)-ABERTURAS!$L$67*PRESIONES!$C$12)*$S158/$M158)</f>
        <v>0</v>
      </c>
    </row>
    <row r="159" customFormat="false" ht="15" hidden="false" customHeight="true" outlineLevel="0" collapsed="false">
      <c r="B159" s="27"/>
      <c r="C159" s="17"/>
      <c r="D159" s="27"/>
      <c r="E159" s="17"/>
      <c r="F159" s="49"/>
      <c r="G159" s="49"/>
      <c r="H159" s="49"/>
      <c r="I159" s="49"/>
      <c r="J159" s="49"/>
      <c r="K159" s="49"/>
      <c r="L159" s="20" t="str">
        <f aca="false">IF($D159="","",IF(LEFT($C159,4)&lt;&gt;"MURO","PON EL MURO",IF(AND($E159&lt;&gt;"HORIZONTAL",$E159&lt;&gt;"VERTICAL"),"PON EL SENTIDO",IF(OR($F159="",$G159="",$H159="",$I159=""),"FALTAN a o b",IF($M159&lt;=0,"a₂ DEBE SER &gt; a₁",IF($N159&lt;=0,"b₂ DEBE SER &gt; b₁","OK"))))))</f>
        <v/>
      </c>
      <c r="M159" s="30" t="n">
        <f aca="false">IF($D159="",0,MAX(0,$G159-$F159))</f>
        <v>0</v>
      </c>
      <c r="N159" s="30" t="n">
        <f aca="false">MAX(0,$W159-$V159)</f>
        <v>0</v>
      </c>
      <c r="O159" s="30" t="n">
        <f aca="false">$M159*$N159</f>
        <v>0</v>
      </c>
      <c r="P159" s="30" t="n">
        <f aca="false">IF($U159=0,0,SUMPRODUCT((ABERTURAS!$N$7:$N$26=$U159)*ABERTURAS!$U$7:$U$26*(((($Y159)+(ABERTURAS!$P$7:$P$26)-ABS(($Y159)-(ABERTURAS!$P$7:$P$26)))/2-(($X159)+(ABERTURAS!$O$7:$O$26)+ABS(($X159)-(ABERTURAS!$O$7:$O$26)))/2)+ABS((($Y159)+(ABERTURAS!$P$7:$P$26)-ABS(($Y159)-(ABERTURAS!$P$7:$P$26)))/2-(($X159)+(ABERTURAS!$O$7:$O$26)+ABS(($X159)-(ABERTURAS!$O$7:$O$26)))/2))/2*(((($AA159)+(ABERTURAS!$R$7:$R$26)-ABS(($AA159)-(ABERTURAS!$R$7:$R$26)))/2-(($Z159)+(ABERTURAS!$Q$7:$Q$26)+ABS(($Z159)-(ABERTURAS!$Q$7:$Q$26)))/2)+ABS((($AA159)+(ABERTURAS!$R$7:$R$26)-ABS(($AA159)-(ABERTURAS!$R$7:$R$26)))/2-(($Z159)+(ABERTURAS!$Q$7:$Q$26)+ABS(($Z159)-(ABERTURAS!$Q$7:$Q$26)))/2))/2))</f>
        <v>0</v>
      </c>
      <c r="Q159" s="30" t="n">
        <f aca="false">IF($U159=0,0,SUMPRODUCT((ABERTURAS!$N$7:$N$26=$U159)*ABERTURAS!$V$7:$V$26*(((($Y159)+(ABERTURAS!$P$7:$P$26)-ABS(($Y159)-(ABERTURAS!$P$7:$P$26)))/2-(($X159)+(ABERTURAS!$O$7:$O$26)+ABS(($X159)-(ABERTURAS!$O$7:$O$26)))/2)+ABS((($Y159)+(ABERTURAS!$P$7:$P$26)-ABS(($Y159)-(ABERTURAS!$P$7:$P$26)))/2-(($X159)+(ABERTURAS!$O$7:$O$26)+ABS(($X159)-(ABERTURAS!$O$7:$O$26)))/2))/2*(((($AA159)+(ABERTURAS!$R$7:$R$26)-ABS(($AA159)-(ABERTURAS!$R$7:$R$26)))/2-(($Z159)+(ABERTURAS!$Q$7:$Q$26)+ABS(($Z159)-(ABERTURAS!$Q$7:$Q$26)))/2)+ABS((($AA159)+(ABERTURAS!$R$7:$R$26)-ABS(($AA159)-(ABERTURAS!$R$7:$R$26)))/2-(($Z159)+(ABERTURAS!$Q$7:$Q$26)+ABS(($Z159)-(ABERTURAS!$Q$7:$Q$26)))/2))/2))</f>
        <v>0</v>
      </c>
      <c r="R159" s="30" t="n">
        <f aca="false">MAX(0,$O159-$P159)</f>
        <v>0</v>
      </c>
      <c r="S159" s="30" t="n">
        <f aca="false">MAX(0,$O159-$Q159)</f>
        <v>0</v>
      </c>
      <c r="T159" s="50" t="n">
        <f aca="false">IF($D159="",0,IF($E159="VERTICAL",N($G159),MAX(N($I159),IF($K159="",N($I159),$K159))))</f>
        <v>0</v>
      </c>
      <c r="U159" s="50" t="n">
        <f aca="false">IF($L159&lt;&gt;"OK",0,VALUE(RIGHT($C159,1)))</f>
        <v>0</v>
      </c>
      <c r="V159" s="50" t="n">
        <f aca="false">IF($D159="",0,(N($H159)+IF($J159="",N($H159),$J159))/2)</f>
        <v>0</v>
      </c>
      <c r="W159" s="50" t="n">
        <f aca="false">IF($D159="",0,(N($I159)+IF($K159="",N($I159),$K159))/2)</f>
        <v>0</v>
      </c>
      <c r="X159" s="50" t="n">
        <f aca="false">IF($E159="VERTICAL",$V159,N($F159))</f>
        <v>0</v>
      </c>
      <c r="Y159" s="50" t="n">
        <f aca="false">IF($E159="VERTICAL",$W159,N($G159))</f>
        <v>0</v>
      </c>
      <c r="Z159" s="50" t="n">
        <f aca="false">IF($E159="VERTICAL",N($F159),$V159)</f>
        <v>0</v>
      </c>
      <c r="AA159" s="50" t="n">
        <f aca="false">IF($E159="VERTICAL",N($G159),$W159)</f>
        <v>0</v>
      </c>
      <c r="AB159" s="30" t="n">
        <f aca="false">IF($L159&lt;&gt;"OK",0,(INDEX(PRESIONES!$D$28:$D$31,$U159)*IF(INDEX(PRESIONES!$D$28:$D$31,$U159)&gt;0,PRESIONES!$C$9*IF($T159&lt;=10,1,($T159/10)^(2/DATOS!$C$56)),PRESIONES!$C$15)-ABERTURAS!$L$60*PRESIONES!$C$12)*$R159/$M159)</f>
        <v>0</v>
      </c>
      <c r="AC159" s="30" t="n">
        <f aca="false">IF($L159&lt;&gt;"OK",0,(INDEX(PRESIONES!$G$28:$G$31,$U159)*IF(INDEX(PRESIONES!$G$28:$G$31,$U159)&gt;0,PRESIONES!$C$9*IF($T159&lt;=10,1,($T159/10)^(2/DATOS!$C$56)),PRESIONES!$C$15)-ABERTURAS!$L$61*PRESIONES!$C$12)*$R159/$M159)</f>
        <v>0</v>
      </c>
      <c r="AD159" s="30" t="n">
        <f aca="false">IF($L159&lt;&gt;"OK",0,(INDEX(PRESIONES!$J$28:$J$31,$U159)*IF(INDEX(PRESIONES!$J$28:$J$31,$U159)&gt;0,PRESIONES!$C$9*IF($T159&lt;=10,1,($T159/10)^(2/DATOS!$C$56)),PRESIONES!$C$15)-ABERTURAS!$L$62*PRESIONES!$C$12)*$R159/$M159)</f>
        <v>0</v>
      </c>
      <c r="AE159" s="30" t="n">
        <f aca="false">IF($L159&lt;&gt;"OK",0,(INDEX(PRESIONES!$M$28:$M$31,$U159)*IF(INDEX(PRESIONES!$M$28:$M$31,$U159)&gt;0,PRESIONES!$C$9*IF($T159&lt;=10,1,($T159/10)^(2/DATOS!$C$56)),PRESIONES!$C$15)-ABERTURAS!$L$63*PRESIONES!$C$12)*$R159/$M159)</f>
        <v>0</v>
      </c>
      <c r="AF159" s="30" t="n">
        <f aca="false">IF($L159&lt;&gt;"OK",0,(INDEX(PRESIONES!$D$28:$D$31,$U159)*IF(INDEX(PRESIONES!$D$28:$D$31,$U159)&gt;0,PRESIONES!$C$9*IF($T159&lt;=10,1,($T159/10)^(2/DATOS!$C$56)),PRESIONES!$C$15)-ABERTURAS!$L$64*PRESIONES!$C$12)*$S159/$M159)</f>
        <v>0</v>
      </c>
      <c r="AG159" s="30" t="n">
        <f aca="false">IF($L159&lt;&gt;"OK",0,(INDEX(PRESIONES!$G$28:$G$31,$U159)*IF(INDEX(PRESIONES!$G$28:$G$31,$U159)&gt;0,PRESIONES!$C$9*IF($T159&lt;=10,1,($T159/10)^(2/DATOS!$C$56)),PRESIONES!$C$15)-ABERTURAS!$L$65*PRESIONES!$C$12)*$S159/$M159)</f>
        <v>0</v>
      </c>
      <c r="AH159" s="30" t="n">
        <f aca="false">IF($L159&lt;&gt;"OK",0,(INDEX(PRESIONES!$J$28:$J$31,$U159)*IF(INDEX(PRESIONES!$J$28:$J$31,$U159)&gt;0,PRESIONES!$C$9*IF($T159&lt;=10,1,($T159/10)^(2/DATOS!$C$56)),PRESIONES!$C$15)-ABERTURAS!$L$66*PRESIONES!$C$12)*$S159/$M159)</f>
        <v>0</v>
      </c>
      <c r="AI159" s="30" t="n">
        <f aca="false">IF($L159&lt;&gt;"OK",0,(INDEX(PRESIONES!$M$28:$M$31,$U159)*IF(INDEX(PRESIONES!$M$28:$M$31,$U159)&gt;0,PRESIONES!$C$9*IF($T159&lt;=10,1,($T159/10)^(2/DATOS!$C$56)),PRESIONES!$C$15)-ABERTURAS!$L$67*PRESIONES!$C$12)*$S159/$M159)</f>
        <v>0</v>
      </c>
    </row>
    <row r="160" customFormat="false" ht="15" hidden="false" customHeight="true" outlineLevel="0" collapsed="false">
      <c r="B160" s="27"/>
      <c r="C160" s="17"/>
      <c r="D160" s="27"/>
      <c r="E160" s="17"/>
      <c r="F160" s="49"/>
      <c r="G160" s="49"/>
      <c r="H160" s="49"/>
      <c r="I160" s="49"/>
      <c r="J160" s="49"/>
      <c r="K160" s="49"/>
      <c r="L160" s="20" t="str">
        <f aca="false">IF($D160="","",IF(LEFT($C160,4)&lt;&gt;"MURO","PON EL MURO",IF(AND($E160&lt;&gt;"HORIZONTAL",$E160&lt;&gt;"VERTICAL"),"PON EL SENTIDO",IF(OR($F160="",$G160="",$H160="",$I160=""),"FALTAN a o b",IF($M160&lt;=0,"a₂ DEBE SER &gt; a₁",IF($N160&lt;=0,"b₂ DEBE SER &gt; b₁","OK"))))))</f>
        <v/>
      </c>
      <c r="M160" s="30" t="n">
        <f aca="false">IF($D160="",0,MAX(0,$G160-$F160))</f>
        <v>0</v>
      </c>
      <c r="N160" s="30" t="n">
        <f aca="false">MAX(0,$W160-$V160)</f>
        <v>0</v>
      </c>
      <c r="O160" s="30" t="n">
        <f aca="false">$M160*$N160</f>
        <v>0</v>
      </c>
      <c r="P160" s="30" t="n">
        <f aca="false">IF($U160=0,0,SUMPRODUCT((ABERTURAS!$N$7:$N$26=$U160)*ABERTURAS!$U$7:$U$26*(((($Y160)+(ABERTURAS!$P$7:$P$26)-ABS(($Y160)-(ABERTURAS!$P$7:$P$26)))/2-(($X160)+(ABERTURAS!$O$7:$O$26)+ABS(($X160)-(ABERTURAS!$O$7:$O$26)))/2)+ABS((($Y160)+(ABERTURAS!$P$7:$P$26)-ABS(($Y160)-(ABERTURAS!$P$7:$P$26)))/2-(($X160)+(ABERTURAS!$O$7:$O$26)+ABS(($X160)-(ABERTURAS!$O$7:$O$26)))/2))/2*(((($AA160)+(ABERTURAS!$R$7:$R$26)-ABS(($AA160)-(ABERTURAS!$R$7:$R$26)))/2-(($Z160)+(ABERTURAS!$Q$7:$Q$26)+ABS(($Z160)-(ABERTURAS!$Q$7:$Q$26)))/2)+ABS((($AA160)+(ABERTURAS!$R$7:$R$26)-ABS(($AA160)-(ABERTURAS!$R$7:$R$26)))/2-(($Z160)+(ABERTURAS!$Q$7:$Q$26)+ABS(($Z160)-(ABERTURAS!$Q$7:$Q$26)))/2))/2))</f>
        <v>0</v>
      </c>
      <c r="Q160" s="30" t="n">
        <f aca="false">IF($U160=0,0,SUMPRODUCT((ABERTURAS!$N$7:$N$26=$U160)*ABERTURAS!$V$7:$V$26*(((($Y160)+(ABERTURAS!$P$7:$P$26)-ABS(($Y160)-(ABERTURAS!$P$7:$P$26)))/2-(($X160)+(ABERTURAS!$O$7:$O$26)+ABS(($X160)-(ABERTURAS!$O$7:$O$26)))/2)+ABS((($Y160)+(ABERTURAS!$P$7:$P$26)-ABS(($Y160)-(ABERTURAS!$P$7:$P$26)))/2-(($X160)+(ABERTURAS!$O$7:$O$26)+ABS(($X160)-(ABERTURAS!$O$7:$O$26)))/2))/2*(((($AA160)+(ABERTURAS!$R$7:$R$26)-ABS(($AA160)-(ABERTURAS!$R$7:$R$26)))/2-(($Z160)+(ABERTURAS!$Q$7:$Q$26)+ABS(($Z160)-(ABERTURAS!$Q$7:$Q$26)))/2)+ABS((($AA160)+(ABERTURAS!$R$7:$R$26)-ABS(($AA160)-(ABERTURAS!$R$7:$R$26)))/2-(($Z160)+(ABERTURAS!$Q$7:$Q$26)+ABS(($Z160)-(ABERTURAS!$Q$7:$Q$26)))/2))/2))</f>
        <v>0</v>
      </c>
      <c r="R160" s="30" t="n">
        <f aca="false">MAX(0,$O160-$P160)</f>
        <v>0</v>
      </c>
      <c r="S160" s="30" t="n">
        <f aca="false">MAX(0,$O160-$Q160)</f>
        <v>0</v>
      </c>
      <c r="T160" s="50" t="n">
        <f aca="false">IF($D160="",0,IF($E160="VERTICAL",N($G160),MAX(N($I160),IF($K160="",N($I160),$K160))))</f>
        <v>0</v>
      </c>
      <c r="U160" s="50" t="n">
        <f aca="false">IF($L160&lt;&gt;"OK",0,VALUE(RIGHT($C160,1)))</f>
        <v>0</v>
      </c>
      <c r="V160" s="50" t="n">
        <f aca="false">IF($D160="",0,(N($H160)+IF($J160="",N($H160),$J160))/2)</f>
        <v>0</v>
      </c>
      <c r="W160" s="50" t="n">
        <f aca="false">IF($D160="",0,(N($I160)+IF($K160="",N($I160),$K160))/2)</f>
        <v>0</v>
      </c>
      <c r="X160" s="50" t="n">
        <f aca="false">IF($E160="VERTICAL",$V160,N($F160))</f>
        <v>0</v>
      </c>
      <c r="Y160" s="50" t="n">
        <f aca="false">IF($E160="VERTICAL",$W160,N($G160))</f>
        <v>0</v>
      </c>
      <c r="Z160" s="50" t="n">
        <f aca="false">IF($E160="VERTICAL",N($F160),$V160)</f>
        <v>0</v>
      </c>
      <c r="AA160" s="50" t="n">
        <f aca="false">IF($E160="VERTICAL",N($G160),$W160)</f>
        <v>0</v>
      </c>
      <c r="AB160" s="30" t="n">
        <f aca="false">IF($L160&lt;&gt;"OK",0,(INDEX(PRESIONES!$D$28:$D$31,$U160)*IF(INDEX(PRESIONES!$D$28:$D$31,$U160)&gt;0,PRESIONES!$C$9*IF($T160&lt;=10,1,($T160/10)^(2/DATOS!$C$56)),PRESIONES!$C$15)-ABERTURAS!$L$60*PRESIONES!$C$12)*$R160/$M160)</f>
        <v>0</v>
      </c>
      <c r="AC160" s="30" t="n">
        <f aca="false">IF($L160&lt;&gt;"OK",0,(INDEX(PRESIONES!$G$28:$G$31,$U160)*IF(INDEX(PRESIONES!$G$28:$G$31,$U160)&gt;0,PRESIONES!$C$9*IF($T160&lt;=10,1,($T160/10)^(2/DATOS!$C$56)),PRESIONES!$C$15)-ABERTURAS!$L$61*PRESIONES!$C$12)*$R160/$M160)</f>
        <v>0</v>
      </c>
      <c r="AD160" s="30" t="n">
        <f aca="false">IF($L160&lt;&gt;"OK",0,(INDEX(PRESIONES!$J$28:$J$31,$U160)*IF(INDEX(PRESIONES!$J$28:$J$31,$U160)&gt;0,PRESIONES!$C$9*IF($T160&lt;=10,1,($T160/10)^(2/DATOS!$C$56)),PRESIONES!$C$15)-ABERTURAS!$L$62*PRESIONES!$C$12)*$R160/$M160)</f>
        <v>0</v>
      </c>
      <c r="AE160" s="30" t="n">
        <f aca="false">IF($L160&lt;&gt;"OK",0,(INDEX(PRESIONES!$M$28:$M$31,$U160)*IF(INDEX(PRESIONES!$M$28:$M$31,$U160)&gt;0,PRESIONES!$C$9*IF($T160&lt;=10,1,($T160/10)^(2/DATOS!$C$56)),PRESIONES!$C$15)-ABERTURAS!$L$63*PRESIONES!$C$12)*$R160/$M160)</f>
        <v>0</v>
      </c>
      <c r="AF160" s="30" t="n">
        <f aca="false">IF($L160&lt;&gt;"OK",0,(INDEX(PRESIONES!$D$28:$D$31,$U160)*IF(INDEX(PRESIONES!$D$28:$D$31,$U160)&gt;0,PRESIONES!$C$9*IF($T160&lt;=10,1,($T160/10)^(2/DATOS!$C$56)),PRESIONES!$C$15)-ABERTURAS!$L$64*PRESIONES!$C$12)*$S160/$M160)</f>
        <v>0</v>
      </c>
      <c r="AG160" s="30" t="n">
        <f aca="false">IF($L160&lt;&gt;"OK",0,(INDEX(PRESIONES!$G$28:$G$31,$U160)*IF(INDEX(PRESIONES!$G$28:$G$31,$U160)&gt;0,PRESIONES!$C$9*IF($T160&lt;=10,1,($T160/10)^(2/DATOS!$C$56)),PRESIONES!$C$15)-ABERTURAS!$L$65*PRESIONES!$C$12)*$S160/$M160)</f>
        <v>0</v>
      </c>
      <c r="AH160" s="30" t="n">
        <f aca="false">IF($L160&lt;&gt;"OK",0,(INDEX(PRESIONES!$J$28:$J$31,$U160)*IF(INDEX(PRESIONES!$J$28:$J$31,$U160)&gt;0,PRESIONES!$C$9*IF($T160&lt;=10,1,($T160/10)^(2/DATOS!$C$56)),PRESIONES!$C$15)-ABERTURAS!$L$66*PRESIONES!$C$12)*$S160/$M160)</f>
        <v>0</v>
      </c>
      <c r="AI160" s="30" t="n">
        <f aca="false">IF($L160&lt;&gt;"OK",0,(INDEX(PRESIONES!$M$28:$M$31,$U160)*IF(INDEX(PRESIONES!$M$28:$M$31,$U160)&gt;0,PRESIONES!$C$9*IF($T160&lt;=10,1,($T160/10)^(2/DATOS!$C$56)),PRESIONES!$C$15)-ABERTURAS!$L$67*PRESIONES!$C$12)*$S160/$M160)</f>
        <v>0</v>
      </c>
    </row>
    <row r="161" customFormat="false" ht="15" hidden="false" customHeight="true" outlineLevel="0" collapsed="false">
      <c r="B161" s="27"/>
      <c r="C161" s="17"/>
      <c r="D161" s="27"/>
      <c r="E161" s="17"/>
      <c r="F161" s="49"/>
      <c r="G161" s="49"/>
      <c r="H161" s="49"/>
      <c r="I161" s="49"/>
      <c r="J161" s="49"/>
      <c r="K161" s="49"/>
      <c r="L161" s="20" t="str">
        <f aca="false">IF($D161="","",IF(LEFT($C161,4)&lt;&gt;"MURO","PON EL MURO",IF(AND($E161&lt;&gt;"HORIZONTAL",$E161&lt;&gt;"VERTICAL"),"PON EL SENTIDO",IF(OR($F161="",$G161="",$H161="",$I161=""),"FALTAN a o b",IF($M161&lt;=0,"a₂ DEBE SER &gt; a₁",IF($N161&lt;=0,"b₂ DEBE SER &gt; b₁","OK"))))))</f>
        <v/>
      </c>
      <c r="M161" s="30" t="n">
        <f aca="false">IF($D161="",0,MAX(0,$G161-$F161))</f>
        <v>0</v>
      </c>
      <c r="N161" s="30" t="n">
        <f aca="false">MAX(0,$W161-$V161)</f>
        <v>0</v>
      </c>
      <c r="O161" s="30" t="n">
        <f aca="false">$M161*$N161</f>
        <v>0</v>
      </c>
      <c r="P161" s="30" t="n">
        <f aca="false">IF($U161=0,0,SUMPRODUCT((ABERTURAS!$N$7:$N$26=$U161)*ABERTURAS!$U$7:$U$26*(((($Y161)+(ABERTURAS!$P$7:$P$26)-ABS(($Y161)-(ABERTURAS!$P$7:$P$26)))/2-(($X161)+(ABERTURAS!$O$7:$O$26)+ABS(($X161)-(ABERTURAS!$O$7:$O$26)))/2)+ABS((($Y161)+(ABERTURAS!$P$7:$P$26)-ABS(($Y161)-(ABERTURAS!$P$7:$P$26)))/2-(($X161)+(ABERTURAS!$O$7:$O$26)+ABS(($X161)-(ABERTURAS!$O$7:$O$26)))/2))/2*(((($AA161)+(ABERTURAS!$R$7:$R$26)-ABS(($AA161)-(ABERTURAS!$R$7:$R$26)))/2-(($Z161)+(ABERTURAS!$Q$7:$Q$26)+ABS(($Z161)-(ABERTURAS!$Q$7:$Q$26)))/2)+ABS((($AA161)+(ABERTURAS!$R$7:$R$26)-ABS(($AA161)-(ABERTURAS!$R$7:$R$26)))/2-(($Z161)+(ABERTURAS!$Q$7:$Q$26)+ABS(($Z161)-(ABERTURAS!$Q$7:$Q$26)))/2))/2))</f>
        <v>0</v>
      </c>
      <c r="Q161" s="30" t="n">
        <f aca="false">IF($U161=0,0,SUMPRODUCT((ABERTURAS!$N$7:$N$26=$U161)*ABERTURAS!$V$7:$V$26*(((($Y161)+(ABERTURAS!$P$7:$P$26)-ABS(($Y161)-(ABERTURAS!$P$7:$P$26)))/2-(($X161)+(ABERTURAS!$O$7:$O$26)+ABS(($X161)-(ABERTURAS!$O$7:$O$26)))/2)+ABS((($Y161)+(ABERTURAS!$P$7:$P$26)-ABS(($Y161)-(ABERTURAS!$P$7:$P$26)))/2-(($X161)+(ABERTURAS!$O$7:$O$26)+ABS(($X161)-(ABERTURAS!$O$7:$O$26)))/2))/2*(((($AA161)+(ABERTURAS!$R$7:$R$26)-ABS(($AA161)-(ABERTURAS!$R$7:$R$26)))/2-(($Z161)+(ABERTURAS!$Q$7:$Q$26)+ABS(($Z161)-(ABERTURAS!$Q$7:$Q$26)))/2)+ABS((($AA161)+(ABERTURAS!$R$7:$R$26)-ABS(($AA161)-(ABERTURAS!$R$7:$R$26)))/2-(($Z161)+(ABERTURAS!$Q$7:$Q$26)+ABS(($Z161)-(ABERTURAS!$Q$7:$Q$26)))/2))/2))</f>
        <v>0</v>
      </c>
      <c r="R161" s="30" t="n">
        <f aca="false">MAX(0,$O161-$P161)</f>
        <v>0</v>
      </c>
      <c r="S161" s="30" t="n">
        <f aca="false">MAX(0,$O161-$Q161)</f>
        <v>0</v>
      </c>
      <c r="T161" s="50" t="n">
        <f aca="false">IF($D161="",0,IF($E161="VERTICAL",N($G161),MAX(N($I161),IF($K161="",N($I161),$K161))))</f>
        <v>0</v>
      </c>
      <c r="U161" s="50" t="n">
        <f aca="false">IF($L161&lt;&gt;"OK",0,VALUE(RIGHT($C161,1)))</f>
        <v>0</v>
      </c>
      <c r="V161" s="50" t="n">
        <f aca="false">IF($D161="",0,(N($H161)+IF($J161="",N($H161),$J161))/2)</f>
        <v>0</v>
      </c>
      <c r="W161" s="50" t="n">
        <f aca="false">IF($D161="",0,(N($I161)+IF($K161="",N($I161),$K161))/2)</f>
        <v>0</v>
      </c>
      <c r="X161" s="50" t="n">
        <f aca="false">IF($E161="VERTICAL",$V161,N($F161))</f>
        <v>0</v>
      </c>
      <c r="Y161" s="50" t="n">
        <f aca="false">IF($E161="VERTICAL",$W161,N($G161))</f>
        <v>0</v>
      </c>
      <c r="Z161" s="50" t="n">
        <f aca="false">IF($E161="VERTICAL",N($F161),$V161)</f>
        <v>0</v>
      </c>
      <c r="AA161" s="50" t="n">
        <f aca="false">IF($E161="VERTICAL",N($G161),$W161)</f>
        <v>0</v>
      </c>
      <c r="AB161" s="30" t="n">
        <f aca="false">IF($L161&lt;&gt;"OK",0,(INDEX(PRESIONES!$D$28:$D$31,$U161)*IF(INDEX(PRESIONES!$D$28:$D$31,$U161)&gt;0,PRESIONES!$C$9*IF($T161&lt;=10,1,($T161/10)^(2/DATOS!$C$56)),PRESIONES!$C$15)-ABERTURAS!$L$60*PRESIONES!$C$12)*$R161/$M161)</f>
        <v>0</v>
      </c>
      <c r="AC161" s="30" t="n">
        <f aca="false">IF($L161&lt;&gt;"OK",0,(INDEX(PRESIONES!$G$28:$G$31,$U161)*IF(INDEX(PRESIONES!$G$28:$G$31,$U161)&gt;0,PRESIONES!$C$9*IF($T161&lt;=10,1,($T161/10)^(2/DATOS!$C$56)),PRESIONES!$C$15)-ABERTURAS!$L$61*PRESIONES!$C$12)*$R161/$M161)</f>
        <v>0</v>
      </c>
      <c r="AD161" s="30" t="n">
        <f aca="false">IF($L161&lt;&gt;"OK",0,(INDEX(PRESIONES!$J$28:$J$31,$U161)*IF(INDEX(PRESIONES!$J$28:$J$31,$U161)&gt;0,PRESIONES!$C$9*IF($T161&lt;=10,1,($T161/10)^(2/DATOS!$C$56)),PRESIONES!$C$15)-ABERTURAS!$L$62*PRESIONES!$C$12)*$R161/$M161)</f>
        <v>0</v>
      </c>
      <c r="AE161" s="30" t="n">
        <f aca="false">IF($L161&lt;&gt;"OK",0,(INDEX(PRESIONES!$M$28:$M$31,$U161)*IF(INDEX(PRESIONES!$M$28:$M$31,$U161)&gt;0,PRESIONES!$C$9*IF($T161&lt;=10,1,($T161/10)^(2/DATOS!$C$56)),PRESIONES!$C$15)-ABERTURAS!$L$63*PRESIONES!$C$12)*$R161/$M161)</f>
        <v>0</v>
      </c>
      <c r="AF161" s="30" t="n">
        <f aca="false">IF($L161&lt;&gt;"OK",0,(INDEX(PRESIONES!$D$28:$D$31,$U161)*IF(INDEX(PRESIONES!$D$28:$D$31,$U161)&gt;0,PRESIONES!$C$9*IF($T161&lt;=10,1,($T161/10)^(2/DATOS!$C$56)),PRESIONES!$C$15)-ABERTURAS!$L$64*PRESIONES!$C$12)*$S161/$M161)</f>
        <v>0</v>
      </c>
      <c r="AG161" s="30" t="n">
        <f aca="false">IF($L161&lt;&gt;"OK",0,(INDEX(PRESIONES!$G$28:$G$31,$U161)*IF(INDEX(PRESIONES!$G$28:$G$31,$U161)&gt;0,PRESIONES!$C$9*IF($T161&lt;=10,1,($T161/10)^(2/DATOS!$C$56)),PRESIONES!$C$15)-ABERTURAS!$L$65*PRESIONES!$C$12)*$S161/$M161)</f>
        <v>0</v>
      </c>
      <c r="AH161" s="30" t="n">
        <f aca="false">IF($L161&lt;&gt;"OK",0,(INDEX(PRESIONES!$J$28:$J$31,$U161)*IF(INDEX(PRESIONES!$J$28:$J$31,$U161)&gt;0,PRESIONES!$C$9*IF($T161&lt;=10,1,($T161/10)^(2/DATOS!$C$56)),PRESIONES!$C$15)-ABERTURAS!$L$66*PRESIONES!$C$12)*$S161/$M161)</f>
        <v>0</v>
      </c>
      <c r="AI161" s="30" t="n">
        <f aca="false">IF($L161&lt;&gt;"OK",0,(INDEX(PRESIONES!$M$28:$M$31,$U161)*IF(INDEX(PRESIONES!$M$28:$M$31,$U161)&gt;0,PRESIONES!$C$9*IF($T161&lt;=10,1,($T161/10)^(2/DATOS!$C$56)),PRESIONES!$C$15)-ABERTURAS!$L$67*PRESIONES!$C$12)*$S161/$M161)</f>
        <v>0</v>
      </c>
    </row>
    <row r="162" customFormat="false" ht="15" hidden="false" customHeight="true" outlineLevel="0" collapsed="false">
      <c r="B162" s="27"/>
      <c r="C162" s="17"/>
      <c r="D162" s="27"/>
      <c r="E162" s="17"/>
      <c r="F162" s="49"/>
      <c r="G162" s="49"/>
      <c r="H162" s="49"/>
      <c r="I162" s="49"/>
      <c r="J162" s="49"/>
      <c r="K162" s="49"/>
      <c r="L162" s="20" t="str">
        <f aca="false">IF($D162="","",IF(LEFT($C162,4)&lt;&gt;"MURO","PON EL MURO",IF(AND($E162&lt;&gt;"HORIZONTAL",$E162&lt;&gt;"VERTICAL"),"PON EL SENTIDO",IF(OR($F162="",$G162="",$H162="",$I162=""),"FALTAN a o b",IF($M162&lt;=0,"a₂ DEBE SER &gt; a₁",IF($N162&lt;=0,"b₂ DEBE SER &gt; b₁","OK"))))))</f>
        <v/>
      </c>
      <c r="M162" s="30" t="n">
        <f aca="false">IF($D162="",0,MAX(0,$G162-$F162))</f>
        <v>0</v>
      </c>
      <c r="N162" s="30" t="n">
        <f aca="false">MAX(0,$W162-$V162)</f>
        <v>0</v>
      </c>
      <c r="O162" s="30" t="n">
        <f aca="false">$M162*$N162</f>
        <v>0</v>
      </c>
      <c r="P162" s="30" t="n">
        <f aca="false">IF($U162=0,0,SUMPRODUCT((ABERTURAS!$N$7:$N$26=$U162)*ABERTURAS!$U$7:$U$26*(((($Y162)+(ABERTURAS!$P$7:$P$26)-ABS(($Y162)-(ABERTURAS!$P$7:$P$26)))/2-(($X162)+(ABERTURAS!$O$7:$O$26)+ABS(($X162)-(ABERTURAS!$O$7:$O$26)))/2)+ABS((($Y162)+(ABERTURAS!$P$7:$P$26)-ABS(($Y162)-(ABERTURAS!$P$7:$P$26)))/2-(($X162)+(ABERTURAS!$O$7:$O$26)+ABS(($X162)-(ABERTURAS!$O$7:$O$26)))/2))/2*(((($AA162)+(ABERTURAS!$R$7:$R$26)-ABS(($AA162)-(ABERTURAS!$R$7:$R$26)))/2-(($Z162)+(ABERTURAS!$Q$7:$Q$26)+ABS(($Z162)-(ABERTURAS!$Q$7:$Q$26)))/2)+ABS((($AA162)+(ABERTURAS!$R$7:$R$26)-ABS(($AA162)-(ABERTURAS!$R$7:$R$26)))/2-(($Z162)+(ABERTURAS!$Q$7:$Q$26)+ABS(($Z162)-(ABERTURAS!$Q$7:$Q$26)))/2))/2))</f>
        <v>0</v>
      </c>
      <c r="Q162" s="30" t="n">
        <f aca="false">IF($U162=0,0,SUMPRODUCT((ABERTURAS!$N$7:$N$26=$U162)*ABERTURAS!$V$7:$V$26*(((($Y162)+(ABERTURAS!$P$7:$P$26)-ABS(($Y162)-(ABERTURAS!$P$7:$P$26)))/2-(($X162)+(ABERTURAS!$O$7:$O$26)+ABS(($X162)-(ABERTURAS!$O$7:$O$26)))/2)+ABS((($Y162)+(ABERTURAS!$P$7:$P$26)-ABS(($Y162)-(ABERTURAS!$P$7:$P$26)))/2-(($X162)+(ABERTURAS!$O$7:$O$26)+ABS(($X162)-(ABERTURAS!$O$7:$O$26)))/2))/2*(((($AA162)+(ABERTURAS!$R$7:$R$26)-ABS(($AA162)-(ABERTURAS!$R$7:$R$26)))/2-(($Z162)+(ABERTURAS!$Q$7:$Q$26)+ABS(($Z162)-(ABERTURAS!$Q$7:$Q$26)))/2)+ABS((($AA162)+(ABERTURAS!$R$7:$R$26)-ABS(($AA162)-(ABERTURAS!$R$7:$R$26)))/2-(($Z162)+(ABERTURAS!$Q$7:$Q$26)+ABS(($Z162)-(ABERTURAS!$Q$7:$Q$26)))/2))/2))</f>
        <v>0</v>
      </c>
      <c r="R162" s="30" t="n">
        <f aca="false">MAX(0,$O162-$P162)</f>
        <v>0</v>
      </c>
      <c r="S162" s="30" t="n">
        <f aca="false">MAX(0,$O162-$Q162)</f>
        <v>0</v>
      </c>
      <c r="T162" s="50" t="n">
        <f aca="false">IF($D162="",0,IF($E162="VERTICAL",N($G162),MAX(N($I162),IF($K162="",N($I162),$K162))))</f>
        <v>0</v>
      </c>
      <c r="U162" s="50" t="n">
        <f aca="false">IF($L162&lt;&gt;"OK",0,VALUE(RIGHT($C162,1)))</f>
        <v>0</v>
      </c>
      <c r="V162" s="50" t="n">
        <f aca="false">IF($D162="",0,(N($H162)+IF($J162="",N($H162),$J162))/2)</f>
        <v>0</v>
      </c>
      <c r="W162" s="50" t="n">
        <f aca="false">IF($D162="",0,(N($I162)+IF($K162="",N($I162),$K162))/2)</f>
        <v>0</v>
      </c>
      <c r="X162" s="50" t="n">
        <f aca="false">IF($E162="VERTICAL",$V162,N($F162))</f>
        <v>0</v>
      </c>
      <c r="Y162" s="50" t="n">
        <f aca="false">IF($E162="VERTICAL",$W162,N($G162))</f>
        <v>0</v>
      </c>
      <c r="Z162" s="50" t="n">
        <f aca="false">IF($E162="VERTICAL",N($F162),$V162)</f>
        <v>0</v>
      </c>
      <c r="AA162" s="50" t="n">
        <f aca="false">IF($E162="VERTICAL",N($G162),$W162)</f>
        <v>0</v>
      </c>
      <c r="AB162" s="30" t="n">
        <f aca="false">IF($L162&lt;&gt;"OK",0,(INDEX(PRESIONES!$D$28:$D$31,$U162)*IF(INDEX(PRESIONES!$D$28:$D$31,$U162)&gt;0,PRESIONES!$C$9*IF($T162&lt;=10,1,($T162/10)^(2/DATOS!$C$56)),PRESIONES!$C$15)-ABERTURAS!$L$60*PRESIONES!$C$12)*$R162/$M162)</f>
        <v>0</v>
      </c>
      <c r="AC162" s="30" t="n">
        <f aca="false">IF($L162&lt;&gt;"OK",0,(INDEX(PRESIONES!$G$28:$G$31,$U162)*IF(INDEX(PRESIONES!$G$28:$G$31,$U162)&gt;0,PRESIONES!$C$9*IF($T162&lt;=10,1,($T162/10)^(2/DATOS!$C$56)),PRESIONES!$C$15)-ABERTURAS!$L$61*PRESIONES!$C$12)*$R162/$M162)</f>
        <v>0</v>
      </c>
      <c r="AD162" s="30" t="n">
        <f aca="false">IF($L162&lt;&gt;"OK",0,(INDEX(PRESIONES!$J$28:$J$31,$U162)*IF(INDEX(PRESIONES!$J$28:$J$31,$U162)&gt;0,PRESIONES!$C$9*IF($T162&lt;=10,1,($T162/10)^(2/DATOS!$C$56)),PRESIONES!$C$15)-ABERTURAS!$L$62*PRESIONES!$C$12)*$R162/$M162)</f>
        <v>0</v>
      </c>
      <c r="AE162" s="30" t="n">
        <f aca="false">IF($L162&lt;&gt;"OK",0,(INDEX(PRESIONES!$M$28:$M$31,$U162)*IF(INDEX(PRESIONES!$M$28:$M$31,$U162)&gt;0,PRESIONES!$C$9*IF($T162&lt;=10,1,($T162/10)^(2/DATOS!$C$56)),PRESIONES!$C$15)-ABERTURAS!$L$63*PRESIONES!$C$12)*$R162/$M162)</f>
        <v>0</v>
      </c>
      <c r="AF162" s="30" t="n">
        <f aca="false">IF($L162&lt;&gt;"OK",0,(INDEX(PRESIONES!$D$28:$D$31,$U162)*IF(INDEX(PRESIONES!$D$28:$D$31,$U162)&gt;0,PRESIONES!$C$9*IF($T162&lt;=10,1,($T162/10)^(2/DATOS!$C$56)),PRESIONES!$C$15)-ABERTURAS!$L$64*PRESIONES!$C$12)*$S162/$M162)</f>
        <v>0</v>
      </c>
      <c r="AG162" s="30" t="n">
        <f aca="false">IF($L162&lt;&gt;"OK",0,(INDEX(PRESIONES!$G$28:$G$31,$U162)*IF(INDEX(PRESIONES!$G$28:$G$31,$U162)&gt;0,PRESIONES!$C$9*IF($T162&lt;=10,1,($T162/10)^(2/DATOS!$C$56)),PRESIONES!$C$15)-ABERTURAS!$L$65*PRESIONES!$C$12)*$S162/$M162)</f>
        <v>0</v>
      </c>
      <c r="AH162" s="30" t="n">
        <f aca="false">IF($L162&lt;&gt;"OK",0,(INDEX(PRESIONES!$J$28:$J$31,$U162)*IF(INDEX(PRESIONES!$J$28:$J$31,$U162)&gt;0,PRESIONES!$C$9*IF($T162&lt;=10,1,($T162/10)^(2/DATOS!$C$56)),PRESIONES!$C$15)-ABERTURAS!$L$66*PRESIONES!$C$12)*$S162/$M162)</f>
        <v>0</v>
      </c>
      <c r="AI162" s="30" t="n">
        <f aca="false">IF($L162&lt;&gt;"OK",0,(INDEX(PRESIONES!$M$28:$M$31,$U162)*IF(INDEX(PRESIONES!$M$28:$M$31,$U162)&gt;0,PRESIONES!$C$9*IF($T162&lt;=10,1,($T162/10)^(2/DATOS!$C$56)),PRESIONES!$C$15)-ABERTURAS!$L$67*PRESIONES!$C$12)*$S162/$M162)</f>
        <v>0</v>
      </c>
    </row>
    <row r="163" customFormat="false" ht="15" hidden="false" customHeight="true" outlineLevel="0" collapsed="false">
      <c r="B163" s="27"/>
      <c r="C163" s="17"/>
      <c r="D163" s="27"/>
      <c r="E163" s="17"/>
      <c r="F163" s="49"/>
      <c r="G163" s="49"/>
      <c r="H163" s="49"/>
      <c r="I163" s="49"/>
      <c r="J163" s="49"/>
      <c r="K163" s="49"/>
      <c r="L163" s="20" t="str">
        <f aca="false">IF($D163="","",IF(LEFT($C163,4)&lt;&gt;"MURO","PON EL MURO",IF(AND($E163&lt;&gt;"HORIZONTAL",$E163&lt;&gt;"VERTICAL"),"PON EL SENTIDO",IF(OR($F163="",$G163="",$H163="",$I163=""),"FALTAN a o b",IF($M163&lt;=0,"a₂ DEBE SER &gt; a₁",IF($N163&lt;=0,"b₂ DEBE SER &gt; b₁","OK"))))))</f>
        <v/>
      </c>
      <c r="M163" s="30" t="n">
        <f aca="false">IF($D163="",0,MAX(0,$G163-$F163))</f>
        <v>0</v>
      </c>
      <c r="N163" s="30" t="n">
        <f aca="false">MAX(0,$W163-$V163)</f>
        <v>0</v>
      </c>
      <c r="O163" s="30" t="n">
        <f aca="false">$M163*$N163</f>
        <v>0</v>
      </c>
      <c r="P163" s="30" t="n">
        <f aca="false">IF($U163=0,0,SUMPRODUCT((ABERTURAS!$N$7:$N$26=$U163)*ABERTURAS!$U$7:$U$26*(((($Y163)+(ABERTURAS!$P$7:$P$26)-ABS(($Y163)-(ABERTURAS!$P$7:$P$26)))/2-(($X163)+(ABERTURAS!$O$7:$O$26)+ABS(($X163)-(ABERTURAS!$O$7:$O$26)))/2)+ABS((($Y163)+(ABERTURAS!$P$7:$P$26)-ABS(($Y163)-(ABERTURAS!$P$7:$P$26)))/2-(($X163)+(ABERTURAS!$O$7:$O$26)+ABS(($X163)-(ABERTURAS!$O$7:$O$26)))/2))/2*(((($AA163)+(ABERTURAS!$R$7:$R$26)-ABS(($AA163)-(ABERTURAS!$R$7:$R$26)))/2-(($Z163)+(ABERTURAS!$Q$7:$Q$26)+ABS(($Z163)-(ABERTURAS!$Q$7:$Q$26)))/2)+ABS((($AA163)+(ABERTURAS!$R$7:$R$26)-ABS(($AA163)-(ABERTURAS!$R$7:$R$26)))/2-(($Z163)+(ABERTURAS!$Q$7:$Q$26)+ABS(($Z163)-(ABERTURAS!$Q$7:$Q$26)))/2))/2))</f>
        <v>0</v>
      </c>
      <c r="Q163" s="30" t="n">
        <f aca="false">IF($U163=0,0,SUMPRODUCT((ABERTURAS!$N$7:$N$26=$U163)*ABERTURAS!$V$7:$V$26*(((($Y163)+(ABERTURAS!$P$7:$P$26)-ABS(($Y163)-(ABERTURAS!$P$7:$P$26)))/2-(($X163)+(ABERTURAS!$O$7:$O$26)+ABS(($X163)-(ABERTURAS!$O$7:$O$26)))/2)+ABS((($Y163)+(ABERTURAS!$P$7:$P$26)-ABS(($Y163)-(ABERTURAS!$P$7:$P$26)))/2-(($X163)+(ABERTURAS!$O$7:$O$26)+ABS(($X163)-(ABERTURAS!$O$7:$O$26)))/2))/2*(((($AA163)+(ABERTURAS!$R$7:$R$26)-ABS(($AA163)-(ABERTURAS!$R$7:$R$26)))/2-(($Z163)+(ABERTURAS!$Q$7:$Q$26)+ABS(($Z163)-(ABERTURAS!$Q$7:$Q$26)))/2)+ABS((($AA163)+(ABERTURAS!$R$7:$R$26)-ABS(($AA163)-(ABERTURAS!$R$7:$R$26)))/2-(($Z163)+(ABERTURAS!$Q$7:$Q$26)+ABS(($Z163)-(ABERTURAS!$Q$7:$Q$26)))/2))/2))</f>
        <v>0</v>
      </c>
      <c r="R163" s="30" t="n">
        <f aca="false">MAX(0,$O163-$P163)</f>
        <v>0</v>
      </c>
      <c r="S163" s="30" t="n">
        <f aca="false">MAX(0,$O163-$Q163)</f>
        <v>0</v>
      </c>
      <c r="T163" s="50" t="n">
        <f aca="false">IF($D163="",0,IF($E163="VERTICAL",N($G163),MAX(N($I163),IF($K163="",N($I163),$K163))))</f>
        <v>0</v>
      </c>
      <c r="U163" s="50" t="n">
        <f aca="false">IF($L163&lt;&gt;"OK",0,VALUE(RIGHT($C163,1)))</f>
        <v>0</v>
      </c>
      <c r="V163" s="50" t="n">
        <f aca="false">IF($D163="",0,(N($H163)+IF($J163="",N($H163),$J163))/2)</f>
        <v>0</v>
      </c>
      <c r="W163" s="50" t="n">
        <f aca="false">IF($D163="",0,(N($I163)+IF($K163="",N($I163),$K163))/2)</f>
        <v>0</v>
      </c>
      <c r="X163" s="50" t="n">
        <f aca="false">IF($E163="VERTICAL",$V163,N($F163))</f>
        <v>0</v>
      </c>
      <c r="Y163" s="50" t="n">
        <f aca="false">IF($E163="VERTICAL",$W163,N($G163))</f>
        <v>0</v>
      </c>
      <c r="Z163" s="50" t="n">
        <f aca="false">IF($E163="VERTICAL",N($F163),$V163)</f>
        <v>0</v>
      </c>
      <c r="AA163" s="50" t="n">
        <f aca="false">IF($E163="VERTICAL",N($G163),$W163)</f>
        <v>0</v>
      </c>
      <c r="AB163" s="30" t="n">
        <f aca="false">IF($L163&lt;&gt;"OK",0,(INDEX(PRESIONES!$D$28:$D$31,$U163)*IF(INDEX(PRESIONES!$D$28:$D$31,$U163)&gt;0,PRESIONES!$C$9*IF($T163&lt;=10,1,($T163/10)^(2/DATOS!$C$56)),PRESIONES!$C$15)-ABERTURAS!$L$60*PRESIONES!$C$12)*$R163/$M163)</f>
        <v>0</v>
      </c>
      <c r="AC163" s="30" t="n">
        <f aca="false">IF($L163&lt;&gt;"OK",0,(INDEX(PRESIONES!$G$28:$G$31,$U163)*IF(INDEX(PRESIONES!$G$28:$G$31,$U163)&gt;0,PRESIONES!$C$9*IF($T163&lt;=10,1,($T163/10)^(2/DATOS!$C$56)),PRESIONES!$C$15)-ABERTURAS!$L$61*PRESIONES!$C$12)*$R163/$M163)</f>
        <v>0</v>
      </c>
      <c r="AD163" s="30" t="n">
        <f aca="false">IF($L163&lt;&gt;"OK",0,(INDEX(PRESIONES!$J$28:$J$31,$U163)*IF(INDEX(PRESIONES!$J$28:$J$31,$U163)&gt;0,PRESIONES!$C$9*IF($T163&lt;=10,1,($T163/10)^(2/DATOS!$C$56)),PRESIONES!$C$15)-ABERTURAS!$L$62*PRESIONES!$C$12)*$R163/$M163)</f>
        <v>0</v>
      </c>
      <c r="AE163" s="30" t="n">
        <f aca="false">IF($L163&lt;&gt;"OK",0,(INDEX(PRESIONES!$M$28:$M$31,$U163)*IF(INDEX(PRESIONES!$M$28:$M$31,$U163)&gt;0,PRESIONES!$C$9*IF($T163&lt;=10,1,($T163/10)^(2/DATOS!$C$56)),PRESIONES!$C$15)-ABERTURAS!$L$63*PRESIONES!$C$12)*$R163/$M163)</f>
        <v>0</v>
      </c>
      <c r="AF163" s="30" t="n">
        <f aca="false">IF($L163&lt;&gt;"OK",0,(INDEX(PRESIONES!$D$28:$D$31,$U163)*IF(INDEX(PRESIONES!$D$28:$D$31,$U163)&gt;0,PRESIONES!$C$9*IF($T163&lt;=10,1,($T163/10)^(2/DATOS!$C$56)),PRESIONES!$C$15)-ABERTURAS!$L$64*PRESIONES!$C$12)*$S163/$M163)</f>
        <v>0</v>
      </c>
      <c r="AG163" s="30" t="n">
        <f aca="false">IF($L163&lt;&gt;"OK",0,(INDEX(PRESIONES!$G$28:$G$31,$U163)*IF(INDEX(PRESIONES!$G$28:$G$31,$U163)&gt;0,PRESIONES!$C$9*IF($T163&lt;=10,1,($T163/10)^(2/DATOS!$C$56)),PRESIONES!$C$15)-ABERTURAS!$L$65*PRESIONES!$C$12)*$S163/$M163)</f>
        <v>0</v>
      </c>
      <c r="AH163" s="30" t="n">
        <f aca="false">IF($L163&lt;&gt;"OK",0,(INDEX(PRESIONES!$J$28:$J$31,$U163)*IF(INDEX(PRESIONES!$J$28:$J$31,$U163)&gt;0,PRESIONES!$C$9*IF($T163&lt;=10,1,($T163/10)^(2/DATOS!$C$56)),PRESIONES!$C$15)-ABERTURAS!$L$66*PRESIONES!$C$12)*$S163/$M163)</f>
        <v>0</v>
      </c>
      <c r="AI163" s="30" t="n">
        <f aca="false">IF($L163&lt;&gt;"OK",0,(INDEX(PRESIONES!$M$28:$M$31,$U163)*IF(INDEX(PRESIONES!$M$28:$M$31,$U163)&gt;0,PRESIONES!$C$9*IF($T163&lt;=10,1,($T163/10)^(2/DATOS!$C$56)),PRESIONES!$C$15)-ABERTURAS!$L$67*PRESIONES!$C$12)*$S163/$M163)</f>
        <v>0</v>
      </c>
    </row>
    <row r="164" customFormat="false" ht="15" hidden="false" customHeight="true" outlineLevel="0" collapsed="false">
      <c r="B164" s="27"/>
      <c r="C164" s="17"/>
      <c r="D164" s="27"/>
      <c r="E164" s="17"/>
      <c r="F164" s="49"/>
      <c r="G164" s="49"/>
      <c r="H164" s="49"/>
      <c r="I164" s="49"/>
      <c r="J164" s="49"/>
      <c r="K164" s="49"/>
      <c r="L164" s="20" t="str">
        <f aca="false">IF($D164="","",IF(LEFT($C164,4)&lt;&gt;"MURO","PON EL MURO",IF(AND($E164&lt;&gt;"HORIZONTAL",$E164&lt;&gt;"VERTICAL"),"PON EL SENTIDO",IF(OR($F164="",$G164="",$H164="",$I164=""),"FALTAN a o b",IF($M164&lt;=0,"a₂ DEBE SER &gt; a₁",IF($N164&lt;=0,"b₂ DEBE SER &gt; b₁","OK"))))))</f>
        <v/>
      </c>
      <c r="M164" s="30" t="n">
        <f aca="false">IF($D164="",0,MAX(0,$G164-$F164))</f>
        <v>0</v>
      </c>
      <c r="N164" s="30" t="n">
        <f aca="false">MAX(0,$W164-$V164)</f>
        <v>0</v>
      </c>
      <c r="O164" s="30" t="n">
        <f aca="false">$M164*$N164</f>
        <v>0</v>
      </c>
      <c r="P164" s="30" t="n">
        <f aca="false">IF($U164=0,0,SUMPRODUCT((ABERTURAS!$N$7:$N$26=$U164)*ABERTURAS!$U$7:$U$26*(((($Y164)+(ABERTURAS!$P$7:$P$26)-ABS(($Y164)-(ABERTURAS!$P$7:$P$26)))/2-(($X164)+(ABERTURAS!$O$7:$O$26)+ABS(($X164)-(ABERTURAS!$O$7:$O$26)))/2)+ABS((($Y164)+(ABERTURAS!$P$7:$P$26)-ABS(($Y164)-(ABERTURAS!$P$7:$P$26)))/2-(($X164)+(ABERTURAS!$O$7:$O$26)+ABS(($X164)-(ABERTURAS!$O$7:$O$26)))/2))/2*(((($AA164)+(ABERTURAS!$R$7:$R$26)-ABS(($AA164)-(ABERTURAS!$R$7:$R$26)))/2-(($Z164)+(ABERTURAS!$Q$7:$Q$26)+ABS(($Z164)-(ABERTURAS!$Q$7:$Q$26)))/2)+ABS((($AA164)+(ABERTURAS!$R$7:$R$26)-ABS(($AA164)-(ABERTURAS!$R$7:$R$26)))/2-(($Z164)+(ABERTURAS!$Q$7:$Q$26)+ABS(($Z164)-(ABERTURAS!$Q$7:$Q$26)))/2))/2))</f>
        <v>0</v>
      </c>
      <c r="Q164" s="30" t="n">
        <f aca="false">IF($U164=0,0,SUMPRODUCT((ABERTURAS!$N$7:$N$26=$U164)*ABERTURAS!$V$7:$V$26*(((($Y164)+(ABERTURAS!$P$7:$P$26)-ABS(($Y164)-(ABERTURAS!$P$7:$P$26)))/2-(($X164)+(ABERTURAS!$O$7:$O$26)+ABS(($X164)-(ABERTURAS!$O$7:$O$26)))/2)+ABS((($Y164)+(ABERTURAS!$P$7:$P$26)-ABS(($Y164)-(ABERTURAS!$P$7:$P$26)))/2-(($X164)+(ABERTURAS!$O$7:$O$26)+ABS(($X164)-(ABERTURAS!$O$7:$O$26)))/2))/2*(((($AA164)+(ABERTURAS!$R$7:$R$26)-ABS(($AA164)-(ABERTURAS!$R$7:$R$26)))/2-(($Z164)+(ABERTURAS!$Q$7:$Q$26)+ABS(($Z164)-(ABERTURAS!$Q$7:$Q$26)))/2)+ABS((($AA164)+(ABERTURAS!$R$7:$R$26)-ABS(($AA164)-(ABERTURAS!$R$7:$R$26)))/2-(($Z164)+(ABERTURAS!$Q$7:$Q$26)+ABS(($Z164)-(ABERTURAS!$Q$7:$Q$26)))/2))/2))</f>
        <v>0</v>
      </c>
      <c r="R164" s="30" t="n">
        <f aca="false">MAX(0,$O164-$P164)</f>
        <v>0</v>
      </c>
      <c r="S164" s="30" t="n">
        <f aca="false">MAX(0,$O164-$Q164)</f>
        <v>0</v>
      </c>
      <c r="T164" s="50" t="n">
        <f aca="false">IF($D164="",0,IF($E164="VERTICAL",N($G164),MAX(N($I164),IF($K164="",N($I164),$K164))))</f>
        <v>0</v>
      </c>
      <c r="U164" s="50" t="n">
        <f aca="false">IF($L164&lt;&gt;"OK",0,VALUE(RIGHT($C164,1)))</f>
        <v>0</v>
      </c>
      <c r="V164" s="50" t="n">
        <f aca="false">IF($D164="",0,(N($H164)+IF($J164="",N($H164),$J164))/2)</f>
        <v>0</v>
      </c>
      <c r="W164" s="50" t="n">
        <f aca="false">IF($D164="",0,(N($I164)+IF($K164="",N($I164),$K164))/2)</f>
        <v>0</v>
      </c>
      <c r="X164" s="50" t="n">
        <f aca="false">IF($E164="VERTICAL",$V164,N($F164))</f>
        <v>0</v>
      </c>
      <c r="Y164" s="50" t="n">
        <f aca="false">IF($E164="VERTICAL",$W164,N($G164))</f>
        <v>0</v>
      </c>
      <c r="Z164" s="50" t="n">
        <f aca="false">IF($E164="VERTICAL",N($F164),$V164)</f>
        <v>0</v>
      </c>
      <c r="AA164" s="50" t="n">
        <f aca="false">IF($E164="VERTICAL",N($G164),$W164)</f>
        <v>0</v>
      </c>
      <c r="AB164" s="30" t="n">
        <f aca="false">IF($L164&lt;&gt;"OK",0,(INDEX(PRESIONES!$D$28:$D$31,$U164)*IF(INDEX(PRESIONES!$D$28:$D$31,$U164)&gt;0,PRESIONES!$C$9*IF($T164&lt;=10,1,($T164/10)^(2/DATOS!$C$56)),PRESIONES!$C$15)-ABERTURAS!$L$60*PRESIONES!$C$12)*$R164/$M164)</f>
        <v>0</v>
      </c>
      <c r="AC164" s="30" t="n">
        <f aca="false">IF($L164&lt;&gt;"OK",0,(INDEX(PRESIONES!$G$28:$G$31,$U164)*IF(INDEX(PRESIONES!$G$28:$G$31,$U164)&gt;0,PRESIONES!$C$9*IF($T164&lt;=10,1,($T164/10)^(2/DATOS!$C$56)),PRESIONES!$C$15)-ABERTURAS!$L$61*PRESIONES!$C$12)*$R164/$M164)</f>
        <v>0</v>
      </c>
      <c r="AD164" s="30" t="n">
        <f aca="false">IF($L164&lt;&gt;"OK",0,(INDEX(PRESIONES!$J$28:$J$31,$U164)*IF(INDEX(PRESIONES!$J$28:$J$31,$U164)&gt;0,PRESIONES!$C$9*IF($T164&lt;=10,1,($T164/10)^(2/DATOS!$C$56)),PRESIONES!$C$15)-ABERTURAS!$L$62*PRESIONES!$C$12)*$R164/$M164)</f>
        <v>0</v>
      </c>
      <c r="AE164" s="30" t="n">
        <f aca="false">IF($L164&lt;&gt;"OK",0,(INDEX(PRESIONES!$M$28:$M$31,$U164)*IF(INDEX(PRESIONES!$M$28:$M$31,$U164)&gt;0,PRESIONES!$C$9*IF($T164&lt;=10,1,($T164/10)^(2/DATOS!$C$56)),PRESIONES!$C$15)-ABERTURAS!$L$63*PRESIONES!$C$12)*$R164/$M164)</f>
        <v>0</v>
      </c>
      <c r="AF164" s="30" t="n">
        <f aca="false">IF($L164&lt;&gt;"OK",0,(INDEX(PRESIONES!$D$28:$D$31,$U164)*IF(INDEX(PRESIONES!$D$28:$D$31,$U164)&gt;0,PRESIONES!$C$9*IF($T164&lt;=10,1,($T164/10)^(2/DATOS!$C$56)),PRESIONES!$C$15)-ABERTURAS!$L$64*PRESIONES!$C$12)*$S164/$M164)</f>
        <v>0</v>
      </c>
      <c r="AG164" s="30" t="n">
        <f aca="false">IF($L164&lt;&gt;"OK",0,(INDEX(PRESIONES!$G$28:$G$31,$U164)*IF(INDEX(PRESIONES!$G$28:$G$31,$U164)&gt;0,PRESIONES!$C$9*IF($T164&lt;=10,1,($T164/10)^(2/DATOS!$C$56)),PRESIONES!$C$15)-ABERTURAS!$L$65*PRESIONES!$C$12)*$S164/$M164)</f>
        <v>0</v>
      </c>
      <c r="AH164" s="30" t="n">
        <f aca="false">IF($L164&lt;&gt;"OK",0,(INDEX(PRESIONES!$J$28:$J$31,$U164)*IF(INDEX(PRESIONES!$J$28:$J$31,$U164)&gt;0,PRESIONES!$C$9*IF($T164&lt;=10,1,($T164/10)^(2/DATOS!$C$56)),PRESIONES!$C$15)-ABERTURAS!$L$66*PRESIONES!$C$12)*$S164/$M164)</f>
        <v>0</v>
      </c>
      <c r="AI164" s="30" t="n">
        <f aca="false">IF($L164&lt;&gt;"OK",0,(INDEX(PRESIONES!$M$28:$M$31,$U164)*IF(INDEX(PRESIONES!$M$28:$M$31,$U164)&gt;0,PRESIONES!$C$9*IF($T164&lt;=10,1,($T164/10)^(2/DATOS!$C$56)),PRESIONES!$C$15)-ABERTURAS!$L$67*PRESIONES!$C$12)*$S164/$M164)</f>
        <v>0</v>
      </c>
    </row>
    <row r="165" customFormat="false" ht="15" hidden="false" customHeight="true" outlineLevel="0" collapsed="false">
      <c r="B165" s="27"/>
      <c r="C165" s="17"/>
      <c r="D165" s="27"/>
      <c r="E165" s="17"/>
      <c r="F165" s="49"/>
      <c r="G165" s="49"/>
      <c r="H165" s="49"/>
      <c r="I165" s="49"/>
      <c r="J165" s="49"/>
      <c r="K165" s="49"/>
      <c r="L165" s="20" t="str">
        <f aca="false">IF($D165="","",IF(LEFT($C165,4)&lt;&gt;"MURO","PON EL MURO",IF(AND($E165&lt;&gt;"HORIZONTAL",$E165&lt;&gt;"VERTICAL"),"PON EL SENTIDO",IF(OR($F165="",$G165="",$H165="",$I165=""),"FALTAN a o b",IF($M165&lt;=0,"a₂ DEBE SER &gt; a₁",IF($N165&lt;=0,"b₂ DEBE SER &gt; b₁","OK"))))))</f>
        <v/>
      </c>
      <c r="M165" s="30" t="n">
        <f aca="false">IF($D165="",0,MAX(0,$G165-$F165))</f>
        <v>0</v>
      </c>
      <c r="N165" s="30" t="n">
        <f aca="false">MAX(0,$W165-$V165)</f>
        <v>0</v>
      </c>
      <c r="O165" s="30" t="n">
        <f aca="false">$M165*$N165</f>
        <v>0</v>
      </c>
      <c r="P165" s="30" t="n">
        <f aca="false">IF($U165=0,0,SUMPRODUCT((ABERTURAS!$N$7:$N$26=$U165)*ABERTURAS!$U$7:$U$26*(((($Y165)+(ABERTURAS!$P$7:$P$26)-ABS(($Y165)-(ABERTURAS!$P$7:$P$26)))/2-(($X165)+(ABERTURAS!$O$7:$O$26)+ABS(($X165)-(ABERTURAS!$O$7:$O$26)))/2)+ABS((($Y165)+(ABERTURAS!$P$7:$P$26)-ABS(($Y165)-(ABERTURAS!$P$7:$P$26)))/2-(($X165)+(ABERTURAS!$O$7:$O$26)+ABS(($X165)-(ABERTURAS!$O$7:$O$26)))/2))/2*(((($AA165)+(ABERTURAS!$R$7:$R$26)-ABS(($AA165)-(ABERTURAS!$R$7:$R$26)))/2-(($Z165)+(ABERTURAS!$Q$7:$Q$26)+ABS(($Z165)-(ABERTURAS!$Q$7:$Q$26)))/2)+ABS((($AA165)+(ABERTURAS!$R$7:$R$26)-ABS(($AA165)-(ABERTURAS!$R$7:$R$26)))/2-(($Z165)+(ABERTURAS!$Q$7:$Q$26)+ABS(($Z165)-(ABERTURAS!$Q$7:$Q$26)))/2))/2))</f>
        <v>0</v>
      </c>
      <c r="Q165" s="30" t="n">
        <f aca="false">IF($U165=0,0,SUMPRODUCT((ABERTURAS!$N$7:$N$26=$U165)*ABERTURAS!$V$7:$V$26*(((($Y165)+(ABERTURAS!$P$7:$P$26)-ABS(($Y165)-(ABERTURAS!$P$7:$P$26)))/2-(($X165)+(ABERTURAS!$O$7:$O$26)+ABS(($X165)-(ABERTURAS!$O$7:$O$26)))/2)+ABS((($Y165)+(ABERTURAS!$P$7:$P$26)-ABS(($Y165)-(ABERTURAS!$P$7:$P$26)))/2-(($X165)+(ABERTURAS!$O$7:$O$26)+ABS(($X165)-(ABERTURAS!$O$7:$O$26)))/2))/2*(((($AA165)+(ABERTURAS!$R$7:$R$26)-ABS(($AA165)-(ABERTURAS!$R$7:$R$26)))/2-(($Z165)+(ABERTURAS!$Q$7:$Q$26)+ABS(($Z165)-(ABERTURAS!$Q$7:$Q$26)))/2)+ABS((($AA165)+(ABERTURAS!$R$7:$R$26)-ABS(($AA165)-(ABERTURAS!$R$7:$R$26)))/2-(($Z165)+(ABERTURAS!$Q$7:$Q$26)+ABS(($Z165)-(ABERTURAS!$Q$7:$Q$26)))/2))/2))</f>
        <v>0</v>
      </c>
      <c r="R165" s="30" t="n">
        <f aca="false">MAX(0,$O165-$P165)</f>
        <v>0</v>
      </c>
      <c r="S165" s="30" t="n">
        <f aca="false">MAX(0,$O165-$Q165)</f>
        <v>0</v>
      </c>
      <c r="T165" s="50" t="n">
        <f aca="false">IF($D165="",0,IF($E165="VERTICAL",N($G165),MAX(N($I165),IF($K165="",N($I165),$K165))))</f>
        <v>0</v>
      </c>
      <c r="U165" s="50" t="n">
        <f aca="false">IF($L165&lt;&gt;"OK",0,VALUE(RIGHT($C165,1)))</f>
        <v>0</v>
      </c>
      <c r="V165" s="50" t="n">
        <f aca="false">IF($D165="",0,(N($H165)+IF($J165="",N($H165),$J165))/2)</f>
        <v>0</v>
      </c>
      <c r="W165" s="50" t="n">
        <f aca="false">IF($D165="",0,(N($I165)+IF($K165="",N($I165),$K165))/2)</f>
        <v>0</v>
      </c>
      <c r="X165" s="50" t="n">
        <f aca="false">IF($E165="VERTICAL",$V165,N($F165))</f>
        <v>0</v>
      </c>
      <c r="Y165" s="50" t="n">
        <f aca="false">IF($E165="VERTICAL",$W165,N($G165))</f>
        <v>0</v>
      </c>
      <c r="Z165" s="50" t="n">
        <f aca="false">IF($E165="VERTICAL",N($F165),$V165)</f>
        <v>0</v>
      </c>
      <c r="AA165" s="50" t="n">
        <f aca="false">IF($E165="VERTICAL",N($G165),$W165)</f>
        <v>0</v>
      </c>
      <c r="AB165" s="30" t="n">
        <f aca="false">IF($L165&lt;&gt;"OK",0,(INDEX(PRESIONES!$D$28:$D$31,$U165)*IF(INDEX(PRESIONES!$D$28:$D$31,$U165)&gt;0,PRESIONES!$C$9*IF($T165&lt;=10,1,($T165/10)^(2/DATOS!$C$56)),PRESIONES!$C$15)-ABERTURAS!$L$60*PRESIONES!$C$12)*$R165/$M165)</f>
        <v>0</v>
      </c>
      <c r="AC165" s="30" t="n">
        <f aca="false">IF($L165&lt;&gt;"OK",0,(INDEX(PRESIONES!$G$28:$G$31,$U165)*IF(INDEX(PRESIONES!$G$28:$G$31,$U165)&gt;0,PRESIONES!$C$9*IF($T165&lt;=10,1,($T165/10)^(2/DATOS!$C$56)),PRESIONES!$C$15)-ABERTURAS!$L$61*PRESIONES!$C$12)*$R165/$M165)</f>
        <v>0</v>
      </c>
      <c r="AD165" s="30" t="n">
        <f aca="false">IF($L165&lt;&gt;"OK",0,(INDEX(PRESIONES!$J$28:$J$31,$U165)*IF(INDEX(PRESIONES!$J$28:$J$31,$U165)&gt;0,PRESIONES!$C$9*IF($T165&lt;=10,1,($T165/10)^(2/DATOS!$C$56)),PRESIONES!$C$15)-ABERTURAS!$L$62*PRESIONES!$C$12)*$R165/$M165)</f>
        <v>0</v>
      </c>
      <c r="AE165" s="30" t="n">
        <f aca="false">IF($L165&lt;&gt;"OK",0,(INDEX(PRESIONES!$M$28:$M$31,$U165)*IF(INDEX(PRESIONES!$M$28:$M$31,$U165)&gt;0,PRESIONES!$C$9*IF($T165&lt;=10,1,($T165/10)^(2/DATOS!$C$56)),PRESIONES!$C$15)-ABERTURAS!$L$63*PRESIONES!$C$12)*$R165/$M165)</f>
        <v>0</v>
      </c>
      <c r="AF165" s="30" t="n">
        <f aca="false">IF($L165&lt;&gt;"OK",0,(INDEX(PRESIONES!$D$28:$D$31,$U165)*IF(INDEX(PRESIONES!$D$28:$D$31,$U165)&gt;0,PRESIONES!$C$9*IF($T165&lt;=10,1,($T165/10)^(2/DATOS!$C$56)),PRESIONES!$C$15)-ABERTURAS!$L$64*PRESIONES!$C$12)*$S165/$M165)</f>
        <v>0</v>
      </c>
      <c r="AG165" s="30" t="n">
        <f aca="false">IF($L165&lt;&gt;"OK",0,(INDEX(PRESIONES!$G$28:$G$31,$U165)*IF(INDEX(PRESIONES!$G$28:$G$31,$U165)&gt;0,PRESIONES!$C$9*IF($T165&lt;=10,1,($T165/10)^(2/DATOS!$C$56)),PRESIONES!$C$15)-ABERTURAS!$L$65*PRESIONES!$C$12)*$S165/$M165)</f>
        <v>0</v>
      </c>
      <c r="AH165" s="30" t="n">
        <f aca="false">IF($L165&lt;&gt;"OK",0,(INDEX(PRESIONES!$J$28:$J$31,$U165)*IF(INDEX(PRESIONES!$J$28:$J$31,$U165)&gt;0,PRESIONES!$C$9*IF($T165&lt;=10,1,($T165/10)^(2/DATOS!$C$56)),PRESIONES!$C$15)-ABERTURAS!$L$66*PRESIONES!$C$12)*$S165/$M165)</f>
        <v>0</v>
      </c>
      <c r="AI165" s="30" t="n">
        <f aca="false">IF($L165&lt;&gt;"OK",0,(INDEX(PRESIONES!$M$28:$M$31,$U165)*IF(INDEX(PRESIONES!$M$28:$M$31,$U165)&gt;0,PRESIONES!$C$9*IF($T165&lt;=10,1,($T165/10)^(2/DATOS!$C$56)),PRESIONES!$C$15)-ABERTURAS!$L$67*PRESIONES!$C$12)*$S165/$M165)</f>
        <v>0</v>
      </c>
    </row>
    <row r="166" customFormat="false" ht="15" hidden="false" customHeight="true" outlineLevel="0" collapsed="false">
      <c r="B166" s="27"/>
      <c r="C166" s="17"/>
      <c r="D166" s="27"/>
      <c r="E166" s="17"/>
      <c r="F166" s="49"/>
      <c r="G166" s="49"/>
      <c r="H166" s="49"/>
      <c r="I166" s="49"/>
      <c r="J166" s="49"/>
      <c r="K166" s="49"/>
      <c r="L166" s="20" t="str">
        <f aca="false">IF($D166="","",IF(LEFT($C166,4)&lt;&gt;"MURO","PON EL MURO",IF(AND($E166&lt;&gt;"HORIZONTAL",$E166&lt;&gt;"VERTICAL"),"PON EL SENTIDO",IF(OR($F166="",$G166="",$H166="",$I166=""),"FALTAN a o b",IF($M166&lt;=0,"a₂ DEBE SER &gt; a₁",IF($N166&lt;=0,"b₂ DEBE SER &gt; b₁","OK"))))))</f>
        <v/>
      </c>
      <c r="M166" s="30" t="n">
        <f aca="false">IF($D166="",0,MAX(0,$G166-$F166))</f>
        <v>0</v>
      </c>
      <c r="N166" s="30" t="n">
        <f aca="false">MAX(0,$W166-$V166)</f>
        <v>0</v>
      </c>
      <c r="O166" s="30" t="n">
        <f aca="false">$M166*$N166</f>
        <v>0</v>
      </c>
      <c r="P166" s="30" t="n">
        <f aca="false">IF($U166=0,0,SUMPRODUCT((ABERTURAS!$N$7:$N$26=$U166)*ABERTURAS!$U$7:$U$26*(((($Y166)+(ABERTURAS!$P$7:$P$26)-ABS(($Y166)-(ABERTURAS!$P$7:$P$26)))/2-(($X166)+(ABERTURAS!$O$7:$O$26)+ABS(($X166)-(ABERTURAS!$O$7:$O$26)))/2)+ABS((($Y166)+(ABERTURAS!$P$7:$P$26)-ABS(($Y166)-(ABERTURAS!$P$7:$P$26)))/2-(($X166)+(ABERTURAS!$O$7:$O$26)+ABS(($X166)-(ABERTURAS!$O$7:$O$26)))/2))/2*(((($AA166)+(ABERTURAS!$R$7:$R$26)-ABS(($AA166)-(ABERTURAS!$R$7:$R$26)))/2-(($Z166)+(ABERTURAS!$Q$7:$Q$26)+ABS(($Z166)-(ABERTURAS!$Q$7:$Q$26)))/2)+ABS((($AA166)+(ABERTURAS!$R$7:$R$26)-ABS(($AA166)-(ABERTURAS!$R$7:$R$26)))/2-(($Z166)+(ABERTURAS!$Q$7:$Q$26)+ABS(($Z166)-(ABERTURAS!$Q$7:$Q$26)))/2))/2))</f>
        <v>0</v>
      </c>
      <c r="Q166" s="30" t="n">
        <f aca="false">IF($U166=0,0,SUMPRODUCT((ABERTURAS!$N$7:$N$26=$U166)*ABERTURAS!$V$7:$V$26*(((($Y166)+(ABERTURAS!$P$7:$P$26)-ABS(($Y166)-(ABERTURAS!$P$7:$P$26)))/2-(($X166)+(ABERTURAS!$O$7:$O$26)+ABS(($X166)-(ABERTURAS!$O$7:$O$26)))/2)+ABS((($Y166)+(ABERTURAS!$P$7:$P$26)-ABS(($Y166)-(ABERTURAS!$P$7:$P$26)))/2-(($X166)+(ABERTURAS!$O$7:$O$26)+ABS(($X166)-(ABERTURAS!$O$7:$O$26)))/2))/2*(((($AA166)+(ABERTURAS!$R$7:$R$26)-ABS(($AA166)-(ABERTURAS!$R$7:$R$26)))/2-(($Z166)+(ABERTURAS!$Q$7:$Q$26)+ABS(($Z166)-(ABERTURAS!$Q$7:$Q$26)))/2)+ABS((($AA166)+(ABERTURAS!$R$7:$R$26)-ABS(($AA166)-(ABERTURAS!$R$7:$R$26)))/2-(($Z166)+(ABERTURAS!$Q$7:$Q$26)+ABS(($Z166)-(ABERTURAS!$Q$7:$Q$26)))/2))/2))</f>
        <v>0</v>
      </c>
      <c r="R166" s="30" t="n">
        <f aca="false">MAX(0,$O166-$P166)</f>
        <v>0</v>
      </c>
      <c r="S166" s="30" t="n">
        <f aca="false">MAX(0,$O166-$Q166)</f>
        <v>0</v>
      </c>
      <c r="T166" s="50" t="n">
        <f aca="false">IF($D166="",0,IF($E166="VERTICAL",N($G166),MAX(N($I166),IF($K166="",N($I166),$K166))))</f>
        <v>0</v>
      </c>
      <c r="U166" s="50" t="n">
        <f aca="false">IF($L166&lt;&gt;"OK",0,VALUE(RIGHT($C166,1)))</f>
        <v>0</v>
      </c>
      <c r="V166" s="50" t="n">
        <f aca="false">IF($D166="",0,(N($H166)+IF($J166="",N($H166),$J166))/2)</f>
        <v>0</v>
      </c>
      <c r="W166" s="50" t="n">
        <f aca="false">IF($D166="",0,(N($I166)+IF($K166="",N($I166),$K166))/2)</f>
        <v>0</v>
      </c>
      <c r="X166" s="50" t="n">
        <f aca="false">IF($E166="VERTICAL",$V166,N($F166))</f>
        <v>0</v>
      </c>
      <c r="Y166" s="50" t="n">
        <f aca="false">IF($E166="VERTICAL",$W166,N($G166))</f>
        <v>0</v>
      </c>
      <c r="Z166" s="50" t="n">
        <f aca="false">IF($E166="VERTICAL",N($F166),$V166)</f>
        <v>0</v>
      </c>
      <c r="AA166" s="50" t="n">
        <f aca="false">IF($E166="VERTICAL",N($G166),$W166)</f>
        <v>0</v>
      </c>
      <c r="AB166" s="30" t="n">
        <f aca="false">IF($L166&lt;&gt;"OK",0,(INDEX(PRESIONES!$D$28:$D$31,$U166)*IF(INDEX(PRESIONES!$D$28:$D$31,$U166)&gt;0,PRESIONES!$C$9*IF($T166&lt;=10,1,($T166/10)^(2/DATOS!$C$56)),PRESIONES!$C$15)-ABERTURAS!$L$60*PRESIONES!$C$12)*$R166/$M166)</f>
        <v>0</v>
      </c>
      <c r="AC166" s="30" t="n">
        <f aca="false">IF($L166&lt;&gt;"OK",0,(INDEX(PRESIONES!$G$28:$G$31,$U166)*IF(INDEX(PRESIONES!$G$28:$G$31,$U166)&gt;0,PRESIONES!$C$9*IF($T166&lt;=10,1,($T166/10)^(2/DATOS!$C$56)),PRESIONES!$C$15)-ABERTURAS!$L$61*PRESIONES!$C$12)*$R166/$M166)</f>
        <v>0</v>
      </c>
      <c r="AD166" s="30" t="n">
        <f aca="false">IF($L166&lt;&gt;"OK",0,(INDEX(PRESIONES!$J$28:$J$31,$U166)*IF(INDEX(PRESIONES!$J$28:$J$31,$U166)&gt;0,PRESIONES!$C$9*IF($T166&lt;=10,1,($T166/10)^(2/DATOS!$C$56)),PRESIONES!$C$15)-ABERTURAS!$L$62*PRESIONES!$C$12)*$R166/$M166)</f>
        <v>0</v>
      </c>
      <c r="AE166" s="30" t="n">
        <f aca="false">IF($L166&lt;&gt;"OK",0,(INDEX(PRESIONES!$M$28:$M$31,$U166)*IF(INDEX(PRESIONES!$M$28:$M$31,$U166)&gt;0,PRESIONES!$C$9*IF($T166&lt;=10,1,($T166/10)^(2/DATOS!$C$56)),PRESIONES!$C$15)-ABERTURAS!$L$63*PRESIONES!$C$12)*$R166/$M166)</f>
        <v>0</v>
      </c>
      <c r="AF166" s="30" t="n">
        <f aca="false">IF($L166&lt;&gt;"OK",0,(INDEX(PRESIONES!$D$28:$D$31,$U166)*IF(INDEX(PRESIONES!$D$28:$D$31,$U166)&gt;0,PRESIONES!$C$9*IF($T166&lt;=10,1,($T166/10)^(2/DATOS!$C$56)),PRESIONES!$C$15)-ABERTURAS!$L$64*PRESIONES!$C$12)*$S166/$M166)</f>
        <v>0</v>
      </c>
      <c r="AG166" s="30" t="n">
        <f aca="false">IF($L166&lt;&gt;"OK",0,(INDEX(PRESIONES!$G$28:$G$31,$U166)*IF(INDEX(PRESIONES!$G$28:$G$31,$U166)&gt;0,PRESIONES!$C$9*IF($T166&lt;=10,1,($T166/10)^(2/DATOS!$C$56)),PRESIONES!$C$15)-ABERTURAS!$L$65*PRESIONES!$C$12)*$S166/$M166)</f>
        <v>0</v>
      </c>
      <c r="AH166" s="30" t="n">
        <f aca="false">IF($L166&lt;&gt;"OK",0,(INDEX(PRESIONES!$J$28:$J$31,$U166)*IF(INDEX(PRESIONES!$J$28:$J$31,$U166)&gt;0,PRESIONES!$C$9*IF($T166&lt;=10,1,($T166/10)^(2/DATOS!$C$56)),PRESIONES!$C$15)-ABERTURAS!$L$66*PRESIONES!$C$12)*$S166/$M166)</f>
        <v>0</v>
      </c>
      <c r="AI166" s="30" t="n">
        <f aca="false">IF($L166&lt;&gt;"OK",0,(INDEX(PRESIONES!$M$28:$M$31,$U166)*IF(INDEX(PRESIONES!$M$28:$M$31,$U166)&gt;0,PRESIONES!$C$9*IF($T166&lt;=10,1,($T166/10)^(2/DATOS!$C$56)),PRESIONES!$C$15)-ABERTURAS!$L$67*PRESIONES!$C$12)*$S166/$M166)</f>
        <v>0</v>
      </c>
    </row>
    <row r="167" customFormat="false" ht="15" hidden="false" customHeight="true" outlineLevel="0" collapsed="false">
      <c r="B167" s="27"/>
      <c r="C167" s="17"/>
      <c r="D167" s="27"/>
      <c r="E167" s="17"/>
      <c r="F167" s="49"/>
      <c r="G167" s="49"/>
      <c r="H167" s="49"/>
      <c r="I167" s="49"/>
      <c r="J167" s="49"/>
      <c r="K167" s="49"/>
      <c r="L167" s="20" t="str">
        <f aca="false">IF($D167="","",IF(LEFT($C167,4)&lt;&gt;"MURO","PON EL MURO",IF(AND($E167&lt;&gt;"HORIZONTAL",$E167&lt;&gt;"VERTICAL"),"PON EL SENTIDO",IF(OR($F167="",$G167="",$H167="",$I167=""),"FALTAN a o b",IF($M167&lt;=0,"a₂ DEBE SER &gt; a₁",IF($N167&lt;=0,"b₂ DEBE SER &gt; b₁","OK"))))))</f>
        <v/>
      </c>
      <c r="M167" s="30" t="n">
        <f aca="false">IF($D167="",0,MAX(0,$G167-$F167))</f>
        <v>0</v>
      </c>
      <c r="N167" s="30" t="n">
        <f aca="false">MAX(0,$W167-$V167)</f>
        <v>0</v>
      </c>
      <c r="O167" s="30" t="n">
        <f aca="false">$M167*$N167</f>
        <v>0</v>
      </c>
      <c r="P167" s="30" t="n">
        <f aca="false">IF($U167=0,0,SUMPRODUCT((ABERTURAS!$N$7:$N$26=$U167)*ABERTURAS!$U$7:$U$26*(((($Y167)+(ABERTURAS!$P$7:$P$26)-ABS(($Y167)-(ABERTURAS!$P$7:$P$26)))/2-(($X167)+(ABERTURAS!$O$7:$O$26)+ABS(($X167)-(ABERTURAS!$O$7:$O$26)))/2)+ABS((($Y167)+(ABERTURAS!$P$7:$P$26)-ABS(($Y167)-(ABERTURAS!$P$7:$P$26)))/2-(($X167)+(ABERTURAS!$O$7:$O$26)+ABS(($X167)-(ABERTURAS!$O$7:$O$26)))/2))/2*(((($AA167)+(ABERTURAS!$R$7:$R$26)-ABS(($AA167)-(ABERTURAS!$R$7:$R$26)))/2-(($Z167)+(ABERTURAS!$Q$7:$Q$26)+ABS(($Z167)-(ABERTURAS!$Q$7:$Q$26)))/2)+ABS((($AA167)+(ABERTURAS!$R$7:$R$26)-ABS(($AA167)-(ABERTURAS!$R$7:$R$26)))/2-(($Z167)+(ABERTURAS!$Q$7:$Q$26)+ABS(($Z167)-(ABERTURAS!$Q$7:$Q$26)))/2))/2))</f>
        <v>0</v>
      </c>
      <c r="Q167" s="30" t="n">
        <f aca="false">IF($U167=0,0,SUMPRODUCT((ABERTURAS!$N$7:$N$26=$U167)*ABERTURAS!$V$7:$V$26*(((($Y167)+(ABERTURAS!$P$7:$P$26)-ABS(($Y167)-(ABERTURAS!$P$7:$P$26)))/2-(($X167)+(ABERTURAS!$O$7:$O$26)+ABS(($X167)-(ABERTURAS!$O$7:$O$26)))/2)+ABS((($Y167)+(ABERTURAS!$P$7:$P$26)-ABS(($Y167)-(ABERTURAS!$P$7:$P$26)))/2-(($X167)+(ABERTURAS!$O$7:$O$26)+ABS(($X167)-(ABERTURAS!$O$7:$O$26)))/2))/2*(((($AA167)+(ABERTURAS!$R$7:$R$26)-ABS(($AA167)-(ABERTURAS!$R$7:$R$26)))/2-(($Z167)+(ABERTURAS!$Q$7:$Q$26)+ABS(($Z167)-(ABERTURAS!$Q$7:$Q$26)))/2)+ABS((($AA167)+(ABERTURAS!$R$7:$R$26)-ABS(($AA167)-(ABERTURAS!$R$7:$R$26)))/2-(($Z167)+(ABERTURAS!$Q$7:$Q$26)+ABS(($Z167)-(ABERTURAS!$Q$7:$Q$26)))/2))/2))</f>
        <v>0</v>
      </c>
      <c r="R167" s="30" t="n">
        <f aca="false">MAX(0,$O167-$P167)</f>
        <v>0</v>
      </c>
      <c r="S167" s="30" t="n">
        <f aca="false">MAX(0,$O167-$Q167)</f>
        <v>0</v>
      </c>
      <c r="T167" s="50" t="n">
        <f aca="false">IF($D167="",0,IF($E167="VERTICAL",N($G167),MAX(N($I167),IF($K167="",N($I167),$K167))))</f>
        <v>0</v>
      </c>
      <c r="U167" s="50" t="n">
        <f aca="false">IF($L167&lt;&gt;"OK",0,VALUE(RIGHT($C167,1)))</f>
        <v>0</v>
      </c>
      <c r="V167" s="50" t="n">
        <f aca="false">IF($D167="",0,(N($H167)+IF($J167="",N($H167),$J167))/2)</f>
        <v>0</v>
      </c>
      <c r="W167" s="50" t="n">
        <f aca="false">IF($D167="",0,(N($I167)+IF($K167="",N($I167),$K167))/2)</f>
        <v>0</v>
      </c>
      <c r="X167" s="50" t="n">
        <f aca="false">IF($E167="VERTICAL",$V167,N($F167))</f>
        <v>0</v>
      </c>
      <c r="Y167" s="50" t="n">
        <f aca="false">IF($E167="VERTICAL",$W167,N($G167))</f>
        <v>0</v>
      </c>
      <c r="Z167" s="50" t="n">
        <f aca="false">IF($E167="VERTICAL",N($F167),$V167)</f>
        <v>0</v>
      </c>
      <c r="AA167" s="50" t="n">
        <f aca="false">IF($E167="VERTICAL",N($G167),$W167)</f>
        <v>0</v>
      </c>
      <c r="AB167" s="30" t="n">
        <f aca="false">IF($L167&lt;&gt;"OK",0,(INDEX(PRESIONES!$D$28:$D$31,$U167)*IF(INDEX(PRESIONES!$D$28:$D$31,$U167)&gt;0,PRESIONES!$C$9*IF($T167&lt;=10,1,($T167/10)^(2/DATOS!$C$56)),PRESIONES!$C$15)-ABERTURAS!$L$60*PRESIONES!$C$12)*$R167/$M167)</f>
        <v>0</v>
      </c>
      <c r="AC167" s="30" t="n">
        <f aca="false">IF($L167&lt;&gt;"OK",0,(INDEX(PRESIONES!$G$28:$G$31,$U167)*IF(INDEX(PRESIONES!$G$28:$G$31,$U167)&gt;0,PRESIONES!$C$9*IF($T167&lt;=10,1,($T167/10)^(2/DATOS!$C$56)),PRESIONES!$C$15)-ABERTURAS!$L$61*PRESIONES!$C$12)*$R167/$M167)</f>
        <v>0</v>
      </c>
      <c r="AD167" s="30" t="n">
        <f aca="false">IF($L167&lt;&gt;"OK",0,(INDEX(PRESIONES!$J$28:$J$31,$U167)*IF(INDEX(PRESIONES!$J$28:$J$31,$U167)&gt;0,PRESIONES!$C$9*IF($T167&lt;=10,1,($T167/10)^(2/DATOS!$C$56)),PRESIONES!$C$15)-ABERTURAS!$L$62*PRESIONES!$C$12)*$R167/$M167)</f>
        <v>0</v>
      </c>
      <c r="AE167" s="30" t="n">
        <f aca="false">IF($L167&lt;&gt;"OK",0,(INDEX(PRESIONES!$M$28:$M$31,$U167)*IF(INDEX(PRESIONES!$M$28:$M$31,$U167)&gt;0,PRESIONES!$C$9*IF($T167&lt;=10,1,($T167/10)^(2/DATOS!$C$56)),PRESIONES!$C$15)-ABERTURAS!$L$63*PRESIONES!$C$12)*$R167/$M167)</f>
        <v>0</v>
      </c>
      <c r="AF167" s="30" t="n">
        <f aca="false">IF($L167&lt;&gt;"OK",0,(INDEX(PRESIONES!$D$28:$D$31,$U167)*IF(INDEX(PRESIONES!$D$28:$D$31,$U167)&gt;0,PRESIONES!$C$9*IF($T167&lt;=10,1,($T167/10)^(2/DATOS!$C$56)),PRESIONES!$C$15)-ABERTURAS!$L$64*PRESIONES!$C$12)*$S167/$M167)</f>
        <v>0</v>
      </c>
      <c r="AG167" s="30" t="n">
        <f aca="false">IF($L167&lt;&gt;"OK",0,(INDEX(PRESIONES!$G$28:$G$31,$U167)*IF(INDEX(PRESIONES!$G$28:$G$31,$U167)&gt;0,PRESIONES!$C$9*IF($T167&lt;=10,1,($T167/10)^(2/DATOS!$C$56)),PRESIONES!$C$15)-ABERTURAS!$L$65*PRESIONES!$C$12)*$S167/$M167)</f>
        <v>0</v>
      </c>
      <c r="AH167" s="30" t="n">
        <f aca="false">IF($L167&lt;&gt;"OK",0,(INDEX(PRESIONES!$J$28:$J$31,$U167)*IF(INDEX(PRESIONES!$J$28:$J$31,$U167)&gt;0,PRESIONES!$C$9*IF($T167&lt;=10,1,($T167/10)^(2/DATOS!$C$56)),PRESIONES!$C$15)-ABERTURAS!$L$66*PRESIONES!$C$12)*$S167/$M167)</f>
        <v>0</v>
      </c>
      <c r="AI167" s="30" t="n">
        <f aca="false">IF($L167&lt;&gt;"OK",0,(INDEX(PRESIONES!$M$28:$M$31,$U167)*IF(INDEX(PRESIONES!$M$28:$M$31,$U167)&gt;0,PRESIONES!$C$9*IF($T167&lt;=10,1,($T167/10)^(2/DATOS!$C$56)),PRESIONES!$C$15)-ABERTURAS!$L$67*PRESIONES!$C$12)*$S167/$M167)</f>
        <v>0</v>
      </c>
    </row>
    <row r="168" customFormat="false" ht="15" hidden="false" customHeight="true" outlineLevel="0" collapsed="false">
      <c r="B168" s="27"/>
      <c r="C168" s="17"/>
      <c r="D168" s="27"/>
      <c r="E168" s="17"/>
      <c r="F168" s="49"/>
      <c r="G168" s="49"/>
      <c r="H168" s="49"/>
      <c r="I168" s="49"/>
      <c r="J168" s="49"/>
      <c r="K168" s="49"/>
      <c r="L168" s="20" t="str">
        <f aca="false">IF($D168="","",IF(LEFT($C168,4)&lt;&gt;"MURO","PON EL MURO",IF(AND($E168&lt;&gt;"HORIZONTAL",$E168&lt;&gt;"VERTICAL"),"PON EL SENTIDO",IF(OR($F168="",$G168="",$H168="",$I168=""),"FALTAN a o b",IF($M168&lt;=0,"a₂ DEBE SER &gt; a₁",IF($N168&lt;=0,"b₂ DEBE SER &gt; b₁","OK"))))))</f>
        <v/>
      </c>
      <c r="M168" s="30" t="n">
        <f aca="false">IF($D168="",0,MAX(0,$G168-$F168))</f>
        <v>0</v>
      </c>
      <c r="N168" s="30" t="n">
        <f aca="false">MAX(0,$W168-$V168)</f>
        <v>0</v>
      </c>
      <c r="O168" s="30" t="n">
        <f aca="false">$M168*$N168</f>
        <v>0</v>
      </c>
      <c r="P168" s="30" t="n">
        <f aca="false">IF($U168=0,0,SUMPRODUCT((ABERTURAS!$N$7:$N$26=$U168)*ABERTURAS!$U$7:$U$26*(((($Y168)+(ABERTURAS!$P$7:$P$26)-ABS(($Y168)-(ABERTURAS!$P$7:$P$26)))/2-(($X168)+(ABERTURAS!$O$7:$O$26)+ABS(($X168)-(ABERTURAS!$O$7:$O$26)))/2)+ABS((($Y168)+(ABERTURAS!$P$7:$P$26)-ABS(($Y168)-(ABERTURAS!$P$7:$P$26)))/2-(($X168)+(ABERTURAS!$O$7:$O$26)+ABS(($X168)-(ABERTURAS!$O$7:$O$26)))/2))/2*(((($AA168)+(ABERTURAS!$R$7:$R$26)-ABS(($AA168)-(ABERTURAS!$R$7:$R$26)))/2-(($Z168)+(ABERTURAS!$Q$7:$Q$26)+ABS(($Z168)-(ABERTURAS!$Q$7:$Q$26)))/2)+ABS((($AA168)+(ABERTURAS!$R$7:$R$26)-ABS(($AA168)-(ABERTURAS!$R$7:$R$26)))/2-(($Z168)+(ABERTURAS!$Q$7:$Q$26)+ABS(($Z168)-(ABERTURAS!$Q$7:$Q$26)))/2))/2))</f>
        <v>0</v>
      </c>
      <c r="Q168" s="30" t="n">
        <f aca="false">IF($U168=0,0,SUMPRODUCT((ABERTURAS!$N$7:$N$26=$U168)*ABERTURAS!$V$7:$V$26*(((($Y168)+(ABERTURAS!$P$7:$P$26)-ABS(($Y168)-(ABERTURAS!$P$7:$P$26)))/2-(($X168)+(ABERTURAS!$O$7:$O$26)+ABS(($X168)-(ABERTURAS!$O$7:$O$26)))/2)+ABS((($Y168)+(ABERTURAS!$P$7:$P$26)-ABS(($Y168)-(ABERTURAS!$P$7:$P$26)))/2-(($X168)+(ABERTURAS!$O$7:$O$26)+ABS(($X168)-(ABERTURAS!$O$7:$O$26)))/2))/2*(((($AA168)+(ABERTURAS!$R$7:$R$26)-ABS(($AA168)-(ABERTURAS!$R$7:$R$26)))/2-(($Z168)+(ABERTURAS!$Q$7:$Q$26)+ABS(($Z168)-(ABERTURAS!$Q$7:$Q$26)))/2)+ABS((($AA168)+(ABERTURAS!$R$7:$R$26)-ABS(($AA168)-(ABERTURAS!$R$7:$R$26)))/2-(($Z168)+(ABERTURAS!$Q$7:$Q$26)+ABS(($Z168)-(ABERTURAS!$Q$7:$Q$26)))/2))/2))</f>
        <v>0</v>
      </c>
      <c r="R168" s="30" t="n">
        <f aca="false">MAX(0,$O168-$P168)</f>
        <v>0</v>
      </c>
      <c r="S168" s="30" t="n">
        <f aca="false">MAX(0,$O168-$Q168)</f>
        <v>0</v>
      </c>
      <c r="T168" s="50" t="n">
        <f aca="false">IF($D168="",0,IF($E168="VERTICAL",N($G168),MAX(N($I168),IF($K168="",N($I168),$K168))))</f>
        <v>0</v>
      </c>
      <c r="U168" s="50" t="n">
        <f aca="false">IF($L168&lt;&gt;"OK",0,VALUE(RIGHT($C168,1)))</f>
        <v>0</v>
      </c>
      <c r="V168" s="50" t="n">
        <f aca="false">IF($D168="",0,(N($H168)+IF($J168="",N($H168),$J168))/2)</f>
        <v>0</v>
      </c>
      <c r="W168" s="50" t="n">
        <f aca="false">IF($D168="",0,(N($I168)+IF($K168="",N($I168),$K168))/2)</f>
        <v>0</v>
      </c>
      <c r="X168" s="50" t="n">
        <f aca="false">IF($E168="VERTICAL",$V168,N($F168))</f>
        <v>0</v>
      </c>
      <c r="Y168" s="50" t="n">
        <f aca="false">IF($E168="VERTICAL",$W168,N($G168))</f>
        <v>0</v>
      </c>
      <c r="Z168" s="50" t="n">
        <f aca="false">IF($E168="VERTICAL",N($F168),$V168)</f>
        <v>0</v>
      </c>
      <c r="AA168" s="50" t="n">
        <f aca="false">IF($E168="VERTICAL",N($G168),$W168)</f>
        <v>0</v>
      </c>
      <c r="AB168" s="30" t="n">
        <f aca="false">IF($L168&lt;&gt;"OK",0,(INDEX(PRESIONES!$D$28:$D$31,$U168)*IF(INDEX(PRESIONES!$D$28:$D$31,$U168)&gt;0,PRESIONES!$C$9*IF($T168&lt;=10,1,($T168/10)^(2/DATOS!$C$56)),PRESIONES!$C$15)-ABERTURAS!$L$60*PRESIONES!$C$12)*$R168/$M168)</f>
        <v>0</v>
      </c>
      <c r="AC168" s="30" t="n">
        <f aca="false">IF($L168&lt;&gt;"OK",0,(INDEX(PRESIONES!$G$28:$G$31,$U168)*IF(INDEX(PRESIONES!$G$28:$G$31,$U168)&gt;0,PRESIONES!$C$9*IF($T168&lt;=10,1,($T168/10)^(2/DATOS!$C$56)),PRESIONES!$C$15)-ABERTURAS!$L$61*PRESIONES!$C$12)*$R168/$M168)</f>
        <v>0</v>
      </c>
      <c r="AD168" s="30" t="n">
        <f aca="false">IF($L168&lt;&gt;"OK",0,(INDEX(PRESIONES!$J$28:$J$31,$U168)*IF(INDEX(PRESIONES!$J$28:$J$31,$U168)&gt;0,PRESIONES!$C$9*IF($T168&lt;=10,1,($T168/10)^(2/DATOS!$C$56)),PRESIONES!$C$15)-ABERTURAS!$L$62*PRESIONES!$C$12)*$R168/$M168)</f>
        <v>0</v>
      </c>
      <c r="AE168" s="30" t="n">
        <f aca="false">IF($L168&lt;&gt;"OK",0,(INDEX(PRESIONES!$M$28:$M$31,$U168)*IF(INDEX(PRESIONES!$M$28:$M$31,$U168)&gt;0,PRESIONES!$C$9*IF($T168&lt;=10,1,($T168/10)^(2/DATOS!$C$56)),PRESIONES!$C$15)-ABERTURAS!$L$63*PRESIONES!$C$12)*$R168/$M168)</f>
        <v>0</v>
      </c>
      <c r="AF168" s="30" t="n">
        <f aca="false">IF($L168&lt;&gt;"OK",0,(INDEX(PRESIONES!$D$28:$D$31,$U168)*IF(INDEX(PRESIONES!$D$28:$D$31,$U168)&gt;0,PRESIONES!$C$9*IF($T168&lt;=10,1,($T168/10)^(2/DATOS!$C$56)),PRESIONES!$C$15)-ABERTURAS!$L$64*PRESIONES!$C$12)*$S168/$M168)</f>
        <v>0</v>
      </c>
      <c r="AG168" s="30" t="n">
        <f aca="false">IF($L168&lt;&gt;"OK",0,(INDEX(PRESIONES!$G$28:$G$31,$U168)*IF(INDEX(PRESIONES!$G$28:$G$31,$U168)&gt;0,PRESIONES!$C$9*IF($T168&lt;=10,1,($T168/10)^(2/DATOS!$C$56)),PRESIONES!$C$15)-ABERTURAS!$L$65*PRESIONES!$C$12)*$S168/$M168)</f>
        <v>0</v>
      </c>
      <c r="AH168" s="30" t="n">
        <f aca="false">IF($L168&lt;&gt;"OK",0,(INDEX(PRESIONES!$J$28:$J$31,$U168)*IF(INDEX(PRESIONES!$J$28:$J$31,$U168)&gt;0,PRESIONES!$C$9*IF($T168&lt;=10,1,($T168/10)^(2/DATOS!$C$56)),PRESIONES!$C$15)-ABERTURAS!$L$66*PRESIONES!$C$12)*$S168/$M168)</f>
        <v>0</v>
      </c>
      <c r="AI168" s="30" t="n">
        <f aca="false">IF($L168&lt;&gt;"OK",0,(INDEX(PRESIONES!$M$28:$M$31,$U168)*IF(INDEX(PRESIONES!$M$28:$M$31,$U168)&gt;0,PRESIONES!$C$9*IF($T168&lt;=10,1,($T168/10)^(2/DATOS!$C$56)),PRESIONES!$C$15)-ABERTURAS!$L$67*PRESIONES!$C$12)*$S168/$M168)</f>
        <v>0</v>
      </c>
    </row>
    <row r="169" customFormat="false" ht="15" hidden="false" customHeight="true" outlineLevel="0" collapsed="false">
      <c r="B169" s="27"/>
      <c r="C169" s="17"/>
      <c r="D169" s="27"/>
      <c r="E169" s="17"/>
      <c r="F169" s="49"/>
      <c r="G169" s="49"/>
      <c r="H169" s="49"/>
      <c r="I169" s="49"/>
      <c r="J169" s="49"/>
      <c r="K169" s="49"/>
      <c r="L169" s="20" t="str">
        <f aca="false">IF($D169="","",IF(LEFT($C169,4)&lt;&gt;"MURO","PON EL MURO",IF(AND($E169&lt;&gt;"HORIZONTAL",$E169&lt;&gt;"VERTICAL"),"PON EL SENTIDO",IF(OR($F169="",$G169="",$H169="",$I169=""),"FALTAN a o b",IF($M169&lt;=0,"a₂ DEBE SER &gt; a₁",IF($N169&lt;=0,"b₂ DEBE SER &gt; b₁","OK"))))))</f>
        <v/>
      </c>
      <c r="M169" s="30" t="n">
        <f aca="false">IF($D169="",0,MAX(0,$G169-$F169))</f>
        <v>0</v>
      </c>
      <c r="N169" s="30" t="n">
        <f aca="false">MAX(0,$W169-$V169)</f>
        <v>0</v>
      </c>
      <c r="O169" s="30" t="n">
        <f aca="false">$M169*$N169</f>
        <v>0</v>
      </c>
      <c r="P169" s="30" t="n">
        <f aca="false">IF($U169=0,0,SUMPRODUCT((ABERTURAS!$N$7:$N$26=$U169)*ABERTURAS!$U$7:$U$26*(((($Y169)+(ABERTURAS!$P$7:$P$26)-ABS(($Y169)-(ABERTURAS!$P$7:$P$26)))/2-(($X169)+(ABERTURAS!$O$7:$O$26)+ABS(($X169)-(ABERTURAS!$O$7:$O$26)))/2)+ABS((($Y169)+(ABERTURAS!$P$7:$P$26)-ABS(($Y169)-(ABERTURAS!$P$7:$P$26)))/2-(($X169)+(ABERTURAS!$O$7:$O$26)+ABS(($X169)-(ABERTURAS!$O$7:$O$26)))/2))/2*(((($AA169)+(ABERTURAS!$R$7:$R$26)-ABS(($AA169)-(ABERTURAS!$R$7:$R$26)))/2-(($Z169)+(ABERTURAS!$Q$7:$Q$26)+ABS(($Z169)-(ABERTURAS!$Q$7:$Q$26)))/2)+ABS((($AA169)+(ABERTURAS!$R$7:$R$26)-ABS(($AA169)-(ABERTURAS!$R$7:$R$26)))/2-(($Z169)+(ABERTURAS!$Q$7:$Q$26)+ABS(($Z169)-(ABERTURAS!$Q$7:$Q$26)))/2))/2))</f>
        <v>0</v>
      </c>
      <c r="Q169" s="30" t="n">
        <f aca="false">IF($U169=0,0,SUMPRODUCT((ABERTURAS!$N$7:$N$26=$U169)*ABERTURAS!$V$7:$V$26*(((($Y169)+(ABERTURAS!$P$7:$P$26)-ABS(($Y169)-(ABERTURAS!$P$7:$P$26)))/2-(($X169)+(ABERTURAS!$O$7:$O$26)+ABS(($X169)-(ABERTURAS!$O$7:$O$26)))/2)+ABS((($Y169)+(ABERTURAS!$P$7:$P$26)-ABS(($Y169)-(ABERTURAS!$P$7:$P$26)))/2-(($X169)+(ABERTURAS!$O$7:$O$26)+ABS(($X169)-(ABERTURAS!$O$7:$O$26)))/2))/2*(((($AA169)+(ABERTURAS!$R$7:$R$26)-ABS(($AA169)-(ABERTURAS!$R$7:$R$26)))/2-(($Z169)+(ABERTURAS!$Q$7:$Q$26)+ABS(($Z169)-(ABERTURAS!$Q$7:$Q$26)))/2)+ABS((($AA169)+(ABERTURAS!$R$7:$R$26)-ABS(($AA169)-(ABERTURAS!$R$7:$R$26)))/2-(($Z169)+(ABERTURAS!$Q$7:$Q$26)+ABS(($Z169)-(ABERTURAS!$Q$7:$Q$26)))/2))/2))</f>
        <v>0</v>
      </c>
      <c r="R169" s="30" t="n">
        <f aca="false">MAX(0,$O169-$P169)</f>
        <v>0</v>
      </c>
      <c r="S169" s="30" t="n">
        <f aca="false">MAX(0,$O169-$Q169)</f>
        <v>0</v>
      </c>
      <c r="T169" s="50" t="n">
        <f aca="false">IF($D169="",0,IF($E169="VERTICAL",N($G169),MAX(N($I169),IF($K169="",N($I169),$K169))))</f>
        <v>0</v>
      </c>
      <c r="U169" s="50" t="n">
        <f aca="false">IF($L169&lt;&gt;"OK",0,VALUE(RIGHT($C169,1)))</f>
        <v>0</v>
      </c>
      <c r="V169" s="50" t="n">
        <f aca="false">IF($D169="",0,(N($H169)+IF($J169="",N($H169),$J169))/2)</f>
        <v>0</v>
      </c>
      <c r="W169" s="50" t="n">
        <f aca="false">IF($D169="",0,(N($I169)+IF($K169="",N($I169),$K169))/2)</f>
        <v>0</v>
      </c>
      <c r="X169" s="50" t="n">
        <f aca="false">IF($E169="VERTICAL",$V169,N($F169))</f>
        <v>0</v>
      </c>
      <c r="Y169" s="50" t="n">
        <f aca="false">IF($E169="VERTICAL",$W169,N($G169))</f>
        <v>0</v>
      </c>
      <c r="Z169" s="50" t="n">
        <f aca="false">IF($E169="VERTICAL",N($F169),$V169)</f>
        <v>0</v>
      </c>
      <c r="AA169" s="50" t="n">
        <f aca="false">IF($E169="VERTICAL",N($G169),$W169)</f>
        <v>0</v>
      </c>
      <c r="AB169" s="30" t="n">
        <f aca="false">IF($L169&lt;&gt;"OK",0,(INDEX(PRESIONES!$D$28:$D$31,$U169)*IF(INDEX(PRESIONES!$D$28:$D$31,$U169)&gt;0,PRESIONES!$C$9*IF($T169&lt;=10,1,($T169/10)^(2/DATOS!$C$56)),PRESIONES!$C$15)-ABERTURAS!$L$60*PRESIONES!$C$12)*$R169/$M169)</f>
        <v>0</v>
      </c>
      <c r="AC169" s="30" t="n">
        <f aca="false">IF($L169&lt;&gt;"OK",0,(INDEX(PRESIONES!$G$28:$G$31,$U169)*IF(INDEX(PRESIONES!$G$28:$G$31,$U169)&gt;0,PRESIONES!$C$9*IF($T169&lt;=10,1,($T169/10)^(2/DATOS!$C$56)),PRESIONES!$C$15)-ABERTURAS!$L$61*PRESIONES!$C$12)*$R169/$M169)</f>
        <v>0</v>
      </c>
      <c r="AD169" s="30" t="n">
        <f aca="false">IF($L169&lt;&gt;"OK",0,(INDEX(PRESIONES!$J$28:$J$31,$U169)*IF(INDEX(PRESIONES!$J$28:$J$31,$U169)&gt;0,PRESIONES!$C$9*IF($T169&lt;=10,1,($T169/10)^(2/DATOS!$C$56)),PRESIONES!$C$15)-ABERTURAS!$L$62*PRESIONES!$C$12)*$R169/$M169)</f>
        <v>0</v>
      </c>
      <c r="AE169" s="30" t="n">
        <f aca="false">IF($L169&lt;&gt;"OK",0,(INDEX(PRESIONES!$M$28:$M$31,$U169)*IF(INDEX(PRESIONES!$M$28:$M$31,$U169)&gt;0,PRESIONES!$C$9*IF($T169&lt;=10,1,($T169/10)^(2/DATOS!$C$56)),PRESIONES!$C$15)-ABERTURAS!$L$63*PRESIONES!$C$12)*$R169/$M169)</f>
        <v>0</v>
      </c>
      <c r="AF169" s="30" t="n">
        <f aca="false">IF($L169&lt;&gt;"OK",0,(INDEX(PRESIONES!$D$28:$D$31,$U169)*IF(INDEX(PRESIONES!$D$28:$D$31,$U169)&gt;0,PRESIONES!$C$9*IF($T169&lt;=10,1,($T169/10)^(2/DATOS!$C$56)),PRESIONES!$C$15)-ABERTURAS!$L$64*PRESIONES!$C$12)*$S169/$M169)</f>
        <v>0</v>
      </c>
      <c r="AG169" s="30" t="n">
        <f aca="false">IF($L169&lt;&gt;"OK",0,(INDEX(PRESIONES!$G$28:$G$31,$U169)*IF(INDEX(PRESIONES!$G$28:$G$31,$U169)&gt;0,PRESIONES!$C$9*IF($T169&lt;=10,1,($T169/10)^(2/DATOS!$C$56)),PRESIONES!$C$15)-ABERTURAS!$L$65*PRESIONES!$C$12)*$S169/$M169)</f>
        <v>0</v>
      </c>
      <c r="AH169" s="30" t="n">
        <f aca="false">IF($L169&lt;&gt;"OK",0,(INDEX(PRESIONES!$J$28:$J$31,$U169)*IF(INDEX(PRESIONES!$J$28:$J$31,$U169)&gt;0,PRESIONES!$C$9*IF($T169&lt;=10,1,($T169/10)^(2/DATOS!$C$56)),PRESIONES!$C$15)-ABERTURAS!$L$66*PRESIONES!$C$12)*$S169/$M169)</f>
        <v>0</v>
      </c>
      <c r="AI169" s="30" t="n">
        <f aca="false">IF($L169&lt;&gt;"OK",0,(INDEX(PRESIONES!$M$28:$M$31,$U169)*IF(INDEX(PRESIONES!$M$28:$M$31,$U169)&gt;0,PRESIONES!$C$9*IF($T169&lt;=10,1,($T169/10)^(2/DATOS!$C$56)),PRESIONES!$C$15)-ABERTURAS!$L$67*PRESIONES!$C$12)*$S169/$M169)</f>
        <v>0</v>
      </c>
    </row>
    <row r="170" customFormat="false" ht="15" hidden="false" customHeight="true" outlineLevel="0" collapsed="false">
      <c r="B170" s="27"/>
      <c r="C170" s="17"/>
      <c r="D170" s="27"/>
      <c r="E170" s="17"/>
      <c r="F170" s="49"/>
      <c r="G170" s="49"/>
      <c r="H170" s="49"/>
      <c r="I170" s="49"/>
      <c r="J170" s="49"/>
      <c r="K170" s="49"/>
      <c r="L170" s="20" t="str">
        <f aca="false">IF($D170="","",IF(LEFT($C170,4)&lt;&gt;"MURO","PON EL MURO",IF(AND($E170&lt;&gt;"HORIZONTAL",$E170&lt;&gt;"VERTICAL"),"PON EL SENTIDO",IF(OR($F170="",$G170="",$H170="",$I170=""),"FALTAN a o b",IF($M170&lt;=0,"a₂ DEBE SER &gt; a₁",IF($N170&lt;=0,"b₂ DEBE SER &gt; b₁","OK"))))))</f>
        <v/>
      </c>
      <c r="M170" s="30" t="n">
        <f aca="false">IF($D170="",0,MAX(0,$G170-$F170))</f>
        <v>0</v>
      </c>
      <c r="N170" s="30" t="n">
        <f aca="false">MAX(0,$W170-$V170)</f>
        <v>0</v>
      </c>
      <c r="O170" s="30" t="n">
        <f aca="false">$M170*$N170</f>
        <v>0</v>
      </c>
      <c r="P170" s="30" t="n">
        <f aca="false">IF($U170=0,0,SUMPRODUCT((ABERTURAS!$N$7:$N$26=$U170)*ABERTURAS!$U$7:$U$26*(((($Y170)+(ABERTURAS!$P$7:$P$26)-ABS(($Y170)-(ABERTURAS!$P$7:$P$26)))/2-(($X170)+(ABERTURAS!$O$7:$O$26)+ABS(($X170)-(ABERTURAS!$O$7:$O$26)))/2)+ABS((($Y170)+(ABERTURAS!$P$7:$P$26)-ABS(($Y170)-(ABERTURAS!$P$7:$P$26)))/2-(($X170)+(ABERTURAS!$O$7:$O$26)+ABS(($X170)-(ABERTURAS!$O$7:$O$26)))/2))/2*(((($AA170)+(ABERTURAS!$R$7:$R$26)-ABS(($AA170)-(ABERTURAS!$R$7:$R$26)))/2-(($Z170)+(ABERTURAS!$Q$7:$Q$26)+ABS(($Z170)-(ABERTURAS!$Q$7:$Q$26)))/2)+ABS((($AA170)+(ABERTURAS!$R$7:$R$26)-ABS(($AA170)-(ABERTURAS!$R$7:$R$26)))/2-(($Z170)+(ABERTURAS!$Q$7:$Q$26)+ABS(($Z170)-(ABERTURAS!$Q$7:$Q$26)))/2))/2))</f>
        <v>0</v>
      </c>
      <c r="Q170" s="30" t="n">
        <f aca="false">IF($U170=0,0,SUMPRODUCT((ABERTURAS!$N$7:$N$26=$U170)*ABERTURAS!$V$7:$V$26*(((($Y170)+(ABERTURAS!$P$7:$P$26)-ABS(($Y170)-(ABERTURAS!$P$7:$P$26)))/2-(($X170)+(ABERTURAS!$O$7:$O$26)+ABS(($X170)-(ABERTURAS!$O$7:$O$26)))/2)+ABS((($Y170)+(ABERTURAS!$P$7:$P$26)-ABS(($Y170)-(ABERTURAS!$P$7:$P$26)))/2-(($X170)+(ABERTURAS!$O$7:$O$26)+ABS(($X170)-(ABERTURAS!$O$7:$O$26)))/2))/2*(((($AA170)+(ABERTURAS!$R$7:$R$26)-ABS(($AA170)-(ABERTURAS!$R$7:$R$26)))/2-(($Z170)+(ABERTURAS!$Q$7:$Q$26)+ABS(($Z170)-(ABERTURAS!$Q$7:$Q$26)))/2)+ABS((($AA170)+(ABERTURAS!$R$7:$R$26)-ABS(($AA170)-(ABERTURAS!$R$7:$R$26)))/2-(($Z170)+(ABERTURAS!$Q$7:$Q$26)+ABS(($Z170)-(ABERTURAS!$Q$7:$Q$26)))/2))/2))</f>
        <v>0</v>
      </c>
      <c r="R170" s="30" t="n">
        <f aca="false">MAX(0,$O170-$P170)</f>
        <v>0</v>
      </c>
      <c r="S170" s="30" t="n">
        <f aca="false">MAX(0,$O170-$Q170)</f>
        <v>0</v>
      </c>
      <c r="T170" s="50" t="n">
        <f aca="false">IF($D170="",0,IF($E170="VERTICAL",N($G170),MAX(N($I170),IF($K170="",N($I170),$K170))))</f>
        <v>0</v>
      </c>
      <c r="U170" s="50" t="n">
        <f aca="false">IF($L170&lt;&gt;"OK",0,VALUE(RIGHT($C170,1)))</f>
        <v>0</v>
      </c>
      <c r="V170" s="50" t="n">
        <f aca="false">IF($D170="",0,(N($H170)+IF($J170="",N($H170),$J170))/2)</f>
        <v>0</v>
      </c>
      <c r="W170" s="50" t="n">
        <f aca="false">IF($D170="",0,(N($I170)+IF($K170="",N($I170),$K170))/2)</f>
        <v>0</v>
      </c>
      <c r="X170" s="50" t="n">
        <f aca="false">IF($E170="VERTICAL",$V170,N($F170))</f>
        <v>0</v>
      </c>
      <c r="Y170" s="50" t="n">
        <f aca="false">IF($E170="VERTICAL",$W170,N($G170))</f>
        <v>0</v>
      </c>
      <c r="Z170" s="50" t="n">
        <f aca="false">IF($E170="VERTICAL",N($F170),$V170)</f>
        <v>0</v>
      </c>
      <c r="AA170" s="50" t="n">
        <f aca="false">IF($E170="VERTICAL",N($G170),$W170)</f>
        <v>0</v>
      </c>
      <c r="AB170" s="30" t="n">
        <f aca="false">IF($L170&lt;&gt;"OK",0,(INDEX(PRESIONES!$D$28:$D$31,$U170)*IF(INDEX(PRESIONES!$D$28:$D$31,$U170)&gt;0,PRESIONES!$C$9*IF($T170&lt;=10,1,($T170/10)^(2/DATOS!$C$56)),PRESIONES!$C$15)-ABERTURAS!$L$60*PRESIONES!$C$12)*$R170/$M170)</f>
        <v>0</v>
      </c>
      <c r="AC170" s="30" t="n">
        <f aca="false">IF($L170&lt;&gt;"OK",0,(INDEX(PRESIONES!$G$28:$G$31,$U170)*IF(INDEX(PRESIONES!$G$28:$G$31,$U170)&gt;0,PRESIONES!$C$9*IF($T170&lt;=10,1,($T170/10)^(2/DATOS!$C$56)),PRESIONES!$C$15)-ABERTURAS!$L$61*PRESIONES!$C$12)*$R170/$M170)</f>
        <v>0</v>
      </c>
      <c r="AD170" s="30" t="n">
        <f aca="false">IF($L170&lt;&gt;"OK",0,(INDEX(PRESIONES!$J$28:$J$31,$U170)*IF(INDEX(PRESIONES!$J$28:$J$31,$U170)&gt;0,PRESIONES!$C$9*IF($T170&lt;=10,1,($T170/10)^(2/DATOS!$C$56)),PRESIONES!$C$15)-ABERTURAS!$L$62*PRESIONES!$C$12)*$R170/$M170)</f>
        <v>0</v>
      </c>
      <c r="AE170" s="30" t="n">
        <f aca="false">IF($L170&lt;&gt;"OK",0,(INDEX(PRESIONES!$M$28:$M$31,$U170)*IF(INDEX(PRESIONES!$M$28:$M$31,$U170)&gt;0,PRESIONES!$C$9*IF($T170&lt;=10,1,($T170/10)^(2/DATOS!$C$56)),PRESIONES!$C$15)-ABERTURAS!$L$63*PRESIONES!$C$12)*$R170/$M170)</f>
        <v>0</v>
      </c>
      <c r="AF170" s="30" t="n">
        <f aca="false">IF($L170&lt;&gt;"OK",0,(INDEX(PRESIONES!$D$28:$D$31,$U170)*IF(INDEX(PRESIONES!$D$28:$D$31,$U170)&gt;0,PRESIONES!$C$9*IF($T170&lt;=10,1,($T170/10)^(2/DATOS!$C$56)),PRESIONES!$C$15)-ABERTURAS!$L$64*PRESIONES!$C$12)*$S170/$M170)</f>
        <v>0</v>
      </c>
      <c r="AG170" s="30" t="n">
        <f aca="false">IF($L170&lt;&gt;"OK",0,(INDEX(PRESIONES!$G$28:$G$31,$U170)*IF(INDEX(PRESIONES!$G$28:$G$31,$U170)&gt;0,PRESIONES!$C$9*IF($T170&lt;=10,1,($T170/10)^(2/DATOS!$C$56)),PRESIONES!$C$15)-ABERTURAS!$L$65*PRESIONES!$C$12)*$S170/$M170)</f>
        <v>0</v>
      </c>
      <c r="AH170" s="30" t="n">
        <f aca="false">IF($L170&lt;&gt;"OK",0,(INDEX(PRESIONES!$J$28:$J$31,$U170)*IF(INDEX(PRESIONES!$J$28:$J$31,$U170)&gt;0,PRESIONES!$C$9*IF($T170&lt;=10,1,($T170/10)^(2/DATOS!$C$56)),PRESIONES!$C$15)-ABERTURAS!$L$66*PRESIONES!$C$12)*$S170/$M170)</f>
        <v>0</v>
      </c>
      <c r="AI170" s="30" t="n">
        <f aca="false">IF($L170&lt;&gt;"OK",0,(INDEX(PRESIONES!$M$28:$M$31,$U170)*IF(INDEX(PRESIONES!$M$28:$M$31,$U170)&gt;0,PRESIONES!$C$9*IF($T170&lt;=10,1,($T170/10)^(2/DATOS!$C$56)),PRESIONES!$C$15)-ABERTURAS!$L$67*PRESIONES!$C$12)*$S170/$M170)</f>
        <v>0</v>
      </c>
    </row>
    <row r="171" customFormat="false" ht="15" hidden="false" customHeight="true" outlineLevel="0" collapsed="false">
      <c r="B171" s="27"/>
      <c r="C171" s="17"/>
      <c r="D171" s="27"/>
      <c r="E171" s="17"/>
      <c r="F171" s="49"/>
      <c r="G171" s="49"/>
      <c r="H171" s="49"/>
      <c r="I171" s="49"/>
      <c r="J171" s="49"/>
      <c r="K171" s="49"/>
      <c r="L171" s="20" t="str">
        <f aca="false">IF($D171="","",IF(LEFT($C171,4)&lt;&gt;"MURO","PON EL MURO",IF(AND($E171&lt;&gt;"HORIZONTAL",$E171&lt;&gt;"VERTICAL"),"PON EL SENTIDO",IF(OR($F171="",$G171="",$H171="",$I171=""),"FALTAN a o b",IF($M171&lt;=0,"a₂ DEBE SER &gt; a₁",IF($N171&lt;=0,"b₂ DEBE SER &gt; b₁","OK"))))))</f>
        <v/>
      </c>
      <c r="M171" s="30" t="n">
        <f aca="false">IF($D171="",0,MAX(0,$G171-$F171))</f>
        <v>0</v>
      </c>
      <c r="N171" s="30" t="n">
        <f aca="false">MAX(0,$W171-$V171)</f>
        <v>0</v>
      </c>
      <c r="O171" s="30" t="n">
        <f aca="false">$M171*$N171</f>
        <v>0</v>
      </c>
      <c r="P171" s="30" t="n">
        <f aca="false">IF($U171=0,0,SUMPRODUCT((ABERTURAS!$N$7:$N$26=$U171)*ABERTURAS!$U$7:$U$26*(((($Y171)+(ABERTURAS!$P$7:$P$26)-ABS(($Y171)-(ABERTURAS!$P$7:$P$26)))/2-(($X171)+(ABERTURAS!$O$7:$O$26)+ABS(($X171)-(ABERTURAS!$O$7:$O$26)))/2)+ABS((($Y171)+(ABERTURAS!$P$7:$P$26)-ABS(($Y171)-(ABERTURAS!$P$7:$P$26)))/2-(($X171)+(ABERTURAS!$O$7:$O$26)+ABS(($X171)-(ABERTURAS!$O$7:$O$26)))/2))/2*(((($AA171)+(ABERTURAS!$R$7:$R$26)-ABS(($AA171)-(ABERTURAS!$R$7:$R$26)))/2-(($Z171)+(ABERTURAS!$Q$7:$Q$26)+ABS(($Z171)-(ABERTURAS!$Q$7:$Q$26)))/2)+ABS((($AA171)+(ABERTURAS!$R$7:$R$26)-ABS(($AA171)-(ABERTURAS!$R$7:$R$26)))/2-(($Z171)+(ABERTURAS!$Q$7:$Q$26)+ABS(($Z171)-(ABERTURAS!$Q$7:$Q$26)))/2))/2))</f>
        <v>0</v>
      </c>
      <c r="Q171" s="30" t="n">
        <f aca="false">IF($U171=0,0,SUMPRODUCT((ABERTURAS!$N$7:$N$26=$U171)*ABERTURAS!$V$7:$V$26*(((($Y171)+(ABERTURAS!$P$7:$P$26)-ABS(($Y171)-(ABERTURAS!$P$7:$P$26)))/2-(($X171)+(ABERTURAS!$O$7:$O$26)+ABS(($X171)-(ABERTURAS!$O$7:$O$26)))/2)+ABS((($Y171)+(ABERTURAS!$P$7:$P$26)-ABS(($Y171)-(ABERTURAS!$P$7:$P$26)))/2-(($X171)+(ABERTURAS!$O$7:$O$26)+ABS(($X171)-(ABERTURAS!$O$7:$O$26)))/2))/2*(((($AA171)+(ABERTURAS!$R$7:$R$26)-ABS(($AA171)-(ABERTURAS!$R$7:$R$26)))/2-(($Z171)+(ABERTURAS!$Q$7:$Q$26)+ABS(($Z171)-(ABERTURAS!$Q$7:$Q$26)))/2)+ABS((($AA171)+(ABERTURAS!$R$7:$R$26)-ABS(($AA171)-(ABERTURAS!$R$7:$R$26)))/2-(($Z171)+(ABERTURAS!$Q$7:$Q$26)+ABS(($Z171)-(ABERTURAS!$Q$7:$Q$26)))/2))/2))</f>
        <v>0</v>
      </c>
      <c r="R171" s="30" t="n">
        <f aca="false">MAX(0,$O171-$P171)</f>
        <v>0</v>
      </c>
      <c r="S171" s="30" t="n">
        <f aca="false">MAX(0,$O171-$Q171)</f>
        <v>0</v>
      </c>
      <c r="T171" s="50" t="n">
        <f aca="false">IF($D171="",0,IF($E171="VERTICAL",N($G171),MAX(N($I171),IF($K171="",N($I171),$K171))))</f>
        <v>0</v>
      </c>
      <c r="U171" s="50" t="n">
        <f aca="false">IF($L171&lt;&gt;"OK",0,VALUE(RIGHT($C171,1)))</f>
        <v>0</v>
      </c>
      <c r="V171" s="50" t="n">
        <f aca="false">IF($D171="",0,(N($H171)+IF($J171="",N($H171),$J171))/2)</f>
        <v>0</v>
      </c>
      <c r="W171" s="50" t="n">
        <f aca="false">IF($D171="",0,(N($I171)+IF($K171="",N($I171),$K171))/2)</f>
        <v>0</v>
      </c>
      <c r="X171" s="50" t="n">
        <f aca="false">IF($E171="VERTICAL",$V171,N($F171))</f>
        <v>0</v>
      </c>
      <c r="Y171" s="50" t="n">
        <f aca="false">IF($E171="VERTICAL",$W171,N($G171))</f>
        <v>0</v>
      </c>
      <c r="Z171" s="50" t="n">
        <f aca="false">IF($E171="VERTICAL",N($F171),$V171)</f>
        <v>0</v>
      </c>
      <c r="AA171" s="50" t="n">
        <f aca="false">IF($E171="VERTICAL",N($G171),$W171)</f>
        <v>0</v>
      </c>
      <c r="AB171" s="30" t="n">
        <f aca="false">IF($L171&lt;&gt;"OK",0,(INDEX(PRESIONES!$D$28:$D$31,$U171)*IF(INDEX(PRESIONES!$D$28:$D$31,$U171)&gt;0,PRESIONES!$C$9*IF($T171&lt;=10,1,($T171/10)^(2/DATOS!$C$56)),PRESIONES!$C$15)-ABERTURAS!$L$60*PRESIONES!$C$12)*$R171/$M171)</f>
        <v>0</v>
      </c>
      <c r="AC171" s="30" t="n">
        <f aca="false">IF($L171&lt;&gt;"OK",0,(INDEX(PRESIONES!$G$28:$G$31,$U171)*IF(INDEX(PRESIONES!$G$28:$G$31,$U171)&gt;0,PRESIONES!$C$9*IF($T171&lt;=10,1,($T171/10)^(2/DATOS!$C$56)),PRESIONES!$C$15)-ABERTURAS!$L$61*PRESIONES!$C$12)*$R171/$M171)</f>
        <v>0</v>
      </c>
      <c r="AD171" s="30" t="n">
        <f aca="false">IF($L171&lt;&gt;"OK",0,(INDEX(PRESIONES!$J$28:$J$31,$U171)*IF(INDEX(PRESIONES!$J$28:$J$31,$U171)&gt;0,PRESIONES!$C$9*IF($T171&lt;=10,1,($T171/10)^(2/DATOS!$C$56)),PRESIONES!$C$15)-ABERTURAS!$L$62*PRESIONES!$C$12)*$R171/$M171)</f>
        <v>0</v>
      </c>
      <c r="AE171" s="30" t="n">
        <f aca="false">IF($L171&lt;&gt;"OK",0,(INDEX(PRESIONES!$M$28:$M$31,$U171)*IF(INDEX(PRESIONES!$M$28:$M$31,$U171)&gt;0,PRESIONES!$C$9*IF($T171&lt;=10,1,($T171/10)^(2/DATOS!$C$56)),PRESIONES!$C$15)-ABERTURAS!$L$63*PRESIONES!$C$12)*$R171/$M171)</f>
        <v>0</v>
      </c>
      <c r="AF171" s="30" t="n">
        <f aca="false">IF($L171&lt;&gt;"OK",0,(INDEX(PRESIONES!$D$28:$D$31,$U171)*IF(INDEX(PRESIONES!$D$28:$D$31,$U171)&gt;0,PRESIONES!$C$9*IF($T171&lt;=10,1,($T171/10)^(2/DATOS!$C$56)),PRESIONES!$C$15)-ABERTURAS!$L$64*PRESIONES!$C$12)*$S171/$M171)</f>
        <v>0</v>
      </c>
      <c r="AG171" s="30" t="n">
        <f aca="false">IF($L171&lt;&gt;"OK",0,(INDEX(PRESIONES!$G$28:$G$31,$U171)*IF(INDEX(PRESIONES!$G$28:$G$31,$U171)&gt;0,PRESIONES!$C$9*IF($T171&lt;=10,1,($T171/10)^(2/DATOS!$C$56)),PRESIONES!$C$15)-ABERTURAS!$L$65*PRESIONES!$C$12)*$S171/$M171)</f>
        <v>0</v>
      </c>
      <c r="AH171" s="30" t="n">
        <f aca="false">IF($L171&lt;&gt;"OK",0,(INDEX(PRESIONES!$J$28:$J$31,$U171)*IF(INDEX(PRESIONES!$J$28:$J$31,$U171)&gt;0,PRESIONES!$C$9*IF($T171&lt;=10,1,($T171/10)^(2/DATOS!$C$56)),PRESIONES!$C$15)-ABERTURAS!$L$66*PRESIONES!$C$12)*$S171/$M171)</f>
        <v>0</v>
      </c>
      <c r="AI171" s="30" t="n">
        <f aca="false">IF($L171&lt;&gt;"OK",0,(INDEX(PRESIONES!$M$28:$M$31,$U171)*IF(INDEX(PRESIONES!$M$28:$M$31,$U171)&gt;0,PRESIONES!$C$9*IF($T171&lt;=10,1,($T171/10)^(2/DATOS!$C$56)),PRESIONES!$C$15)-ABERTURAS!$L$67*PRESIONES!$C$12)*$S171/$M171)</f>
        <v>0</v>
      </c>
    </row>
    <row r="172" customFormat="false" ht="15" hidden="false" customHeight="true" outlineLevel="0" collapsed="false">
      <c r="B172" s="27"/>
      <c r="C172" s="17"/>
      <c r="D172" s="27"/>
      <c r="E172" s="17"/>
      <c r="F172" s="49"/>
      <c r="G172" s="49"/>
      <c r="H172" s="49"/>
      <c r="I172" s="49"/>
      <c r="J172" s="49"/>
      <c r="K172" s="49"/>
      <c r="L172" s="20" t="str">
        <f aca="false">IF($D172="","",IF(LEFT($C172,4)&lt;&gt;"MURO","PON EL MURO",IF(AND($E172&lt;&gt;"HORIZONTAL",$E172&lt;&gt;"VERTICAL"),"PON EL SENTIDO",IF(OR($F172="",$G172="",$H172="",$I172=""),"FALTAN a o b",IF($M172&lt;=0,"a₂ DEBE SER &gt; a₁",IF($N172&lt;=0,"b₂ DEBE SER &gt; b₁","OK"))))))</f>
        <v/>
      </c>
      <c r="M172" s="30" t="n">
        <f aca="false">IF($D172="",0,MAX(0,$G172-$F172))</f>
        <v>0</v>
      </c>
      <c r="N172" s="30" t="n">
        <f aca="false">MAX(0,$W172-$V172)</f>
        <v>0</v>
      </c>
      <c r="O172" s="30" t="n">
        <f aca="false">$M172*$N172</f>
        <v>0</v>
      </c>
      <c r="P172" s="30" t="n">
        <f aca="false">IF($U172=0,0,SUMPRODUCT((ABERTURAS!$N$7:$N$26=$U172)*ABERTURAS!$U$7:$U$26*(((($Y172)+(ABERTURAS!$P$7:$P$26)-ABS(($Y172)-(ABERTURAS!$P$7:$P$26)))/2-(($X172)+(ABERTURAS!$O$7:$O$26)+ABS(($X172)-(ABERTURAS!$O$7:$O$26)))/2)+ABS((($Y172)+(ABERTURAS!$P$7:$P$26)-ABS(($Y172)-(ABERTURAS!$P$7:$P$26)))/2-(($X172)+(ABERTURAS!$O$7:$O$26)+ABS(($X172)-(ABERTURAS!$O$7:$O$26)))/2))/2*(((($AA172)+(ABERTURAS!$R$7:$R$26)-ABS(($AA172)-(ABERTURAS!$R$7:$R$26)))/2-(($Z172)+(ABERTURAS!$Q$7:$Q$26)+ABS(($Z172)-(ABERTURAS!$Q$7:$Q$26)))/2)+ABS((($AA172)+(ABERTURAS!$R$7:$R$26)-ABS(($AA172)-(ABERTURAS!$R$7:$R$26)))/2-(($Z172)+(ABERTURAS!$Q$7:$Q$26)+ABS(($Z172)-(ABERTURAS!$Q$7:$Q$26)))/2))/2))</f>
        <v>0</v>
      </c>
      <c r="Q172" s="30" t="n">
        <f aca="false">IF($U172=0,0,SUMPRODUCT((ABERTURAS!$N$7:$N$26=$U172)*ABERTURAS!$V$7:$V$26*(((($Y172)+(ABERTURAS!$P$7:$P$26)-ABS(($Y172)-(ABERTURAS!$P$7:$P$26)))/2-(($X172)+(ABERTURAS!$O$7:$O$26)+ABS(($X172)-(ABERTURAS!$O$7:$O$26)))/2)+ABS((($Y172)+(ABERTURAS!$P$7:$P$26)-ABS(($Y172)-(ABERTURAS!$P$7:$P$26)))/2-(($X172)+(ABERTURAS!$O$7:$O$26)+ABS(($X172)-(ABERTURAS!$O$7:$O$26)))/2))/2*(((($AA172)+(ABERTURAS!$R$7:$R$26)-ABS(($AA172)-(ABERTURAS!$R$7:$R$26)))/2-(($Z172)+(ABERTURAS!$Q$7:$Q$26)+ABS(($Z172)-(ABERTURAS!$Q$7:$Q$26)))/2)+ABS((($AA172)+(ABERTURAS!$R$7:$R$26)-ABS(($AA172)-(ABERTURAS!$R$7:$R$26)))/2-(($Z172)+(ABERTURAS!$Q$7:$Q$26)+ABS(($Z172)-(ABERTURAS!$Q$7:$Q$26)))/2))/2))</f>
        <v>0</v>
      </c>
      <c r="R172" s="30" t="n">
        <f aca="false">MAX(0,$O172-$P172)</f>
        <v>0</v>
      </c>
      <c r="S172" s="30" t="n">
        <f aca="false">MAX(0,$O172-$Q172)</f>
        <v>0</v>
      </c>
      <c r="T172" s="50" t="n">
        <f aca="false">IF($D172="",0,IF($E172="VERTICAL",N($G172),MAX(N($I172),IF($K172="",N($I172),$K172))))</f>
        <v>0</v>
      </c>
      <c r="U172" s="50" t="n">
        <f aca="false">IF($L172&lt;&gt;"OK",0,VALUE(RIGHT($C172,1)))</f>
        <v>0</v>
      </c>
      <c r="V172" s="50" t="n">
        <f aca="false">IF($D172="",0,(N($H172)+IF($J172="",N($H172),$J172))/2)</f>
        <v>0</v>
      </c>
      <c r="W172" s="50" t="n">
        <f aca="false">IF($D172="",0,(N($I172)+IF($K172="",N($I172),$K172))/2)</f>
        <v>0</v>
      </c>
      <c r="X172" s="50" t="n">
        <f aca="false">IF($E172="VERTICAL",$V172,N($F172))</f>
        <v>0</v>
      </c>
      <c r="Y172" s="50" t="n">
        <f aca="false">IF($E172="VERTICAL",$W172,N($G172))</f>
        <v>0</v>
      </c>
      <c r="Z172" s="50" t="n">
        <f aca="false">IF($E172="VERTICAL",N($F172),$V172)</f>
        <v>0</v>
      </c>
      <c r="AA172" s="50" t="n">
        <f aca="false">IF($E172="VERTICAL",N($G172),$W172)</f>
        <v>0</v>
      </c>
      <c r="AB172" s="30" t="n">
        <f aca="false">IF($L172&lt;&gt;"OK",0,(INDEX(PRESIONES!$D$28:$D$31,$U172)*IF(INDEX(PRESIONES!$D$28:$D$31,$U172)&gt;0,PRESIONES!$C$9*IF($T172&lt;=10,1,($T172/10)^(2/DATOS!$C$56)),PRESIONES!$C$15)-ABERTURAS!$L$60*PRESIONES!$C$12)*$R172/$M172)</f>
        <v>0</v>
      </c>
      <c r="AC172" s="30" t="n">
        <f aca="false">IF($L172&lt;&gt;"OK",0,(INDEX(PRESIONES!$G$28:$G$31,$U172)*IF(INDEX(PRESIONES!$G$28:$G$31,$U172)&gt;0,PRESIONES!$C$9*IF($T172&lt;=10,1,($T172/10)^(2/DATOS!$C$56)),PRESIONES!$C$15)-ABERTURAS!$L$61*PRESIONES!$C$12)*$R172/$M172)</f>
        <v>0</v>
      </c>
      <c r="AD172" s="30" t="n">
        <f aca="false">IF($L172&lt;&gt;"OK",0,(INDEX(PRESIONES!$J$28:$J$31,$U172)*IF(INDEX(PRESIONES!$J$28:$J$31,$U172)&gt;0,PRESIONES!$C$9*IF($T172&lt;=10,1,($T172/10)^(2/DATOS!$C$56)),PRESIONES!$C$15)-ABERTURAS!$L$62*PRESIONES!$C$12)*$R172/$M172)</f>
        <v>0</v>
      </c>
      <c r="AE172" s="30" t="n">
        <f aca="false">IF($L172&lt;&gt;"OK",0,(INDEX(PRESIONES!$M$28:$M$31,$U172)*IF(INDEX(PRESIONES!$M$28:$M$31,$U172)&gt;0,PRESIONES!$C$9*IF($T172&lt;=10,1,($T172/10)^(2/DATOS!$C$56)),PRESIONES!$C$15)-ABERTURAS!$L$63*PRESIONES!$C$12)*$R172/$M172)</f>
        <v>0</v>
      </c>
      <c r="AF172" s="30" t="n">
        <f aca="false">IF($L172&lt;&gt;"OK",0,(INDEX(PRESIONES!$D$28:$D$31,$U172)*IF(INDEX(PRESIONES!$D$28:$D$31,$U172)&gt;0,PRESIONES!$C$9*IF($T172&lt;=10,1,($T172/10)^(2/DATOS!$C$56)),PRESIONES!$C$15)-ABERTURAS!$L$64*PRESIONES!$C$12)*$S172/$M172)</f>
        <v>0</v>
      </c>
      <c r="AG172" s="30" t="n">
        <f aca="false">IF($L172&lt;&gt;"OK",0,(INDEX(PRESIONES!$G$28:$G$31,$U172)*IF(INDEX(PRESIONES!$G$28:$G$31,$U172)&gt;0,PRESIONES!$C$9*IF($T172&lt;=10,1,($T172/10)^(2/DATOS!$C$56)),PRESIONES!$C$15)-ABERTURAS!$L$65*PRESIONES!$C$12)*$S172/$M172)</f>
        <v>0</v>
      </c>
      <c r="AH172" s="30" t="n">
        <f aca="false">IF($L172&lt;&gt;"OK",0,(INDEX(PRESIONES!$J$28:$J$31,$U172)*IF(INDEX(PRESIONES!$J$28:$J$31,$U172)&gt;0,PRESIONES!$C$9*IF($T172&lt;=10,1,($T172/10)^(2/DATOS!$C$56)),PRESIONES!$C$15)-ABERTURAS!$L$66*PRESIONES!$C$12)*$S172/$M172)</f>
        <v>0</v>
      </c>
      <c r="AI172" s="30" t="n">
        <f aca="false">IF($L172&lt;&gt;"OK",0,(INDEX(PRESIONES!$M$28:$M$31,$U172)*IF(INDEX(PRESIONES!$M$28:$M$31,$U172)&gt;0,PRESIONES!$C$9*IF($T172&lt;=10,1,($T172/10)^(2/DATOS!$C$56)),PRESIONES!$C$15)-ABERTURAS!$L$67*PRESIONES!$C$12)*$S172/$M172)</f>
        <v>0</v>
      </c>
    </row>
    <row r="173" customFormat="false" ht="15" hidden="false" customHeight="true" outlineLevel="0" collapsed="false">
      <c r="B173" s="27"/>
      <c r="C173" s="17"/>
      <c r="D173" s="27"/>
      <c r="E173" s="17"/>
      <c r="F173" s="49"/>
      <c r="G173" s="49"/>
      <c r="H173" s="49"/>
      <c r="I173" s="49"/>
      <c r="J173" s="49"/>
      <c r="K173" s="49"/>
      <c r="L173" s="20" t="str">
        <f aca="false">IF($D173="","",IF(LEFT($C173,4)&lt;&gt;"MURO","PON EL MURO",IF(AND($E173&lt;&gt;"HORIZONTAL",$E173&lt;&gt;"VERTICAL"),"PON EL SENTIDO",IF(OR($F173="",$G173="",$H173="",$I173=""),"FALTAN a o b",IF($M173&lt;=0,"a₂ DEBE SER &gt; a₁",IF($N173&lt;=0,"b₂ DEBE SER &gt; b₁","OK"))))))</f>
        <v/>
      </c>
      <c r="M173" s="30" t="n">
        <f aca="false">IF($D173="",0,MAX(0,$G173-$F173))</f>
        <v>0</v>
      </c>
      <c r="N173" s="30" t="n">
        <f aca="false">MAX(0,$W173-$V173)</f>
        <v>0</v>
      </c>
      <c r="O173" s="30" t="n">
        <f aca="false">$M173*$N173</f>
        <v>0</v>
      </c>
      <c r="P173" s="30" t="n">
        <f aca="false">IF($U173=0,0,SUMPRODUCT((ABERTURAS!$N$7:$N$26=$U173)*ABERTURAS!$U$7:$U$26*(((($Y173)+(ABERTURAS!$P$7:$P$26)-ABS(($Y173)-(ABERTURAS!$P$7:$P$26)))/2-(($X173)+(ABERTURAS!$O$7:$O$26)+ABS(($X173)-(ABERTURAS!$O$7:$O$26)))/2)+ABS((($Y173)+(ABERTURAS!$P$7:$P$26)-ABS(($Y173)-(ABERTURAS!$P$7:$P$26)))/2-(($X173)+(ABERTURAS!$O$7:$O$26)+ABS(($X173)-(ABERTURAS!$O$7:$O$26)))/2))/2*(((($AA173)+(ABERTURAS!$R$7:$R$26)-ABS(($AA173)-(ABERTURAS!$R$7:$R$26)))/2-(($Z173)+(ABERTURAS!$Q$7:$Q$26)+ABS(($Z173)-(ABERTURAS!$Q$7:$Q$26)))/2)+ABS((($AA173)+(ABERTURAS!$R$7:$R$26)-ABS(($AA173)-(ABERTURAS!$R$7:$R$26)))/2-(($Z173)+(ABERTURAS!$Q$7:$Q$26)+ABS(($Z173)-(ABERTURAS!$Q$7:$Q$26)))/2))/2))</f>
        <v>0</v>
      </c>
      <c r="Q173" s="30" t="n">
        <f aca="false">IF($U173=0,0,SUMPRODUCT((ABERTURAS!$N$7:$N$26=$U173)*ABERTURAS!$V$7:$V$26*(((($Y173)+(ABERTURAS!$P$7:$P$26)-ABS(($Y173)-(ABERTURAS!$P$7:$P$26)))/2-(($X173)+(ABERTURAS!$O$7:$O$26)+ABS(($X173)-(ABERTURAS!$O$7:$O$26)))/2)+ABS((($Y173)+(ABERTURAS!$P$7:$P$26)-ABS(($Y173)-(ABERTURAS!$P$7:$P$26)))/2-(($X173)+(ABERTURAS!$O$7:$O$26)+ABS(($X173)-(ABERTURAS!$O$7:$O$26)))/2))/2*(((($AA173)+(ABERTURAS!$R$7:$R$26)-ABS(($AA173)-(ABERTURAS!$R$7:$R$26)))/2-(($Z173)+(ABERTURAS!$Q$7:$Q$26)+ABS(($Z173)-(ABERTURAS!$Q$7:$Q$26)))/2)+ABS((($AA173)+(ABERTURAS!$R$7:$R$26)-ABS(($AA173)-(ABERTURAS!$R$7:$R$26)))/2-(($Z173)+(ABERTURAS!$Q$7:$Q$26)+ABS(($Z173)-(ABERTURAS!$Q$7:$Q$26)))/2))/2))</f>
        <v>0</v>
      </c>
      <c r="R173" s="30" t="n">
        <f aca="false">MAX(0,$O173-$P173)</f>
        <v>0</v>
      </c>
      <c r="S173" s="30" t="n">
        <f aca="false">MAX(0,$O173-$Q173)</f>
        <v>0</v>
      </c>
      <c r="T173" s="50" t="n">
        <f aca="false">IF($D173="",0,IF($E173="VERTICAL",N($G173),MAX(N($I173),IF($K173="",N($I173),$K173))))</f>
        <v>0</v>
      </c>
      <c r="U173" s="50" t="n">
        <f aca="false">IF($L173&lt;&gt;"OK",0,VALUE(RIGHT($C173,1)))</f>
        <v>0</v>
      </c>
      <c r="V173" s="50" t="n">
        <f aca="false">IF($D173="",0,(N($H173)+IF($J173="",N($H173),$J173))/2)</f>
        <v>0</v>
      </c>
      <c r="W173" s="50" t="n">
        <f aca="false">IF($D173="",0,(N($I173)+IF($K173="",N($I173),$K173))/2)</f>
        <v>0</v>
      </c>
      <c r="X173" s="50" t="n">
        <f aca="false">IF($E173="VERTICAL",$V173,N($F173))</f>
        <v>0</v>
      </c>
      <c r="Y173" s="50" t="n">
        <f aca="false">IF($E173="VERTICAL",$W173,N($G173))</f>
        <v>0</v>
      </c>
      <c r="Z173" s="50" t="n">
        <f aca="false">IF($E173="VERTICAL",N($F173),$V173)</f>
        <v>0</v>
      </c>
      <c r="AA173" s="50" t="n">
        <f aca="false">IF($E173="VERTICAL",N($G173),$W173)</f>
        <v>0</v>
      </c>
      <c r="AB173" s="30" t="n">
        <f aca="false">IF($L173&lt;&gt;"OK",0,(INDEX(PRESIONES!$D$28:$D$31,$U173)*IF(INDEX(PRESIONES!$D$28:$D$31,$U173)&gt;0,PRESIONES!$C$9*IF($T173&lt;=10,1,($T173/10)^(2/DATOS!$C$56)),PRESIONES!$C$15)-ABERTURAS!$L$60*PRESIONES!$C$12)*$R173/$M173)</f>
        <v>0</v>
      </c>
      <c r="AC173" s="30" t="n">
        <f aca="false">IF($L173&lt;&gt;"OK",0,(INDEX(PRESIONES!$G$28:$G$31,$U173)*IF(INDEX(PRESIONES!$G$28:$G$31,$U173)&gt;0,PRESIONES!$C$9*IF($T173&lt;=10,1,($T173/10)^(2/DATOS!$C$56)),PRESIONES!$C$15)-ABERTURAS!$L$61*PRESIONES!$C$12)*$R173/$M173)</f>
        <v>0</v>
      </c>
      <c r="AD173" s="30" t="n">
        <f aca="false">IF($L173&lt;&gt;"OK",0,(INDEX(PRESIONES!$J$28:$J$31,$U173)*IF(INDEX(PRESIONES!$J$28:$J$31,$U173)&gt;0,PRESIONES!$C$9*IF($T173&lt;=10,1,($T173/10)^(2/DATOS!$C$56)),PRESIONES!$C$15)-ABERTURAS!$L$62*PRESIONES!$C$12)*$R173/$M173)</f>
        <v>0</v>
      </c>
      <c r="AE173" s="30" t="n">
        <f aca="false">IF($L173&lt;&gt;"OK",0,(INDEX(PRESIONES!$M$28:$M$31,$U173)*IF(INDEX(PRESIONES!$M$28:$M$31,$U173)&gt;0,PRESIONES!$C$9*IF($T173&lt;=10,1,($T173/10)^(2/DATOS!$C$56)),PRESIONES!$C$15)-ABERTURAS!$L$63*PRESIONES!$C$12)*$R173/$M173)</f>
        <v>0</v>
      </c>
      <c r="AF173" s="30" t="n">
        <f aca="false">IF($L173&lt;&gt;"OK",0,(INDEX(PRESIONES!$D$28:$D$31,$U173)*IF(INDEX(PRESIONES!$D$28:$D$31,$U173)&gt;0,PRESIONES!$C$9*IF($T173&lt;=10,1,($T173/10)^(2/DATOS!$C$56)),PRESIONES!$C$15)-ABERTURAS!$L$64*PRESIONES!$C$12)*$S173/$M173)</f>
        <v>0</v>
      </c>
      <c r="AG173" s="30" t="n">
        <f aca="false">IF($L173&lt;&gt;"OK",0,(INDEX(PRESIONES!$G$28:$G$31,$U173)*IF(INDEX(PRESIONES!$G$28:$G$31,$U173)&gt;0,PRESIONES!$C$9*IF($T173&lt;=10,1,($T173/10)^(2/DATOS!$C$56)),PRESIONES!$C$15)-ABERTURAS!$L$65*PRESIONES!$C$12)*$S173/$M173)</f>
        <v>0</v>
      </c>
      <c r="AH173" s="30" t="n">
        <f aca="false">IF($L173&lt;&gt;"OK",0,(INDEX(PRESIONES!$J$28:$J$31,$U173)*IF(INDEX(PRESIONES!$J$28:$J$31,$U173)&gt;0,PRESIONES!$C$9*IF($T173&lt;=10,1,($T173/10)^(2/DATOS!$C$56)),PRESIONES!$C$15)-ABERTURAS!$L$66*PRESIONES!$C$12)*$S173/$M173)</f>
        <v>0</v>
      </c>
      <c r="AI173" s="30" t="n">
        <f aca="false">IF($L173&lt;&gt;"OK",0,(INDEX(PRESIONES!$M$28:$M$31,$U173)*IF(INDEX(PRESIONES!$M$28:$M$31,$U173)&gt;0,PRESIONES!$C$9*IF($T173&lt;=10,1,($T173/10)^(2/DATOS!$C$56)),PRESIONES!$C$15)-ABERTURAS!$L$67*PRESIONES!$C$12)*$S173/$M173)</f>
        <v>0</v>
      </c>
    </row>
    <row r="174" customFormat="false" ht="15" hidden="false" customHeight="true" outlineLevel="0" collapsed="false">
      <c r="B174" s="27"/>
      <c r="C174" s="17"/>
      <c r="D174" s="27"/>
      <c r="E174" s="17"/>
      <c r="F174" s="49"/>
      <c r="G174" s="49"/>
      <c r="H174" s="49"/>
      <c r="I174" s="49"/>
      <c r="J174" s="49"/>
      <c r="K174" s="49"/>
      <c r="L174" s="20" t="str">
        <f aca="false">IF($D174="","",IF(LEFT($C174,4)&lt;&gt;"MURO","PON EL MURO",IF(AND($E174&lt;&gt;"HORIZONTAL",$E174&lt;&gt;"VERTICAL"),"PON EL SENTIDO",IF(OR($F174="",$G174="",$H174="",$I174=""),"FALTAN a o b",IF($M174&lt;=0,"a₂ DEBE SER &gt; a₁",IF($N174&lt;=0,"b₂ DEBE SER &gt; b₁","OK"))))))</f>
        <v/>
      </c>
      <c r="M174" s="30" t="n">
        <f aca="false">IF($D174="",0,MAX(0,$G174-$F174))</f>
        <v>0</v>
      </c>
      <c r="N174" s="30" t="n">
        <f aca="false">MAX(0,$W174-$V174)</f>
        <v>0</v>
      </c>
      <c r="O174" s="30" t="n">
        <f aca="false">$M174*$N174</f>
        <v>0</v>
      </c>
      <c r="P174" s="30" t="n">
        <f aca="false">IF($U174=0,0,SUMPRODUCT((ABERTURAS!$N$7:$N$26=$U174)*ABERTURAS!$U$7:$U$26*(((($Y174)+(ABERTURAS!$P$7:$P$26)-ABS(($Y174)-(ABERTURAS!$P$7:$P$26)))/2-(($X174)+(ABERTURAS!$O$7:$O$26)+ABS(($X174)-(ABERTURAS!$O$7:$O$26)))/2)+ABS((($Y174)+(ABERTURAS!$P$7:$P$26)-ABS(($Y174)-(ABERTURAS!$P$7:$P$26)))/2-(($X174)+(ABERTURAS!$O$7:$O$26)+ABS(($X174)-(ABERTURAS!$O$7:$O$26)))/2))/2*(((($AA174)+(ABERTURAS!$R$7:$R$26)-ABS(($AA174)-(ABERTURAS!$R$7:$R$26)))/2-(($Z174)+(ABERTURAS!$Q$7:$Q$26)+ABS(($Z174)-(ABERTURAS!$Q$7:$Q$26)))/2)+ABS((($AA174)+(ABERTURAS!$R$7:$R$26)-ABS(($AA174)-(ABERTURAS!$R$7:$R$26)))/2-(($Z174)+(ABERTURAS!$Q$7:$Q$26)+ABS(($Z174)-(ABERTURAS!$Q$7:$Q$26)))/2))/2))</f>
        <v>0</v>
      </c>
      <c r="Q174" s="30" t="n">
        <f aca="false">IF($U174=0,0,SUMPRODUCT((ABERTURAS!$N$7:$N$26=$U174)*ABERTURAS!$V$7:$V$26*(((($Y174)+(ABERTURAS!$P$7:$P$26)-ABS(($Y174)-(ABERTURAS!$P$7:$P$26)))/2-(($X174)+(ABERTURAS!$O$7:$O$26)+ABS(($X174)-(ABERTURAS!$O$7:$O$26)))/2)+ABS((($Y174)+(ABERTURAS!$P$7:$P$26)-ABS(($Y174)-(ABERTURAS!$P$7:$P$26)))/2-(($X174)+(ABERTURAS!$O$7:$O$26)+ABS(($X174)-(ABERTURAS!$O$7:$O$26)))/2))/2*(((($AA174)+(ABERTURAS!$R$7:$R$26)-ABS(($AA174)-(ABERTURAS!$R$7:$R$26)))/2-(($Z174)+(ABERTURAS!$Q$7:$Q$26)+ABS(($Z174)-(ABERTURAS!$Q$7:$Q$26)))/2)+ABS((($AA174)+(ABERTURAS!$R$7:$R$26)-ABS(($AA174)-(ABERTURAS!$R$7:$R$26)))/2-(($Z174)+(ABERTURAS!$Q$7:$Q$26)+ABS(($Z174)-(ABERTURAS!$Q$7:$Q$26)))/2))/2))</f>
        <v>0</v>
      </c>
      <c r="R174" s="30" t="n">
        <f aca="false">MAX(0,$O174-$P174)</f>
        <v>0</v>
      </c>
      <c r="S174" s="30" t="n">
        <f aca="false">MAX(0,$O174-$Q174)</f>
        <v>0</v>
      </c>
      <c r="T174" s="50" t="n">
        <f aca="false">IF($D174="",0,IF($E174="VERTICAL",N($G174),MAX(N($I174),IF($K174="",N($I174),$K174))))</f>
        <v>0</v>
      </c>
      <c r="U174" s="50" t="n">
        <f aca="false">IF($L174&lt;&gt;"OK",0,VALUE(RIGHT($C174,1)))</f>
        <v>0</v>
      </c>
      <c r="V174" s="50" t="n">
        <f aca="false">IF($D174="",0,(N($H174)+IF($J174="",N($H174),$J174))/2)</f>
        <v>0</v>
      </c>
      <c r="W174" s="50" t="n">
        <f aca="false">IF($D174="",0,(N($I174)+IF($K174="",N($I174),$K174))/2)</f>
        <v>0</v>
      </c>
      <c r="X174" s="50" t="n">
        <f aca="false">IF($E174="VERTICAL",$V174,N($F174))</f>
        <v>0</v>
      </c>
      <c r="Y174" s="50" t="n">
        <f aca="false">IF($E174="VERTICAL",$W174,N($G174))</f>
        <v>0</v>
      </c>
      <c r="Z174" s="50" t="n">
        <f aca="false">IF($E174="VERTICAL",N($F174),$V174)</f>
        <v>0</v>
      </c>
      <c r="AA174" s="50" t="n">
        <f aca="false">IF($E174="VERTICAL",N($G174),$W174)</f>
        <v>0</v>
      </c>
      <c r="AB174" s="30" t="n">
        <f aca="false">IF($L174&lt;&gt;"OK",0,(INDEX(PRESIONES!$D$28:$D$31,$U174)*IF(INDEX(PRESIONES!$D$28:$D$31,$U174)&gt;0,PRESIONES!$C$9*IF($T174&lt;=10,1,($T174/10)^(2/DATOS!$C$56)),PRESIONES!$C$15)-ABERTURAS!$L$60*PRESIONES!$C$12)*$R174/$M174)</f>
        <v>0</v>
      </c>
      <c r="AC174" s="30" t="n">
        <f aca="false">IF($L174&lt;&gt;"OK",0,(INDEX(PRESIONES!$G$28:$G$31,$U174)*IF(INDEX(PRESIONES!$G$28:$G$31,$U174)&gt;0,PRESIONES!$C$9*IF($T174&lt;=10,1,($T174/10)^(2/DATOS!$C$56)),PRESIONES!$C$15)-ABERTURAS!$L$61*PRESIONES!$C$12)*$R174/$M174)</f>
        <v>0</v>
      </c>
      <c r="AD174" s="30" t="n">
        <f aca="false">IF($L174&lt;&gt;"OK",0,(INDEX(PRESIONES!$J$28:$J$31,$U174)*IF(INDEX(PRESIONES!$J$28:$J$31,$U174)&gt;0,PRESIONES!$C$9*IF($T174&lt;=10,1,($T174/10)^(2/DATOS!$C$56)),PRESIONES!$C$15)-ABERTURAS!$L$62*PRESIONES!$C$12)*$R174/$M174)</f>
        <v>0</v>
      </c>
      <c r="AE174" s="30" t="n">
        <f aca="false">IF($L174&lt;&gt;"OK",0,(INDEX(PRESIONES!$M$28:$M$31,$U174)*IF(INDEX(PRESIONES!$M$28:$M$31,$U174)&gt;0,PRESIONES!$C$9*IF($T174&lt;=10,1,($T174/10)^(2/DATOS!$C$56)),PRESIONES!$C$15)-ABERTURAS!$L$63*PRESIONES!$C$12)*$R174/$M174)</f>
        <v>0</v>
      </c>
      <c r="AF174" s="30" t="n">
        <f aca="false">IF($L174&lt;&gt;"OK",0,(INDEX(PRESIONES!$D$28:$D$31,$U174)*IF(INDEX(PRESIONES!$D$28:$D$31,$U174)&gt;0,PRESIONES!$C$9*IF($T174&lt;=10,1,($T174/10)^(2/DATOS!$C$56)),PRESIONES!$C$15)-ABERTURAS!$L$64*PRESIONES!$C$12)*$S174/$M174)</f>
        <v>0</v>
      </c>
      <c r="AG174" s="30" t="n">
        <f aca="false">IF($L174&lt;&gt;"OK",0,(INDEX(PRESIONES!$G$28:$G$31,$U174)*IF(INDEX(PRESIONES!$G$28:$G$31,$U174)&gt;0,PRESIONES!$C$9*IF($T174&lt;=10,1,($T174/10)^(2/DATOS!$C$56)),PRESIONES!$C$15)-ABERTURAS!$L$65*PRESIONES!$C$12)*$S174/$M174)</f>
        <v>0</v>
      </c>
      <c r="AH174" s="30" t="n">
        <f aca="false">IF($L174&lt;&gt;"OK",0,(INDEX(PRESIONES!$J$28:$J$31,$U174)*IF(INDEX(PRESIONES!$J$28:$J$31,$U174)&gt;0,PRESIONES!$C$9*IF($T174&lt;=10,1,($T174/10)^(2/DATOS!$C$56)),PRESIONES!$C$15)-ABERTURAS!$L$66*PRESIONES!$C$12)*$S174/$M174)</f>
        <v>0</v>
      </c>
      <c r="AI174" s="30" t="n">
        <f aca="false">IF($L174&lt;&gt;"OK",0,(INDEX(PRESIONES!$M$28:$M$31,$U174)*IF(INDEX(PRESIONES!$M$28:$M$31,$U174)&gt;0,PRESIONES!$C$9*IF($T174&lt;=10,1,($T174/10)^(2/DATOS!$C$56)),PRESIONES!$C$15)-ABERTURAS!$L$67*PRESIONES!$C$12)*$S174/$M174)</f>
        <v>0</v>
      </c>
    </row>
    <row r="175" customFormat="false" ht="15" hidden="false" customHeight="true" outlineLevel="0" collapsed="false">
      <c r="B175" s="27"/>
      <c r="C175" s="17"/>
      <c r="D175" s="27"/>
      <c r="E175" s="17"/>
      <c r="F175" s="49"/>
      <c r="G175" s="49"/>
      <c r="H175" s="49"/>
      <c r="I175" s="49"/>
      <c r="J175" s="49"/>
      <c r="K175" s="49"/>
      <c r="L175" s="20" t="str">
        <f aca="false">IF($D175="","",IF(LEFT($C175,4)&lt;&gt;"MURO","PON EL MURO",IF(AND($E175&lt;&gt;"HORIZONTAL",$E175&lt;&gt;"VERTICAL"),"PON EL SENTIDO",IF(OR($F175="",$G175="",$H175="",$I175=""),"FALTAN a o b",IF($M175&lt;=0,"a₂ DEBE SER &gt; a₁",IF($N175&lt;=0,"b₂ DEBE SER &gt; b₁","OK"))))))</f>
        <v/>
      </c>
      <c r="M175" s="30" t="n">
        <f aca="false">IF($D175="",0,MAX(0,$G175-$F175))</f>
        <v>0</v>
      </c>
      <c r="N175" s="30" t="n">
        <f aca="false">MAX(0,$W175-$V175)</f>
        <v>0</v>
      </c>
      <c r="O175" s="30" t="n">
        <f aca="false">$M175*$N175</f>
        <v>0</v>
      </c>
      <c r="P175" s="30" t="n">
        <f aca="false">IF($U175=0,0,SUMPRODUCT((ABERTURAS!$N$7:$N$26=$U175)*ABERTURAS!$U$7:$U$26*(((($Y175)+(ABERTURAS!$P$7:$P$26)-ABS(($Y175)-(ABERTURAS!$P$7:$P$26)))/2-(($X175)+(ABERTURAS!$O$7:$O$26)+ABS(($X175)-(ABERTURAS!$O$7:$O$26)))/2)+ABS((($Y175)+(ABERTURAS!$P$7:$P$26)-ABS(($Y175)-(ABERTURAS!$P$7:$P$26)))/2-(($X175)+(ABERTURAS!$O$7:$O$26)+ABS(($X175)-(ABERTURAS!$O$7:$O$26)))/2))/2*(((($AA175)+(ABERTURAS!$R$7:$R$26)-ABS(($AA175)-(ABERTURAS!$R$7:$R$26)))/2-(($Z175)+(ABERTURAS!$Q$7:$Q$26)+ABS(($Z175)-(ABERTURAS!$Q$7:$Q$26)))/2)+ABS((($AA175)+(ABERTURAS!$R$7:$R$26)-ABS(($AA175)-(ABERTURAS!$R$7:$R$26)))/2-(($Z175)+(ABERTURAS!$Q$7:$Q$26)+ABS(($Z175)-(ABERTURAS!$Q$7:$Q$26)))/2))/2))</f>
        <v>0</v>
      </c>
      <c r="Q175" s="30" t="n">
        <f aca="false">IF($U175=0,0,SUMPRODUCT((ABERTURAS!$N$7:$N$26=$U175)*ABERTURAS!$V$7:$V$26*(((($Y175)+(ABERTURAS!$P$7:$P$26)-ABS(($Y175)-(ABERTURAS!$P$7:$P$26)))/2-(($X175)+(ABERTURAS!$O$7:$O$26)+ABS(($X175)-(ABERTURAS!$O$7:$O$26)))/2)+ABS((($Y175)+(ABERTURAS!$P$7:$P$26)-ABS(($Y175)-(ABERTURAS!$P$7:$P$26)))/2-(($X175)+(ABERTURAS!$O$7:$O$26)+ABS(($X175)-(ABERTURAS!$O$7:$O$26)))/2))/2*(((($AA175)+(ABERTURAS!$R$7:$R$26)-ABS(($AA175)-(ABERTURAS!$R$7:$R$26)))/2-(($Z175)+(ABERTURAS!$Q$7:$Q$26)+ABS(($Z175)-(ABERTURAS!$Q$7:$Q$26)))/2)+ABS((($AA175)+(ABERTURAS!$R$7:$R$26)-ABS(($AA175)-(ABERTURAS!$R$7:$R$26)))/2-(($Z175)+(ABERTURAS!$Q$7:$Q$26)+ABS(($Z175)-(ABERTURAS!$Q$7:$Q$26)))/2))/2))</f>
        <v>0</v>
      </c>
      <c r="R175" s="30" t="n">
        <f aca="false">MAX(0,$O175-$P175)</f>
        <v>0</v>
      </c>
      <c r="S175" s="30" t="n">
        <f aca="false">MAX(0,$O175-$Q175)</f>
        <v>0</v>
      </c>
      <c r="T175" s="50" t="n">
        <f aca="false">IF($D175="",0,IF($E175="VERTICAL",N($G175),MAX(N($I175),IF($K175="",N($I175),$K175))))</f>
        <v>0</v>
      </c>
      <c r="U175" s="50" t="n">
        <f aca="false">IF($L175&lt;&gt;"OK",0,VALUE(RIGHT($C175,1)))</f>
        <v>0</v>
      </c>
      <c r="V175" s="50" t="n">
        <f aca="false">IF($D175="",0,(N($H175)+IF($J175="",N($H175),$J175))/2)</f>
        <v>0</v>
      </c>
      <c r="W175" s="50" t="n">
        <f aca="false">IF($D175="",0,(N($I175)+IF($K175="",N($I175),$K175))/2)</f>
        <v>0</v>
      </c>
      <c r="X175" s="50" t="n">
        <f aca="false">IF($E175="VERTICAL",$V175,N($F175))</f>
        <v>0</v>
      </c>
      <c r="Y175" s="50" t="n">
        <f aca="false">IF($E175="VERTICAL",$W175,N($G175))</f>
        <v>0</v>
      </c>
      <c r="Z175" s="50" t="n">
        <f aca="false">IF($E175="VERTICAL",N($F175),$V175)</f>
        <v>0</v>
      </c>
      <c r="AA175" s="50" t="n">
        <f aca="false">IF($E175="VERTICAL",N($G175),$W175)</f>
        <v>0</v>
      </c>
      <c r="AB175" s="30" t="n">
        <f aca="false">IF($L175&lt;&gt;"OK",0,(INDEX(PRESIONES!$D$28:$D$31,$U175)*IF(INDEX(PRESIONES!$D$28:$D$31,$U175)&gt;0,PRESIONES!$C$9*IF($T175&lt;=10,1,($T175/10)^(2/DATOS!$C$56)),PRESIONES!$C$15)-ABERTURAS!$L$60*PRESIONES!$C$12)*$R175/$M175)</f>
        <v>0</v>
      </c>
      <c r="AC175" s="30" t="n">
        <f aca="false">IF($L175&lt;&gt;"OK",0,(INDEX(PRESIONES!$G$28:$G$31,$U175)*IF(INDEX(PRESIONES!$G$28:$G$31,$U175)&gt;0,PRESIONES!$C$9*IF($T175&lt;=10,1,($T175/10)^(2/DATOS!$C$56)),PRESIONES!$C$15)-ABERTURAS!$L$61*PRESIONES!$C$12)*$R175/$M175)</f>
        <v>0</v>
      </c>
      <c r="AD175" s="30" t="n">
        <f aca="false">IF($L175&lt;&gt;"OK",0,(INDEX(PRESIONES!$J$28:$J$31,$U175)*IF(INDEX(PRESIONES!$J$28:$J$31,$U175)&gt;0,PRESIONES!$C$9*IF($T175&lt;=10,1,($T175/10)^(2/DATOS!$C$56)),PRESIONES!$C$15)-ABERTURAS!$L$62*PRESIONES!$C$12)*$R175/$M175)</f>
        <v>0</v>
      </c>
      <c r="AE175" s="30" t="n">
        <f aca="false">IF($L175&lt;&gt;"OK",0,(INDEX(PRESIONES!$M$28:$M$31,$U175)*IF(INDEX(PRESIONES!$M$28:$M$31,$U175)&gt;0,PRESIONES!$C$9*IF($T175&lt;=10,1,($T175/10)^(2/DATOS!$C$56)),PRESIONES!$C$15)-ABERTURAS!$L$63*PRESIONES!$C$12)*$R175/$M175)</f>
        <v>0</v>
      </c>
      <c r="AF175" s="30" t="n">
        <f aca="false">IF($L175&lt;&gt;"OK",0,(INDEX(PRESIONES!$D$28:$D$31,$U175)*IF(INDEX(PRESIONES!$D$28:$D$31,$U175)&gt;0,PRESIONES!$C$9*IF($T175&lt;=10,1,($T175/10)^(2/DATOS!$C$56)),PRESIONES!$C$15)-ABERTURAS!$L$64*PRESIONES!$C$12)*$S175/$M175)</f>
        <v>0</v>
      </c>
      <c r="AG175" s="30" t="n">
        <f aca="false">IF($L175&lt;&gt;"OK",0,(INDEX(PRESIONES!$G$28:$G$31,$U175)*IF(INDEX(PRESIONES!$G$28:$G$31,$U175)&gt;0,PRESIONES!$C$9*IF($T175&lt;=10,1,($T175/10)^(2/DATOS!$C$56)),PRESIONES!$C$15)-ABERTURAS!$L$65*PRESIONES!$C$12)*$S175/$M175)</f>
        <v>0</v>
      </c>
      <c r="AH175" s="30" t="n">
        <f aca="false">IF($L175&lt;&gt;"OK",0,(INDEX(PRESIONES!$J$28:$J$31,$U175)*IF(INDEX(PRESIONES!$J$28:$J$31,$U175)&gt;0,PRESIONES!$C$9*IF($T175&lt;=10,1,($T175/10)^(2/DATOS!$C$56)),PRESIONES!$C$15)-ABERTURAS!$L$66*PRESIONES!$C$12)*$S175/$M175)</f>
        <v>0</v>
      </c>
      <c r="AI175" s="30" t="n">
        <f aca="false">IF($L175&lt;&gt;"OK",0,(INDEX(PRESIONES!$M$28:$M$31,$U175)*IF(INDEX(PRESIONES!$M$28:$M$31,$U175)&gt;0,PRESIONES!$C$9*IF($T175&lt;=10,1,($T175/10)^(2/DATOS!$C$56)),PRESIONES!$C$15)-ABERTURAS!$L$67*PRESIONES!$C$12)*$S175/$M175)</f>
        <v>0</v>
      </c>
    </row>
    <row r="176" customFormat="false" ht="15" hidden="false" customHeight="true" outlineLevel="0" collapsed="false">
      <c r="B176" s="27"/>
      <c r="C176" s="17"/>
      <c r="D176" s="27"/>
      <c r="E176" s="17"/>
      <c r="F176" s="49"/>
      <c r="G176" s="49"/>
      <c r="H176" s="49"/>
      <c r="I176" s="49"/>
      <c r="J176" s="49"/>
      <c r="K176" s="49"/>
      <c r="L176" s="20" t="str">
        <f aca="false">IF($D176="","",IF(LEFT($C176,4)&lt;&gt;"MURO","PON EL MURO",IF(AND($E176&lt;&gt;"HORIZONTAL",$E176&lt;&gt;"VERTICAL"),"PON EL SENTIDO",IF(OR($F176="",$G176="",$H176="",$I176=""),"FALTAN a o b",IF($M176&lt;=0,"a₂ DEBE SER &gt; a₁",IF($N176&lt;=0,"b₂ DEBE SER &gt; b₁","OK"))))))</f>
        <v/>
      </c>
      <c r="M176" s="30" t="n">
        <f aca="false">IF($D176="",0,MAX(0,$G176-$F176))</f>
        <v>0</v>
      </c>
      <c r="N176" s="30" t="n">
        <f aca="false">MAX(0,$W176-$V176)</f>
        <v>0</v>
      </c>
      <c r="O176" s="30" t="n">
        <f aca="false">$M176*$N176</f>
        <v>0</v>
      </c>
      <c r="P176" s="30" t="n">
        <f aca="false">IF($U176=0,0,SUMPRODUCT((ABERTURAS!$N$7:$N$26=$U176)*ABERTURAS!$U$7:$U$26*(((($Y176)+(ABERTURAS!$P$7:$P$26)-ABS(($Y176)-(ABERTURAS!$P$7:$P$26)))/2-(($X176)+(ABERTURAS!$O$7:$O$26)+ABS(($X176)-(ABERTURAS!$O$7:$O$26)))/2)+ABS((($Y176)+(ABERTURAS!$P$7:$P$26)-ABS(($Y176)-(ABERTURAS!$P$7:$P$26)))/2-(($X176)+(ABERTURAS!$O$7:$O$26)+ABS(($X176)-(ABERTURAS!$O$7:$O$26)))/2))/2*(((($AA176)+(ABERTURAS!$R$7:$R$26)-ABS(($AA176)-(ABERTURAS!$R$7:$R$26)))/2-(($Z176)+(ABERTURAS!$Q$7:$Q$26)+ABS(($Z176)-(ABERTURAS!$Q$7:$Q$26)))/2)+ABS((($AA176)+(ABERTURAS!$R$7:$R$26)-ABS(($AA176)-(ABERTURAS!$R$7:$R$26)))/2-(($Z176)+(ABERTURAS!$Q$7:$Q$26)+ABS(($Z176)-(ABERTURAS!$Q$7:$Q$26)))/2))/2))</f>
        <v>0</v>
      </c>
      <c r="Q176" s="30" t="n">
        <f aca="false">IF($U176=0,0,SUMPRODUCT((ABERTURAS!$N$7:$N$26=$U176)*ABERTURAS!$V$7:$V$26*(((($Y176)+(ABERTURAS!$P$7:$P$26)-ABS(($Y176)-(ABERTURAS!$P$7:$P$26)))/2-(($X176)+(ABERTURAS!$O$7:$O$26)+ABS(($X176)-(ABERTURAS!$O$7:$O$26)))/2)+ABS((($Y176)+(ABERTURAS!$P$7:$P$26)-ABS(($Y176)-(ABERTURAS!$P$7:$P$26)))/2-(($X176)+(ABERTURAS!$O$7:$O$26)+ABS(($X176)-(ABERTURAS!$O$7:$O$26)))/2))/2*(((($AA176)+(ABERTURAS!$R$7:$R$26)-ABS(($AA176)-(ABERTURAS!$R$7:$R$26)))/2-(($Z176)+(ABERTURAS!$Q$7:$Q$26)+ABS(($Z176)-(ABERTURAS!$Q$7:$Q$26)))/2)+ABS((($AA176)+(ABERTURAS!$R$7:$R$26)-ABS(($AA176)-(ABERTURAS!$R$7:$R$26)))/2-(($Z176)+(ABERTURAS!$Q$7:$Q$26)+ABS(($Z176)-(ABERTURAS!$Q$7:$Q$26)))/2))/2))</f>
        <v>0</v>
      </c>
      <c r="R176" s="30" t="n">
        <f aca="false">MAX(0,$O176-$P176)</f>
        <v>0</v>
      </c>
      <c r="S176" s="30" t="n">
        <f aca="false">MAX(0,$O176-$Q176)</f>
        <v>0</v>
      </c>
      <c r="T176" s="50" t="n">
        <f aca="false">IF($D176="",0,IF($E176="VERTICAL",N($G176),MAX(N($I176),IF($K176="",N($I176),$K176))))</f>
        <v>0</v>
      </c>
      <c r="U176" s="50" t="n">
        <f aca="false">IF($L176&lt;&gt;"OK",0,VALUE(RIGHT($C176,1)))</f>
        <v>0</v>
      </c>
      <c r="V176" s="50" t="n">
        <f aca="false">IF($D176="",0,(N($H176)+IF($J176="",N($H176),$J176))/2)</f>
        <v>0</v>
      </c>
      <c r="W176" s="50" t="n">
        <f aca="false">IF($D176="",0,(N($I176)+IF($K176="",N($I176),$K176))/2)</f>
        <v>0</v>
      </c>
      <c r="X176" s="50" t="n">
        <f aca="false">IF($E176="VERTICAL",$V176,N($F176))</f>
        <v>0</v>
      </c>
      <c r="Y176" s="50" t="n">
        <f aca="false">IF($E176="VERTICAL",$W176,N($G176))</f>
        <v>0</v>
      </c>
      <c r="Z176" s="50" t="n">
        <f aca="false">IF($E176="VERTICAL",N($F176),$V176)</f>
        <v>0</v>
      </c>
      <c r="AA176" s="50" t="n">
        <f aca="false">IF($E176="VERTICAL",N($G176),$W176)</f>
        <v>0</v>
      </c>
      <c r="AB176" s="30" t="n">
        <f aca="false">IF($L176&lt;&gt;"OK",0,(INDEX(PRESIONES!$D$28:$D$31,$U176)*IF(INDEX(PRESIONES!$D$28:$D$31,$U176)&gt;0,PRESIONES!$C$9*IF($T176&lt;=10,1,($T176/10)^(2/DATOS!$C$56)),PRESIONES!$C$15)-ABERTURAS!$L$60*PRESIONES!$C$12)*$R176/$M176)</f>
        <v>0</v>
      </c>
      <c r="AC176" s="30" t="n">
        <f aca="false">IF($L176&lt;&gt;"OK",0,(INDEX(PRESIONES!$G$28:$G$31,$U176)*IF(INDEX(PRESIONES!$G$28:$G$31,$U176)&gt;0,PRESIONES!$C$9*IF($T176&lt;=10,1,($T176/10)^(2/DATOS!$C$56)),PRESIONES!$C$15)-ABERTURAS!$L$61*PRESIONES!$C$12)*$R176/$M176)</f>
        <v>0</v>
      </c>
      <c r="AD176" s="30" t="n">
        <f aca="false">IF($L176&lt;&gt;"OK",0,(INDEX(PRESIONES!$J$28:$J$31,$U176)*IF(INDEX(PRESIONES!$J$28:$J$31,$U176)&gt;0,PRESIONES!$C$9*IF($T176&lt;=10,1,($T176/10)^(2/DATOS!$C$56)),PRESIONES!$C$15)-ABERTURAS!$L$62*PRESIONES!$C$12)*$R176/$M176)</f>
        <v>0</v>
      </c>
      <c r="AE176" s="30" t="n">
        <f aca="false">IF($L176&lt;&gt;"OK",0,(INDEX(PRESIONES!$M$28:$M$31,$U176)*IF(INDEX(PRESIONES!$M$28:$M$31,$U176)&gt;0,PRESIONES!$C$9*IF($T176&lt;=10,1,($T176/10)^(2/DATOS!$C$56)),PRESIONES!$C$15)-ABERTURAS!$L$63*PRESIONES!$C$12)*$R176/$M176)</f>
        <v>0</v>
      </c>
      <c r="AF176" s="30" t="n">
        <f aca="false">IF($L176&lt;&gt;"OK",0,(INDEX(PRESIONES!$D$28:$D$31,$U176)*IF(INDEX(PRESIONES!$D$28:$D$31,$U176)&gt;0,PRESIONES!$C$9*IF($T176&lt;=10,1,($T176/10)^(2/DATOS!$C$56)),PRESIONES!$C$15)-ABERTURAS!$L$64*PRESIONES!$C$12)*$S176/$M176)</f>
        <v>0</v>
      </c>
      <c r="AG176" s="30" t="n">
        <f aca="false">IF($L176&lt;&gt;"OK",0,(INDEX(PRESIONES!$G$28:$G$31,$U176)*IF(INDEX(PRESIONES!$G$28:$G$31,$U176)&gt;0,PRESIONES!$C$9*IF($T176&lt;=10,1,($T176/10)^(2/DATOS!$C$56)),PRESIONES!$C$15)-ABERTURAS!$L$65*PRESIONES!$C$12)*$S176/$M176)</f>
        <v>0</v>
      </c>
      <c r="AH176" s="30" t="n">
        <f aca="false">IF($L176&lt;&gt;"OK",0,(INDEX(PRESIONES!$J$28:$J$31,$U176)*IF(INDEX(PRESIONES!$J$28:$J$31,$U176)&gt;0,PRESIONES!$C$9*IF($T176&lt;=10,1,($T176/10)^(2/DATOS!$C$56)),PRESIONES!$C$15)-ABERTURAS!$L$66*PRESIONES!$C$12)*$S176/$M176)</f>
        <v>0</v>
      </c>
      <c r="AI176" s="30" t="n">
        <f aca="false">IF($L176&lt;&gt;"OK",0,(INDEX(PRESIONES!$M$28:$M$31,$U176)*IF(INDEX(PRESIONES!$M$28:$M$31,$U176)&gt;0,PRESIONES!$C$9*IF($T176&lt;=10,1,($T176/10)^(2/DATOS!$C$56)),PRESIONES!$C$15)-ABERTURAS!$L$67*PRESIONES!$C$12)*$S176/$M176)</f>
        <v>0</v>
      </c>
    </row>
    <row r="177" customFormat="false" ht="15" hidden="false" customHeight="true" outlineLevel="0" collapsed="false">
      <c r="B177" s="27"/>
      <c r="C177" s="17"/>
      <c r="D177" s="27"/>
      <c r="E177" s="17"/>
      <c r="F177" s="49"/>
      <c r="G177" s="49"/>
      <c r="H177" s="49"/>
      <c r="I177" s="49"/>
      <c r="J177" s="49"/>
      <c r="K177" s="49"/>
      <c r="L177" s="20" t="str">
        <f aca="false">IF($D177="","",IF(LEFT($C177,4)&lt;&gt;"MURO","PON EL MURO",IF(AND($E177&lt;&gt;"HORIZONTAL",$E177&lt;&gt;"VERTICAL"),"PON EL SENTIDO",IF(OR($F177="",$G177="",$H177="",$I177=""),"FALTAN a o b",IF($M177&lt;=0,"a₂ DEBE SER &gt; a₁",IF($N177&lt;=0,"b₂ DEBE SER &gt; b₁","OK"))))))</f>
        <v/>
      </c>
      <c r="M177" s="30" t="n">
        <f aca="false">IF($D177="",0,MAX(0,$G177-$F177))</f>
        <v>0</v>
      </c>
      <c r="N177" s="30" t="n">
        <f aca="false">MAX(0,$W177-$V177)</f>
        <v>0</v>
      </c>
      <c r="O177" s="30" t="n">
        <f aca="false">$M177*$N177</f>
        <v>0</v>
      </c>
      <c r="P177" s="30" t="n">
        <f aca="false">IF($U177=0,0,SUMPRODUCT((ABERTURAS!$N$7:$N$26=$U177)*ABERTURAS!$U$7:$U$26*(((($Y177)+(ABERTURAS!$P$7:$P$26)-ABS(($Y177)-(ABERTURAS!$P$7:$P$26)))/2-(($X177)+(ABERTURAS!$O$7:$O$26)+ABS(($X177)-(ABERTURAS!$O$7:$O$26)))/2)+ABS((($Y177)+(ABERTURAS!$P$7:$P$26)-ABS(($Y177)-(ABERTURAS!$P$7:$P$26)))/2-(($X177)+(ABERTURAS!$O$7:$O$26)+ABS(($X177)-(ABERTURAS!$O$7:$O$26)))/2))/2*(((($AA177)+(ABERTURAS!$R$7:$R$26)-ABS(($AA177)-(ABERTURAS!$R$7:$R$26)))/2-(($Z177)+(ABERTURAS!$Q$7:$Q$26)+ABS(($Z177)-(ABERTURAS!$Q$7:$Q$26)))/2)+ABS((($AA177)+(ABERTURAS!$R$7:$R$26)-ABS(($AA177)-(ABERTURAS!$R$7:$R$26)))/2-(($Z177)+(ABERTURAS!$Q$7:$Q$26)+ABS(($Z177)-(ABERTURAS!$Q$7:$Q$26)))/2))/2))</f>
        <v>0</v>
      </c>
      <c r="Q177" s="30" t="n">
        <f aca="false">IF($U177=0,0,SUMPRODUCT((ABERTURAS!$N$7:$N$26=$U177)*ABERTURAS!$V$7:$V$26*(((($Y177)+(ABERTURAS!$P$7:$P$26)-ABS(($Y177)-(ABERTURAS!$P$7:$P$26)))/2-(($X177)+(ABERTURAS!$O$7:$O$26)+ABS(($X177)-(ABERTURAS!$O$7:$O$26)))/2)+ABS((($Y177)+(ABERTURAS!$P$7:$P$26)-ABS(($Y177)-(ABERTURAS!$P$7:$P$26)))/2-(($X177)+(ABERTURAS!$O$7:$O$26)+ABS(($X177)-(ABERTURAS!$O$7:$O$26)))/2))/2*(((($AA177)+(ABERTURAS!$R$7:$R$26)-ABS(($AA177)-(ABERTURAS!$R$7:$R$26)))/2-(($Z177)+(ABERTURAS!$Q$7:$Q$26)+ABS(($Z177)-(ABERTURAS!$Q$7:$Q$26)))/2)+ABS((($AA177)+(ABERTURAS!$R$7:$R$26)-ABS(($AA177)-(ABERTURAS!$R$7:$R$26)))/2-(($Z177)+(ABERTURAS!$Q$7:$Q$26)+ABS(($Z177)-(ABERTURAS!$Q$7:$Q$26)))/2))/2))</f>
        <v>0</v>
      </c>
      <c r="R177" s="30" t="n">
        <f aca="false">MAX(0,$O177-$P177)</f>
        <v>0</v>
      </c>
      <c r="S177" s="30" t="n">
        <f aca="false">MAX(0,$O177-$Q177)</f>
        <v>0</v>
      </c>
      <c r="T177" s="50" t="n">
        <f aca="false">IF($D177="",0,IF($E177="VERTICAL",N($G177),MAX(N($I177),IF($K177="",N($I177),$K177))))</f>
        <v>0</v>
      </c>
      <c r="U177" s="50" t="n">
        <f aca="false">IF($L177&lt;&gt;"OK",0,VALUE(RIGHT($C177,1)))</f>
        <v>0</v>
      </c>
      <c r="V177" s="50" t="n">
        <f aca="false">IF($D177="",0,(N($H177)+IF($J177="",N($H177),$J177))/2)</f>
        <v>0</v>
      </c>
      <c r="W177" s="50" t="n">
        <f aca="false">IF($D177="",0,(N($I177)+IF($K177="",N($I177),$K177))/2)</f>
        <v>0</v>
      </c>
      <c r="X177" s="50" t="n">
        <f aca="false">IF($E177="VERTICAL",$V177,N($F177))</f>
        <v>0</v>
      </c>
      <c r="Y177" s="50" t="n">
        <f aca="false">IF($E177="VERTICAL",$W177,N($G177))</f>
        <v>0</v>
      </c>
      <c r="Z177" s="50" t="n">
        <f aca="false">IF($E177="VERTICAL",N($F177),$V177)</f>
        <v>0</v>
      </c>
      <c r="AA177" s="50" t="n">
        <f aca="false">IF($E177="VERTICAL",N($G177),$W177)</f>
        <v>0</v>
      </c>
      <c r="AB177" s="30" t="n">
        <f aca="false">IF($L177&lt;&gt;"OK",0,(INDEX(PRESIONES!$D$28:$D$31,$U177)*IF(INDEX(PRESIONES!$D$28:$D$31,$U177)&gt;0,PRESIONES!$C$9*IF($T177&lt;=10,1,($T177/10)^(2/DATOS!$C$56)),PRESIONES!$C$15)-ABERTURAS!$L$60*PRESIONES!$C$12)*$R177/$M177)</f>
        <v>0</v>
      </c>
      <c r="AC177" s="30" t="n">
        <f aca="false">IF($L177&lt;&gt;"OK",0,(INDEX(PRESIONES!$G$28:$G$31,$U177)*IF(INDEX(PRESIONES!$G$28:$G$31,$U177)&gt;0,PRESIONES!$C$9*IF($T177&lt;=10,1,($T177/10)^(2/DATOS!$C$56)),PRESIONES!$C$15)-ABERTURAS!$L$61*PRESIONES!$C$12)*$R177/$M177)</f>
        <v>0</v>
      </c>
      <c r="AD177" s="30" t="n">
        <f aca="false">IF($L177&lt;&gt;"OK",0,(INDEX(PRESIONES!$J$28:$J$31,$U177)*IF(INDEX(PRESIONES!$J$28:$J$31,$U177)&gt;0,PRESIONES!$C$9*IF($T177&lt;=10,1,($T177/10)^(2/DATOS!$C$56)),PRESIONES!$C$15)-ABERTURAS!$L$62*PRESIONES!$C$12)*$R177/$M177)</f>
        <v>0</v>
      </c>
      <c r="AE177" s="30" t="n">
        <f aca="false">IF($L177&lt;&gt;"OK",0,(INDEX(PRESIONES!$M$28:$M$31,$U177)*IF(INDEX(PRESIONES!$M$28:$M$31,$U177)&gt;0,PRESIONES!$C$9*IF($T177&lt;=10,1,($T177/10)^(2/DATOS!$C$56)),PRESIONES!$C$15)-ABERTURAS!$L$63*PRESIONES!$C$12)*$R177/$M177)</f>
        <v>0</v>
      </c>
      <c r="AF177" s="30" t="n">
        <f aca="false">IF($L177&lt;&gt;"OK",0,(INDEX(PRESIONES!$D$28:$D$31,$U177)*IF(INDEX(PRESIONES!$D$28:$D$31,$U177)&gt;0,PRESIONES!$C$9*IF($T177&lt;=10,1,($T177/10)^(2/DATOS!$C$56)),PRESIONES!$C$15)-ABERTURAS!$L$64*PRESIONES!$C$12)*$S177/$M177)</f>
        <v>0</v>
      </c>
      <c r="AG177" s="30" t="n">
        <f aca="false">IF($L177&lt;&gt;"OK",0,(INDEX(PRESIONES!$G$28:$G$31,$U177)*IF(INDEX(PRESIONES!$G$28:$G$31,$U177)&gt;0,PRESIONES!$C$9*IF($T177&lt;=10,1,($T177/10)^(2/DATOS!$C$56)),PRESIONES!$C$15)-ABERTURAS!$L$65*PRESIONES!$C$12)*$S177/$M177)</f>
        <v>0</v>
      </c>
      <c r="AH177" s="30" t="n">
        <f aca="false">IF($L177&lt;&gt;"OK",0,(INDEX(PRESIONES!$J$28:$J$31,$U177)*IF(INDEX(PRESIONES!$J$28:$J$31,$U177)&gt;0,PRESIONES!$C$9*IF($T177&lt;=10,1,($T177/10)^(2/DATOS!$C$56)),PRESIONES!$C$15)-ABERTURAS!$L$66*PRESIONES!$C$12)*$S177/$M177)</f>
        <v>0</v>
      </c>
      <c r="AI177" s="30" t="n">
        <f aca="false">IF($L177&lt;&gt;"OK",0,(INDEX(PRESIONES!$M$28:$M$31,$U177)*IF(INDEX(PRESIONES!$M$28:$M$31,$U177)&gt;0,PRESIONES!$C$9*IF($T177&lt;=10,1,($T177/10)^(2/DATOS!$C$56)),PRESIONES!$C$15)-ABERTURAS!$L$67*PRESIONES!$C$12)*$S177/$M177)</f>
        <v>0</v>
      </c>
    </row>
    <row r="178" customFormat="false" ht="15" hidden="false" customHeight="true" outlineLevel="0" collapsed="false">
      <c r="B178" s="27"/>
      <c r="C178" s="17"/>
      <c r="D178" s="27"/>
      <c r="E178" s="17"/>
      <c r="F178" s="49"/>
      <c r="G178" s="49"/>
      <c r="H178" s="49"/>
      <c r="I178" s="49"/>
      <c r="J178" s="49"/>
      <c r="K178" s="49"/>
      <c r="L178" s="20" t="str">
        <f aca="false">IF($D178="","",IF(LEFT($C178,4)&lt;&gt;"MURO","PON EL MURO",IF(AND($E178&lt;&gt;"HORIZONTAL",$E178&lt;&gt;"VERTICAL"),"PON EL SENTIDO",IF(OR($F178="",$G178="",$H178="",$I178=""),"FALTAN a o b",IF($M178&lt;=0,"a₂ DEBE SER &gt; a₁",IF($N178&lt;=0,"b₂ DEBE SER &gt; b₁","OK"))))))</f>
        <v/>
      </c>
      <c r="M178" s="30" t="n">
        <f aca="false">IF($D178="",0,MAX(0,$G178-$F178))</f>
        <v>0</v>
      </c>
      <c r="N178" s="30" t="n">
        <f aca="false">MAX(0,$W178-$V178)</f>
        <v>0</v>
      </c>
      <c r="O178" s="30" t="n">
        <f aca="false">$M178*$N178</f>
        <v>0</v>
      </c>
      <c r="P178" s="30" t="n">
        <f aca="false">IF($U178=0,0,SUMPRODUCT((ABERTURAS!$N$7:$N$26=$U178)*ABERTURAS!$U$7:$U$26*(((($Y178)+(ABERTURAS!$P$7:$P$26)-ABS(($Y178)-(ABERTURAS!$P$7:$P$26)))/2-(($X178)+(ABERTURAS!$O$7:$O$26)+ABS(($X178)-(ABERTURAS!$O$7:$O$26)))/2)+ABS((($Y178)+(ABERTURAS!$P$7:$P$26)-ABS(($Y178)-(ABERTURAS!$P$7:$P$26)))/2-(($X178)+(ABERTURAS!$O$7:$O$26)+ABS(($X178)-(ABERTURAS!$O$7:$O$26)))/2))/2*(((($AA178)+(ABERTURAS!$R$7:$R$26)-ABS(($AA178)-(ABERTURAS!$R$7:$R$26)))/2-(($Z178)+(ABERTURAS!$Q$7:$Q$26)+ABS(($Z178)-(ABERTURAS!$Q$7:$Q$26)))/2)+ABS((($AA178)+(ABERTURAS!$R$7:$R$26)-ABS(($AA178)-(ABERTURAS!$R$7:$R$26)))/2-(($Z178)+(ABERTURAS!$Q$7:$Q$26)+ABS(($Z178)-(ABERTURAS!$Q$7:$Q$26)))/2))/2))</f>
        <v>0</v>
      </c>
      <c r="Q178" s="30" t="n">
        <f aca="false">IF($U178=0,0,SUMPRODUCT((ABERTURAS!$N$7:$N$26=$U178)*ABERTURAS!$V$7:$V$26*(((($Y178)+(ABERTURAS!$P$7:$P$26)-ABS(($Y178)-(ABERTURAS!$P$7:$P$26)))/2-(($X178)+(ABERTURAS!$O$7:$O$26)+ABS(($X178)-(ABERTURAS!$O$7:$O$26)))/2)+ABS((($Y178)+(ABERTURAS!$P$7:$P$26)-ABS(($Y178)-(ABERTURAS!$P$7:$P$26)))/2-(($X178)+(ABERTURAS!$O$7:$O$26)+ABS(($X178)-(ABERTURAS!$O$7:$O$26)))/2))/2*(((($AA178)+(ABERTURAS!$R$7:$R$26)-ABS(($AA178)-(ABERTURAS!$R$7:$R$26)))/2-(($Z178)+(ABERTURAS!$Q$7:$Q$26)+ABS(($Z178)-(ABERTURAS!$Q$7:$Q$26)))/2)+ABS((($AA178)+(ABERTURAS!$R$7:$R$26)-ABS(($AA178)-(ABERTURAS!$R$7:$R$26)))/2-(($Z178)+(ABERTURAS!$Q$7:$Q$26)+ABS(($Z178)-(ABERTURAS!$Q$7:$Q$26)))/2))/2))</f>
        <v>0</v>
      </c>
      <c r="R178" s="30" t="n">
        <f aca="false">MAX(0,$O178-$P178)</f>
        <v>0</v>
      </c>
      <c r="S178" s="30" t="n">
        <f aca="false">MAX(0,$O178-$Q178)</f>
        <v>0</v>
      </c>
      <c r="T178" s="50" t="n">
        <f aca="false">IF($D178="",0,IF($E178="VERTICAL",N($G178),MAX(N($I178),IF($K178="",N($I178),$K178))))</f>
        <v>0</v>
      </c>
      <c r="U178" s="50" t="n">
        <f aca="false">IF($L178&lt;&gt;"OK",0,VALUE(RIGHT($C178,1)))</f>
        <v>0</v>
      </c>
      <c r="V178" s="50" t="n">
        <f aca="false">IF($D178="",0,(N($H178)+IF($J178="",N($H178),$J178))/2)</f>
        <v>0</v>
      </c>
      <c r="W178" s="50" t="n">
        <f aca="false">IF($D178="",0,(N($I178)+IF($K178="",N($I178),$K178))/2)</f>
        <v>0</v>
      </c>
      <c r="X178" s="50" t="n">
        <f aca="false">IF($E178="VERTICAL",$V178,N($F178))</f>
        <v>0</v>
      </c>
      <c r="Y178" s="50" t="n">
        <f aca="false">IF($E178="VERTICAL",$W178,N($G178))</f>
        <v>0</v>
      </c>
      <c r="Z178" s="50" t="n">
        <f aca="false">IF($E178="VERTICAL",N($F178),$V178)</f>
        <v>0</v>
      </c>
      <c r="AA178" s="50" t="n">
        <f aca="false">IF($E178="VERTICAL",N($G178),$W178)</f>
        <v>0</v>
      </c>
      <c r="AB178" s="30" t="n">
        <f aca="false">IF($L178&lt;&gt;"OK",0,(INDEX(PRESIONES!$D$28:$D$31,$U178)*IF(INDEX(PRESIONES!$D$28:$D$31,$U178)&gt;0,PRESIONES!$C$9*IF($T178&lt;=10,1,($T178/10)^(2/DATOS!$C$56)),PRESIONES!$C$15)-ABERTURAS!$L$60*PRESIONES!$C$12)*$R178/$M178)</f>
        <v>0</v>
      </c>
      <c r="AC178" s="30" t="n">
        <f aca="false">IF($L178&lt;&gt;"OK",0,(INDEX(PRESIONES!$G$28:$G$31,$U178)*IF(INDEX(PRESIONES!$G$28:$G$31,$U178)&gt;0,PRESIONES!$C$9*IF($T178&lt;=10,1,($T178/10)^(2/DATOS!$C$56)),PRESIONES!$C$15)-ABERTURAS!$L$61*PRESIONES!$C$12)*$R178/$M178)</f>
        <v>0</v>
      </c>
      <c r="AD178" s="30" t="n">
        <f aca="false">IF($L178&lt;&gt;"OK",0,(INDEX(PRESIONES!$J$28:$J$31,$U178)*IF(INDEX(PRESIONES!$J$28:$J$31,$U178)&gt;0,PRESIONES!$C$9*IF($T178&lt;=10,1,($T178/10)^(2/DATOS!$C$56)),PRESIONES!$C$15)-ABERTURAS!$L$62*PRESIONES!$C$12)*$R178/$M178)</f>
        <v>0</v>
      </c>
      <c r="AE178" s="30" t="n">
        <f aca="false">IF($L178&lt;&gt;"OK",0,(INDEX(PRESIONES!$M$28:$M$31,$U178)*IF(INDEX(PRESIONES!$M$28:$M$31,$U178)&gt;0,PRESIONES!$C$9*IF($T178&lt;=10,1,($T178/10)^(2/DATOS!$C$56)),PRESIONES!$C$15)-ABERTURAS!$L$63*PRESIONES!$C$12)*$R178/$M178)</f>
        <v>0</v>
      </c>
      <c r="AF178" s="30" t="n">
        <f aca="false">IF($L178&lt;&gt;"OK",0,(INDEX(PRESIONES!$D$28:$D$31,$U178)*IF(INDEX(PRESIONES!$D$28:$D$31,$U178)&gt;0,PRESIONES!$C$9*IF($T178&lt;=10,1,($T178/10)^(2/DATOS!$C$56)),PRESIONES!$C$15)-ABERTURAS!$L$64*PRESIONES!$C$12)*$S178/$M178)</f>
        <v>0</v>
      </c>
      <c r="AG178" s="30" t="n">
        <f aca="false">IF($L178&lt;&gt;"OK",0,(INDEX(PRESIONES!$G$28:$G$31,$U178)*IF(INDEX(PRESIONES!$G$28:$G$31,$U178)&gt;0,PRESIONES!$C$9*IF($T178&lt;=10,1,($T178/10)^(2/DATOS!$C$56)),PRESIONES!$C$15)-ABERTURAS!$L$65*PRESIONES!$C$12)*$S178/$M178)</f>
        <v>0</v>
      </c>
      <c r="AH178" s="30" t="n">
        <f aca="false">IF($L178&lt;&gt;"OK",0,(INDEX(PRESIONES!$J$28:$J$31,$U178)*IF(INDEX(PRESIONES!$J$28:$J$31,$U178)&gt;0,PRESIONES!$C$9*IF($T178&lt;=10,1,($T178/10)^(2/DATOS!$C$56)),PRESIONES!$C$15)-ABERTURAS!$L$66*PRESIONES!$C$12)*$S178/$M178)</f>
        <v>0</v>
      </c>
      <c r="AI178" s="30" t="n">
        <f aca="false">IF($L178&lt;&gt;"OK",0,(INDEX(PRESIONES!$M$28:$M$31,$U178)*IF(INDEX(PRESIONES!$M$28:$M$31,$U178)&gt;0,PRESIONES!$C$9*IF($T178&lt;=10,1,($T178/10)^(2/DATOS!$C$56)),PRESIONES!$C$15)-ABERTURAS!$L$67*PRESIONES!$C$12)*$S178/$M178)</f>
        <v>0</v>
      </c>
    </row>
    <row r="179" customFormat="false" ht="15" hidden="false" customHeight="true" outlineLevel="0" collapsed="false">
      <c r="B179" s="27"/>
      <c r="C179" s="17"/>
      <c r="D179" s="27"/>
      <c r="E179" s="17"/>
      <c r="F179" s="49"/>
      <c r="G179" s="49"/>
      <c r="H179" s="49"/>
      <c r="I179" s="49"/>
      <c r="J179" s="49"/>
      <c r="K179" s="49"/>
      <c r="L179" s="20" t="str">
        <f aca="false">IF($D179="","",IF(LEFT($C179,4)&lt;&gt;"MURO","PON EL MURO",IF(AND($E179&lt;&gt;"HORIZONTAL",$E179&lt;&gt;"VERTICAL"),"PON EL SENTIDO",IF(OR($F179="",$G179="",$H179="",$I179=""),"FALTAN a o b",IF($M179&lt;=0,"a₂ DEBE SER &gt; a₁",IF($N179&lt;=0,"b₂ DEBE SER &gt; b₁","OK"))))))</f>
        <v/>
      </c>
      <c r="M179" s="30" t="n">
        <f aca="false">IF($D179="",0,MAX(0,$G179-$F179))</f>
        <v>0</v>
      </c>
      <c r="N179" s="30" t="n">
        <f aca="false">MAX(0,$W179-$V179)</f>
        <v>0</v>
      </c>
      <c r="O179" s="30" t="n">
        <f aca="false">$M179*$N179</f>
        <v>0</v>
      </c>
      <c r="P179" s="30" t="n">
        <f aca="false">IF($U179=0,0,SUMPRODUCT((ABERTURAS!$N$7:$N$26=$U179)*ABERTURAS!$U$7:$U$26*(((($Y179)+(ABERTURAS!$P$7:$P$26)-ABS(($Y179)-(ABERTURAS!$P$7:$P$26)))/2-(($X179)+(ABERTURAS!$O$7:$O$26)+ABS(($X179)-(ABERTURAS!$O$7:$O$26)))/2)+ABS((($Y179)+(ABERTURAS!$P$7:$P$26)-ABS(($Y179)-(ABERTURAS!$P$7:$P$26)))/2-(($X179)+(ABERTURAS!$O$7:$O$26)+ABS(($X179)-(ABERTURAS!$O$7:$O$26)))/2))/2*(((($AA179)+(ABERTURAS!$R$7:$R$26)-ABS(($AA179)-(ABERTURAS!$R$7:$R$26)))/2-(($Z179)+(ABERTURAS!$Q$7:$Q$26)+ABS(($Z179)-(ABERTURAS!$Q$7:$Q$26)))/2)+ABS((($AA179)+(ABERTURAS!$R$7:$R$26)-ABS(($AA179)-(ABERTURAS!$R$7:$R$26)))/2-(($Z179)+(ABERTURAS!$Q$7:$Q$26)+ABS(($Z179)-(ABERTURAS!$Q$7:$Q$26)))/2))/2))</f>
        <v>0</v>
      </c>
      <c r="Q179" s="30" t="n">
        <f aca="false">IF($U179=0,0,SUMPRODUCT((ABERTURAS!$N$7:$N$26=$U179)*ABERTURAS!$V$7:$V$26*(((($Y179)+(ABERTURAS!$P$7:$P$26)-ABS(($Y179)-(ABERTURAS!$P$7:$P$26)))/2-(($X179)+(ABERTURAS!$O$7:$O$26)+ABS(($X179)-(ABERTURAS!$O$7:$O$26)))/2)+ABS((($Y179)+(ABERTURAS!$P$7:$P$26)-ABS(($Y179)-(ABERTURAS!$P$7:$P$26)))/2-(($X179)+(ABERTURAS!$O$7:$O$26)+ABS(($X179)-(ABERTURAS!$O$7:$O$26)))/2))/2*(((($AA179)+(ABERTURAS!$R$7:$R$26)-ABS(($AA179)-(ABERTURAS!$R$7:$R$26)))/2-(($Z179)+(ABERTURAS!$Q$7:$Q$26)+ABS(($Z179)-(ABERTURAS!$Q$7:$Q$26)))/2)+ABS((($AA179)+(ABERTURAS!$R$7:$R$26)-ABS(($AA179)-(ABERTURAS!$R$7:$R$26)))/2-(($Z179)+(ABERTURAS!$Q$7:$Q$26)+ABS(($Z179)-(ABERTURAS!$Q$7:$Q$26)))/2))/2))</f>
        <v>0</v>
      </c>
      <c r="R179" s="30" t="n">
        <f aca="false">MAX(0,$O179-$P179)</f>
        <v>0</v>
      </c>
      <c r="S179" s="30" t="n">
        <f aca="false">MAX(0,$O179-$Q179)</f>
        <v>0</v>
      </c>
      <c r="T179" s="50" t="n">
        <f aca="false">IF($D179="",0,IF($E179="VERTICAL",N($G179),MAX(N($I179),IF($K179="",N($I179),$K179))))</f>
        <v>0</v>
      </c>
      <c r="U179" s="50" t="n">
        <f aca="false">IF($L179&lt;&gt;"OK",0,VALUE(RIGHT($C179,1)))</f>
        <v>0</v>
      </c>
      <c r="V179" s="50" t="n">
        <f aca="false">IF($D179="",0,(N($H179)+IF($J179="",N($H179),$J179))/2)</f>
        <v>0</v>
      </c>
      <c r="W179" s="50" t="n">
        <f aca="false">IF($D179="",0,(N($I179)+IF($K179="",N($I179),$K179))/2)</f>
        <v>0</v>
      </c>
      <c r="X179" s="50" t="n">
        <f aca="false">IF($E179="VERTICAL",$V179,N($F179))</f>
        <v>0</v>
      </c>
      <c r="Y179" s="50" t="n">
        <f aca="false">IF($E179="VERTICAL",$W179,N($G179))</f>
        <v>0</v>
      </c>
      <c r="Z179" s="50" t="n">
        <f aca="false">IF($E179="VERTICAL",N($F179),$V179)</f>
        <v>0</v>
      </c>
      <c r="AA179" s="50" t="n">
        <f aca="false">IF($E179="VERTICAL",N($G179),$W179)</f>
        <v>0</v>
      </c>
      <c r="AB179" s="30" t="n">
        <f aca="false">IF($L179&lt;&gt;"OK",0,(INDEX(PRESIONES!$D$28:$D$31,$U179)*IF(INDEX(PRESIONES!$D$28:$D$31,$U179)&gt;0,PRESIONES!$C$9*IF($T179&lt;=10,1,($T179/10)^(2/DATOS!$C$56)),PRESIONES!$C$15)-ABERTURAS!$L$60*PRESIONES!$C$12)*$R179/$M179)</f>
        <v>0</v>
      </c>
      <c r="AC179" s="30" t="n">
        <f aca="false">IF($L179&lt;&gt;"OK",0,(INDEX(PRESIONES!$G$28:$G$31,$U179)*IF(INDEX(PRESIONES!$G$28:$G$31,$U179)&gt;0,PRESIONES!$C$9*IF($T179&lt;=10,1,($T179/10)^(2/DATOS!$C$56)),PRESIONES!$C$15)-ABERTURAS!$L$61*PRESIONES!$C$12)*$R179/$M179)</f>
        <v>0</v>
      </c>
      <c r="AD179" s="30" t="n">
        <f aca="false">IF($L179&lt;&gt;"OK",0,(INDEX(PRESIONES!$J$28:$J$31,$U179)*IF(INDEX(PRESIONES!$J$28:$J$31,$U179)&gt;0,PRESIONES!$C$9*IF($T179&lt;=10,1,($T179/10)^(2/DATOS!$C$56)),PRESIONES!$C$15)-ABERTURAS!$L$62*PRESIONES!$C$12)*$R179/$M179)</f>
        <v>0</v>
      </c>
      <c r="AE179" s="30" t="n">
        <f aca="false">IF($L179&lt;&gt;"OK",0,(INDEX(PRESIONES!$M$28:$M$31,$U179)*IF(INDEX(PRESIONES!$M$28:$M$31,$U179)&gt;0,PRESIONES!$C$9*IF($T179&lt;=10,1,($T179/10)^(2/DATOS!$C$56)),PRESIONES!$C$15)-ABERTURAS!$L$63*PRESIONES!$C$12)*$R179/$M179)</f>
        <v>0</v>
      </c>
      <c r="AF179" s="30" t="n">
        <f aca="false">IF($L179&lt;&gt;"OK",0,(INDEX(PRESIONES!$D$28:$D$31,$U179)*IF(INDEX(PRESIONES!$D$28:$D$31,$U179)&gt;0,PRESIONES!$C$9*IF($T179&lt;=10,1,($T179/10)^(2/DATOS!$C$56)),PRESIONES!$C$15)-ABERTURAS!$L$64*PRESIONES!$C$12)*$S179/$M179)</f>
        <v>0</v>
      </c>
      <c r="AG179" s="30" t="n">
        <f aca="false">IF($L179&lt;&gt;"OK",0,(INDEX(PRESIONES!$G$28:$G$31,$U179)*IF(INDEX(PRESIONES!$G$28:$G$31,$U179)&gt;0,PRESIONES!$C$9*IF($T179&lt;=10,1,($T179/10)^(2/DATOS!$C$56)),PRESIONES!$C$15)-ABERTURAS!$L$65*PRESIONES!$C$12)*$S179/$M179)</f>
        <v>0</v>
      </c>
      <c r="AH179" s="30" t="n">
        <f aca="false">IF($L179&lt;&gt;"OK",0,(INDEX(PRESIONES!$J$28:$J$31,$U179)*IF(INDEX(PRESIONES!$J$28:$J$31,$U179)&gt;0,PRESIONES!$C$9*IF($T179&lt;=10,1,($T179/10)^(2/DATOS!$C$56)),PRESIONES!$C$15)-ABERTURAS!$L$66*PRESIONES!$C$12)*$S179/$M179)</f>
        <v>0</v>
      </c>
      <c r="AI179" s="30" t="n">
        <f aca="false">IF($L179&lt;&gt;"OK",0,(INDEX(PRESIONES!$M$28:$M$31,$U179)*IF(INDEX(PRESIONES!$M$28:$M$31,$U179)&gt;0,PRESIONES!$C$9*IF($T179&lt;=10,1,($T179/10)^(2/DATOS!$C$56)),PRESIONES!$C$15)-ABERTURAS!$L$67*PRESIONES!$C$12)*$S179/$M179)</f>
        <v>0</v>
      </c>
    </row>
    <row r="180" customFormat="false" ht="15" hidden="false" customHeight="true" outlineLevel="0" collapsed="false">
      <c r="B180" s="27"/>
      <c r="C180" s="17"/>
      <c r="D180" s="27"/>
      <c r="E180" s="17"/>
      <c r="F180" s="49"/>
      <c r="G180" s="49"/>
      <c r="H180" s="49"/>
      <c r="I180" s="49"/>
      <c r="J180" s="49"/>
      <c r="K180" s="49"/>
      <c r="L180" s="20" t="str">
        <f aca="false">IF($D180="","",IF(LEFT($C180,4)&lt;&gt;"MURO","PON EL MURO",IF(AND($E180&lt;&gt;"HORIZONTAL",$E180&lt;&gt;"VERTICAL"),"PON EL SENTIDO",IF(OR($F180="",$G180="",$H180="",$I180=""),"FALTAN a o b",IF($M180&lt;=0,"a₂ DEBE SER &gt; a₁",IF($N180&lt;=0,"b₂ DEBE SER &gt; b₁","OK"))))))</f>
        <v/>
      </c>
      <c r="M180" s="30" t="n">
        <f aca="false">IF($D180="",0,MAX(0,$G180-$F180))</f>
        <v>0</v>
      </c>
      <c r="N180" s="30" t="n">
        <f aca="false">MAX(0,$W180-$V180)</f>
        <v>0</v>
      </c>
      <c r="O180" s="30" t="n">
        <f aca="false">$M180*$N180</f>
        <v>0</v>
      </c>
      <c r="P180" s="30" t="n">
        <f aca="false">IF($U180=0,0,SUMPRODUCT((ABERTURAS!$N$7:$N$26=$U180)*ABERTURAS!$U$7:$U$26*(((($Y180)+(ABERTURAS!$P$7:$P$26)-ABS(($Y180)-(ABERTURAS!$P$7:$P$26)))/2-(($X180)+(ABERTURAS!$O$7:$O$26)+ABS(($X180)-(ABERTURAS!$O$7:$O$26)))/2)+ABS((($Y180)+(ABERTURAS!$P$7:$P$26)-ABS(($Y180)-(ABERTURAS!$P$7:$P$26)))/2-(($X180)+(ABERTURAS!$O$7:$O$26)+ABS(($X180)-(ABERTURAS!$O$7:$O$26)))/2))/2*(((($AA180)+(ABERTURAS!$R$7:$R$26)-ABS(($AA180)-(ABERTURAS!$R$7:$R$26)))/2-(($Z180)+(ABERTURAS!$Q$7:$Q$26)+ABS(($Z180)-(ABERTURAS!$Q$7:$Q$26)))/2)+ABS((($AA180)+(ABERTURAS!$R$7:$R$26)-ABS(($AA180)-(ABERTURAS!$R$7:$R$26)))/2-(($Z180)+(ABERTURAS!$Q$7:$Q$26)+ABS(($Z180)-(ABERTURAS!$Q$7:$Q$26)))/2))/2))</f>
        <v>0</v>
      </c>
      <c r="Q180" s="30" t="n">
        <f aca="false">IF($U180=0,0,SUMPRODUCT((ABERTURAS!$N$7:$N$26=$U180)*ABERTURAS!$V$7:$V$26*(((($Y180)+(ABERTURAS!$P$7:$P$26)-ABS(($Y180)-(ABERTURAS!$P$7:$P$26)))/2-(($X180)+(ABERTURAS!$O$7:$O$26)+ABS(($X180)-(ABERTURAS!$O$7:$O$26)))/2)+ABS((($Y180)+(ABERTURAS!$P$7:$P$26)-ABS(($Y180)-(ABERTURAS!$P$7:$P$26)))/2-(($X180)+(ABERTURAS!$O$7:$O$26)+ABS(($X180)-(ABERTURAS!$O$7:$O$26)))/2))/2*(((($AA180)+(ABERTURAS!$R$7:$R$26)-ABS(($AA180)-(ABERTURAS!$R$7:$R$26)))/2-(($Z180)+(ABERTURAS!$Q$7:$Q$26)+ABS(($Z180)-(ABERTURAS!$Q$7:$Q$26)))/2)+ABS((($AA180)+(ABERTURAS!$R$7:$R$26)-ABS(($AA180)-(ABERTURAS!$R$7:$R$26)))/2-(($Z180)+(ABERTURAS!$Q$7:$Q$26)+ABS(($Z180)-(ABERTURAS!$Q$7:$Q$26)))/2))/2))</f>
        <v>0</v>
      </c>
      <c r="R180" s="30" t="n">
        <f aca="false">MAX(0,$O180-$P180)</f>
        <v>0</v>
      </c>
      <c r="S180" s="30" t="n">
        <f aca="false">MAX(0,$O180-$Q180)</f>
        <v>0</v>
      </c>
      <c r="T180" s="50" t="n">
        <f aca="false">IF($D180="",0,IF($E180="VERTICAL",N($G180),MAX(N($I180),IF($K180="",N($I180),$K180))))</f>
        <v>0</v>
      </c>
      <c r="U180" s="50" t="n">
        <f aca="false">IF($L180&lt;&gt;"OK",0,VALUE(RIGHT($C180,1)))</f>
        <v>0</v>
      </c>
      <c r="V180" s="50" t="n">
        <f aca="false">IF($D180="",0,(N($H180)+IF($J180="",N($H180),$J180))/2)</f>
        <v>0</v>
      </c>
      <c r="W180" s="50" t="n">
        <f aca="false">IF($D180="",0,(N($I180)+IF($K180="",N($I180),$K180))/2)</f>
        <v>0</v>
      </c>
      <c r="X180" s="50" t="n">
        <f aca="false">IF($E180="VERTICAL",$V180,N($F180))</f>
        <v>0</v>
      </c>
      <c r="Y180" s="50" t="n">
        <f aca="false">IF($E180="VERTICAL",$W180,N($G180))</f>
        <v>0</v>
      </c>
      <c r="Z180" s="50" t="n">
        <f aca="false">IF($E180="VERTICAL",N($F180),$V180)</f>
        <v>0</v>
      </c>
      <c r="AA180" s="50" t="n">
        <f aca="false">IF($E180="VERTICAL",N($G180),$W180)</f>
        <v>0</v>
      </c>
      <c r="AB180" s="30" t="n">
        <f aca="false">IF($L180&lt;&gt;"OK",0,(INDEX(PRESIONES!$D$28:$D$31,$U180)*IF(INDEX(PRESIONES!$D$28:$D$31,$U180)&gt;0,PRESIONES!$C$9*IF($T180&lt;=10,1,($T180/10)^(2/DATOS!$C$56)),PRESIONES!$C$15)-ABERTURAS!$L$60*PRESIONES!$C$12)*$R180/$M180)</f>
        <v>0</v>
      </c>
      <c r="AC180" s="30" t="n">
        <f aca="false">IF($L180&lt;&gt;"OK",0,(INDEX(PRESIONES!$G$28:$G$31,$U180)*IF(INDEX(PRESIONES!$G$28:$G$31,$U180)&gt;0,PRESIONES!$C$9*IF($T180&lt;=10,1,($T180/10)^(2/DATOS!$C$56)),PRESIONES!$C$15)-ABERTURAS!$L$61*PRESIONES!$C$12)*$R180/$M180)</f>
        <v>0</v>
      </c>
      <c r="AD180" s="30" t="n">
        <f aca="false">IF($L180&lt;&gt;"OK",0,(INDEX(PRESIONES!$J$28:$J$31,$U180)*IF(INDEX(PRESIONES!$J$28:$J$31,$U180)&gt;0,PRESIONES!$C$9*IF($T180&lt;=10,1,($T180/10)^(2/DATOS!$C$56)),PRESIONES!$C$15)-ABERTURAS!$L$62*PRESIONES!$C$12)*$R180/$M180)</f>
        <v>0</v>
      </c>
      <c r="AE180" s="30" t="n">
        <f aca="false">IF($L180&lt;&gt;"OK",0,(INDEX(PRESIONES!$M$28:$M$31,$U180)*IF(INDEX(PRESIONES!$M$28:$M$31,$U180)&gt;0,PRESIONES!$C$9*IF($T180&lt;=10,1,($T180/10)^(2/DATOS!$C$56)),PRESIONES!$C$15)-ABERTURAS!$L$63*PRESIONES!$C$12)*$R180/$M180)</f>
        <v>0</v>
      </c>
      <c r="AF180" s="30" t="n">
        <f aca="false">IF($L180&lt;&gt;"OK",0,(INDEX(PRESIONES!$D$28:$D$31,$U180)*IF(INDEX(PRESIONES!$D$28:$D$31,$U180)&gt;0,PRESIONES!$C$9*IF($T180&lt;=10,1,($T180/10)^(2/DATOS!$C$56)),PRESIONES!$C$15)-ABERTURAS!$L$64*PRESIONES!$C$12)*$S180/$M180)</f>
        <v>0</v>
      </c>
      <c r="AG180" s="30" t="n">
        <f aca="false">IF($L180&lt;&gt;"OK",0,(INDEX(PRESIONES!$G$28:$G$31,$U180)*IF(INDEX(PRESIONES!$G$28:$G$31,$U180)&gt;0,PRESIONES!$C$9*IF($T180&lt;=10,1,($T180/10)^(2/DATOS!$C$56)),PRESIONES!$C$15)-ABERTURAS!$L$65*PRESIONES!$C$12)*$S180/$M180)</f>
        <v>0</v>
      </c>
      <c r="AH180" s="30" t="n">
        <f aca="false">IF($L180&lt;&gt;"OK",0,(INDEX(PRESIONES!$J$28:$J$31,$U180)*IF(INDEX(PRESIONES!$J$28:$J$31,$U180)&gt;0,PRESIONES!$C$9*IF($T180&lt;=10,1,($T180/10)^(2/DATOS!$C$56)),PRESIONES!$C$15)-ABERTURAS!$L$66*PRESIONES!$C$12)*$S180/$M180)</f>
        <v>0</v>
      </c>
      <c r="AI180" s="30" t="n">
        <f aca="false">IF($L180&lt;&gt;"OK",0,(INDEX(PRESIONES!$M$28:$M$31,$U180)*IF(INDEX(PRESIONES!$M$28:$M$31,$U180)&gt;0,PRESIONES!$C$9*IF($T180&lt;=10,1,($T180/10)^(2/DATOS!$C$56)),PRESIONES!$C$15)-ABERTURAS!$L$67*PRESIONES!$C$12)*$S180/$M180)</f>
        <v>0</v>
      </c>
    </row>
    <row r="181" customFormat="false" ht="15" hidden="false" customHeight="true" outlineLevel="0" collapsed="false">
      <c r="B181" s="27"/>
      <c r="C181" s="17"/>
      <c r="D181" s="27"/>
      <c r="E181" s="17"/>
      <c r="F181" s="49"/>
      <c r="G181" s="49"/>
      <c r="H181" s="49"/>
      <c r="I181" s="49"/>
      <c r="J181" s="49"/>
      <c r="K181" s="49"/>
      <c r="L181" s="20" t="str">
        <f aca="false">IF($D181="","",IF(LEFT($C181,4)&lt;&gt;"MURO","PON EL MURO",IF(AND($E181&lt;&gt;"HORIZONTAL",$E181&lt;&gt;"VERTICAL"),"PON EL SENTIDO",IF(OR($F181="",$G181="",$H181="",$I181=""),"FALTAN a o b",IF($M181&lt;=0,"a₂ DEBE SER &gt; a₁",IF($N181&lt;=0,"b₂ DEBE SER &gt; b₁","OK"))))))</f>
        <v/>
      </c>
      <c r="M181" s="30" t="n">
        <f aca="false">IF($D181="",0,MAX(0,$G181-$F181))</f>
        <v>0</v>
      </c>
      <c r="N181" s="30" t="n">
        <f aca="false">MAX(0,$W181-$V181)</f>
        <v>0</v>
      </c>
      <c r="O181" s="30" t="n">
        <f aca="false">$M181*$N181</f>
        <v>0</v>
      </c>
      <c r="P181" s="30" t="n">
        <f aca="false">IF($U181=0,0,SUMPRODUCT((ABERTURAS!$N$7:$N$26=$U181)*ABERTURAS!$U$7:$U$26*(((($Y181)+(ABERTURAS!$P$7:$P$26)-ABS(($Y181)-(ABERTURAS!$P$7:$P$26)))/2-(($X181)+(ABERTURAS!$O$7:$O$26)+ABS(($X181)-(ABERTURAS!$O$7:$O$26)))/2)+ABS((($Y181)+(ABERTURAS!$P$7:$P$26)-ABS(($Y181)-(ABERTURAS!$P$7:$P$26)))/2-(($X181)+(ABERTURAS!$O$7:$O$26)+ABS(($X181)-(ABERTURAS!$O$7:$O$26)))/2))/2*(((($AA181)+(ABERTURAS!$R$7:$R$26)-ABS(($AA181)-(ABERTURAS!$R$7:$R$26)))/2-(($Z181)+(ABERTURAS!$Q$7:$Q$26)+ABS(($Z181)-(ABERTURAS!$Q$7:$Q$26)))/2)+ABS((($AA181)+(ABERTURAS!$R$7:$R$26)-ABS(($AA181)-(ABERTURAS!$R$7:$R$26)))/2-(($Z181)+(ABERTURAS!$Q$7:$Q$26)+ABS(($Z181)-(ABERTURAS!$Q$7:$Q$26)))/2))/2))</f>
        <v>0</v>
      </c>
      <c r="Q181" s="30" t="n">
        <f aca="false">IF($U181=0,0,SUMPRODUCT((ABERTURAS!$N$7:$N$26=$U181)*ABERTURAS!$V$7:$V$26*(((($Y181)+(ABERTURAS!$P$7:$P$26)-ABS(($Y181)-(ABERTURAS!$P$7:$P$26)))/2-(($X181)+(ABERTURAS!$O$7:$O$26)+ABS(($X181)-(ABERTURAS!$O$7:$O$26)))/2)+ABS((($Y181)+(ABERTURAS!$P$7:$P$26)-ABS(($Y181)-(ABERTURAS!$P$7:$P$26)))/2-(($X181)+(ABERTURAS!$O$7:$O$26)+ABS(($X181)-(ABERTURAS!$O$7:$O$26)))/2))/2*(((($AA181)+(ABERTURAS!$R$7:$R$26)-ABS(($AA181)-(ABERTURAS!$R$7:$R$26)))/2-(($Z181)+(ABERTURAS!$Q$7:$Q$26)+ABS(($Z181)-(ABERTURAS!$Q$7:$Q$26)))/2)+ABS((($AA181)+(ABERTURAS!$R$7:$R$26)-ABS(($AA181)-(ABERTURAS!$R$7:$R$26)))/2-(($Z181)+(ABERTURAS!$Q$7:$Q$26)+ABS(($Z181)-(ABERTURAS!$Q$7:$Q$26)))/2))/2))</f>
        <v>0</v>
      </c>
      <c r="R181" s="30" t="n">
        <f aca="false">MAX(0,$O181-$P181)</f>
        <v>0</v>
      </c>
      <c r="S181" s="30" t="n">
        <f aca="false">MAX(0,$O181-$Q181)</f>
        <v>0</v>
      </c>
      <c r="T181" s="50" t="n">
        <f aca="false">IF($D181="",0,IF($E181="VERTICAL",N($G181),MAX(N($I181),IF($K181="",N($I181),$K181))))</f>
        <v>0</v>
      </c>
      <c r="U181" s="50" t="n">
        <f aca="false">IF($L181&lt;&gt;"OK",0,VALUE(RIGHT($C181,1)))</f>
        <v>0</v>
      </c>
      <c r="V181" s="50" t="n">
        <f aca="false">IF($D181="",0,(N($H181)+IF($J181="",N($H181),$J181))/2)</f>
        <v>0</v>
      </c>
      <c r="W181" s="50" t="n">
        <f aca="false">IF($D181="",0,(N($I181)+IF($K181="",N($I181),$K181))/2)</f>
        <v>0</v>
      </c>
      <c r="X181" s="50" t="n">
        <f aca="false">IF($E181="VERTICAL",$V181,N($F181))</f>
        <v>0</v>
      </c>
      <c r="Y181" s="50" t="n">
        <f aca="false">IF($E181="VERTICAL",$W181,N($G181))</f>
        <v>0</v>
      </c>
      <c r="Z181" s="50" t="n">
        <f aca="false">IF($E181="VERTICAL",N($F181),$V181)</f>
        <v>0</v>
      </c>
      <c r="AA181" s="50" t="n">
        <f aca="false">IF($E181="VERTICAL",N($G181),$W181)</f>
        <v>0</v>
      </c>
      <c r="AB181" s="30" t="n">
        <f aca="false">IF($L181&lt;&gt;"OK",0,(INDEX(PRESIONES!$D$28:$D$31,$U181)*IF(INDEX(PRESIONES!$D$28:$D$31,$U181)&gt;0,PRESIONES!$C$9*IF($T181&lt;=10,1,($T181/10)^(2/DATOS!$C$56)),PRESIONES!$C$15)-ABERTURAS!$L$60*PRESIONES!$C$12)*$R181/$M181)</f>
        <v>0</v>
      </c>
      <c r="AC181" s="30" t="n">
        <f aca="false">IF($L181&lt;&gt;"OK",0,(INDEX(PRESIONES!$G$28:$G$31,$U181)*IF(INDEX(PRESIONES!$G$28:$G$31,$U181)&gt;0,PRESIONES!$C$9*IF($T181&lt;=10,1,($T181/10)^(2/DATOS!$C$56)),PRESIONES!$C$15)-ABERTURAS!$L$61*PRESIONES!$C$12)*$R181/$M181)</f>
        <v>0</v>
      </c>
      <c r="AD181" s="30" t="n">
        <f aca="false">IF($L181&lt;&gt;"OK",0,(INDEX(PRESIONES!$J$28:$J$31,$U181)*IF(INDEX(PRESIONES!$J$28:$J$31,$U181)&gt;0,PRESIONES!$C$9*IF($T181&lt;=10,1,($T181/10)^(2/DATOS!$C$56)),PRESIONES!$C$15)-ABERTURAS!$L$62*PRESIONES!$C$12)*$R181/$M181)</f>
        <v>0</v>
      </c>
      <c r="AE181" s="30" t="n">
        <f aca="false">IF($L181&lt;&gt;"OK",0,(INDEX(PRESIONES!$M$28:$M$31,$U181)*IF(INDEX(PRESIONES!$M$28:$M$31,$U181)&gt;0,PRESIONES!$C$9*IF($T181&lt;=10,1,($T181/10)^(2/DATOS!$C$56)),PRESIONES!$C$15)-ABERTURAS!$L$63*PRESIONES!$C$12)*$R181/$M181)</f>
        <v>0</v>
      </c>
      <c r="AF181" s="30" t="n">
        <f aca="false">IF($L181&lt;&gt;"OK",0,(INDEX(PRESIONES!$D$28:$D$31,$U181)*IF(INDEX(PRESIONES!$D$28:$D$31,$U181)&gt;0,PRESIONES!$C$9*IF($T181&lt;=10,1,($T181/10)^(2/DATOS!$C$56)),PRESIONES!$C$15)-ABERTURAS!$L$64*PRESIONES!$C$12)*$S181/$M181)</f>
        <v>0</v>
      </c>
      <c r="AG181" s="30" t="n">
        <f aca="false">IF($L181&lt;&gt;"OK",0,(INDEX(PRESIONES!$G$28:$G$31,$U181)*IF(INDEX(PRESIONES!$G$28:$G$31,$U181)&gt;0,PRESIONES!$C$9*IF($T181&lt;=10,1,($T181/10)^(2/DATOS!$C$56)),PRESIONES!$C$15)-ABERTURAS!$L$65*PRESIONES!$C$12)*$S181/$M181)</f>
        <v>0</v>
      </c>
      <c r="AH181" s="30" t="n">
        <f aca="false">IF($L181&lt;&gt;"OK",0,(INDEX(PRESIONES!$J$28:$J$31,$U181)*IF(INDEX(PRESIONES!$J$28:$J$31,$U181)&gt;0,PRESIONES!$C$9*IF($T181&lt;=10,1,($T181/10)^(2/DATOS!$C$56)),PRESIONES!$C$15)-ABERTURAS!$L$66*PRESIONES!$C$12)*$S181/$M181)</f>
        <v>0</v>
      </c>
      <c r="AI181" s="30" t="n">
        <f aca="false">IF($L181&lt;&gt;"OK",0,(INDEX(PRESIONES!$M$28:$M$31,$U181)*IF(INDEX(PRESIONES!$M$28:$M$31,$U181)&gt;0,PRESIONES!$C$9*IF($T181&lt;=10,1,($T181/10)^(2/DATOS!$C$56)),PRESIONES!$C$15)-ABERTURAS!$L$67*PRESIONES!$C$12)*$S181/$M181)</f>
        <v>0</v>
      </c>
    </row>
    <row r="182" customFormat="false" ht="15" hidden="false" customHeight="true" outlineLevel="0" collapsed="false">
      <c r="B182" s="27"/>
      <c r="C182" s="17"/>
      <c r="D182" s="27"/>
      <c r="E182" s="17"/>
      <c r="F182" s="49"/>
      <c r="G182" s="49"/>
      <c r="H182" s="49"/>
      <c r="I182" s="49"/>
      <c r="J182" s="49"/>
      <c r="K182" s="49"/>
      <c r="L182" s="20" t="str">
        <f aca="false">IF($D182="","",IF(LEFT($C182,4)&lt;&gt;"MURO","PON EL MURO",IF(AND($E182&lt;&gt;"HORIZONTAL",$E182&lt;&gt;"VERTICAL"),"PON EL SENTIDO",IF(OR($F182="",$G182="",$H182="",$I182=""),"FALTAN a o b",IF($M182&lt;=0,"a₂ DEBE SER &gt; a₁",IF($N182&lt;=0,"b₂ DEBE SER &gt; b₁","OK"))))))</f>
        <v/>
      </c>
      <c r="M182" s="30" t="n">
        <f aca="false">IF($D182="",0,MAX(0,$G182-$F182))</f>
        <v>0</v>
      </c>
      <c r="N182" s="30" t="n">
        <f aca="false">MAX(0,$W182-$V182)</f>
        <v>0</v>
      </c>
      <c r="O182" s="30" t="n">
        <f aca="false">$M182*$N182</f>
        <v>0</v>
      </c>
      <c r="P182" s="30" t="n">
        <f aca="false">IF($U182=0,0,SUMPRODUCT((ABERTURAS!$N$7:$N$26=$U182)*ABERTURAS!$U$7:$U$26*(((($Y182)+(ABERTURAS!$P$7:$P$26)-ABS(($Y182)-(ABERTURAS!$P$7:$P$26)))/2-(($X182)+(ABERTURAS!$O$7:$O$26)+ABS(($X182)-(ABERTURAS!$O$7:$O$26)))/2)+ABS((($Y182)+(ABERTURAS!$P$7:$P$26)-ABS(($Y182)-(ABERTURAS!$P$7:$P$26)))/2-(($X182)+(ABERTURAS!$O$7:$O$26)+ABS(($X182)-(ABERTURAS!$O$7:$O$26)))/2))/2*(((($AA182)+(ABERTURAS!$R$7:$R$26)-ABS(($AA182)-(ABERTURAS!$R$7:$R$26)))/2-(($Z182)+(ABERTURAS!$Q$7:$Q$26)+ABS(($Z182)-(ABERTURAS!$Q$7:$Q$26)))/2)+ABS((($AA182)+(ABERTURAS!$R$7:$R$26)-ABS(($AA182)-(ABERTURAS!$R$7:$R$26)))/2-(($Z182)+(ABERTURAS!$Q$7:$Q$26)+ABS(($Z182)-(ABERTURAS!$Q$7:$Q$26)))/2))/2))</f>
        <v>0</v>
      </c>
      <c r="Q182" s="30" t="n">
        <f aca="false">IF($U182=0,0,SUMPRODUCT((ABERTURAS!$N$7:$N$26=$U182)*ABERTURAS!$V$7:$V$26*(((($Y182)+(ABERTURAS!$P$7:$P$26)-ABS(($Y182)-(ABERTURAS!$P$7:$P$26)))/2-(($X182)+(ABERTURAS!$O$7:$O$26)+ABS(($X182)-(ABERTURAS!$O$7:$O$26)))/2)+ABS((($Y182)+(ABERTURAS!$P$7:$P$26)-ABS(($Y182)-(ABERTURAS!$P$7:$P$26)))/2-(($X182)+(ABERTURAS!$O$7:$O$26)+ABS(($X182)-(ABERTURAS!$O$7:$O$26)))/2))/2*(((($AA182)+(ABERTURAS!$R$7:$R$26)-ABS(($AA182)-(ABERTURAS!$R$7:$R$26)))/2-(($Z182)+(ABERTURAS!$Q$7:$Q$26)+ABS(($Z182)-(ABERTURAS!$Q$7:$Q$26)))/2)+ABS((($AA182)+(ABERTURAS!$R$7:$R$26)-ABS(($AA182)-(ABERTURAS!$R$7:$R$26)))/2-(($Z182)+(ABERTURAS!$Q$7:$Q$26)+ABS(($Z182)-(ABERTURAS!$Q$7:$Q$26)))/2))/2))</f>
        <v>0</v>
      </c>
      <c r="R182" s="30" t="n">
        <f aca="false">MAX(0,$O182-$P182)</f>
        <v>0</v>
      </c>
      <c r="S182" s="30" t="n">
        <f aca="false">MAX(0,$O182-$Q182)</f>
        <v>0</v>
      </c>
      <c r="T182" s="50" t="n">
        <f aca="false">IF($D182="",0,IF($E182="VERTICAL",N($G182),MAX(N($I182),IF($K182="",N($I182),$K182))))</f>
        <v>0</v>
      </c>
      <c r="U182" s="50" t="n">
        <f aca="false">IF($L182&lt;&gt;"OK",0,VALUE(RIGHT($C182,1)))</f>
        <v>0</v>
      </c>
      <c r="V182" s="50" t="n">
        <f aca="false">IF($D182="",0,(N($H182)+IF($J182="",N($H182),$J182))/2)</f>
        <v>0</v>
      </c>
      <c r="W182" s="50" t="n">
        <f aca="false">IF($D182="",0,(N($I182)+IF($K182="",N($I182),$K182))/2)</f>
        <v>0</v>
      </c>
      <c r="X182" s="50" t="n">
        <f aca="false">IF($E182="VERTICAL",$V182,N($F182))</f>
        <v>0</v>
      </c>
      <c r="Y182" s="50" t="n">
        <f aca="false">IF($E182="VERTICAL",$W182,N($G182))</f>
        <v>0</v>
      </c>
      <c r="Z182" s="50" t="n">
        <f aca="false">IF($E182="VERTICAL",N($F182),$V182)</f>
        <v>0</v>
      </c>
      <c r="AA182" s="50" t="n">
        <f aca="false">IF($E182="VERTICAL",N($G182),$W182)</f>
        <v>0</v>
      </c>
      <c r="AB182" s="30" t="n">
        <f aca="false">IF($L182&lt;&gt;"OK",0,(INDEX(PRESIONES!$D$28:$D$31,$U182)*IF(INDEX(PRESIONES!$D$28:$D$31,$U182)&gt;0,PRESIONES!$C$9*IF($T182&lt;=10,1,($T182/10)^(2/DATOS!$C$56)),PRESIONES!$C$15)-ABERTURAS!$L$60*PRESIONES!$C$12)*$R182/$M182)</f>
        <v>0</v>
      </c>
      <c r="AC182" s="30" t="n">
        <f aca="false">IF($L182&lt;&gt;"OK",0,(INDEX(PRESIONES!$G$28:$G$31,$U182)*IF(INDEX(PRESIONES!$G$28:$G$31,$U182)&gt;0,PRESIONES!$C$9*IF($T182&lt;=10,1,($T182/10)^(2/DATOS!$C$56)),PRESIONES!$C$15)-ABERTURAS!$L$61*PRESIONES!$C$12)*$R182/$M182)</f>
        <v>0</v>
      </c>
      <c r="AD182" s="30" t="n">
        <f aca="false">IF($L182&lt;&gt;"OK",0,(INDEX(PRESIONES!$J$28:$J$31,$U182)*IF(INDEX(PRESIONES!$J$28:$J$31,$U182)&gt;0,PRESIONES!$C$9*IF($T182&lt;=10,1,($T182/10)^(2/DATOS!$C$56)),PRESIONES!$C$15)-ABERTURAS!$L$62*PRESIONES!$C$12)*$R182/$M182)</f>
        <v>0</v>
      </c>
      <c r="AE182" s="30" t="n">
        <f aca="false">IF($L182&lt;&gt;"OK",0,(INDEX(PRESIONES!$M$28:$M$31,$U182)*IF(INDEX(PRESIONES!$M$28:$M$31,$U182)&gt;0,PRESIONES!$C$9*IF($T182&lt;=10,1,($T182/10)^(2/DATOS!$C$56)),PRESIONES!$C$15)-ABERTURAS!$L$63*PRESIONES!$C$12)*$R182/$M182)</f>
        <v>0</v>
      </c>
      <c r="AF182" s="30" t="n">
        <f aca="false">IF($L182&lt;&gt;"OK",0,(INDEX(PRESIONES!$D$28:$D$31,$U182)*IF(INDEX(PRESIONES!$D$28:$D$31,$U182)&gt;0,PRESIONES!$C$9*IF($T182&lt;=10,1,($T182/10)^(2/DATOS!$C$56)),PRESIONES!$C$15)-ABERTURAS!$L$64*PRESIONES!$C$12)*$S182/$M182)</f>
        <v>0</v>
      </c>
      <c r="AG182" s="30" t="n">
        <f aca="false">IF($L182&lt;&gt;"OK",0,(INDEX(PRESIONES!$G$28:$G$31,$U182)*IF(INDEX(PRESIONES!$G$28:$G$31,$U182)&gt;0,PRESIONES!$C$9*IF($T182&lt;=10,1,($T182/10)^(2/DATOS!$C$56)),PRESIONES!$C$15)-ABERTURAS!$L$65*PRESIONES!$C$12)*$S182/$M182)</f>
        <v>0</v>
      </c>
      <c r="AH182" s="30" t="n">
        <f aca="false">IF($L182&lt;&gt;"OK",0,(INDEX(PRESIONES!$J$28:$J$31,$U182)*IF(INDEX(PRESIONES!$J$28:$J$31,$U182)&gt;0,PRESIONES!$C$9*IF($T182&lt;=10,1,($T182/10)^(2/DATOS!$C$56)),PRESIONES!$C$15)-ABERTURAS!$L$66*PRESIONES!$C$12)*$S182/$M182)</f>
        <v>0</v>
      </c>
      <c r="AI182" s="30" t="n">
        <f aca="false">IF($L182&lt;&gt;"OK",0,(INDEX(PRESIONES!$M$28:$M$31,$U182)*IF(INDEX(PRESIONES!$M$28:$M$31,$U182)&gt;0,PRESIONES!$C$9*IF($T182&lt;=10,1,($T182/10)^(2/DATOS!$C$56)),PRESIONES!$C$15)-ABERTURAS!$L$67*PRESIONES!$C$12)*$S182/$M182)</f>
        <v>0</v>
      </c>
    </row>
    <row r="183" customFormat="false" ht="15" hidden="false" customHeight="true" outlineLevel="0" collapsed="false">
      <c r="B183" s="27"/>
      <c r="C183" s="17"/>
      <c r="D183" s="27"/>
      <c r="E183" s="17"/>
      <c r="F183" s="49"/>
      <c r="G183" s="49"/>
      <c r="H183" s="49"/>
      <c r="I183" s="49"/>
      <c r="J183" s="49"/>
      <c r="K183" s="49"/>
      <c r="L183" s="20" t="str">
        <f aca="false">IF($D183="","",IF(LEFT($C183,4)&lt;&gt;"MURO","PON EL MURO",IF(AND($E183&lt;&gt;"HORIZONTAL",$E183&lt;&gt;"VERTICAL"),"PON EL SENTIDO",IF(OR($F183="",$G183="",$H183="",$I183=""),"FALTAN a o b",IF($M183&lt;=0,"a₂ DEBE SER &gt; a₁",IF($N183&lt;=0,"b₂ DEBE SER &gt; b₁","OK"))))))</f>
        <v/>
      </c>
      <c r="M183" s="30" t="n">
        <f aca="false">IF($D183="",0,MAX(0,$G183-$F183))</f>
        <v>0</v>
      </c>
      <c r="N183" s="30" t="n">
        <f aca="false">MAX(0,$W183-$V183)</f>
        <v>0</v>
      </c>
      <c r="O183" s="30" t="n">
        <f aca="false">$M183*$N183</f>
        <v>0</v>
      </c>
      <c r="P183" s="30" t="n">
        <f aca="false">IF($U183=0,0,SUMPRODUCT((ABERTURAS!$N$7:$N$26=$U183)*ABERTURAS!$U$7:$U$26*(((($Y183)+(ABERTURAS!$P$7:$P$26)-ABS(($Y183)-(ABERTURAS!$P$7:$P$26)))/2-(($X183)+(ABERTURAS!$O$7:$O$26)+ABS(($X183)-(ABERTURAS!$O$7:$O$26)))/2)+ABS((($Y183)+(ABERTURAS!$P$7:$P$26)-ABS(($Y183)-(ABERTURAS!$P$7:$P$26)))/2-(($X183)+(ABERTURAS!$O$7:$O$26)+ABS(($X183)-(ABERTURAS!$O$7:$O$26)))/2))/2*(((($AA183)+(ABERTURAS!$R$7:$R$26)-ABS(($AA183)-(ABERTURAS!$R$7:$R$26)))/2-(($Z183)+(ABERTURAS!$Q$7:$Q$26)+ABS(($Z183)-(ABERTURAS!$Q$7:$Q$26)))/2)+ABS((($AA183)+(ABERTURAS!$R$7:$R$26)-ABS(($AA183)-(ABERTURAS!$R$7:$R$26)))/2-(($Z183)+(ABERTURAS!$Q$7:$Q$26)+ABS(($Z183)-(ABERTURAS!$Q$7:$Q$26)))/2))/2))</f>
        <v>0</v>
      </c>
      <c r="Q183" s="30" t="n">
        <f aca="false">IF($U183=0,0,SUMPRODUCT((ABERTURAS!$N$7:$N$26=$U183)*ABERTURAS!$V$7:$V$26*(((($Y183)+(ABERTURAS!$P$7:$P$26)-ABS(($Y183)-(ABERTURAS!$P$7:$P$26)))/2-(($X183)+(ABERTURAS!$O$7:$O$26)+ABS(($X183)-(ABERTURAS!$O$7:$O$26)))/2)+ABS((($Y183)+(ABERTURAS!$P$7:$P$26)-ABS(($Y183)-(ABERTURAS!$P$7:$P$26)))/2-(($X183)+(ABERTURAS!$O$7:$O$26)+ABS(($X183)-(ABERTURAS!$O$7:$O$26)))/2))/2*(((($AA183)+(ABERTURAS!$R$7:$R$26)-ABS(($AA183)-(ABERTURAS!$R$7:$R$26)))/2-(($Z183)+(ABERTURAS!$Q$7:$Q$26)+ABS(($Z183)-(ABERTURAS!$Q$7:$Q$26)))/2)+ABS((($AA183)+(ABERTURAS!$R$7:$R$26)-ABS(($AA183)-(ABERTURAS!$R$7:$R$26)))/2-(($Z183)+(ABERTURAS!$Q$7:$Q$26)+ABS(($Z183)-(ABERTURAS!$Q$7:$Q$26)))/2))/2))</f>
        <v>0</v>
      </c>
      <c r="R183" s="30" t="n">
        <f aca="false">MAX(0,$O183-$P183)</f>
        <v>0</v>
      </c>
      <c r="S183" s="30" t="n">
        <f aca="false">MAX(0,$O183-$Q183)</f>
        <v>0</v>
      </c>
      <c r="T183" s="50" t="n">
        <f aca="false">IF($D183="",0,IF($E183="VERTICAL",N($G183),MAX(N($I183),IF($K183="",N($I183),$K183))))</f>
        <v>0</v>
      </c>
      <c r="U183" s="50" t="n">
        <f aca="false">IF($L183&lt;&gt;"OK",0,VALUE(RIGHT($C183,1)))</f>
        <v>0</v>
      </c>
      <c r="V183" s="50" t="n">
        <f aca="false">IF($D183="",0,(N($H183)+IF($J183="",N($H183),$J183))/2)</f>
        <v>0</v>
      </c>
      <c r="W183" s="50" t="n">
        <f aca="false">IF($D183="",0,(N($I183)+IF($K183="",N($I183),$K183))/2)</f>
        <v>0</v>
      </c>
      <c r="X183" s="50" t="n">
        <f aca="false">IF($E183="VERTICAL",$V183,N($F183))</f>
        <v>0</v>
      </c>
      <c r="Y183" s="50" t="n">
        <f aca="false">IF($E183="VERTICAL",$W183,N($G183))</f>
        <v>0</v>
      </c>
      <c r="Z183" s="50" t="n">
        <f aca="false">IF($E183="VERTICAL",N($F183),$V183)</f>
        <v>0</v>
      </c>
      <c r="AA183" s="50" t="n">
        <f aca="false">IF($E183="VERTICAL",N($G183),$W183)</f>
        <v>0</v>
      </c>
      <c r="AB183" s="30" t="n">
        <f aca="false">IF($L183&lt;&gt;"OK",0,(INDEX(PRESIONES!$D$28:$D$31,$U183)*IF(INDEX(PRESIONES!$D$28:$D$31,$U183)&gt;0,PRESIONES!$C$9*IF($T183&lt;=10,1,($T183/10)^(2/DATOS!$C$56)),PRESIONES!$C$15)-ABERTURAS!$L$60*PRESIONES!$C$12)*$R183/$M183)</f>
        <v>0</v>
      </c>
      <c r="AC183" s="30" t="n">
        <f aca="false">IF($L183&lt;&gt;"OK",0,(INDEX(PRESIONES!$G$28:$G$31,$U183)*IF(INDEX(PRESIONES!$G$28:$G$31,$U183)&gt;0,PRESIONES!$C$9*IF($T183&lt;=10,1,($T183/10)^(2/DATOS!$C$56)),PRESIONES!$C$15)-ABERTURAS!$L$61*PRESIONES!$C$12)*$R183/$M183)</f>
        <v>0</v>
      </c>
      <c r="AD183" s="30" t="n">
        <f aca="false">IF($L183&lt;&gt;"OK",0,(INDEX(PRESIONES!$J$28:$J$31,$U183)*IF(INDEX(PRESIONES!$J$28:$J$31,$U183)&gt;0,PRESIONES!$C$9*IF($T183&lt;=10,1,($T183/10)^(2/DATOS!$C$56)),PRESIONES!$C$15)-ABERTURAS!$L$62*PRESIONES!$C$12)*$R183/$M183)</f>
        <v>0</v>
      </c>
      <c r="AE183" s="30" t="n">
        <f aca="false">IF($L183&lt;&gt;"OK",0,(INDEX(PRESIONES!$M$28:$M$31,$U183)*IF(INDEX(PRESIONES!$M$28:$M$31,$U183)&gt;0,PRESIONES!$C$9*IF($T183&lt;=10,1,($T183/10)^(2/DATOS!$C$56)),PRESIONES!$C$15)-ABERTURAS!$L$63*PRESIONES!$C$12)*$R183/$M183)</f>
        <v>0</v>
      </c>
      <c r="AF183" s="30" t="n">
        <f aca="false">IF($L183&lt;&gt;"OK",0,(INDEX(PRESIONES!$D$28:$D$31,$U183)*IF(INDEX(PRESIONES!$D$28:$D$31,$U183)&gt;0,PRESIONES!$C$9*IF($T183&lt;=10,1,($T183/10)^(2/DATOS!$C$56)),PRESIONES!$C$15)-ABERTURAS!$L$64*PRESIONES!$C$12)*$S183/$M183)</f>
        <v>0</v>
      </c>
      <c r="AG183" s="30" t="n">
        <f aca="false">IF($L183&lt;&gt;"OK",0,(INDEX(PRESIONES!$G$28:$G$31,$U183)*IF(INDEX(PRESIONES!$G$28:$G$31,$U183)&gt;0,PRESIONES!$C$9*IF($T183&lt;=10,1,($T183/10)^(2/DATOS!$C$56)),PRESIONES!$C$15)-ABERTURAS!$L$65*PRESIONES!$C$12)*$S183/$M183)</f>
        <v>0</v>
      </c>
      <c r="AH183" s="30" t="n">
        <f aca="false">IF($L183&lt;&gt;"OK",0,(INDEX(PRESIONES!$J$28:$J$31,$U183)*IF(INDEX(PRESIONES!$J$28:$J$31,$U183)&gt;0,PRESIONES!$C$9*IF($T183&lt;=10,1,($T183/10)^(2/DATOS!$C$56)),PRESIONES!$C$15)-ABERTURAS!$L$66*PRESIONES!$C$12)*$S183/$M183)</f>
        <v>0</v>
      </c>
      <c r="AI183" s="30" t="n">
        <f aca="false">IF($L183&lt;&gt;"OK",0,(INDEX(PRESIONES!$M$28:$M$31,$U183)*IF(INDEX(PRESIONES!$M$28:$M$31,$U183)&gt;0,PRESIONES!$C$9*IF($T183&lt;=10,1,($T183/10)^(2/DATOS!$C$56)),PRESIONES!$C$15)-ABERTURAS!$L$67*PRESIONES!$C$12)*$S183/$M183)</f>
        <v>0</v>
      </c>
    </row>
    <row r="184" customFormat="false" ht="15" hidden="false" customHeight="true" outlineLevel="0" collapsed="false">
      <c r="B184" s="27"/>
      <c r="C184" s="17"/>
      <c r="D184" s="27"/>
      <c r="E184" s="17"/>
      <c r="F184" s="49"/>
      <c r="G184" s="49"/>
      <c r="H184" s="49"/>
      <c r="I184" s="49"/>
      <c r="J184" s="49"/>
      <c r="K184" s="49"/>
      <c r="L184" s="20" t="str">
        <f aca="false">IF($D184="","",IF(LEFT($C184,4)&lt;&gt;"MURO","PON EL MURO",IF(AND($E184&lt;&gt;"HORIZONTAL",$E184&lt;&gt;"VERTICAL"),"PON EL SENTIDO",IF(OR($F184="",$G184="",$H184="",$I184=""),"FALTAN a o b",IF($M184&lt;=0,"a₂ DEBE SER &gt; a₁",IF($N184&lt;=0,"b₂ DEBE SER &gt; b₁","OK"))))))</f>
        <v/>
      </c>
      <c r="M184" s="30" t="n">
        <f aca="false">IF($D184="",0,MAX(0,$G184-$F184))</f>
        <v>0</v>
      </c>
      <c r="N184" s="30" t="n">
        <f aca="false">MAX(0,$W184-$V184)</f>
        <v>0</v>
      </c>
      <c r="O184" s="30" t="n">
        <f aca="false">$M184*$N184</f>
        <v>0</v>
      </c>
      <c r="P184" s="30" t="n">
        <f aca="false">IF($U184=0,0,SUMPRODUCT((ABERTURAS!$N$7:$N$26=$U184)*ABERTURAS!$U$7:$U$26*(((($Y184)+(ABERTURAS!$P$7:$P$26)-ABS(($Y184)-(ABERTURAS!$P$7:$P$26)))/2-(($X184)+(ABERTURAS!$O$7:$O$26)+ABS(($X184)-(ABERTURAS!$O$7:$O$26)))/2)+ABS((($Y184)+(ABERTURAS!$P$7:$P$26)-ABS(($Y184)-(ABERTURAS!$P$7:$P$26)))/2-(($X184)+(ABERTURAS!$O$7:$O$26)+ABS(($X184)-(ABERTURAS!$O$7:$O$26)))/2))/2*(((($AA184)+(ABERTURAS!$R$7:$R$26)-ABS(($AA184)-(ABERTURAS!$R$7:$R$26)))/2-(($Z184)+(ABERTURAS!$Q$7:$Q$26)+ABS(($Z184)-(ABERTURAS!$Q$7:$Q$26)))/2)+ABS((($AA184)+(ABERTURAS!$R$7:$R$26)-ABS(($AA184)-(ABERTURAS!$R$7:$R$26)))/2-(($Z184)+(ABERTURAS!$Q$7:$Q$26)+ABS(($Z184)-(ABERTURAS!$Q$7:$Q$26)))/2))/2))</f>
        <v>0</v>
      </c>
      <c r="Q184" s="30" t="n">
        <f aca="false">IF($U184=0,0,SUMPRODUCT((ABERTURAS!$N$7:$N$26=$U184)*ABERTURAS!$V$7:$V$26*(((($Y184)+(ABERTURAS!$P$7:$P$26)-ABS(($Y184)-(ABERTURAS!$P$7:$P$26)))/2-(($X184)+(ABERTURAS!$O$7:$O$26)+ABS(($X184)-(ABERTURAS!$O$7:$O$26)))/2)+ABS((($Y184)+(ABERTURAS!$P$7:$P$26)-ABS(($Y184)-(ABERTURAS!$P$7:$P$26)))/2-(($X184)+(ABERTURAS!$O$7:$O$26)+ABS(($X184)-(ABERTURAS!$O$7:$O$26)))/2))/2*(((($AA184)+(ABERTURAS!$R$7:$R$26)-ABS(($AA184)-(ABERTURAS!$R$7:$R$26)))/2-(($Z184)+(ABERTURAS!$Q$7:$Q$26)+ABS(($Z184)-(ABERTURAS!$Q$7:$Q$26)))/2)+ABS((($AA184)+(ABERTURAS!$R$7:$R$26)-ABS(($AA184)-(ABERTURAS!$R$7:$R$26)))/2-(($Z184)+(ABERTURAS!$Q$7:$Q$26)+ABS(($Z184)-(ABERTURAS!$Q$7:$Q$26)))/2))/2))</f>
        <v>0</v>
      </c>
      <c r="R184" s="30" t="n">
        <f aca="false">MAX(0,$O184-$P184)</f>
        <v>0</v>
      </c>
      <c r="S184" s="30" t="n">
        <f aca="false">MAX(0,$O184-$Q184)</f>
        <v>0</v>
      </c>
      <c r="T184" s="50" t="n">
        <f aca="false">IF($D184="",0,IF($E184="VERTICAL",N($G184),MAX(N($I184),IF($K184="",N($I184),$K184))))</f>
        <v>0</v>
      </c>
      <c r="U184" s="50" t="n">
        <f aca="false">IF($L184&lt;&gt;"OK",0,VALUE(RIGHT($C184,1)))</f>
        <v>0</v>
      </c>
      <c r="V184" s="50" t="n">
        <f aca="false">IF($D184="",0,(N($H184)+IF($J184="",N($H184),$J184))/2)</f>
        <v>0</v>
      </c>
      <c r="W184" s="50" t="n">
        <f aca="false">IF($D184="",0,(N($I184)+IF($K184="",N($I184),$K184))/2)</f>
        <v>0</v>
      </c>
      <c r="X184" s="50" t="n">
        <f aca="false">IF($E184="VERTICAL",$V184,N($F184))</f>
        <v>0</v>
      </c>
      <c r="Y184" s="50" t="n">
        <f aca="false">IF($E184="VERTICAL",$W184,N($G184))</f>
        <v>0</v>
      </c>
      <c r="Z184" s="50" t="n">
        <f aca="false">IF($E184="VERTICAL",N($F184),$V184)</f>
        <v>0</v>
      </c>
      <c r="AA184" s="50" t="n">
        <f aca="false">IF($E184="VERTICAL",N($G184),$W184)</f>
        <v>0</v>
      </c>
      <c r="AB184" s="30" t="n">
        <f aca="false">IF($L184&lt;&gt;"OK",0,(INDEX(PRESIONES!$D$28:$D$31,$U184)*IF(INDEX(PRESIONES!$D$28:$D$31,$U184)&gt;0,PRESIONES!$C$9*IF($T184&lt;=10,1,($T184/10)^(2/DATOS!$C$56)),PRESIONES!$C$15)-ABERTURAS!$L$60*PRESIONES!$C$12)*$R184/$M184)</f>
        <v>0</v>
      </c>
      <c r="AC184" s="30" t="n">
        <f aca="false">IF($L184&lt;&gt;"OK",0,(INDEX(PRESIONES!$G$28:$G$31,$U184)*IF(INDEX(PRESIONES!$G$28:$G$31,$U184)&gt;0,PRESIONES!$C$9*IF($T184&lt;=10,1,($T184/10)^(2/DATOS!$C$56)),PRESIONES!$C$15)-ABERTURAS!$L$61*PRESIONES!$C$12)*$R184/$M184)</f>
        <v>0</v>
      </c>
      <c r="AD184" s="30" t="n">
        <f aca="false">IF($L184&lt;&gt;"OK",0,(INDEX(PRESIONES!$J$28:$J$31,$U184)*IF(INDEX(PRESIONES!$J$28:$J$31,$U184)&gt;0,PRESIONES!$C$9*IF($T184&lt;=10,1,($T184/10)^(2/DATOS!$C$56)),PRESIONES!$C$15)-ABERTURAS!$L$62*PRESIONES!$C$12)*$R184/$M184)</f>
        <v>0</v>
      </c>
      <c r="AE184" s="30" t="n">
        <f aca="false">IF($L184&lt;&gt;"OK",0,(INDEX(PRESIONES!$M$28:$M$31,$U184)*IF(INDEX(PRESIONES!$M$28:$M$31,$U184)&gt;0,PRESIONES!$C$9*IF($T184&lt;=10,1,($T184/10)^(2/DATOS!$C$56)),PRESIONES!$C$15)-ABERTURAS!$L$63*PRESIONES!$C$12)*$R184/$M184)</f>
        <v>0</v>
      </c>
      <c r="AF184" s="30" t="n">
        <f aca="false">IF($L184&lt;&gt;"OK",0,(INDEX(PRESIONES!$D$28:$D$31,$U184)*IF(INDEX(PRESIONES!$D$28:$D$31,$U184)&gt;0,PRESIONES!$C$9*IF($T184&lt;=10,1,($T184/10)^(2/DATOS!$C$56)),PRESIONES!$C$15)-ABERTURAS!$L$64*PRESIONES!$C$12)*$S184/$M184)</f>
        <v>0</v>
      </c>
      <c r="AG184" s="30" t="n">
        <f aca="false">IF($L184&lt;&gt;"OK",0,(INDEX(PRESIONES!$G$28:$G$31,$U184)*IF(INDEX(PRESIONES!$G$28:$G$31,$U184)&gt;0,PRESIONES!$C$9*IF($T184&lt;=10,1,($T184/10)^(2/DATOS!$C$56)),PRESIONES!$C$15)-ABERTURAS!$L$65*PRESIONES!$C$12)*$S184/$M184)</f>
        <v>0</v>
      </c>
      <c r="AH184" s="30" t="n">
        <f aca="false">IF($L184&lt;&gt;"OK",0,(INDEX(PRESIONES!$J$28:$J$31,$U184)*IF(INDEX(PRESIONES!$J$28:$J$31,$U184)&gt;0,PRESIONES!$C$9*IF($T184&lt;=10,1,($T184/10)^(2/DATOS!$C$56)),PRESIONES!$C$15)-ABERTURAS!$L$66*PRESIONES!$C$12)*$S184/$M184)</f>
        <v>0</v>
      </c>
      <c r="AI184" s="30" t="n">
        <f aca="false">IF($L184&lt;&gt;"OK",0,(INDEX(PRESIONES!$M$28:$M$31,$U184)*IF(INDEX(PRESIONES!$M$28:$M$31,$U184)&gt;0,PRESIONES!$C$9*IF($T184&lt;=10,1,($T184/10)^(2/DATOS!$C$56)),PRESIONES!$C$15)-ABERTURAS!$L$67*PRESIONES!$C$12)*$S184/$M184)</f>
        <v>0</v>
      </c>
    </row>
    <row r="185" customFormat="false" ht="15" hidden="false" customHeight="true" outlineLevel="0" collapsed="false">
      <c r="B185" s="27"/>
      <c r="C185" s="17"/>
      <c r="D185" s="27"/>
      <c r="E185" s="17"/>
      <c r="F185" s="49"/>
      <c r="G185" s="49"/>
      <c r="H185" s="49"/>
      <c r="I185" s="49"/>
      <c r="J185" s="49"/>
      <c r="K185" s="49"/>
      <c r="L185" s="20" t="str">
        <f aca="false">IF($D185="","",IF(LEFT($C185,4)&lt;&gt;"MURO","PON EL MURO",IF(AND($E185&lt;&gt;"HORIZONTAL",$E185&lt;&gt;"VERTICAL"),"PON EL SENTIDO",IF(OR($F185="",$G185="",$H185="",$I185=""),"FALTAN a o b",IF($M185&lt;=0,"a₂ DEBE SER &gt; a₁",IF($N185&lt;=0,"b₂ DEBE SER &gt; b₁","OK"))))))</f>
        <v/>
      </c>
      <c r="M185" s="30" t="n">
        <f aca="false">IF($D185="",0,MAX(0,$G185-$F185))</f>
        <v>0</v>
      </c>
      <c r="N185" s="30" t="n">
        <f aca="false">MAX(0,$W185-$V185)</f>
        <v>0</v>
      </c>
      <c r="O185" s="30" t="n">
        <f aca="false">$M185*$N185</f>
        <v>0</v>
      </c>
      <c r="P185" s="30" t="n">
        <f aca="false">IF($U185=0,0,SUMPRODUCT((ABERTURAS!$N$7:$N$26=$U185)*ABERTURAS!$U$7:$U$26*(((($Y185)+(ABERTURAS!$P$7:$P$26)-ABS(($Y185)-(ABERTURAS!$P$7:$P$26)))/2-(($X185)+(ABERTURAS!$O$7:$O$26)+ABS(($X185)-(ABERTURAS!$O$7:$O$26)))/2)+ABS((($Y185)+(ABERTURAS!$P$7:$P$26)-ABS(($Y185)-(ABERTURAS!$P$7:$P$26)))/2-(($X185)+(ABERTURAS!$O$7:$O$26)+ABS(($X185)-(ABERTURAS!$O$7:$O$26)))/2))/2*(((($AA185)+(ABERTURAS!$R$7:$R$26)-ABS(($AA185)-(ABERTURAS!$R$7:$R$26)))/2-(($Z185)+(ABERTURAS!$Q$7:$Q$26)+ABS(($Z185)-(ABERTURAS!$Q$7:$Q$26)))/2)+ABS((($AA185)+(ABERTURAS!$R$7:$R$26)-ABS(($AA185)-(ABERTURAS!$R$7:$R$26)))/2-(($Z185)+(ABERTURAS!$Q$7:$Q$26)+ABS(($Z185)-(ABERTURAS!$Q$7:$Q$26)))/2))/2))</f>
        <v>0</v>
      </c>
      <c r="Q185" s="30" t="n">
        <f aca="false">IF($U185=0,0,SUMPRODUCT((ABERTURAS!$N$7:$N$26=$U185)*ABERTURAS!$V$7:$V$26*(((($Y185)+(ABERTURAS!$P$7:$P$26)-ABS(($Y185)-(ABERTURAS!$P$7:$P$26)))/2-(($X185)+(ABERTURAS!$O$7:$O$26)+ABS(($X185)-(ABERTURAS!$O$7:$O$26)))/2)+ABS((($Y185)+(ABERTURAS!$P$7:$P$26)-ABS(($Y185)-(ABERTURAS!$P$7:$P$26)))/2-(($X185)+(ABERTURAS!$O$7:$O$26)+ABS(($X185)-(ABERTURAS!$O$7:$O$26)))/2))/2*(((($AA185)+(ABERTURAS!$R$7:$R$26)-ABS(($AA185)-(ABERTURAS!$R$7:$R$26)))/2-(($Z185)+(ABERTURAS!$Q$7:$Q$26)+ABS(($Z185)-(ABERTURAS!$Q$7:$Q$26)))/2)+ABS((($AA185)+(ABERTURAS!$R$7:$R$26)-ABS(($AA185)-(ABERTURAS!$R$7:$R$26)))/2-(($Z185)+(ABERTURAS!$Q$7:$Q$26)+ABS(($Z185)-(ABERTURAS!$Q$7:$Q$26)))/2))/2))</f>
        <v>0</v>
      </c>
      <c r="R185" s="30" t="n">
        <f aca="false">MAX(0,$O185-$P185)</f>
        <v>0</v>
      </c>
      <c r="S185" s="30" t="n">
        <f aca="false">MAX(0,$O185-$Q185)</f>
        <v>0</v>
      </c>
      <c r="T185" s="50" t="n">
        <f aca="false">IF($D185="",0,IF($E185="VERTICAL",N($G185),MAX(N($I185),IF($K185="",N($I185),$K185))))</f>
        <v>0</v>
      </c>
      <c r="U185" s="50" t="n">
        <f aca="false">IF($L185&lt;&gt;"OK",0,VALUE(RIGHT($C185,1)))</f>
        <v>0</v>
      </c>
      <c r="V185" s="50" t="n">
        <f aca="false">IF($D185="",0,(N($H185)+IF($J185="",N($H185),$J185))/2)</f>
        <v>0</v>
      </c>
      <c r="W185" s="50" t="n">
        <f aca="false">IF($D185="",0,(N($I185)+IF($K185="",N($I185),$K185))/2)</f>
        <v>0</v>
      </c>
      <c r="X185" s="50" t="n">
        <f aca="false">IF($E185="VERTICAL",$V185,N($F185))</f>
        <v>0</v>
      </c>
      <c r="Y185" s="50" t="n">
        <f aca="false">IF($E185="VERTICAL",$W185,N($G185))</f>
        <v>0</v>
      </c>
      <c r="Z185" s="50" t="n">
        <f aca="false">IF($E185="VERTICAL",N($F185),$V185)</f>
        <v>0</v>
      </c>
      <c r="AA185" s="50" t="n">
        <f aca="false">IF($E185="VERTICAL",N($G185),$W185)</f>
        <v>0</v>
      </c>
      <c r="AB185" s="30" t="n">
        <f aca="false">IF($L185&lt;&gt;"OK",0,(INDEX(PRESIONES!$D$28:$D$31,$U185)*IF(INDEX(PRESIONES!$D$28:$D$31,$U185)&gt;0,PRESIONES!$C$9*IF($T185&lt;=10,1,($T185/10)^(2/DATOS!$C$56)),PRESIONES!$C$15)-ABERTURAS!$L$60*PRESIONES!$C$12)*$R185/$M185)</f>
        <v>0</v>
      </c>
      <c r="AC185" s="30" t="n">
        <f aca="false">IF($L185&lt;&gt;"OK",0,(INDEX(PRESIONES!$G$28:$G$31,$U185)*IF(INDEX(PRESIONES!$G$28:$G$31,$U185)&gt;0,PRESIONES!$C$9*IF($T185&lt;=10,1,($T185/10)^(2/DATOS!$C$56)),PRESIONES!$C$15)-ABERTURAS!$L$61*PRESIONES!$C$12)*$R185/$M185)</f>
        <v>0</v>
      </c>
      <c r="AD185" s="30" t="n">
        <f aca="false">IF($L185&lt;&gt;"OK",0,(INDEX(PRESIONES!$J$28:$J$31,$U185)*IF(INDEX(PRESIONES!$J$28:$J$31,$U185)&gt;0,PRESIONES!$C$9*IF($T185&lt;=10,1,($T185/10)^(2/DATOS!$C$56)),PRESIONES!$C$15)-ABERTURAS!$L$62*PRESIONES!$C$12)*$R185/$M185)</f>
        <v>0</v>
      </c>
      <c r="AE185" s="30" t="n">
        <f aca="false">IF($L185&lt;&gt;"OK",0,(INDEX(PRESIONES!$M$28:$M$31,$U185)*IF(INDEX(PRESIONES!$M$28:$M$31,$U185)&gt;0,PRESIONES!$C$9*IF($T185&lt;=10,1,($T185/10)^(2/DATOS!$C$56)),PRESIONES!$C$15)-ABERTURAS!$L$63*PRESIONES!$C$12)*$R185/$M185)</f>
        <v>0</v>
      </c>
      <c r="AF185" s="30" t="n">
        <f aca="false">IF($L185&lt;&gt;"OK",0,(INDEX(PRESIONES!$D$28:$D$31,$U185)*IF(INDEX(PRESIONES!$D$28:$D$31,$U185)&gt;0,PRESIONES!$C$9*IF($T185&lt;=10,1,($T185/10)^(2/DATOS!$C$56)),PRESIONES!$C$15)-ABERTURAS!$L$64*PRESIONES!$C$12)*$S185/$M185)</f>
        <v>0</v>
      </c>
      <c r="AG185" s="30" t="n">
        <f aca="false">IF($L185&lt;&gt;"OK",0,(INDEX(PRESIONES!$G$28:$G$31,$U185)*IF(INDEX(PRESIONES!$G$28:$G$31,$U185)&gt;0,PRESIONES!$C$9*IF($T185&lt;=10,1,($T185/10)^(2/DATOS!$C$56)),PRESIONES!$C$15)-ABERTURAS!$L$65*PRESIONES!$C$12)*$S185/$M185)</f>
        <v>0</v>
      </c>
      <c r="AH185" s="30" t="n">
        <f aca="false">IF($L185&lt;&gt;"OK",0,(INDEX(PRESIONES!$J$28:$J$31,$U185)*IF(INDEX(PRESIONES!$J$28:$J$31,$U185)&gt;0,PRESIONES!$C$9*IF($T185&lt;=10,1,($T185/10)^(2/DATOS!$C$56)),PRESIONES!$C$15)-ABERTURAS!$L$66*PRESIONES!$C$12)*$S185/$M185)</f>
        <v>0</v>
      </c>
      <c r="AI185" s="30" t="n">
        <f aca="false">IF($L185&lt;&gt;"OK",0,(INDEX(PRESIONES!$M$28:$M$31,$U185)*IF(INDEX(PRESIONES!$M$28:$M$31,$U185)&gt;0,PRESIONES!$C$9*IF($T185&lt;=10,1,($T185/10)^(2/DATOS!$C$56)),PRESIONES!$C$15)-ABERTURAS!$L$67*PRESIONES!$C$12)*$S185/$M185)</f>
        <v>0</v>
      </c>
    </row>
    <row r="186" customFormat="false" ht="15" hidden="false" customHeight="true" outlineLevel="0" collapsed="false">
      <c r="B186" s="27"/>
      <c r="C186" s="17"/>
      <c r="D186" s="27"/>
      <c r="E186" s="17"/>
      <c r="F186" s="49"/>
      <c r="G186" s="49"/>
      <c r="H186" s="49"/>
      <c r="I186" s="49"/>
      <c r="J186" s="49"/>
      <c r="K186" s="49"/>
      <c r="L186" s="20" t="str">
        <f aca="false">IF($D186="","",IF(LEFT($C186,4)&lt;&gt;"MURO","PON EL MURO",IF(AND($E186&lt;&gt;"HORIZONTAL",$E186&lt;&gt;"VERTICAL"),"PON EL SENTIDO",IF(OR($F186="",$G186="",$H186="",$I186=""),"FALTAN a o b",IF($M186&lt;=0,"a₂ DEBE SER &gt; a₁",IF($N186&lt;=0,"b₂ DEBE SER &gt; b₁","OK"))))))</f>
        <v/>
      </c>
      <c r="M186" s="30" t="n">
        <f aca="false">IF($D186="",0,MAX(0,$G186-$F186))</f>
        <v>0</v>
      </c>
      <c r="N186" s="30" t="n">
        <f aca="false">MAX(0,$W186-$V186)</f>
        <v>0</v>
      </c>
      <c r="O186" s="30" t="n">
        <f aca="false">$M186*$N186</f>
        <v>0</v>
      </c>
      <c r="P186" s="30" t="n">
        <f aca="false">IF($U186=0,0,SUMPRODUCT((ABERTURAS!$N$7:$N$26=$U186)*ABERTURAS!$U$7:$U$26*(((($Y186)+(ABERTURAS!$P$7:$P$26)-ABS(($Y186)-(ABERTURAS!$P$7:$P$26)))/2-(($X186)+(ABERTURAS!$O$7:$O$26)+ABS(($X186)-(ABERTURAS!$O$7:$O$26)))/2)+ABS((($Y186)+(ABERTURAS!$P$7:$P$26)-ABS(($Y186)-(ABERTURAS!$P$7:$P$26)))/2-(($X186)+(ABERTURAS!$O$7:$O$26)+ABS(($X186)-(ABERTURAS!$O$7:$O$26)))/2))/2*(((($AA186)+(ABERTURAS!$R$7:$R$26)-ABS(($AA186)-(ABERTURAS!$R$7:$R$26)))/2-(($Z186)+(ABERTURAS!$Q$7:$Q$26)+ABS(($Z186)-(ABERTURAS!$Q$7:$Q$26)))/2)+ABS((($AA186)+(ABERTURAS!$R$7:$R$26)-ABS(($AA186)-(ABERTURAS!$R$7:$R$26)))/2-(($Z186)+(ABERTURAS!$Q$7:$Q$26)+ABS(($Z186)-(ABERTURAS!$Q$7:$Q$26)))/2))/2))</f>
        <v>0</v>
      </c>
      <c r="Q186" s="30" t="n">
        <f aca="false">IF($U186=0,0,SUMPRODUCT((ABERTURAS!$N$7:$N$26=$U186)*ABERTURAS!$V$7:$V$26*(((($Y186)+(ABERTURAS!$P$7:$P$26)-ABS(($Y186)-(ABERTURAS!$P$7:$P$26)))/2-(($X186)+(ABERTURAS!$O$7:$O$26)+ABS(($X186)-(ABERTURAS!$O$7:$O$26)))/2)+ABS((($Y186)+(ABERTURAS!$P$7:$P$26)-ABS(($Y186)-(ABERTURAS!$P$7:$P$26)))/2-(($X186)+(ABERTURAS!$O$7:$O$26)+ABS(($X186)-(ABERTURAS!$O$7:$O$26)))/2))/2*(((($AA186)+(ABERTURAS!$R$7:$R$26)-ABS(($AA186)-(ABERTURAS!$R$7:$R$26)))/2-(($Z186)+(ABERTURAS!$Q$7:$Q$26)+ABS(($Z186)-(ABERTURAS!$Q$7:$Q$26)))/2)+ABS((($AA186)+(ABERTURAS!$R$7:$R$26)-ABS(($AA186)-(ABERTURAS!$R$7:$R$26)))/2-(($Z186)+(ABERTURAS!$Q$7:$Q$26)+ABS(($Z186)-(ABERTURAS!$Q$7:$Q$26)))/2))/2))</f>
        <v>0</v>
      </c>
      <c r="R186" s="30" t="n">
        <f aca="false">MAX(0,$O186-$P186)</f>
        <v>0</v>
      </c>
      <c r="S186" s="30" t="n">
        <f aca="false">MAX(0,$O186-$Q186)</f>
        <v>0</v>
      </c>
      <c r="T186" s="50" t="n">
        <f aca="false">IF($D186="",0,IF($E186="VERTICAL",N($G186),MAX(N($I186),IF($K186="",N($I186),$K186))))</f>
        <v>0</v>
      </c>
      <c r="U186" s="50" t="n">
        <f aca="false">IF($L186&lt;&gt;"OK",0,VALUE(RIGHT($C186,1)))</f>
        <v>0</v>
      </c>
      <c r="V186" s="50" t="n">
        <f aca="false">IF($D186="",0,(N($H186)+IF($J186="",N($H186),$J186))/2)</f>
        <v>0</v>
      </c>
      <c r="W186" s="50" t="n">
        <f aca="false">IF($D186="",0,(N($I186)+IF($K186="",N($I186),$K186))/2)</f>
        <v>0</v>
      </c>
      <c r="X186" s="50" t="n">
        <f aca="false">IF($E186="VERTICAL",$V186,N($F186))</f>
        <v>0</v>
      </c>
      <c r="Y186" s="50" t="n">
        <f aca="false">IF($E186="VERTICAL",$W186,N($G186))</f>
        <v>0</v>
      </c>
      <c r="Z186" s="50" t="n">
        <f aca="false">IF($E186="VERTICAL",N($F186),$V186)</f>
        <v>0</v>
      </c>
      <c r="AA186" s="50" t="n">
        <f aca="false">IF($E186="VERTICAL",N($G186),$W186)</f>
        <v>0</v>
      </c>
      <c r="AB186" s="30" t="n">
        <f aca="false">IF($L186&lt;&gt;"OK",0,(INDEX(PRESIONES!$D$28:$D$31,$U186)*IF(INDEX(PRESIONES!$D$28:$D$31,$U186)&gt;0,PRESIONES!$C$9*IF($T186&lt;=10,1,($T186/10)^(2/DATOS!$C$56)),PRESIONES!$C$15)-ABERTURAS!$L$60*PRESIONES!$C$12)*$R186/$M186)</f>
        <v>0</v>
      </c>
      <c r="AC186" s="30" t="n">
        <f aca="false">IF($L186&lt;&gt;"OK",0,(INDEX(PRESIONES!$G$28:$G$31,$U186)*IF(INDEX(PRESIONES!$G$28:$G$31,$U186)&gt;0,PRESIONES!$C$9*IF($T186&lt;=10,1,($T186/10)^(2/DATOS!$C$56)),PRESIONES!$C$15)-ABERTURAS!$L$61*PRESIONES!$C$12)*$R186/$M186)</f>
        <v>0</v>
      </c>
      <c r="AD186" s="30" t="n">
        <f aca="false">IF($L186&lt;&gt;"OK",0,(INDEX(PRESIONES!$J$28:$J$31,$U186)*IF(INDEX(PRESIONES!$J$28:$J$31,$U186)&gt;0,PRESIONES!$C$9*IF($T186&lt;=10,1,($T186/10)^(2/DATOS!$C$56)),PRESIONES!$C$15)-ABERTURAS!$L$62*PRESIONES!$C$12)*$R186/$M186)</f>
        <v>0</v>
      </c>
      <c r="AE186" s="30" t="n">
        <f aca="false">IF($L186&lt;&gt;"OK",0,(INDEX(PRESIONES!$M$28:$M$31,$U186)*IF(INDEX(PRESIONES!$M$28:$M$31,$U186)&gt;0,PRESIONES!$C$9*IF($T186&lt;=10,1,($T186/10)^(2/DATOS!$C$56)),PRESIONES!$C$15)-ABERTURAS!$L$63*PRESIONES!$C$12)*$R186/$M186)</f>
        <v>0</v>
      </c>
      <c r="AF186" s="30" t="n">
        <f aca="false">IF($L186&lt;&gt;"OK",0,(INDEX(PRESIONES!$D$28:$D$31,$U186)*IF(INDEX(PRESIONES!$D$28:$D$31,$U186)&gt;0,PRESIONES!$C$9*IF($T186&lt;=10,1,($T186/10)^(2/DATOS!$C$56)),PRESIONES!$C$15)-ABERTURAS!$L$64*PRESIONES!$C$12)*$S186/$M186)</f>
        <v>0</v>
      </c>
      <c r="AG186" s="30" t="n">
        <f aca="false">IF($L186&lt;&gt;"OK",0,(INDEX(PRESIONES!$G$28:$G$31,$U186)*IF(INDEX(PRESIONES!$G$28:$G$31,$U186)&gt;0,PRESIONES!$C$9*IF($T186&lt;=10,1,($T186/10)^(2/DATOS!$C$56)),PRESIONES!$C$15)-ABERTURAS!$L$65*PRESIONES!$C$12)*$S186/$M186)</f>
        <v>0</v>
      </c>
      <c r="AH186" s="30" t="n">
        <f aca="false">IF($L186&lt;&gt;"OK",0,(INDEX(PRESIONES!$J$28:$J$31,$U186)*IF(INDEX(PRESIONES!$J$28:$J$31,$U186)&gt;0,PRESIONES!$C$9*IF($T186&lt;=10,1,($T186/10)^(2/DATOS!$C$56)),PRESIONES!$C$15)-ABERTURAS!$L$66*PRESIONES!$C$12)*$S186/$M186)</f>
        <v>0</v>
      </c>
      <c r="AI186" s="30" t="n">
        <f aca="false">IF($L186&lt;&gt;"OK",0,(INDEX(PRESIONES!$M$28:$M$31,$U186)*IF(INDEX(PRESIONES!$M$28:$M$31,$U186)&gt;0,PRESIONES!$C$9*IF($T186&lt;=10,1,($T186/10)^(2/DATOS!$C$56)),PRESIONES!$C$15)-ABERTURAS!$L$67*PRESIONES!$C$12)*$S186/$M186)</f>
        <v>0</v>
      </c>
    </row>
    <row r="187" customFormat="false" ht="15" hidden="false" customHeight="true" outlineLevel="0" collapsed="false">
      <c r="B187" s="27"/>
      <c r="C187" s="17"/>
      <c r="D187" s="27"/>
      <c r="E187" s="17"/>
      <c r="F187" s="49"/>
      <c r="G187" s="49"/>
      <c r="H187" s="49"/>
      <c r="I187" s="49"/>
      <c r="J187" s="49"/>
      <c r="K187" s="49"/>
      <c r="L187" s="20" t="str">
        <f aca="false">IF($D187="","",IF(LEFT($C187,4)&lt;&gt;"MURO","PON EL MURO",IF(AND($E187&lt;&gt;"HORIZONTAL",$E187&lt;&gt;"VERTICAL"),"PON EL SENTIDO",IF(OR($F187="",$G187="",$H187="",$I187=""),"FALTAN a o b",IF($M187&lt;=0,"a₂ DEBE SER &gt; a₁",IF($N187&lt;=0,"b₂ DEBE SER &gt; b₁","OK"))))))</f>
        <v/>
      </c>
      <c r="M187" s="30" t="n">
        <f aca="false">IF($D187="",0,MAX(0,$G187-$F187))</f>
        <v>0</v>
      </c>
      <c r="N187" s="30" t="n">
        <f aca="false">MAX(0,$W187-$V187)</f>
        <v>0</v>
      </c>
      <c r="O187" s="30" t="n">
        <f aca="false">$M187*$N187</f>
        <v>0</v>
      </c>
      <c r="P187" s="30" t="n">
        <f aca="false">IF($U187=0,0,SUMPRODUCT((ABERTURAS!$N$7:$N$26=$U187)*ABERTURAS!$U$7:$U$26*(((($Y187)+(ABERTURAS!$P$7:$P$26)-ABS(($Y187)-(ABERTURAS!$P$7:$P$26)))/2-(($X187)+(ABERTURAS!$O$7:$O$26)+ABS(($X187)-(ABERTURAS!$O$7:$O$26)))/2)+ABS((($Y187)+(ABERTURAS!$P$7:$P$26)-ABS(($Y187)-(ABERTURAS!$P$7:$P$26)))/2-(($X187)+(ABERTURAS!$O$7:$O$26)+ABS(($X187)-(ABERTURAS!$O$7:$O$26)))/2))/2*(((($AA187)+(ABERTURAS!$R$7:$R$26)-ABS(($AA187)-(ABERTURAS!$R$7:$R$26)))/2-(($Z187)+(ABERTURAS!$Q$7:$Q$26)+ABS(($Z187)-(ABERTURAS!$Q$7:$Q$26)))/2)+ABS((($AA187)+(ABERTURAS!$R$7:$R$26)-ABS(($AA187)-(ABERTURAS!$R$7:$R$26)))/2-(($Z187)+(ABERTURAS!$Q$7:$Q$26)+ABS(($Z187)-(ABERTURAS!$Q$7:$Q$26)))/2))/2))</f>
        <v>0</v>
      </c>
      <c r="Q187" s="30" t="n">
        <f aca="false">IF($U187=0,0,SUMPRODUCT((ABERTURAS!$N$7:$N$26=$U187)*ABERTURAS!$V$7:$V$26*(((($Y187)+(ABERTURAS!$P$7:$P$26)-ABS(($Y187)-(ABERTURAS!$P$7:$P$26)))/2-(($X187)+(ABERTURAS!$O$7:$O$26)+ABS(($X187)-(ABERTURAS!$O$7:$O$26)))/2)+ABS((($Y187)+(ABERTURAS!$P$7:$P$26)-ABS(($Y187)-(ABERTURAS!$P$7:$P$26)))/2-(($X187)+(ABERTURAS!$O$7:$O$26)+ABS(($X187)-(ABERTURAS!$O$7:$O$26)))/2))/2*(((($AA187)+(ABERTURAS!$R$7:$R$26)-ABS(($AA187)-(ABERTURAS!$R$7:$R$26)))/2-(($Z187)+(ABERTURAS!$Q$7:$Q$26)+ABS(($Z187)-(ABERTURAS!$Q$7:$Q$26)))/2)+ABS((($AA187)+(ABERTURAS!$R$7:$R$26)-ABS(($AA187)-(ABERTURAS!$R$7:$R$26)))/2-(($Z187)+(ABERTURAS!$Q$7:$Q$26)+ABS(($Z187)-(ABERTURAS!$Q$7:$Q$26)))/2))/2))</f>
        <v>0</v>
      </c>
      <c r="R187" s="30" t="n">
        <f aca="false">MAX(0,$O187-$P187)</f>
        <v>0</v>
      </c>
      <c r="S187" s="30" t="n">
        <f aca="false">MAX(0,$O187-$Q187)</f>
        <v>0</v>
      </c>
      <c r="T187" s="50" t="n">
        <f aca="false">IF($D187="",0,IF($E187="VERTICAL",N($G187),MAX(N($I187),IF($K187="",N($I187),$K187))))</f>
        <v>0</v>
      </c>
      <c r="U187" s="50" t="n">
        <f aca="false">IF($L187&lt;&gt;"OK",0,VALUE(RIGHT($C187,1)))</f>
        <v>0</v>
      </c>
      <c r="V187" s="50" t="n">
        <f aca="false">IF($D187="",0,(N($H187)+IF($J187="",N($H187),$J187))/2)</f>
        <v>0</v>
      </c>
      <c r="W187" s="50" t="n">
        <f aca="false">IF($D187="",0,(N($I187)+IF($K187="",N($I187),$K187))/2)</f>
        <v>0</v>
      </c>
      <c r="X187" s="50" t="n">
        <f aca="false">IF($E187="VERTICAL",$V187,N($F187))</f>
        <v>0</v>
      </c>
      <c r="Y187" s="50" t="n">
        <f aca="false">IF($E187="VERTICAL",$W187,N($G187))</f>
        <v>0</v>
      </c>
      <c r="Z187" s="50" t="n">
        <f aca="false">IF($E187="VERTICAL",N($F187),$V187)</f>
        <v>0</v>
      </c>
      <c r="AA187" s="50" t="n">
        <f aca="false">IF($E187="VERTICAL",N($G187),$W187)</f>
        <v>0</v>
      </c>
      <c r="AB187" s="30" t="n">
        <f aca="false">IF($L187&lt;&gt;"OK",0,(INDEX(PRESIONES!$D$28:$D$31,$U187)*IF(INDEX(PRESIONES!$D$28:$D$31,$U187)&gt;0,PRESIONES!$C$9*IF($T187&lt;=10,1,($T187/10)^(2/DATOS!$C$56)),PRESIONES!$C$15)-ABERTURAS!$L$60*PRESIONES!$C$12)*$R187/$M187)</f>
        <v>0</v>
      </c>
      <c r="AC187" s="30" t="n">
        <f aca="false">IF($L187&lt;&gt;"OK",0,(INDEX(PRESIONES!$G$28:$G$31,$U187)*IF(INDEX(PRESIONES!$G$28:$G$31,$U187)&gt;0,PRESIONES!$C$9*IF($T187&lt;=10,1,($T187/10)^(2/DATOS!$C$56)),PRESIONES!$C$15)-ABERTURAS!$L$61*PRESIONES!$C$12)*$R187/$M187)</f>
        <v>0</v>
      </c>
      <c r="AD187" s="30" t="n">
        <f aca="false">IF($L187&lt;&gt;"OK",0,(INDEX(PRESIONES!$J$28:$J$31,$U187)*IF(INDEX(PRESIONES!$J$28:$J$31,$U187)&gt;0,PRESIONES!$C$9*IF($T187&lt;=10,1,($T187/10)^(2/DATOS!$C$56)),PRESIONES!$C$15)-ABERTURAS!$L$62*PRESIONES!$C$12)*$R187/$M187)</f>
        <v>0</v>
      </c>
      <c r="AE187" s="30" t="n">
        <f aca="false">IF($L187&lt;&gt;"OK",0,(INDEX(PRESIONES!$M$28:$M$31,$U187)*IF(INDEX(PRESIONES!$M$28:$M$31,$U187)&gt;0,PRESIONES!$C$9*IF($T187&lt;=10,1,($T187/10)^(2/DATOS!$C$56)),PRESIONES!$C$15)-ABERTURAS!$L$63*PRESIONES!$C$12)*$R187/$M187)</f>
        <v>0</v>
      </c>
      <c r="AF187" s="30" t="n">
        <f aca="false">IF($L187&lt;&gt;"OK",0,(INDEX(PRESIONES!$D$28:$D$31,$U187)*IF(INDEX(PRESIONES!$D$28:$D$31,$U187)&gt;0,PRESIONES!$C$9*IF($T187&lt;=10,1,($T187/10)^(2/DATOS!$C$56)),PRESIONES!$C$15)-ABERTURAS!$L$64*PRESIONES!$C$12)*$S187/$M187)</f>
        <v>0</v>
      </c>
      <c r="AG187" s="30" t="n">
        <f aca="false">IF($L187&lt;&gt;"OK",0,(INDEX(PRESIONES!$G$28:$G$31,$U187)*IF(INDEX(PRESIONES!$G$28:$G$31,$U187)&gt;0,PRESIONES!$C$9*IF($T187&lt;=10,1,($T187/10)^(2/DATOS!$C$56)),PRESIONES!$C$15)-ABERTURAS!$L$65*PRESIONES!$C$12)*$S187/$M187)</f>
        <v>0</v>
      </c>
      <c r="AH187" s="30" t="n">
        <f aca="false">IF($L187&lt;&gt;"OK",0,(INDEX(PRESIONES!$J$28:$J$31,$U187)*IF(INDEX(PRESIONES!$J$28:$J$31,$U187)&gt;0,PRESIONES!$C$9*IF($T187&lt;=10,1,($T187/10)^(2/DATOS!$C$56)),PRESIONES!$C$15)-ABERTURAS!$L$66*PRESIONES!$C$12)*$S187/$M187)</f>
        <v>0</v>
      </c>
      <c r="AI187" s="30" t="n">
        <f aca="false">IF($L187&lt;&gt;"OK",0,(INDEX(PRESIONES!$M$28:$M$31,$U187)*IF(INDEX(PRESIONES!$M$28:$M$31,$U187)&gt;0,PRESIONES!$C$9*IF($T187&lt;=10,1,($T187/10)^(2/DATOS!$C$56)),PRESIONES!$C$15)-ABERTURAS!$L$67*PRESIONES!$C$12)*$S187/$M187)</f>
        <v>0</v>
      </c>
    </row>
    <row r="188" customFormat="false" ht="15" hidden="false" customHeight="true" outlineLevel="0" collapsed="false">
      <c r="B188" s="27"/>
      <c r="C188" s="17"/>
      <c r="D188" s="27"/>
      <c r="E188" s="17"/>
      <c r="F188" s="49"/>
      <c r="G188" s="49"/>
      <c r="H188" s="49"/>
      <c r="I188" s="49"/>
      <c r="J188" s="49"/>
      <c r="K188" s="49"/>
      <c r="L188" s="20" t="str">
        <f aca="false">IF($D188="","",IF(LEFT($C188,4)&lt;&gt;"MURO","PON EL MURO",IF(AND($E188&lt;&gt;"HORIZONTAL",$E188&lt;&gt;"VERTICAL"),"PON EL SENTIDO",IF(OR($F188="",$G188="",$H188="",$I188=""),"FALTAN a o b",IF($M188&lt;=0,"a₂ DEBE SER &gt; a₁",IF($N188&lt;=0,"b₂ DEBE SER &gt; b₁","OK"))))))</f>
        <v/>
      </c>
      <c r="M188" s="30" t="n">
        <f aca="false">IF($D188="",0,MAX(0,$G188-$F188))</f>
        <v>0</v>
      </c>
      <c r="N188" s="30" t="n">
        <f aca="false">MAX(0,$W188-$V188)</f>
        <v>0</v>
      </c>
      <c r="O188" s="30" t="n">
        <f aca="false">$M188*$N188</f>
        <v>0</v>
      </c>
      <c r="P188" s="30" t="n">
        <f aca="false">IF($U188=0,0,SUMPRODUCT((ABERTURAS!$N$7:$N$26=$U188)*ABERTURAS!$U$7:$U$26*(((($Y188)+(ABERTURAS!$P$7:$P$26)-ABS(($Y188)-(ABERTURAS!$P$7:$P$26)))/2-(($X188)+(ABERTURAS!$O$7:$O$26)+ABS(($X188)-(ABERTURAS!$O$7:$O$26)))/2)+ABS((($Y188)+(ABERTURAS!$P$7:$P$26)-ABS(($Y188)-(ABERTURAS!$P$7:$P$26)))/2-(($X188)+(ABERTURAS!$O$7:$O$26)+ABS(($X188)-(ABERTURAS!$O$7:$O$26)))/2))/2*(((($AA188)+(ABERTURAS!$R$7:$R$26)-ABS(($AA188)-(ABERTURAS!$R$7:$R$26)))/2-(($Z188)+(ABERTURAS!$Q$7:$Q$26)+ABS(($Z188)-(ABERTURAS!$Q$7:$Q$26)))/2)+ABS((($AA188)+(ABERTURAS!$R$7:$R$26)-ABS(($AA188)-(ABERTURAS!$R$7:$R$26)))/2-(($Z188)+(ABERTURAS!$Q$7:$Q$26)+ABS(($Z188)-(ABERTURAS!$Q$7:$Q$26)))/2))/2))</f>
        <v>0</v>
      </c>
      <c r="Q188" s="30" t="n">
        <f aca="false">IF($U188=0,0,SUMPRODUCT((ABERTURAS!$N$7:$N$26=$U188)*ABERTURAS!$V$7:$V$26*(((($Y188)+(ABERTURAS!$P$7:$P$26)-ABS(($Y188)-(ABERTURAS!$P$7:$P$26)))/2-(($X188)+(ABERTURAS!$O$7:$O$26)+ABS(($X188)-(ABERTURAS!$O$7:$O$26)))/2)+ABS((($Y188)+(ABERTURAS!$P$7:$P$26)-ABS(($Y188)-(ABERTURAS!$P$7:$P$26)))/2-(($X188)+(ABERTURAS!$O$7:$O$26)+ABS(($X188)-(ABERTURAS!$O$7:$O$26)))/2))/2*(((($AA188)+(ABERTURAS!$R$7:$R$26)-ABS(($AA188)-(ABERTURAS!$R$7:$R$26)))/2-(($Z188)+(ABERTURAS!$Q$7:$Q$26)+ABS(($Z188)-(ABERTURAS!$Q$7:$Q$26)))/2)+ABS((($AA188)+(ABERTURAS!$R$7:$R$26)-ABS(($AA188)-(ABERTURAS!$R$7:$R$26)))/2-(($Z188)+(ABERTURAS!$Q$7:$Q$26)+ABS(($Z188)-(ABERTURAS!$Q$7:$Q$26)))/2))/2))</f>
        <v>0</v>
      </c>
      <c r="R188" s="30" t="n">
        <f aca="false">MAX(0,$O188-$P188)</f>
        <v>0</v>
      </c>
      <c r="S188" s="30" t="n">
        <f aca="false">MAX(0,$O188-$Q188)</f>
        <v>0</v>
      </c>
      <c r="T188" s="50" t="n">
        <f aca="false">IF($D188="",0,IF($E188="VERTICAL",N($G188),MAX(N($I188),IF($K188="",N($I188),$K188))))</f>
        <v>0</v>
      </c>
      <c r="U188" s="50" t="n">
        <f aca="false">IF($L188&lt;&gt;"OK",0,VALUE(RIGHT($C188,1)))</f>
        <v>0</v>
      </c>
      <c r="V188" s="50" t="n">
        <f aca="false">IF($D188="",0,(N($H188)+IF($J188="",N($H188),$J188))/2)</f>
        <v>0</v>
      </c>
      <c r="W188" s="50" t="n">
        <f aca="false">IF($D188="",0,(N($I188)+IF($K188="",N($I188),$K188))/2)</f>
        <v>0</v>
      </c>
      <c r="X188" s="50" t="n">
        <f aca="false">IF($E188="VERTICAL",$V188,N($F188))</f>
        <v>0</v>
      </c>
      <c r="Y188" s="50" t="n">
        <f aca="false">IF($E188="VERTICAL",$W188,N($G188))</f>
        <v>0</v>
      </c>
      <c r="Z188" s="50" t="n">
        <f aca="false">IF($E188="VERTICAL",N($F188),$V188)</f>
        <v>0</v>
      </c>
      <c r="AA188" s="50" t="n">
        <f aca="false">IF($E188="VERTICAL",N($G188),$W188)</f>
        <v>0</v>
      </c>
      <c r="AB188" s="30" t="n">
        <f aca="false">IF($L188&lt;&gt;"OK",0,(INDEX(PRESIONES!$D$28:$D$31,$U188)*IF(INDEX(PRESIONES!$D$28:$D$31,$U188)&gt;0,PRESIONES!$C$9*IF($T188&lt;=10,1,($T188/10)^(2/DATOS!$C$56)),PRESIONES!$C$15)-ABERTURAS!$L$60*PRESIONES!$C$12)*$R188/$M188)</f>
        <v>0</v>
      </c>
      <c r="AC188" s="30" t="n">
        <f aca="false">IF($L188&lt;&gt;"OK",0,(INDEX(PRESIONES!$G$28:$G$31,$U188)*IF(INDEX(PRESIONES!$G$28:$G$31,$U188)&gt;0,PRESIONES!$C$9*IF($T188&lt;=10,1,($T188/10)^(2/DATOS!$C$56)),PRESIONES!$C$15)-ABERTURAS!$L$61*PRESIONES!$C$12)*$R188/$M188)</f>
        <v>0</v>
      </c>
      <c r="AD188" s="30" t="n">
        <f aca="false">IF($L188&lt;&gt;"OK",0,(INDEX(PRESIONES!$J$28:$J$31,$U188)*IF(INDEX(PRESIONES!$J$28:$J$31,$U188)&gt;0,PRESIONES!$C$9*IF($T188&lt;=10,1,($T188/10)^(2/DATOS!$C$56)),PRESIONES!$C$15)-ABERTURAS!$L$62*PRESIONES!$C$12)*$R188/$M188)</f>
        <v>0</v>
      </c>
      <c r="AE188" s="30" t="n">
        <f aca="false">IF($L188&lt;&gt;"OK",0,(INDEX(PRESIONES!$M$28:$M$31,$U188)*IF(INDEX(PRESIONES!$M$28:$M$31,$U188)&gt;0,PRESIONES!$C$9*IF($T188&lt;=10,1,($T188/10)^(2/DATOS!$C$56)),PRESIONES!$C$15)-ABERTURAS!$L$63*PRESIONES!$C$12)*$R188/$M188)</f>
        <v>0</v>
      </c>
      <c r="AF188" s="30" t="n">
        <f aca="false">IF($L188&lt;&gt;"OK",0,(INDEX(PRESIONES!$D$28:$D$31,$U188)*IF(INDEX(PRESIONES!$D$28:$D$31,$U188)&gt;0,PRESIONES!$C$9*IF($T188&lt;=10,1,($T188/10)^(2/DATOS!$C$56)),PRESIONES!$C$15)-ABERTURAS!$L$64*PRESIONES!$C$12)*$S188/$M188)</f>
        <v>0</v>
      </c>
      <c r="AG188" s="30" t="n">
        <f aca="false">IF($L188&lt;&gt;"OK",0,(INDEX(PRESIONES!$G$28:$G$31,$U188)*IF(INDEX(PRESIONES!$G$28:$G$31,$U188)&gt;0,PRESIONES!$C$9*IF($T188&lt;=10,1,($T188/10)^(2/DATOS!$C$56)),PRESIONES!$C$15)-ABERTURAS!$L$65*PRESIONES!$C$12)*$S188/$M188)</f>
        <v>0</v>
      </c>
      <c r="AH188" s="30" t="n">
        <f aca="false">IF($L188&lt;&gt;"OK",0,(INDEX(PRESIONES!$J$28:$J$31,$U188)*IF(INDEX(PRESIONES!$J$28:$J$31,$U188)&gt;0,PRESIONES!$C$9*IF($T188&lt;=10,1,($T188/10)^(2/DATOS!$C$56)),PRESIONES!$C$15)-ABERTURAS!$L$66*PRESIONES!$C$12)*$S188/$M188)</f>
        <v>0</v>
      </c>
      <c r="AI188" s="30" t="n">
        <f aca="false">IF($L188&lt;&gt;"OK",0,(INDEX(PRESIONES!$M$28:$M$31,$U188)*IF(INDEX(PRESIONES!$M$28:$M$31,$U188)&gt;0,PRESIONES!$C$9*IF($T188&lt;=10,1,($T188/10)^(2/DATOS!$C$56)),PRESIONES!$C$15)-ABERTURAS!$L$67*PRESIONES!$C$12)*$S188/$M188)</f>
        <v>0</v>
      </c>
    </row>
    <row r="189" customFormat="false" ht="15" hidden="false" customHeight="true" outlineLevel="0" collapsed="false">
      <c r="B189" s="27"/>
      <c r="C189" s="17"/>
      <c r="D189" s="27"/>
      <c r="E189" s="17"/>
      <c r="F189" s="49"/>
      <c r="G189" s="49"/>
      <c r="H189" s="49"/>
      <c r="I189" s="49"/>
      <c r="J189" s="49"/>
      <c r="K189" s="49"/>
      <c r="L189" s="20" t="str">
        <f aca="false">IF($D189="","",IF(LEFT($C189,4)&lt;&gt;"MURO","PON EL MURO",IF(AND($E189&lt;&gt;"HORIZONTAL",$E189&lt;&gt;"VERTICAL"),"PON EL SENTIDO",IF(OR($F189="",$G189="",$H189="",$I189=""),"FALTAN a o b",IF($M189&lt;=0,"a₂ DEBE SER &gt; a₁",IF($N189&lt;=0,"b₂ DEBE SER &gt; b₁","OK"))))))</f>
        <v/>
      </c>
      <c r="M189" s="30" t="n">
        <f aca="false">IF($D189="",0,MAX(0,$G189-$F189))</f>
        <v>0</v>
      </c>
      <c r="N189" s="30" t="n">
        <f aca="false">MAX(0,$W189-$V189)</f>
        <v>0</v>
      </c>
      <c r="O189" s="30" t="n">
        <f aca="false">$M189*$N189</f>
        <v>0</v>
      </c>
      <c r="P189" s="30" t="n">
        <f aca="false">IF($U189=0,0,SUMPRODUCT((ABERTURAS!$N$7:$N$26=$U189)*ABERTURAS!$U$7:$U$26*(((($Y189)+(ABERTURAS!$P$7:$P$26)-ABS(($Y189)-(ABERTURAS!$P$7:$P$26)))/2-(($X189)+(ABERTURAS!$O$7:$O$26)+ABS(($X189)-(ABERTURAS!$O$7:$O$26)))/2)+ABS((($Y189)+(ABERTURAS!$P$7:$P$26)-ABS(($Y189)-(ABERTURAS!$P$7:$P$26)))/2-(($X189)+(ABERTURAS!$O$7:$O$26)+ABS(($X189)-(ABERTURAS!$O$7:$O$26)))/2))/2*(((($AA189)+(ABERTURAS!$R$7:$R$26)-ABS(($AA189)-(ABERTURAS!$R$7:$R$26)))/2-(($Z189)+(ABERTURAS!$Q$7:$Q$26)+ABS(($Z189)-(ABERTURAS!$Q$7:$Q$26)))/2)+ABS((($AA189)+(ABERTURAS!$R$7:$R$26)-ABS(($AA189)-(ABERTURAS!$R$7:$R$26)))/2-(($Z189)+(ABERTURAS!$Q$7:$Q$26)+ABS(($Z189)-(ABERTURAS!$Q$7:$Q$26)))/2))/2))</f>
        <v>0</v>
      </c>
      <c r="Q189" s="30" t="n">
        <f aca="false">IF($U189=0,0,SUMPRODUCT((ABERTURAS!$N$7:$N$26=$U189)*ABERTURAS!$V$7:$V$26*(((($Y189)+(ABERTURAS!$P$7:$P$26)-ABS(($Y189)-(ABERTURAS!$P$7:$P$26)))/2-(($X189)+(ABERTURAS!$O$7:$O$26)+ABS(($X189)-(ABERTURAS!$O$7:$O$26)))/2)+ABS((($Y189)+(ABERTURAS!$P$7:$P$26)-ABS(($Y189)-(ABERTURAS!$P$7:$P$26)))/2-(($X189)+(ABERTURAS!$O$7:$O$26)+ABS(($X189)-(ABERTURAS!$O$7:$O$26)))/2))/2*(((($AA189)+(ABERTURAS!$R$7:$R$26)-ABS(($AA189)-(ABERTURAS!$R$7:$R$26)))/2-(($Z189)+(ABERTURAS!$Q$7:$Q$26)+ABS(($Z189)-(ABERTURAS!$Q$7:$Q$26)))/2)+ABS((($AA189)+(ABERTURAS!$R$7:$R$26)-ABS(($AA189)-(ABERTURAS!$R$7:$R$26)))/2-(($Z189)+(ABERTURAS!$Q$7:$Q$26)+ABS(($Z189)-(ABERTURAS!$Q$7:$Q$26)))/2))/2))</f>
        <v>0</v>
      </c>
      <c r="R189" s="30" t="n">
        <f aca="false">MAX(0,$O189-$P189)</f>
        <v>0</v>
      </c>
      <c r="S189" s="30" t="n">
        <f aca="false">MAX(0,$O189-$Q189)</f>
        <v>0</v>
      </c>
      <c r="T189" s="50" t="n">
        <f aca="false">IF($D189="",0,IF($E189="VERTICAL",N($G189),MAX(N($I189),IF($K189="",N($I189),$K189))))</f>
        <v>0</v>
      </c>
      <c r="U189" s="50" t="n">
        <f aca="false">IF($L189&lt;&gt;"OK",0,VALUE(RIGHT($C189,1)))</f>
        <v>0</v>
      </c>
      <c r="V189" s="50" t="n">
        <f aca="false">IF($D189="",0,(N($H189)+IF($J189="",N($H189),$J189))/2)</f>
        <v>0</v>
      </c>
      <c r="W189" s="50" t="n">
        <f aca="false">IF($D189="",0,(N($I189)+IF($K189="",N($I189),$K189))/2)</f>
        <v>0</v>
      </c>
      <c r="X189" s="50" t="n">
        <f aca="false">IF($E189="VERTICAL",$V189,N($F189))</f>
        <v>0</v>
      </c>
      <c r="Y189" s="50" t="n">
        <f aca="false">IF($E189="VERTICAL",$W189,N($G189))</f>
        <v>0</v>
      </c>
      <c r="Z189" s="50" t="n">
        <f aca="false">IF($E189="VERTICAL",N($F189),$V189)</f>
        <v>0</v>
      </c>
      <c r="AA189" s="50" t="n">
        <f aca="false">IF($E189="VERTICAL",N($G189),$W189)</f>
        <v>0</v>
      </c>
      <c r="AB189" s="30" t="n">
        <f aca="false">IF($L189&lt;&gt;"OK",0,(INDEX(PRESIONES!$D$28:$D$31,$U189)*IF(INDEX(PRESIONES!$D$28:$D$31,$U189)&gt;0,PRESIONES!$C$9*IF($T189&lt;=10,1,($T189/10)^(2/DATOS!$C$56)),PRESIONES!$C$15)-ABERTURAS!$L$60*PRESIONES!$C$12)*$R189/$M189)</f>
        <v>0</v>
      </c>
      <c r="AC189" s="30" t="n">
        <f aca="false">IF($L189&lt;&gt;"OK",0,(INDEX(PRESIONES!$G$28:$G$31,$U189)*IF(INDEX(PRESIONES!$G$28:$G$31,$U189)&gt;0,PRESIONES!$C$9*IF($T189&lt;=10,1,($T189/10)^(2/DATOS!$C$56)),PRESIONES!$C$15)-ABERTURAS!$L$61*PRESIONES!$C$12)*$R189/$M189)</f>
        <v>0</v>
      </c>
      <c r="AD189" s="30" t="n">
        <f aca="false">IF($L189&lt;&gt;"OK",0,(INDEX(PRESIONES!$J$28:$J$31,$U189)*IF(INDEX(PRESIONES!$J$28:$J$31,$U189)&gt;0,PRESIONES!$C$9*IF($T189&lt;=10,1,($T189/10)^(2/DATOS!$C$56)),PRESIONES!$C$15)-ABERTURAS!$L$62*PRESIONES!$C$12)*$R189/$M189)</f>
        <v>0</v>
      </c>
      <c r="AE189" s="30" t="n">
        <f aca="false">IF($L189&lt;&gt;"OK",0,(INDEX(PRESIONES!$M$28:$M$31,$U189)*IF(INDEX(PRESIONES!$M$28:$M$31,$U189)&gt;0,PRESIONES!$C$9*IF($T189&lt;=10,1,($T189/10)^(2/DATOS!$C$56)),PRESIONES!$C$15)-ABERTURAS!$L$63*PRESIONES!$C$12)*$R189/$M189)</f>
        <v>0</v>
      </c>
      <c r="AF189" s="30" t="n">
        <f aca="false">IF($L189&lt;&gt;"OK",0,(INDEX(PRESIONES!$D$28:$D$31,$U189)*IF(INDEX(PRESIONES!$D$28:$D$31,$U189)&gt;0,PRESIONES!$C$9*IF($T189&lt;=10,1,($T189/10)^(2/DATOS!$C$56)),PRESIONES!$C$15)-ABERTURAS!$L$64*PRESIONES!$C$12)*$S189/$M189)</f>
        <v>0</v>
      </c>
      <c r="AG189" s="30" t="n">
        <f aca="false">IF($L189&lt;&gt;"OK",0,(INDEX(PRESIONES!$G$28:$G$31,$U189)*IF(INDEX(PRESIONES!$G$28:$G$31,$U189)&gt;0,PRESIONES!$C$9*IF($T189&lt;=10,1,($T189/10)^(2/DATOS!$C$56)),PRESIONES!$C$15)-ABERTURAS!$L$65*PRESIONES!$C$12)*$S189/$M189)</f>
        <v>0</v>
      </c>
      <c r="AH189" s="30" t="n">
        <f aca="false">IF($L189&lt;&gt;"OK",0,(INDEX(PRESIONES!$J$28:$J$31,$U189)*IF(INDEX(PRESIONES!$J$28:$J$31,$U189)&gt;0,PRESIONES!$C$9*IF($T189&lt;=10,1,($T189/10)^(2/DATOS!$C$56)),PRESIONES!$C$15)-ABERTURAS!$L$66*PRESIONES!$C$12)*$S189/$M189)</f>
        <v>0</v>
      </c>
      <c r="AI189" s="30" t="n">
        <f aca="false">IF($L189&lt;&gt;"OK",0,(INDEX(PRESIONES!$M$28:$M$31,$U189)*IF(INDEX(PRESIONES!$M$28:$M$31,$U189)&gt;0,PRESIONES!$C$9*IF($T189&lt;=10,1,($T189/10)^(2/DATOS!$C$56)),PRESIONES!$C$15)-ABERTURAS!$L$67*PRESIONES!$C$12)*$S189/$M189)</f>
        <v>0</v>
      </c>
    </row>
    <row r="190" customFormat="false" ht="15" hidden="false" customHeight="true" outlineLevel="0" collapsed="false">
      <c r="B190" s="27"/>
      <c r="C190" s="17"/>
      <c r="D190" s="27"/>
      <c r="E190" s="17"/>
      <c r="F190" s="49"/>
      <c r="G190" s="49"/>
      <c r="H190" s="49"/>
      <c r="I190" s="49"/>
      <c r="J190" s="49"/>
      <c r="K190" s="49"/>
      <c r="L190" s="20" t="str">
        <f aca="false">IF($D190="","",IF(LEFT($C190,4)&lt;&gt;"MURO","PON EL MURO",IF(AND($E190&lt;&gt;"HORIZONTAL",$E190&lt;&gt;"VERTICAL"),"PON EL SENTIDO",IF(OR($F190="",$G190="",$H190="",$I190=""),"FALTAN a o b",IF($M190&lt;=0,"a₂ DEBE SER &gt; a₁",IF($N190&lt;=0,"b₂ DEBE SER &gt; b₁","OK"))))))</f>
        <v/>
      </c>
      <c r="M190" s="30" t="n">
        <f aca="false">IF($D190="",0,MAX(0,$G190-$F190))</f>
        <v>0</v>
      </c>
      <c r="N190" s="30" t="n">
        <f aca="false">MAX(0,$W190-$V190)</f>
        <v>0</v>
      </c>
      <c r="O190" s="30" t="n">
        <f aca="false">$M190*$N190</f>
        <v>0</v>
      </c>
      <c r="P190" s="30" t="n">
        <f aca="false">IF($U190=0,0,SUMPRODUCT((ABERTURAS!$N$7:$N$26=$U190)*ABERTURAS!$U$7:$U$26*(((($Y190)+(ABERTURAS!$P$7:$P$26)-ABS(($Y190)-(ABERTURAS!$P$7:$P$26)))/2-(($X190)+(ABERTURAS!$O$7:$O$26)+ABS(($X190)-(ABERTURAS!$O$7:$O$26)))/2)+ABS((($Y190)+(ABERTURAS!$P$7:$P$26)-ABS(($Y190)-(ABERTURAS!$P$7:$P$26)))/2-(($X190)+(ABERTURAS!$O$7:$O$26)+ABS(($X190)-(ABERTURAS!$O$7:$O$26)))/2))/2*(((($AA190)+(ABERTURAS!$R$7:$R$26)-ABS(($AA190)-(ABERTURAS!$R$7:$R$26)))/2-(($Z190)+(ABERTURAS!$Q$7:$Q$26)+ABS(($Z190)-(ABERTURAS!$Q$7:$Q$26)))/2)+ABS((($AA190)+(ABERTURAS!$R$7:$R$26)-ABS(($AA190)-(ABERTURAS!$R$7:$R$26)))/2-(($Z190)+(ABERTURAS!$Q$7:$Q$26)+ABS(($Z190)-(ABERTURAS!$Q$7:$Q$26)))/2))/2))</f>
        <v>0</v>
      </c>
      <c r="Q190" s="30" t="n">
        <f aca="false">IF($U190=0,0,SUMPRODUCT((ABERTURAS!$N$7:$N$26=$U190)*ABERTURAS!$V$7:$V$26*(((($Y190)+(ABERTURAS!$P$7:$P$26)-ABS(($Y190)-(ABERTURAS!$P$7:$P$26)))/2-(($X190)+(ABERTURAS!$O$7:$O$26)+ABS(($X190)-(ABERTURAS!$O$7:$O$26)))/2)+ABS((($Y190)+(ABERTURAS!$P$7:$P$26)-ABS(($Y190)-(ABERTURAS!$P$7:$P$26)))/2-(($X190)+(ABERTURAS!$O$7:$O$26)+ABS(($X190)-(ABERTURAS!$O$7:$O$26)))/2))/2*(((($AA190)+(ABERTURAS!$R$7:$R$26)-ABS(($AA190)-(ABERTURAS!$R$7:$R$26)))/2-(($Z190)+(ABERTURAS!$Q$7:$Q$26)+ABS(($Z190)-(ABERTURAS!$Q$7:$Q$26)))/2)+ABS((($AA190)+(ABERTURAS!$R$7:$R$26)-ABS(($AA190)-(ABERTURAS!$R$7:$R$26)))/2-(($Z190)+(ABERTURAS!$Q$7:$Q$26)+ABS(($Z190)-(ABERTURAS!$Q$7:$Q$26)))/2))/2))</f>
        <v>0</v>
      </c>
      <c r="R190" s="30" t="n">
        <f aca="false">MAX(0,$O190-$P190)</f>
        <v>0</v>
      </c>
      <c r="S190" s="30" t="n">
        <f aca="false">MAX(0,$O190-$Q190)</f>
        <v>0</v>
      </c>
      <c r="T190" s="50" t="n">
        <f aca="false">IF($D190="",0,IF($E190="VERTICAL",N($G190),MAX(N($I190),IF($K190="",N($I190),$K190))))</f>
        <v>0</v>
      </c>
      <c r="U190" s="50" t="n">
        <f aca="false">IF($L190&lt;&gt;"OK",0,VALUE(RIGHT($C190,1)))</f>
        <v>0</v>
      </c>
      <c r="V190" s="50" t="n">
        <f aca="false">IF($D190="",0,(N($H190)+IF($J190="",N($H190),$J190))/2)</f>
        <v>0</v>
      </c>
      <c r="W190" s="50" t="n">
        <f aca="false">IF($D190="",0,(N($I190)+IF($K190="",N($I190),$K190))/2)</f>
        <v>0</v>
      </c>
      <c r="X190" s="50" t="n">
        <f aca="false">IF($E190="VERTICAL",$V190,N($F190))</f>
        <v>0</v>
      </c>
      <c r="Y190" s="50" t="n">
        <f aca="false">IF($E190="VERTICAL",$W190,N($G190))</f>
        <v>0</v>
      </c>
      <c r="Z190" s="50" t="n">
        <f aca="false">IF($E190="VERTICAL",N($F190),$V190)</f>
        <v>0</v>
      </c>
      <c r="AA190" s="50" t="n">
        <f aca="false">IF($E190="VERTICAL",N($G190),$W190)</f>
        <v>0</v>
      </c>
      <c r="AB190" s="30" t="n">
        <f aca="false">IF($L190&lt;&gt;"OK",0,(INDEX(PRESIONES!$D$28:$D$31,$U190)*IF(INDEX(PRESIONES!$D$28:$D$31,$U190)&gt;0,PRESIONES!$C$9*IF($T190&lt;=10,1,($T190/10)^(2/DATOS!$C$56)),PRESIONES!$C$15)-ABERTURAS!$L$60*PRESIONES!$C$12)*$R190/$M190)</f>
        <v>0</v>
      </c>
      <c r="AC190" s="30" t="n">
        <f aca="false">IF($L190&lt;&gt;"OK",0,(INDEX(PRESIONES!$G$28:$G$31,$U190)*IF(INDEX(PRESIONES!$G$28:$G$31,$U190)&gt;0,PRESIONES!$C$9*IF($T190&lt;=10,1,($T190/10)^(2/DATOS!$C$56)),PRESIONES!$C$15)-ABERTURAS!$L$61*PRESIONES!$C$12)*$R190/$M190)</f>
        <v>0</v>
      </c>
      <c r="AD190" s="30" t="n">
        <f aca="false">IF($L190&lt;&gt;"OK",0,(INDEX(PRESIONES!$J$28:$J$31,$U190)*IF(INDEX(PRESIONES!$J$28:$J$31,$U190)&gt;0,PRESIONES!$C$9*IF($T190&lt;=10,1,($T190/10)^(2/DATOS!$C$56)),PRESIONES!$C$15)-ABERTURAS!$L$62*PRESIONES!$C$12)*$R190/$M190)</f>
        <v>0</v>
      </c>
      <c r="AE190" s="30" t="n">
        <f aca="false">IF($L190&lt;&gt;"OK",0,(INDEX(PRESIONES!$M$28:$M$31,$U190)*IF(INDEX(PRESIONES!$M$28:$M$31,$U190)&gt;0,PRESIONES!$C$9*IF($T190&lt;=10,1,($T190/10)^(2/DATOS!$C$56)),PRESIONES!$C$15)-ABERTURAS!$L$63*PRESIONES!$C$12)*$R190/$M190)</f>
        <v>0</v>
      </c>
      <c r="AF190" s="30" t="n">
        <f aca="false">IF($L190&lt;&gt;"OK",0,(INDEX(PRESIONES!$D$28:$D$31,$U190)*IF(INDEX(PRESIONES!$D$28:$D$31,$U190)&gt;0,PRESIONES!$C$9*IF($T190&lt;=10,1,($T190/10)^(2/DATOS!$C$56)),PRESIONES!$C$15)-ABERTURAS!$L$64*PRESIONES!$C$12)*$S190/$M190)</f>
        <v>0</v>
      </c>
      <c r="AG190" s="30" t="n">
        <f aca="false">IF($L190&lt;&gt;"OK",0,(INDEX(PRESIONES!$G$28:$G$31,$U190)*IF(INDEX(PRESIONES!$G$28:$G$31,$U190)&gt;0,PRESIONES!$C$9*IF($T190&lt;=10,1,($T190/10)^(2/DATOS!$C$56)),PRESIONES!$C$15)-ABERTURAS!$L$65*PRESIONES!$C$12)*$S190/$M190)</f>
        <v>0</v>
      </c>
      <c r="AH190" s="30" t="n">
        <f aca="false">IF($L190&lt;&gt;"OK",0,(INDEX(PRESIONES!$J$28:$J$31,$U190)*IF(INDEX(PRESIONES!$J$28:$J$31,$U190)&gt;0,PRESIONES!$C$9*IF($T190&lt;=10,1,($T190/10)^(2/DATOS!$C$56)),PRESIONES!$C$15)-ABERTURAS!$L$66*PRESIONES!$C$12)*$S190/$M190)</f>
        <v>0</v>
      </c>
      <c r="AI190" s="30" t="n">
        <f aca="false">IF($L190&lt;&gt;"OK",0,(INDEX(PRESIONES!$M$28:$M$31,$U190)*IF(INDEX(PRESIONES!$M$28:$M$31,$U190)&gt;0,PRESIONES!$C$9*IF($T190&lt;=10,1,($T190/10)^(2/DATOS!$C$56)),PRESIONES!$C$15)-ABERTURAS!$L$67*PRESIONES!$C$12)*$S190/$M190)</f>
        <v>0</v>
      </c>
    </row>
    <row r="191" customFormat="false" ht="15" hidden="false" customHeight="true" outlineLevel="0" collapsed="false">
      <c r="B191" s="27"/>
      <c r="C191" s="17"/>
      <c r="D191" s="27"/>
      <c r="E191" s="17"/>
      <c r="F191" s="49"/>
      <c r="G191" s="49"/>
      <c r="H191" s="49"/>
      <c r="I191" s="49"/>
      <c r="J191" s="49"/>
      <c r="K191" s="49"/>
      <c r="L191" s="20" t="str">
        <f aca="false">IF($D191="","",IF(LEFT($C191,4)&lt;&gt;"MURO","PON EL MURO",IF(AND($E191&lt;&gt;"HORIZONTAL",$E191&lt;&gt;"VERTICAL"),"PON EL SENTIDO",IF(OR($F191="",$G191="",$H191="",$I191=""),"FALTAN a o b",IF($M191&lt;=0,"a₂ DEBE SER &gt; a₁",IF($N191&lt;=0,"b₂ DEBE SER &gt; b₁","OK"))))))</f>
        <v/>
      </c>
      <c r="M191" s="30" t="n">
        <f aca="false">IF($D191="",0,MAX(0,$G191-$F191))</f>
        <v>0</v>
      </c>
      <c r="N191" s="30" t="n">
        <f aca="false">MAX(0,$W191-$V191)</f>
        <v>0</v>
      </c>
      <c r="O191" s="30" t="n">
        <f aca="false">$M191*$N191</f>
        <v>0</v>
      </c>
      <c r="P191" s="30" t="n">
        <f aca="false">IF($U191=0,0,SUMPRODUCT((ABERTURAS!$N$7:$N$26=$U191)*ABERTURAS!$U$7:$U$26*(((($Y191)+(ABERTURAS!$P$7:$P$26)-ABS(($Y191)-(ABERTURAS!$P$7:$P$26)))/2-(($X191)+(ABERTURAS!$O$7:$O$26)+ABS(($X191)-(ABERTURAS!$O$7:$O$26)))/2)+ABS((($Y191)+(ABERTURAS!$P$7:$P$26)-ABS(($Y191)-(ABERTURAS!$P$7:$P$26)))/2-(($X191)+(ABERTURAS!$O$7:$O$26)+ABS(($X191)-(ABERTURAS!$O$7:$O$26)))/2))/2*(((($AA191)+(ABERTURAS!$R$7:$R$26)-ABS(($AA191)-(ABERTURAS!$R$7:$R$26)))/2-(($Z191)+(ABERTURAS!$Q$7:$Q$26)+ABS(($Z191)-(ABERTURAS!$Q$7:$Q$26)))/2)+ABS((($AA191)+(ABERTURAS!$R$7:$R$26)-ABS(($AA191)-(ABERTURAS!$R$7:$R$26)))/2-(($Z191)+(ABERTURAS!$Q$7:$Q$26)+ABS(($Z191)-(ABERTURAS!$Q$7:$Q$26)))/2))/2))</f>
        <v>0</v>
      </c>
      <c r="Q191" s="30" t="n">
        <f aca="false">IF($U191=0,0,SUMPRODUCT((ABERTURAS!$N$7:$N$26=$U191)*ABERTURAS!$V$7:$V$26*(((($Y191)+(ABERTURAS!$P$7:$P$26)-ABS(($Y191)-(ABERTURAS!$P$7:$P$26)))/2-(($X191)+(ABERTURAS!$O$7:$O$26)+ABS(($X191)-(ABERTURAS!$O$7:$O$26)))/2)+ABS((($Y191)+(ABERTURAS!$P$7:$P$26)-ABS(($Y191)-(ABERTURAS!$P$7:$P$26)))/2-(($X191)+(ABERTURAS!$O$7:$O$26)+ABS(($X191)-(ABERTURAS!$O$7:$O$26)))/2))/2*(((($AA191)+(ABERTURAS!$R$7:$R$26)-ABS(($AA191)-(ABERTURAS!$R$7:$R$26)))/2-(($Z191)+(ABERTURAS!$Q$7:$Q$26)+ABS(($Z191)-(ABERTURAS!$Q$7:$Q$26)))/2)+ABS((($AA191)+(ABERTURAS!$R$7:$R$26)-ABS(($AA191)-(ABERTURAS!$R$7:$R$26)))/2-(($Z191)+(ABERTURAS!$Q$7:$Q$26)+ABS(($Z191)-(ABERTURAS!$Q$7:$Q$26)))/2))/2))</f>
        <v>0</v>
      </c>
      <c r="R191" s="30" t="n">
        <f aca="false">MAX(0,$O191-$P191)</f>
        <v>0</v>
      </c>
      <c r="S191" s="30" t="n">
        <f aca="false">MAX(0,$O191-$Q191)</f>
        <v>0</v>
      </c>
      <c r="T191" s="50" t="n">
        <f aca="false">IF($D191="",0,IF($E191="VERTICAL",N($G191),MAX(N($I191),IF($K191="",N($I191),$K191))))</f>
        <v>0</v>
      </c>
      <c r="U191" s="50" t="n">
        <f aca="false">IF($L191&lt;&gt;"OK",0,VALUE(RIGHT($C191,1)))</f>
        <v>0</v>
      </c>
      <c r="V191" s="50" t="n">
        <f aca="false">IF($D191="",0,(N($H191)+IF($J191="",N($H191),$J191))/2)</f>
        <v>0</v>
      </c>
      <c r="W191" s="50" t="n">
        <f aca="false">IF($D191="",0,(N($I191)+IF($K191="",N($I191),$K191))/2)</f>
        <v>0</v>
      </c>
      <c r="X191" s="50" t="n">
        <f aca="false">IF($E191="VERTICAL",$V191,N($F191))</f>
        <v>0</v>
      </c>
      <c r="Y191" s="50" t="n">
        <f aca="false">IF($E191="VERTICAL",$W191,N($G191))</f>
        <v>0</v>
      </c>
      <c r="Z191" s="50" t="n">
        <f aca="false">IF($E191="VERTICAL",N($F191),$V191)</f>
        <v>0</v>
      </c>
      <c r="AA191" s="50" t="n">
        <f aca="false">IF($E191="VERTICAL",N($G191),$W191)</f>
        <v>0</v>
      </c>
      <c r="AB191" s="30" t="n">
        <f aca="false">IF($L191&lt;&gt;"OK",0,(INDEX(PRESIONES!$D$28:$D$31,$U191)*IF(INDEX(PRESIONES!$D$28:$D$31,$U191)&gt;0,PRESIONES!$C$9*IF($T191&lt;=10,1,($T191/10)^(2/DATOS!$C$56)),PRESIONES!$C$15)-ABERTURAS!$L$60*PRESIONES!$C$12)*$R191/$M191)</f>
        <v>0</v>
      </c>
      <c r="AC191" s="30" t="n">
        <f aca="false">IF($L191&lt;&gt;"OK",0,(INDEX(PRESIONES!$G$28:$G$31,$U191)*IF(INDEX(PRESIONES!$G$28:$G$31,$U191)&gt;0,PRESIONES!$C$9*IF($T191&lt;=10,1,($T191/10)^(2/DATOS!$C$56)),PRESIONES!$C$15)-ABERTURAS!$L$61*PRESIONES!$C$12)*$R191/$M191)</f>
        <v>0</v>
      </c>
      <c r="AD191" s="30" t="n">
        <f aca="false">IF($L191&lt;&gt;"OK",0,(INDEX(PRESIONES!$J$28:$J$31,$U191)*IF(INDEX(PRESIONES!$J$28:$J$31,$U191)&gt;0,PRESIONES!$C$9*IF($T191&lt;=10,1,($T191/10)^(2/DATOS!$C$56)),PRESIONES!$C$15)-ABERTURAS!$L$62*PRESIONES!$C$12)*$R191/$M191)</f>
        <v>0</v>
      </c>
      <c r="AE191" s="30" t="n">
        <f aca="false">IF($L191&lt;&gt;"OK",0,(INDEX(PRESIONES!$M$28:$M$31,$U191)*IF(INDEX(PRESIONES!$M$28:$M$31,$U191)&gt;0,PRESIONES!$C$9*IF($T191&lt;=10,1,($T191/10)^(2/DATOS!$C$56)),PRESIONES!$C$15)-ABERTURAS!$L$63*PRESIONES!$C$12)*$R191/$M191)</f>
        <v>0</v>
      </c>
      <c r="AF191" s="30" t="n">
        <f aca="false">IF($L191&lt;&gt;"OK",0,(INDEX(PRESIONES!$D$28:$D$31,$U191)*IF(INDEX(PRESIONES!$D$28:$D$31,$U191)&gt;0,PRESIONES!$C$9*IF($T191&lt;=10,1,($T191/10)^(2/DATOS!$C$56)),PRESIONES!$C$15)-ABERTURAS!$L$64*PRESIONES!$C$12)*$S191/$M191)</f>
        <v>0</v>
      </c>
      <c r="AG191" s="30" t="n">
        <f aca="false">IF($L191&lt;&gt;"OK",0,(INDEX(PRESIONES!$G$28:$G$31,$U191)*IF(INDEX(PRESIONES!$G$28:$G$31,$U191)&gt;0,PRESIONES!$C$9*IF($T191&lt;=10,1,($T191/10)^(2/DATOS!$C$56)),PRESIONES!$C$15)-ABERTURAS!$L$65*PRESIONES!$C$12)*$S191/$M191)</f>
        <v>0</v>
      </c>
      <c r="AH191" s="30" t="n">
        <f aca="false">IF($L191&lt;&gt;"OK",0,(INDEX(PRESIONES!$J$28:$J$31,$U191)*IF(INDEX(PRESIONES!$J$28:$J$31,$U191)&gt;0,PRESIONES!$C$9*IF($T191&lt;=10,1,($T191/10)^(2/DATOS!$C$56)),PRESIONES!$C$15)-ABERTURAS!$L$66*PRESIONES!$C$12)*$S191/$M191)</f>
        <v>0</v>
      </c>
      <c r="AI191" s="30" t="n">
        <f aca="false">IF($L191&lt;&gt;"OK",0,(INDEX(PRESIONES!$M$28:$M$31,$U191)*IF(INDEX(PRESIONES!$M$28:$M$31,$U191)&gt;0,PRESIONES!$C$9*IF($T191&lt;=10,1,($T191/10)^(2/DATOS!$C$56)),PRESIONES!$C$15)-ABERTURAS!$L$67*PRESIONES!$C$12)*$S191/$M191)</f>
        <v>0</v>
      </c>
    </row>
    <row r="192" customFormat="false" ht="15" hidden="false" customHeight="true" outlineLevel="0" collapsed="false">
      <c r="B192" s="27"/>
      <c r="C192" s="17"/>
      <c r="D192" s="27"/>
      <c r="E192" s="17"/>
      <c r="F192" s="49"/>
      <c r="G192" s="49"/>
      <c r="H192" s="49"/>
      <c r="I192" s="49"/>
      <c r="J192" s="49"/>
      <c r="K192" s="49"/>
      <c r="L192" s="20" t="str">
        <f aca="false">IF($D192="","",IF(LEFT($C192,4)&lt;&gt;"MURO","PON EL MURO",IF(AND($E192&lt;&gt;"HORIZONTAL",$E192&lt;&gt;"VERTICAL"),"PON EL SENTIDO",IF(OR($F192="",$G192="",$H192="",$I192=""),"FALTAN a o b",IF($M192&lt;=0,"a₂ DEBE SER &gt; a₁",IF($N192&lt;=0,"b₂ DEBE SER &gt; b₁","OK"))))))</f>
        <v/>
      </c>
      <c r="M192" s="30" t="n">
        <f aca="false">IF($D192="",0,MAX(0,$G192-$F192))</f>
        <v>0</v>
      </c>
      <c r="N192" s="30" t="n">
        <f aca="false">MAX(0,$W192-$V192)</f>
        <v>0</v>
      </c>
      <c r="O192" s="30" t="n">
        <f aca="false">$M192*$N192</f>
        <v>0</v>
      </c>
      <c r="P192" s="30" t="n">
        <f aca="false">IF($U192=0,0,SUMPRODUCT((ABERTURAS!$N$7:$N$26=$U192)*ABERTURAS!$U$7:$U$26*(((($Y192)+(ABERTURAS!$P$7:$P$26)-ABS(($Y192)-(ABERTURAS!$P$7:$P$26)))/2-(($X192)+(ABERTURAS!$O$7:$O$26)+ABS(($X192)-(ABERTURAS!$O$7:$O$26)))/2)+ABS((($Y192)+(ABERTURAS!$P$7:$P$26)-ABS(($Y192)-(ABERTURAS!$P$7:$P$26)))/2-(($X192)+(ABERTURAS!$O$7:$O$26)+ABS(($X192)-(ABERTURAS!$O$7:$O$26)))/2))/2*(((($AA192)+(ABERTURAS!$R$7:$R$26)-ABS(($AA192)-(ABERTURAS!$R$7:$R$26)))/2-(($Z192)+(ABERTURAS!$Q$7:$Q$26)+ABS(($Z192)-(ABERTURAS!$Q$7:$Q$26)))/2)+ABS((($AA192)+(ABERTURAS!$R$7:$R$26)-ABS(($AA192)-(ABERTURAS!$R$7:$R$26)))/2-(($Z192)+(ABERTURAS!$Q$7:$Q$26)+ABS(($Z192)-(ABERTURAS!$Q$7:$Q$26)))/2))/2))</f>
        <v>0</v>
      </c>
      <c r="Q192" s="30" t="n">
        <f aca="false">IF($U192=0,0,SUMPRODUCT((ABERTURAS!$N$7:$N$26=$U192)*ABERTURAS!$V$7:$V$26*(((($Y192)+(ABERTURAS!$P$7:$P$26)-ABS(($Y192)-(ABERTURAS!$P$7:$P$26)))/2-(($X192)+(ABERTURAS!$O$7:$O$26)+ABS(($X192)-(ABERTURAS!$O$7:$O$26)))/2)+ABS((($Y192)+(ABERTURAS!$P$7:$P$26)-ABS(($Y192)-(ABERTURAS!$P$7:$P$26)))/2-(($X192)+(ABERTURAS!$O$7:$O$26)+ABS(($X192)-(ABERTURAS!$O$7:$O$26)))/2))/2*(((($AA192)+(ABERTURAS!$R$7:$R$26)-ABS(($AA192)-(ABERTURAS!$R$7:$R$26)))/2-(($Z192)+(ABERTURAS!$Q$7:$Q$26)+ABS(($Z192)-(ABERTURAS!$Q$7:$Q$26)))/2)+ABS((($AA192)+(ABERTURAS!$R$7:$R$26)-ABS(($AA192)-(ABERTURAS!$R$7:$R$26)))/2-(($Z192)+(ABERTURAS!$Q$7:$Q$26)+ABS(($Z192)-(ABERTURAS!$Q$7:$Q$26)))/2))/2))</f>
        <v>0</v>
      </c>
      <c r="R192" s="30" t="n">
        <f aca="false">MAX(0,$O192-$P192)</f>
        <v>0</v>
      </c>
      <c r="S192" s="30" t="n">
        <f aca="false">MAX(0,$O192-$Q192)</f>
        <v>0</v>
      </c>
      <c r="T192" s="50" t="n">
        <f aca="false">IF($D192="",0,IF($E192="VERTICAL",N($G192),MAX(N($I192),IF($K192="",N($I192),$K192))))</f>
        <v>0</v>
      </c>
      <c r="U192" s="50" t="n">
        <f aca="false">IF($L192&lt;&gt;"OK",0,VALUE(RIGHT($C192,1)))</f>
        <v>0</v>
      </c>
      <c r="V192" s="50" t="n">
        <f aca="false">IF($D192="",0,(N($H192)+IF($J192="",N($H192),$J192))/2)</f>
        <v>0</v>
      </c>
      <c r="W192" s="50" t="n">
        <f aca="false">IF($D192="",0,(N($I192)+IF($K192="",N($I192),$K192))/2)</f>
        <v>0</v>
      </c>
      <c r="X192" s="50" t="n">
        <f aca="false">IF($E192="VERTICAL",$V192,N($F192))</f>
        <v>0</v>
      </c>
      <c r="Y192" s="50" t="n">
        <f aca="false">IF($E192="VERTICAL",$W192,N($G192))</f>
        <v>0</v>
      </c>
      <c r="Z192" s="50" t="n">
        <f aca="false">IF($E192="VERTICAL",N($F192),$V192)</f>
        <v>0</v>
      </c>
      <c r="AA192" s="50" t="n">
        <f aca="false">IF($E192="VERTICAL",N($G192),$W192)</f>
        <v>0</v>
      </c>
      <c r="AB192" s="30" t="n">
        <f aca="false">IF($L192&lt;&gt;"OK",0,(INDEX(PRESIONES!$D$28:$D$31,$U192)*IF(INDEX(PRESIONES!$D$28:$D$31,$U192)&gt;0,PRESIONES!$C$9*IF($T192&lt;=10,1,($T192/10)^(2/DATOS!$C$56)),PRESIONES!$C$15)-ABERTURAS!$L$60*PRESIONES!$C$12)*$R192/$M192)</f>
        <v>0</v>
      </c>
      <c r="AC192" s="30" t="n">
        <f aca="false">IF($L192&lt;&gt;"OK",0,(INDEX(PRESIONES!$G$28:$G$31,$U192)*IF(INDEX(PRESIONES!$G$28:$G$31,$U192)&gt;0,PRESIONES!$C$9*IF($T192&lt;=10,1,($T192/10)^(2/DATOS!$C$56)),PRESIONES!$C$15)-ABERTURAS!$L$61*PRESIONES!$C$12)*$R192/$M192)</f>
        <v>0</v>
      </c>
      <c r="AD192" s="30" t="n">
        <f aca="false">IF($L192&lt;&gt;"OK",0,(INDEX(PRESIONES!$J$28:$J$31,$U192)*IF(INDEX(PRESIONES!$J$28:$J$31,$U192)&gt;0,PRESIONES!$C$9*IF($T192&lt;=10,1,($T192/10)^(2/DATOS!$C$56)),PRESIONES!$C$15)-ABERTURAS!$L$62*PRESIONES!$C$12)*$R192/$M192)</f>
        <v>0</v>
      </c>
      <c r="AE192" s="30" t="n">
        <f aca="false">IF($L192&lt;&gt;"OK",0,(INDEX(PRESIONES!$M$28:$M$31,$U192)*IF(INDEX(PRESIONES!$M$28:$M$31,$U192)&gt;0,PRESIONES!$C$9*IF($T192&lt;=10,1,($T192/10)^(2/DATOS!$C$56)),PRESIONES!$C$15)-ABERTURAS!$L$63*PRESIONES!$C$12)*$R192/$M192)</f>
        <v>0</v>
      </c>
      <c r="AF192" s="30" t="n">
        <f aca="false">IF($L192&lt;&gt;"OK",0,(INDEX(PRESIONES!$D$28:$D$31,$U192)*IF(INDEX(PRESIONES!$D$28:$D$31,$U192)&gt;0,PRESIONES!$C$9*IF($T192&lt;=10,1,($T192/10)^(2/DATOS!$C$56)),PRESIONES!$C$15)-ABERTURAS!$L$64*PRESIONES!$C$12)*$S192/$M192)</f>
        <v>0</v>
      </c>
      <c r="AG192" s="30" t="n">
        <f aca="false">IF($L192&lt;&gt;"OK",0,(INDEX(PRESIONES!$G$28:$G$31,$U192)*IF(INDEX(PRESIONES!$G$28:$G$31,$U192)&gt;0,PRESIONES!$C$9*IF($T192&lt;=10,1,($T192/10)^(2/DATOS!$C$56)),PRESIONES!$C$15)-ABERTURAS!$L$65*PRESIONES!$C$12)*$S192/$M192)</f>
        <v>0</v>
      </c>
      <c r="AH192" s="30" t="n">
        <f aca="false">IF($L192&lt;&gt;"OK",0,(INDEX(PRESIONES!$J$28:$J$31,$U192)*IF(INDEX(PRESIONES!$J$28:$J$31,$U192)&gt;0,PRESIONES!$C$9*IF($T192&lt;=10,1,($T192/10)^(2/DATOS!$C$56)),PRESIONES!$C$15)-ABERTURAS!$L$66*PRESIONES!$C$12)*$S192/$M192)</f>
        <v>0</v>
      </c>
      <c r="AI192" s="30" t="n">
        <f aca="false">IF($L192&lt;&gt;"OK",0,(INDEX(PRESIONES!$M$28:$M$31,$U192)*IF(INDEX(PRESIONES!$M$28:$M$31,$U192)&gt;0,PRESIONES!$C$9*IF($T192&lt;=10,1,($T192/10)^(2/DATOS!$C$56)),PRESIONES!$C$15)-ABERTURAS!$L$67*PRESIONES!$C$12)*$S192/$M192)</f>
        <v>0</v>
      </c>
    </row>
    <row r="193" customFormat="false" ht="15" hidden="false" customHeight="true" outlineLevel="0" collapsed="false">
      <c r="B193" s="27"/>
      <c r="C193" s="17"/>
      <c r="D193" s="27"/>
      <c r="E193" s="17"/>
      <c r="F193" s="49"/>
      <c r="G193" s="49"/>
      <c r="H193" s="49"/>
      <c r="I193" s="49"/>
      <c r="J193" s="49"/>
      <c r="K193" s="49"/>
      <c r="L193" s="20" t="str">
        <f aca="false">IF($D193="","",IF(LEFT($C193,4)&lt;&gt;"MURO","PON EL MURO",IF(AND($E193&lt;&gt;"HORIZONTAL",$E193&lt;&gt;"VERTICAL"),"PON EL SENTIDO",IF(OR($F193="",$G193="",$H193="",$I193=""),"FALTAN a o b",IF($M193&lt;=0,"a₂ DEBE SER &gt; a₁",IF($N193&lt;=0,"b₂ DEBE SER &gt; b₁","OK"))))))</f>
        <v/>
      </c>
      <c r="M193" s="30" t="n">
        <f aca="false">IF($D193="",0,MAX(0,$G193-$F193))</f>
        <v>0</v>
      </c>
      <c r="N193" s="30" t="n">
        <f aca="false">MAX(0,$W193-$V193)</f>
        <v>0</v>
      </c>
      <c r="O193" s="30" t="n">
        <f aca="false">$M193*$N193</f>
        <v>0</v>
      </c>
      <c r="P193" s="30" t="n">
        <f aca="false">IF($U193=0,0,SUMPRODUCT((ABERTURAS!$N$7:$N$26=$U193)*ABERTURAS!$U$7:$U$26*(((($Y193)+(ABERTURAS!$P$7:$P$26)-ABS(($Y193)-(ABERTURAS!$P$7:$P$26)))/2-(($X193)+(ABERTURAS!$O$7:$O$26)+ABS(($X193)-(ABERTURAS!$O$7:$O$26)))/2)+ABS((($Y193)+(ABERTURAS!$P$7:$P$26)-ABS(($Y193)-(ABERTURAS!$P$7:$P$26)))/2-(($X193)+(ABERTURAS!$O$7:$O$26)+ABS(($X193)-(ABERTURAS!$O$7:$O$26)))/2))/2*(((($AA193)+(ABERTURAS!$R$7:$R$26)-ABS(($AA193)-(ABERTURAS!$R$7:$R$26)))/2-(($Z193)+(ABERTURAS!$Q$7:$Q$26)+ABS(($Z193)-(ABERTURAS!$Q$7:$Q$26)))/2)+ABS((($AA193)+(ABERTURAS!$R$7:$R$26)-ABS(($AA193)-(ABERTURAS!$R$7:$R$26)))/2-(($Z193)+(ABERTURAS!$Q$7:$Q$26)+ABS(($Z193)-(ABERTURAS!$Q$7:$Q$26)))/2))/2))</f>
        <v>0</v>
      </c>
      <c r="Q193" s="30" t="n">
        <f aca="false">IF($U193=0,0,SUMPRODUCT((ABERTURAS!$N$7:$N$26=$U193)*ABERTURAS!$V$7:$V$26*(((($Y193)+(ABERTURAS!$P$7:$P$26)-ABS(($Y193)-(ABERTURAS!$P$7:$P$26)))/2-(($X193)+(ABERTURAS!$O$7:$O$26)+ABS(($X193)-(ABERTURAS!$O$7:$O$26)))/2)+ABS((($Y193)+(ABERTURAS!$P$7:$P$26)-ABS(($Y193)-(ABERTURAS!$P$7:$P$26)))/2-(($X193)+(ABERTURAS!$O$7:$O$26)+ABS(($X193)-(ABERTURAS!$O$7:$O$26)))/2))/2*(((($AA193)+(ABERTURAS!$R$7:$R$26)-ABS(($AA193)-(ABERTURAS!$R$7:$R$26)))/2-(($Z193)+(ABERTURAS!$Q$7:$Q$26)+ABS(($Z193)-(ABERTURAS!$Q$7:$Q$26)))/2)+ABS((($AA193)+(ABERTURAS!$R$7:$R$26)-ABS(($AA193)-(ABERTURAS!$R$7:$R$26)))/2-(($Z193)+(ABERTURAS!$Q$7:$Q$26)+ABS(($Z193)-(ABERTURAS!$Q$7:$Q$26)))/2))/2))</f>
        <v>0</v>
      </c>
      <c r="R193" s="30" t="n">
        <f aca="false">MAX(0,$O193-$P193)</f>
        <v>0</v>
      </c>
      <c r="S193" s="30" t="n">
        <f aca="false">MAX(0,$O193-$Q193)</f>
        <v>0</v>
      </c>
      <c r="T193" s="50" t="n">
        <f aca="false">IF($D193="",0,IF($E193="VERTICAL",N($G193),MAX(N($I193),IF($K193="",N($I193),$K193))))</f>
        <v>0</v>
      </c>
      <c r="U193" s="50" t="n">
        <f aca="false">IF($L193&lt;&gt;"OK",0,VALUE(RIGHT($C193,1)))</f>
        <v>0</v>
      </c>
      <c r="V193" s="50" t="n">
        <f aca="false">IF($D193="",0,(N($H193)+IF($J193="",N($H193),$J193))/2)</f>
        <v>0</v>
      </c>
      <c r="W193" s="50" t="n">
        <f aca="false">IF($D193="",0,(N($I193)+IF($K193="",N($I193),$K193))/2)</f>
        <v>0</v>
      </c>
      <c r="X193" s="50" t="n">
        <f aca="false">IF($E193="VERTICAL",$V193,N($F193))</f>
        <v>0</v>
      </c>
      <c r="Y193" s="50" t="n">
        <f aca="false">IF($E193="VERTICAL",$W193,N($G193))</f>
        <v>0</v>
      </c>
      <c r="Z193" s="50" t="n">
        <f aca="false">IF($E193="VERTICAL",N($F193),$V193)</f>
        <v>0</v>
      </c>
      <c r="AA193" s="50" t="n">
        <f aca="false">IF($E193="VERTICAL",N($G193),$W193)</f>
        <v>0</v>
      </c>
      <c r="AB193" s="30" t="n">
        <f aca="false">IF($L193&lt;&gt;"OK",0,(INDEX(PRESIONES!$D$28:$D$31,$U193)*IF(INDEX(PRESIONES!$D$28:$D$31,$U193)&gt;0,PRESIONES!$C$9*IF($T193&lt;=10,1,($T193/10)^(2/DATOS!$C$56)),PRESIONES!$C$15)-ABERTURAS!$L$60*PRESIONES!$C$12)*$R193/$M193)</f>
        <v>0</v>
      </c>
      <c r="AC193" s="30" t="n">
        <f aca="false">IF($L193&lt;&gt;"OK",0,(INDEX(PRESIONES!$G$28:$G$31,$U193)*IF(INDEX(PRESIONES!$G$28:$G$31,$U193)&gt;0,PRESIONES!$C$9*IF($T193&lt;=10,1,($T193/10)^(2/DATOS!$C$56)),PRESIONES!$C$15)-ABERTURAS!$L$61*PRESIONES!$C$12)*$R193/$M193)</f>
        <v>0</v>
      </c>
      <c r="AD193" s="30" t="n">
        <f aca="false">IF($L193&lt;&gt;"OK",0,(INDEX(PRESIONES!$J$28:$J$31,$U193)*IF(INDEX(PRESIONES!$J$28:$J$31,$U193)&gt;0,PRESIONES!$C$9*IF($T193&lt;=10,1,($T193/10)^(2/DATOS!$C$56)),PRESIONES!$C$15)-ABERTURAS!$L$62*PRESIONES!$C$12)*$R193/$M193)</f>
        <v>0</v>
      </c>
      <c r="AE193" s="30" t="n">
        <f aca="false">IF($L193&lt;&gt;"OK",0,(INDEX(PRESIONES!$M$28:$M$31,$U193)*IF(INDEX(PRESIONES!$M$28:$M$31,$U193)&gt;0,PRESIONES!$C$9*IF($T193&lt;=10,1,($T193/10)^(2/DATOS!$C$56)),PRESIONES!$C$15)-ABERTURAS!$L$63*PRESIONES!$C$12)*$R193/$M193)</f>
        <v>0</v>
      </c>
      <c r="AF193" s="30" t="n">
        <f aca="false">IF($L193&lt;&gt;"OK",0,(INDEX(PRESIONES!$D$28:$D$31,$U193)*IF(INDEX(PRESIONES!$D$28:$D$31,$U193)&gt;0,PRESIONES!$C$9*IF($T193&lt;=10,1,($T193/10)^(2/DATOS!$C$56)),PRESIONES!$C$15)-ABERTURAS!$L$64*PRESIONES!$C$12)*$S193/$M193)</f>
        <v>0</v>
      </c>
      <c r="AG193" s="30" t="n">
        <f aca="false">IF($L193&lt;&gt;"OK",0,(INDEX(PRESIONES!$G$28:$G$31,$U193)*IF(INDEX(PRESIONES!$G$28:$G$31,$U193)&gt;0,PRESIONES!$C$9*IF($T193&lt;=10,1,($T193/10)^(2/DATOS!$C$56)),PRESIONES!$C$15)-ABERTURAS!$L$65*PRESIONES!$C$12)*$S193/$M193)</f>
        <v>0</v>
      </c>
      <c r="AH193" s="30" t="n">
        <f aca="false">IF($L193&lt;&gt;"OK",0,(INDEX(PRESIONES!$J$28:$J$31,$U193)*IF(INDEX(PRESIONES!$J$28:$J$31,$U193)&gt;0,PRESIONES!$C$9*IF($T193&lt;=10,1,($T193/10)^(2/DATOS!$C$56)),PRESIONES!$C$15)-ABERTURAS!$L$66*PRESIONES!$C$12)*$S193/$M193)</f>
        <v>0</v>
      </c>
      <c r="AI193" s="30" t="n">
        <f aca="false">IF($L193&lt;&gt;"OK",0,(INDEX(PRESIONES!$M$28:$M$31,$U193)*IF(INDEX(PRESIONES!$M$28:$M$31,$U193)&gt;0,PRESIONES!$C$9*IF($T193&lt;=10,1,($T193/10)^(2/DATOS!$C$56)),PRESIONES!$C$15)-ABERTURAS!$L$67*PRESIONES!$C$12)*$S193/$M193)</f>
        <v>0</v>
      </c>
    </row>
    <row r="194" customFormat="false" ht="15" hidden="false" customHeight="true" outlineLevel="0" collapsed="false">
      <c r="B194" s="27"/>
      <c r="C194" s="17"/>
      <c r="D194" s="27"/>
      <c r="E194" s="17"/>
      <c r="F194" s="49"/>
      <c r="G194" s="49"/>
      <c r="H194" s="49"/>
      <c r="I194" s="49"/>
      <c r="J194" s="49"/>
      <c r="K194" s="49"/>
      <c r="L194" s="20" t="str">
        <f aca="false">IF($D194="","",IF(LEFT($C194,4)&lt;&gt;"MURO","PON EL MURO",IF(AND($E194&lt;&gt;"HORIZONTAL",$E194&lt;&gt;"VERTICAL"),"PON EL SENTIDO",IF(OR($F194="",$G194="",$H194="",$I194=""),"FALTAN a o b",IF($M194&lt;=0,"a₂ DEBE SER &gt; a₁",IF($N194&lt;=0,"b₂ DEBE SER &gt; b₁","OK"))))))</f>
        <v/>
      </c>
      <c r="M194" s="30" t="n">
        <f aca="false">IF($D194="",0,MAX(0,$G194-$F194))</f>
        <v>0</v>
      </c>
      <c r="N194" s="30" t="n">
        <f aca="false">MAX(0,$W194-$V194)</f>
        <v>0</v>
      </c>
      <c r="O194" s="30" t="n">
        <f aca="false">$M194*$N194</f>
        <v>0</v>
      </c>
      <c r="P194" s="30" t="n">
        <f aca="false">IF($U194=0,0,SUMPRODUCT((ABERTURAS!$N$7:$N$26=$U194)*ABERTURAS!$U$7:$U$26*(((($Y194)+(ABERTURAS!$P$7:$P$26)-ABS(($Y194)-(ABERTURAS!$P$7:$P$26)))/2-(($X194)+(ABERTURAS!$O$7:$O$26)+ABS(($X194)-(ABERTURAS!$O$7:$O$26)))/2)+ABS((($Y194)+(ABERTURAS!$P$7:$P$26)-ABS(($Y194)-(ABERTURAS!$P$7:$P$26)))/2-(($X194)+(ABERTURAS!$O$7:$O$26)+ABS(($X194)-(ABERTURAS!$O$7:$O$26)))/2))/2*(((($AA194)+(ABERTURAS!$R$7:$R$26)-ABS(($AA194)-(ABERTURAS!$R$7:$R$26)))/2-(($Z194)+(ABERTURAS!$Q$7:$Q$26)+ABS(($Z194)-(ABERTURAS!$Q$7:$Q$26)))/2)+ABS((($AA194)+(ABERTURAS!$R$7:$R$26)-ABS(($AA194)-(ABERTURAS!$R$7:$R$26)))/2-(($Z194)+(ABERTURAS!$Q$7:$Q$26)+ABS(($Z194)-(ABERTURAS!$Q$7:$Q$26)))/2))/2))</f>
        <v>0</v>
      </c>
      <c r="Q194" s="30" t="n">
        <f aca="false">IF($U194=0,0,SUMPRODUCT((ABERTURAS!$N$7:$N$26=$U194)*ABERTURAS!$V$7:$V$26*(((($Y194)+(ABERTURAS!$P$7:$P$26)-ABS(($Y194)-(ABERTURAS!$P$7:$P$26)))/2-(($X194)+(ABERTURAS!$O$7:$O$26)+ABS(($X194)-(ABERTURAS!$O$7:$O$26)))/2)+ABS((($Y194)+(ABERTURAS!$P$7:$P$26)-ABS(($Y194)-(ABERTURAS!$P$7:$P$26)))/2-(($X194)+(ABERTURAS!$O$7:$O$26)+ABS(($X194)-(ABERTURAS!$O$7:$O$26)))/2))/2*(((($AA194)+(ABERTURAS!$R$7:$R$26)-ABS(($AA194)-(ABERTURAS!$R$7:$R$26)))/2-(($Z194)+(ABERTURAS!$Q$7:$Q$26)+ABS(($Z194)-(ABERTURAS!$Q$7:$Q$26)))/2)+ABS((($AA194)+(ABERTURAS!$R$7:$R$26)-ABS(($AA194)-(ABERTURAS!$R$7:$R$26)))/2-(($Z194)+(ABERTURAS!$Q$7:$Q$26)+ABS(($Z194)-(ABERTURAS!$Q$7:$Q$26)))/2))/2))</f>
        <v>0</v>
      </c>
      <c r="R194" s="30" t="n">
        <f aca="false">MAX(0,$O194-$P194)</f>
        <v>0</v>
      </c>
      <c r="S194" s="30" t="n">
        <f aca="false">MAX(0,$O194-$Q194)</f>
        <v>0</v>
      </c>
      <c r="T194" s="50" t="n">
        <f aca="false">IF($D194="",0,IF($E194="VERTICAL",N($G194),MAX(N($I194),IF($K194="",N($I194),$K194))))</f>
        <v>0</v>
      </c>
      <c r="U194" s="50" t="n">
        <f aca="false">IF($L194&lt;&gt;"OK",0,VALUE(RIGHT($C194,1)))</f>
        <v>0</v>
      </c>
      <c r="V194" s="50" t="n">
        <f aca="false">IF($D194="",0,(N($H194)+IF($J194="",N($H194),$J194))/2)</f>
        <v>0</v>
      </c>
      <c r="W194" s="50" t="n">
        <f aca="false">IF($D194="",0,(N($I194)+IF($K194="",N($I194),$K194))/2)</f>
        <v>0</v>
      </c>
      <c r="X194" s="50" t="n">
        <f aca="false">IF($E194="VERTICAL",$V194,N($F194))</f>
        <v>0</v>
      </c>
      <c r="Y194" s="50" t="n">
        <f aca="false">IF($E194="VERTICAL",$W194,N($G194))</f>
        <v>0</v>
      </c>
      <c r="Z194" s="50" t="n">
        <f aca="false">IF($E194="VERTICAL",N($F194),$V194)</f>
        <v>0</v>
      </c>
      <c r="AA194" s="50" t="n">
        <f aca="false">IF($E194="VERTICAL",N($G194),$W194)</f>
        <v>0</v>
      </c>
      <c r="AB194" s="30" t="n">
        <f aca="false">IF($L194&lt;&gt;"OK",0,(INDEX(PRESIONES!$D$28:$D$31,$U194)*IF(INDEX(PRESIONES!$D$28:$D$31,$U194)&gt;0,PRESIONES!$C$9*IF($T194&lt;=10,1,($T194/10)^(2/DATOS!$C$56)),PRESIONES!$C$15)-ABERTURAS!$L$60*PRESIONES!$C$12)*$R194/$M194)</f>
        <v>0</v>
      </c>
      <c r="AC194" s="30" t="n">
        <f aca="false">IF($L194&lt;&gt;"OK",0,(INDEX(PRESIONES!$G$28:$G$31,$U194)*IF(INDEX(PRESIONES!$G$28:$G$31,$U194)&gt;0,PRESIONES!$C$9*IF($T194&lt;=10,1,($T194/10)^(2/DATOS!$C$56)),PRESIONES!$C$15)-ABERTURAS!$L$61*PRESIONES!$C$12)*$R194/$M194)</f>
        <v>0</v>
      </c>
      <c r="AD194" s="30" t="n">
        <f aca="false">IF($L194&lt;&gt;"OK",0,(INDEX(PRESIONES!$J$28:$J$31,$U194)*IF(INDEX(PRESIONES!$J$28:$J$31,$U194)&gt;0,PRESIONES!$C$9*IF($T194&lt;=10,1,($T194/10)^(2/DATOS!$C$56)),PRESIONES!$C$15)-ABERTURAS!$L$62*PRESIONES!$C$12)*$R194/$M194)</f>
        <v>0</v>
      </c>
      <c r="AE194" s="30" t="n">
        <f aca="false">IF($L194&lt;&gt;"OK",0,(INDEX(PRESIONES!$M$28:$M$31,$U194)*IF(INDEX(PRESIONES!$M$28:$M$31,$U194)&gt;0,PRESIONES!$C$9*IF($T194&lt;=10,1,($T194/10)^(2/DATOS!$C$56)),PRESIONES!$C$15)-ABERTURAS!$L$63*PRESIONES!$C$12)*$R194/$M194)</f>
        <v>0</v>
      </c>
      <c r="AF194" s="30" t="n">
        <f aca="false">IF($L194&lt;&gt;"OK",0,(INDEX(PRESIONES!$D$28:$D$31,$U194)*IF(INDEX(PRESIONES!$D$28:$D$31,$U194)&gt;0,PRESIONES!$C$9*IF($T194&lt;=10,1,($T194/10)^(2/DATOS!$C$56)),PRESIONES!$C$15)-ABERTURAS!$L$64*PRESIONES!$C$12)*$S194/$M194)</f>
        <v>0</v>
      </c>
      <c r="AG194" s="30" t="n">
        <f aca="false">IF($L194&lt;&gt;"OK",0,(INDEX(PRESIONES!$G$28:$G$31,$U194)*IF(INDEX(PRESIONES!$G$28:$G$31,$U194)&gt;0,PRESIONES!$C$9*IF($T194&lt;=10,1,($T194/10)^(2/DATOS!$C$56)),PRESIONES!$C$15)-ABERTURAS!$L$65*PRESIONES!$C$12)*$S194/$M194)</f>
        <v>0</v>
      </c>
      <c r="AH194" s="30" t="n">
        <f aca="false">IF($L194&lt;&gt;"OK",0,(INDEX(PRESIONES!$J$28:$J$31,$U194)*IF(INDEX(PRESIONES!$J$28:$J$31,$U194)&gt;0,PRESIONES!$C$9*IF($T194&lt;=10,1,($T194/10)^(2/DATOS!$C$56)),PRESIONES!$C$15)-ABERTURAS!$L$66*PRESIONES!$C$12)*$S194/$M194)</f>
        <v>0</v>
      </c>
      <c r="AI194" s="30" t="n">
        <f aca="false">IF($L194&lt;&gt;"OK",0,(INDEX(PRESIONES!$M$28:$M$31,$U194)*IF(INDEX(PRESIONES!$M$28:$M$31,$U194)&gt;0,PRESIONES!$C$9*IF($T194&lt;=10,1,($T194/10)^(2/DATOS!$C$56)),PRESIONES!$C$15)-ABERTURAS!$L$67*PRESIONES!$C$12)*$S194/$M194)</f>
        <v>0</v>
      </c>
    </row>
    <row r="195" customFormat="false" ht="16.5" hidden="false" customHeight="true" outlineLevel="0" collapsed="false">
      <c r="B195" s="43" t="s">
        <v>620</v>
      </c>
      <c r="O195" s="34" t="n">
        <f aca="false">SUM(O45:O194)</f>
        <v>411.08092</v>
      </c>
      <c r="P195" s="34" t="n">
        <f aca="false">SUM(P45:P194)</f>
        <v>0</v>
      </c>
      <c r="Q195" s="34" t="n">
        <f aca="false">SUM(Q45:Q194)</f>
        <v>33.854808</v>
      </c>
      <c r="R195" s="34" t="n">
        <f aca="false">SUM(R45:R194)</f>
        <v>411.08092</v>
      </c>
      <c r="S195" s="34" t="n">
        <f aca="false">SUM(S45:S194)</f>
        <v>377.226112</v>
      </c>
    </row>
  </sheetData>
  <mergeCells count="12">
    <mergeCell ref="B1:L1"/>
    <mergeCell ref="B2:L2"/>
    <mergeCell ref="B3:L3"/>
    <mergeCell ref="B5:L5"/>
    <mergeCell ref="B6:L6"/>
    <mergeCell ref="AB7:AI7"/>
    <mergeCell ref="AJ7:AQ7"/>
    <mergeCell ref="AR7:AY7"/>
    <mergeCell ref="AZ7:BG7"/>
    <mergeCell ref="B41:L41"/>
    <mergeCell ref="B42:L42"/>
    <mergeCell ref="AB43:AI43"/>
  </mergeCells>
  <conditionalFormatting sqref="L9:L38">
    <cfRule type="expression" priority="2" aboveAverage="0" equalAverage="0" bottom="0" percent="0" rank="0" text="" dxfId="1">
      <formula>$L9="OK"</formula>
    </cfRule>
    <cfRule type="expression" priority="3" aboveAverage="0" equalAverage="0" bottom="0" percent="0" rank="0" text="" dxfId="2">
      <formula>AND($L9&lt;&gt;"",$L9&lt;&gt;"OK")</formula>
    </cfRule>
  </conditionalFormatting>
  <conditionalFormatting sqref="L45:L194">
    <cfRule type="expression" priority="4" aboveAverage="0" equalAverage="0" bottom="0" percent="0" rank="0" text="" dxfId="1">
      <formula>$L45="OK"</formula>
    </cfRule>
    <cfRule type="expression" priority="5" aboveAverage="0" equalAverage="0" bottom="0" percent="0" rank="0" text="" dxfId="2">
      <formula>AND($L45&lt;&gt;"",$L45&lt;&gt;"OK")</formula>
    </cfRule>
  </conditionalFormatting>
  <dataValidations count="3">
    <dataValidation allowBlank="true" error="Elige una opción de la lista." errorStyle="stop" errorTitle="Valor no válido" operator="between" showDropDown="false" showErrorMessage="false" showInputMessage="false" sqref="C9:C38" type="list">
      <formula1>"TECHO"</formula1>
      <formula2>0</formula2>
    </dataValidation>
    <dataValidation allowBlank="true" error="Elige una opción de la lista." errorStyle="stop" errorTitle="Valor no válido" operator="between" showDropDown="false" showErrorMessage="false" showInputMessage="false" sqref="C45:C194" type="list">
      <formula1>"MURO 1,MURO 2,MURO 3,MURO 4"</formula1>
      <formula2>0</formula2>
    </dataValidation>
    <dataValidation allowBlank="true" error="Elige una opción de la lista." errorStyle="stop" errorTitle="Valor no válido" operator="between" showDropDown="false" showErrorMessage="false" showInputMessage="false" sqref="E45:E194" type="list">
      <formula1>"HORIZONTAL,VERTICAL"</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P170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8"/>
    <col collapsed="false" customWidth="true" hidden="false" outlineLevel="0" max="2" min="2" style="1" width="70"/>
    <col collapsed="false" customWidth="true" hidden="false" outlineLevel="0" max="3" min="3" style="1" width="16"/>
    <col collapsed="false" customWidth="true" hidden="false" outlineLevel="0" max="4" min="4" style="1" width="60"/>
    <col collapsed="false" customWidth="true" hidden="false" outlineLevel="0" max="5" min="5" style="1" width="16"/>
    <col collapsed="false" customWidth="true" hidden="false" outlineLevel="0" max="6" min="6" style="1" width="2"/>
    <col collapsed="false" customWidth="true" hidden="false" outlineLevel="0" max="7" min="7" style="1" width="30"/>
    <col collapsed="false" customWidth="true" hidden="false" outlineLevel="0" max="15" min="8" style="1" width="11"/>
    <col collapsed="false" customWidth="true" hidden="false" outlineLevel="0" max="16" min="16" style="1" width="18"/>
  </cols>
  <sheetData>
    <row r="1" customFormat="false" ht="25.5" hidden="false" customHeight="true" outlineLevel="0" collapsed="false">
      <c r="B1" s="2" t="s">
        <v>621</v>
      </c>
      <c r="C1" s="2"/>
      <c r="D1" s="2"/>
      <c r="E1" s="2"/>
      <c r="F1" s="2"/>
      <c r="G1" s="2"/>
      <c r="H1" s="2"/>
      <c r="I1" s="2"/>
      <c r="J1" s="2"/>
      <c r="K1" s="2"/>
      <c r="L1" s="2"/>
      <c r="M1" s="2"/>
      <c r="N1" s="2"/>
      <c r="O1" s="2"/>
      <c r="P1" s="2"/>
    </row>
    <row r="2" customFormat="false" ht="30" hidden="false" customHeight="true" outlineLevel="0" collapsed="false">
      <c r="B2" s="4" t="str">
        <f aca="false">"Unidades: "&amp;DATOS!$C$65&amp;" · cargas en "&amp;IF(DATOS!$C$65="CM KG","kg/cm",IF(DATOS!$C$65="METER KG","kg/m","kN/m"))&amp;" · casos "&amp;DATOS!$C$66&amp;" a "&amp;(DATOS!$C$66+7)&amp;" · un renglón de LINEAS = una línea de MEMBER LOAD"</f>
        <v>Unidades: CM KG · cargas en kg/cm · casos 8 a 15 · un renglón de LINEAS = una línea de MEMBER LOAD</v>
      </c>
      <c r="C2" s="4"/>
      <c r="D2" s="4"/>
      <c r="E2" s="4"/>
      <c r="F2" s="4"/>
      <c r="G2" s="4"/>
      <c r="H2" s="4"/>
      <c r="I2" s="4"/>
      <c r="J2" s="4"/>
      <c r="K2" s="4"/>
      <c r="L2" s="4"/>
      <c r="M2" s="4"/>
      <c r="N2" s="4"/>
      <c r="O2" s="4"/>
      <c r="P2" s="4"/>
    </row>
    <row r="3" customFormat="false" ht="45" hidden="false" customHeight="true" outlineLevel="0" collapsed="false">
      <c r="B3" s="6" t="s">
        <v>622</v>
      </c>
      <c r="C3" s="6"/>
      <c r="D3" s="6"/>
      <c r="E3" s="6"/>
      <c r="F3" s="6"/>
      <c r="G3" s="6"/>
      <c r="H3" s="6"/>
      <c r="I3" s="6"/>
      <c r="J3" s="6"/>
      <c r="K3" s="6"/>
      <c r="L3" s="6"/>
      <c r="M3" s="6"/>
      <c r="N3" s="6"/>
      <c r="O3" s="6"/>
      <c r="P3" s="6"/>
    </row>
    <row r="4" customFormat="false" ht="6" hidden="false" customHeight="true" outlineLevel="0" collapsed="false"/>
    <row r="5" customFormat="false" ht="21" hidden="false" customHeight="true" outlineLevel="0" collapsed="false">
      <c r="B5" s="9"/>
      <c r="C5" s="9"/>
      <c r="D5" s="9"/>
      <c r="E5" s="9"/>
      <c r="G5" s="9" t="s">
        <v>623</v>
      </c>
      <c r="H5" s="9"/>
      <c r="I5" s="9"/>
      <c r="J5" s="9"/>
      <c r="K5" s="9"/>
      <c r="L5" s="9"/>
      <c r="M5" s="9"/>
      <c r="N5" s="9"/>
      <c r="O5" s="9"/>
      <c r="P5" s="9"/>
    </row>
    <row r="6" customFormat="false" ht="30" hidden="false" customHeight="true" outlineLevel="0" collapsed="false">
      <c r="B6" s="21" t="s">
        <v>624</v>
      </c>
      <c r="C6" s="21"/>
      <c r="D6" s="21"/>
      <c r="E6" s="21"/>
      <c r="G6" s="10" t="s">
        <v>261</v>
      </c>
      <c r="H6" s="10" t="s">
        <v>172</v>
      </c>
      <c r="I6" s="10" t="s">
        <v>173</v>
      </c>
      <c r="J6" s="10" t="s">
        <v>270</v>
      </c>
      <c r="K6" s="10" t="s">
        <v>625</v>
      </c>
      <c r="L6" s="10" t="s">
        <v>626</v>
      </c>
      <c r="M6" s="10" t="s">
        <v>627</v>
      </c>
      <c r="N6" s="10" t="s">
        <v>628</v>
      </c>
      <c r="O6" s="10" t="s">
        <v>629</v>
      </c>
      <c r="P6" s="10" t="s">
        <v>630</v>
      </c>
    </row>
    <row r="7" customFormat="false" ht="23.25" hidden="false" customHeight="true" outlineLevel="0" collapsed="false">
      <c r="G7" s="43" t="str">
        <f aca="false">DATOS!$B$72&amp;" — "&amp;DATOS!$E$72</f>
        <v>LOAD 8 — VIENTO X</v>
      </c>
      <c r="H7" s="16" t="str">
        <f aca="false">DATOS!$C$72</f>
        <v>+X</v>
      </c>
      <c r="I7" s="41" t="str">
        <f aca="false">DATOS!$D$72</f>
        <v>CERRADAS</v>
      </c>
      <c r="J7" s="42" t="n">
        <f aca="false">PRESIONES!$C$42</f>
        <v>-0.5</v>
      </c>
      <c r="K7" s="46" t="n">
        <f aca="false">PRESIONES!$C$63</f>
        <v>9.60601323045142</v>
      </c>
      <c r="L7" s="46" t="n">
        <f aca="false">PRESIONES!$C$69</f>
        <v>1.57512815853564</v>
      </c>
      <c r="M7" s="46" t="n">
        <f aca="false">PRESIONES!$C$66</f>
        <v>-0.869777839027441</v>
      </c>
      <c r="N7" s="45" t="n">
        <f aca="false">MIN(PRESIONES!$C$51:$C$54)</f>
        <v>-9.7664196337775</v>
      </c>
      <c r="O7" s="45" t="n">
        <f aca="false">PRESIONES!$C$45</f>
        <v>62.8160490844438</v>
      </c>
      <c r="P7" s="20" t="str">
        <f aca="false">IF(COUNTIF(PRESIONES!$I$76:$I$80,"OK")+COUNTIF(PRESIONES!$I$76:$I$80,"TODO ABIERTO*")=5,"OK","REVISA PRESIONES §E")</f>
        <v>OK</v>
      </c>
    </row>
    <row r="8" customFormat="false" ht="30" hidden="false" customHeight="true" outlineLevel="0" collapsed="false">
      <c r="B8" s="10" t="s">
        <v>631</v>
      </c>
      <c r="C8" s="10" t="s">
        <v>632</v>
      </c>
      <c r="D8" s="10" t="s">
        <v>633</v>
      </c>
      <c r="E8" s="10" t="s">
        <v>632</v>
      </c>
      <c r="G8" s="43" t="str">
        <f aca="false">DATOS!$B$73&amp;" — "&amp;DATOS!$E$73</f>
        <v>LOAD 9 — VIENTO -X</v>
      </c>
      <c r="H8" s="16" t="str">
        <f aca="false">DATOS!$C$73</f>
        <v>−X</v>
      </c>
      <c r="I8" s="41" t="str">
        <f aca="false">DATOS!$D$73</f>
        <v>CERRADAS</v>
      </c>
      <c r="J8" s="42" t="n">
        <f aca="false">PRESIONES!$D$42</f>
        <v>-0.5</v>
      </c>
      <c r="K8" s="46" t="n">
        <f aca="false">PRESIONES!$D$63</f>
        <v>-9.60601323045142</v>
      </c>
      <c r="L8" s="46" t="n">
        <f aca="false">PRESIONES!$D$69</f>
        <v>1.57512815853564</v>
      </c>
      <c r="M8" s="46" t="n">
        <f aca="false">PRESIONES!$D$66</f>
        <v>-0.869777839027441</v>
      </c>
      <c r="N8" s="45" t="n">
        <f aca="false">MIN(PRESIONES!$D$51:$D$54)</f>
        <v>-9.7664196337775</v>
      </c>
      <c r="O8" s="45" t="n">
        <f aca="false">PRESIONES!$D$46</f>
        <v>62.8160490844438</v>
      </c>
      <c r="P8" s="20" t="str">
        <f aca="false">IF(COUNTIF(PRESIONES!$I$76:$I$80,"OK")+COUNTIF(PRESIONES!$I$76:$I$80,"TODO ABIERTO*")=5,"OK","REVISA PRESIONES §E")</f>
        <v>OK</v>
      </c>
    </row>
    <row r="9" customFormat="false" ht="23.25" hidden="false" customHeight="true" outlineLevel="0" collapsed="false">
      <c r="B9" s="52" t="str">
        <f aca="false">"LOAD "&amp;(DATOS!$C$66+0)&amp;" LOADTYPE Wind  TITLE "&amp;DATOS!$E$72</f>
        <v>LOAD 8 LOADTYPE Wind  TITLE VIENTO X</v>
      </c>
      <c r="C9" s="51" t="str">
        <f aca="false">IF(LEN($B9)&gt;79,"MÁS DE 79 CARACTERES","")</f>
        <v/>
      </c>
      <c r="D9" s="53" t="str">
        <f aca="false">IF(PRESIONES!$C$22="NO",IF(1=1,"* CASOS B = CASOS A (SIN ±0.4 NI +0.3 EN EL TECHO): NO HACE FALTA",""),"LOAD "&amp;(DATOS!$C$69+0)&amp;" LOADTYPE Wind  TITLE "&amp;DATOS!$E$72&amp;" B")</f>
        <v>* CASOS B = CASOS A (SIN ±0.4 NI +0.3 EN EL TECHO): NO HACE FALTA</v>
      </c>
      <c r="E9" s="51" t="str">
        <f aca="false">IF(LEN($D9)&gt;79,"MÁS DE 79 CARACTERES","")</f>
        <v/>
      </c>
      <c r="G9" s="43" t="str">
        <f aca="false">DATOS!$B$74&amp;" — "&amp;DATOS!$E$74</f>
        <v>LOAD 10 — VIENTO Z</v>
      </c>
      <c r="H9" s="16" t="str">
        <f aca="false">DATOS!$C$74</f>
        <v>+Z</v>
      </c>
      <c r="I9" s="41" t="str">
        <f aca="false">DATOS!$D$74</f>
        <v>CERRADAS</v>
      </c>
      <c r="J9" s="42" t="n">
        <f aca="false">PRESIONES!$E$42</f>
        <v>-0.6</v>
      </c>
      <c r="K9" s="46" t="n">
        <f aca="false">PRESIONES!$E$63</f>
        <v>0</v>
      </c>
      <c r="L9" s="46" t="n">
        <f aca="false">PRESIONES!$E$69</f>
        <v>0.787564079267818</v>
      </c>
      <c r="M9" s="46" t="n">
        <f aca="false">PRESIONES!$E$66</f>
        <v>7.03624128278832</v>
      </c>
      <c r="N9" s="45" t="n">
        <f aca="false">MIN(PRESIONES!$E$51:$E$54)</f>
        <v>-4.88320981688875</v>
      </c>
      <c r="O9" s="45" t="n">
        <f aca="false">PRESIONES!$E$43</f>
        <v>67.6992589013325</v>
      </c>
      <c r="P9" s="20" t="str">
        <f aca="false">IF(COUNTIF(PRESIONES!$I$76:$I$80,"OK")+COUNTIF(PRESIONES!$I$76:$I$80,"TODO ABIERTO*")=5,"OK","REVISA PRESIONES §E")</f>
        <v>OK</v>
      </c>
    </row>
    <row r="10" customFormat="false" ht="23.25" hidden="false" customHeight="true" outlineLevel="0" collapsed="false">
      <c r="B10" s="53" t="s">
        <v>634</v>
      </c>
      <c r="C10" s="51" t="str">
        <f aca="false">IF(LEN($B10)&gt;79,"MÁS DE 79 CARACTERES","")</f>
        <v/>
      </c>
      <c r="D10" s="53" t="str">
        <f aca="false">IF(PRESIONES!$C$22="NO","","MEMBER LOAD")</f>
        <v/>
      </c>
      <c r="E10" s="51" t="str">
        <f aca="false">IF(LEN($D10)&gt;79,"MÁS DE 79 CARACTERES","")</f>
        <v/>
      </c>
      <c r="G10" s="43" t="str">
        <f aca="false">DATOS!$B$75&amp;" — "&amp;DATOS!$E$75</f>
        <v>LOAD 11 — VIENTO -Z</v>
      </c>
      <c r="H10" s="16" t="str">
        <f aca="false">DATOS!$C$75</f>
        <v>−Z</v>
      </c>
      <c r="I10" s="41" t="str">
        <f aca="false">DATOS!$D$75</f>
        <v>CERRADAS</v>
      </c>
      <c r="J10" s="42" t="n">
        <f aca="false">PRESIONES!$F$42</f>
        <v>0.75</v>
      </c>
      <c r="K10" s="46" t="n">
        <f aca="false">PRESIONES!$F$63</f>
        <v>0</v>
      </c>
      <c r="L10" s="46" t="n">
        <f aca="false">PRESIONES!$F$69</f>
        <v>11.4196791493834</v>
      </c>
      <c r="M10" s="46" t="n">
        <f aca="false">PRESIONES!$F$66</f>
        <v>-5.6903746400995</v>
      </c>
      <c r="N10" s="45" t="n">
        <f aca="false">MIN(PRESIONES!$F$51:$F$54)</f>
        <v>-70.8065423448869</v>
      </c>
      <c r="O10" s="45" t="n">
        <f aca="false">PRESIONES!$F$44</f>
        <v>1.77592637333436</v>
      </c>
      <c r="P10" s="20" t="str">
        <f aca="false">IF(COUNTIF(PRESIONES!$I$76:$I$80,"OK")+COUNTIF(PRESIONES!$I$76:$I$80,"TODO ABIERTO*")=5,"OK","REVISA PRESIONES §E")</f>
        <v>OK</v>
      </c>
    </row>
    <row r="11" customFormat="false" ht="23.25" hidden="false" customHeight="true" outlineLevel="0" collapsed="false">
      <c r="B11" s="53" t="str">
        <f aca="false">IF(OR(LINEAS!$D$9="",ABS(-LINEAS!$AB$9*DATOS!$C$67)&lt;0.00005),"*",LINEAS!$D$9&amp;" UNI GY "&amp;TEXT(-LINEAS!$AB$9*DATOS!$C$67,DATOS!$C$68))</f>
        <v>22 85 TO 88 UNI GY 0.0659</v>
      </c>
      <c r="C11" s="51" t="str">
        <f aca="false">IF(LEN($B11)&gt;79,"MÁS DE 79 CARACTERES","")</f>
        <v/>
      </c>
      <c r="D11" s="53" t="str">
        <f aca="false">IF(PRESIONES!$C$22="NO","",IF(OR(LINEAS!$D$9="",ABS(-LINEAS!$AR$9*DATOS!$C$67)&lt;0.00005),"*",LINEAS!$D$9&amp;" UNI GY "&amp;TEXT(-LINEAS!$AR$9*DATOS!$C$67,DATOS!$C$68)))</f>
        <v/>
      </c>
      <c r="E11" s="51" t="str">
        <f aca="false">IF(LEN($D11)&gt;79,"MÁS DE 79 CARACTERES","")</f>
        <v/>
      </c>
      <c r="G11" s="43" t="str">
        <f aca="false">DATOS!$B$76&amp;" — "&amp;DATOS!$E$76</f>
        <v>LOAD 12 — VIENTO X PA</v>
      </c>
      <c r="H11" s="16" t="str">
        <f aca="false">DATOS!$C$76</f>
        <v>+X</v>
      </c>
      <c r="I11" s="41" t="str">
        <f aca="false">DATOS!$D$76</f>
        <v>ABIERTAS (PA)</v>
      </c>
      <c r="J11" s="42" t="n">
        <f aca="false">PRESIONES!$G$42</f>
        <v>-0.5</v>
      </c>
      <c r="K11" s="46" t="n">
        <f aca="false">PRESIONES!$G$63</f>
        <v>9.60601323045142</v>
      </c>
      <c r="L11" s="46" t="n">
        <f aca="false">PRESIONES!$G$69</f>
        <v>1.57512815853564</v>
      </c>
      <c r="M11" s="46" t="n">
        <f aca="false">PRESIONES!$G$66</f>
        <v>-0.55885694409986</v>
      </c>
      <c r="N11" s="45" t="n">
        <f aca="false">MIN(PRESIONES!$G$51:$G$54)</f>
        <v>-9.7664196337775</v>
      </c>
      <c r="O11" s="45" t="n">
        <f aca="false">PRESIONES!$G$45</f>
        <v>62.8160490844438</v>
      </c>
      <c r="P11" s="20" t="str">
        <f aca="false">IF(COUNTIF(PRESIONES!$I$76:$I$80,"OK")+COUNTIF(PRESIONES!$I$76:$I$80,"TODO ABIERTO*")=5,"OK","REVISA PRESIONES §E")</f>
        <v>OK</v>
      </c>
    </row>
    <row r="12" customFormat="false" ht="23.25" hidden="false" customHeight="true" outlineLevel="0" collapsed="false">
      <c r="B12" s="53" t="str">
        <f aca="false">IF(OR(LINEAS!$D$9="",DATOS!$C$22="—",ABS(LINEAS!$AJ$9*DATOS!$C$67)&lt;0.00005),"*",LINEAS!$D$9&amp;" UNI G"&amp;DATOS!$C$22&amp;" "&amp;TEXT(LINEAS!$AJ$9*DATOS!$C$67,DATOS!$C$68))</f>
        <v>22 85 TO 88 UNI GZ 0.0033</v>
      </c>
      <c r="C12" s="51" t="str">
        <f aca="false">IF(LEN($B12)&gt;79,"MÁS DE 79 CARACTERES","")</f>
        <v/>
      </c>
      <c r="D12" s="53" t="str">
        <f aca="false">IF(PRESIONES!$C$22="NO","",IF(OR(LINEAS!$D$9="",DATOS!$C$22="—",ABS(LINEAS!$AZ$9*DATOS!$C$67)&lt;0.00005),"*",LINEAS!$D$9&amp;" UNI G"&amp;DATOS!$C$22&amp;" "&amp;TEXT(LINEAS!$AZ$9*DATOS!$C$67,DATOS!$C$68)))</f>
        <v/>
      </c>
      <c r="E12" s="51" t="str">
        <f aca="false">IF(LEN($D12)&gt;79,"MÁS DE 79 CARACTERES","")</f>
        <v/>
      </c>
      <c r="G12" s="43" t="str">
        <f aca="false">DATOS!$B$77&amp;" — "&amp;DATOS!$E$77</f>
        <v>LOAD 13 — VIENTO -X PA</v>
      </c>
      <c r="H12" s="16" t="str">
        <f aca="false">DATOS!$C$77</f>
        <v>−X</v>
      </c>
      <c r="I12" s="41" t="str">
        <f aca="false">DATOS!$D$77</f>
        <v>ABIERTAS (PA)</v>
      </c>
      <c r="J12" s="42" t="n">
        <f aca="false">PRESIONES!$H$42</f>
        <v>-0.5</v>
      </c>
      <c r="K12" s="46" t="n">
        <f aca="false">PRESIONES!$H$63</f>
        <v>-9.60601323045142</v>
      </c>
      <c r="L12" s="46" t="n">
        <f aca="false">PRESIONES!$H$69</f>
        <v>1.57512815853564</v>
      </c>
      <c r="M12" s="46" t="n">
        <f aca="false">PRESIONES!$H$66</f>
        <v>-0.55885694409986</v>
      </c>
      <c r="N12" s="45" t="n">
        <f aca="false">MIN(PRESIONES!$H$51:$H$54)</f>
        <v>-9.7664196337775</v>
      </c>
      <c r="O12" s="45" t="n">
        <f aca="false">PRESIONES!$H$46</f>
        <v>62.8160490844438</v>
      </c>
      <c r="P12" s="20" t="str">
        <f aca="false">IF(COUNTIF(PRESIONES!$I$76:$I$80,"OK")+COUNTIF(PRESIONES!$I$76:$I$80,"TODO ABIERTO*")=5,"OK","REVISA PRESIONES §E")</f>
        <v>OK</v>
      </c>
    </row>
    <row r="13" customFormat="false" ht="23.25" hidden="false" customHeight="true" outlineLevel="0" collapsed="false">
      <c r="B13" s="53" t="str">
        <f aca="false">IF(OR(LINEAS!$D$10="",ABS(-LINEAS!$AB$10*DATOS!$C$67)&lt;0.00005),"*",LINEAS!$D$10&amp;" UNI GY "&amp;TEXT(-LINEAS!$AB$10*DATOS!$C$67,DATOS!$C$68))</f>
        <v>80 129 TO 132 UNI GY 0.1318</v>
      </c>
      <c r="C13" s="51" t="str">
        <f aca="false">IF(LEN($B13)&gt;79,"MÁS DE 79 CARACTERES","")</f>
        <v/>
      </c>
      <c r="D13" s="53" t="str">
        <f aca="false">IF(PRESIONES!$C$22="NO","",IF(OR(LINEAS!$D$10="",ABS(-LINEAS!$AR$10*DATOS!$C$67)&lt;0.00005),"*",LINEAS!$D$10&amp;" UNI GY "&amp;TEXT(-LINEAS!$AR$10*DATOS!$C$67,DATOS!$C$68)))</f>
        <v/>
      </c>
      <c r="E13" s="51" t="str">
        <f aca="false">IF(LEN($D13)&gt;79,"MÁS DE 79 CARACTERES","")</f>
        <v/>
      </c>
      <c r="G13" s="43" t="str">
        <f aca="false">DATOS!$B$78&amp;" — "&amp;DATOS!$E$78</f>
        <v>LOAD 14 — VIENTO Z PA</v>
      </c>
      <c r="H13" s="16" t="str">
        <f aca="false">DATOS!$C$78</f>
        <v>+Z</v>
      </c>
      <c r="I13" s="41" t="str">
        <f aca="false">DATOS!$D$78</f>
        <v>ABIERTAS (PA)</v>
      </c>
      <c r="J13" s="42" t="n">
        <f aca="false">PRESIONES!$I$42</f>
        <v>-0.6</v>
      </c>
      <c r="K13" s="46" t="n">
        <f aca="false">PRESIONES!$I$63</f>
        <v>0</v>
      </c>
      <c r="L13" s="46" t="n">
        <f aca="false">PRESIONES!$I$69</f>
        <v>0.787564079267818</v>
      </c>
      <c r="M13" s="46" t="n">
        <f aca="false">PRESIONES!$I$66</f>
        <v>4.74429587094142</v>
      </c>
      <c r="N13" s="45" t="n">
        <f aca="false">MIN(PRESIONES!$I$51:$I$54)</f>
        <v>-4.88320981688875</v>
      </c>
      <c r="O13" s="45" t="n">
        <f aca="false">PRESIONES!$I$43</f>
        <v>67.6992589013325</v>
      </c>
      <c r="P13" s="20" t="str">
        <f aca="false">IF(COUNTIF(PRESIONES!$I$76:$I$80,"OK")+COUNTIF(PRESIONES!$I$76:$I$80,"TODO ABIERTO*")=5,"OK","REVISA PRESIONES §E")</f>
        <v>OK</v>
      </c>
    </row>
    <row r="14" customFormat="false" ht="23.25" hidden="false" customHeight="true" outlineLevel="0" collapsed="false">
      <c r="B14" s="53" t="str">
        <f aca="false">IF(OR(LINEAS!$D$10="",DATOS!$C$22="—",ABS(LINEAS!$AJ$10*DATOS!$C$67)&lt;0.00005),"*",LINEAS!$D$10&amp;" UNI G"&amp;DATOS!$C$22&amp;" "&amp;TEXT(LINEAS!$AJ$10*DATOS!$C$67,DATOS!$C$68))</f>
        <v>80 129 TO 132 UNI GZ 0.0066</v>
      </c>
      <c r="C14" s="51" t="str">
        <f aca="false">IF(LEN($B14)&gt;79,"MÁS DE 79 CARACTERES","")</f>
        <v/>
      </c>
      <c r="D14" s="53" t="str">
        <f aca="false">IF(PRESIONES!$C$22="NO","",IF(OR(LINEAS!$D$10="",DATOS!$C$22="—",ABS(LINEAS!$AZ$10*DATOS!$C$67)&lt;0.00005),"*",LINEAS!$D$10&amp;" UNI G"&amp;DATOS!$C$22&amp;" "&amp;TEXT(LINEAS!$AZ$10*DATOS!$C$67,DATOS!$C$68)))</f>
        <v/>
      </c>
      <c r="E14" s="51" t="str">
        <f aca="false">IF(LEN($D14)&gt;79,"MÁS DE 79 CARACTERES","")</f>
        <v/>
      </c>
      <c r="G14" s="43" t="str">
        <f aca="false">DATOS!$B$79&amp;" — "&amp;DATOS!$E$79</f>
        <v>LOAD 15 — VIENTO -Z PA</v>
      </c>
      <c r="H14" s="16" t="str">
        <f aca="false">DATOS!$C$79</f>
        <v>−Z</v>
      </c>
      <c r="I14" s="41" t="str">
        <f aca="false">DATOS!$D$79</f>
        <v>ABIERTAS (PA)</v>
      </c>
      <c r="J14" s="42" t="n">
        <f aca="false">PRESIONES!$J$42</f>
        <v>0.75</v>
      </c>
      <c r="K14" s="46" t="n">
        <f aca="false">PRESIONES!$J$63</f>
        <v>0</v>
      </c>
      <c r="L14" s="46" t="n">
        <f aca="false">PRESIONES!$J$69</f>
        <v>11.4196791493834</v>
      </c>
      <c r="M14" s="46" t="n">
        <f aca="false">PRESIONES!$J$66</f>
        <v>-3.63795826729087</v>
      </c>
      <c r="N14" s="45" t="n">
        <f aca="false">MIN(PRESIONES!$J$51:$J$54)</f>
        <v>-70.8065423448869</v>
      </c>
      <c r="O14" s="45" t="n">
        <f aca="false">PRESIONES!$J$44</f>
        <v>1.77592637333436</v>
      </c>
      <c r="P14" s="20" t="str">
        <f aca="false">IF(COUNTIF(PRESIONES!$I$76:$I$80,"OK")+COUNTIF(PRESIONES!$I$76:$I$80,"TODO ABIERTO*")=5,"OK","REVISA PRESIONES §E")</f>
        <v>OK</v>
      </c>
    </row>
    <row r="15" customFormat="false" ht="15" hidden="false" customHeight="true" outlineLevel="0" collapsed="false">
      <c r="B15" s="53" t="str">
        <f aca="false">IF(OR(LINEAS!$D$11="",ABS(-LINEAS!$AB$11*DATOS!$C$67)&lt;0.00005),"*",LINEAS!$D$11&amp;" UNI GY "&amp;TEXT(-LINEAS!$AB$11*DATOS!$C$67,DATOS!$C$68))</f>
        <v>79 125 TO 128 UNI GY 0.1318</v>
      </c>
      <c r="C15" s="51" t="str">
        <f aca="false">IF(LEN($B15)&gt;79,"MÁS DE 79 CARACTERES","")</f>
        <v/>
      </c>
      <c r="D15" s="53" t="str">
        <f aca="false">IF(PRESIONES!$C$22="NO","",IF(OR(LINEAS!$D$11="",ABS(-LINEAS!$AR$11*DATOS!$C$67)&lt;0.00005),"*",LINEAS!$D$11&amp;" UNI GY "&amp;TEXT(-LINEAS!$AR$11*DATOS!$C$67,DATOS!$C$68)))</f>
        <v/>
      </c>
      <c r="E15" s="51" t="str">
        <f aca="false">IF(LEN($D15)&gt;79,"MÁS DE 79 CARACTERES","")</f>
        <v/>
      </c>
    </row>
    <row r="16" customFormat="false" ht="21" hidden="false" customHeight="true" outlineLevel="0" collapsed="false">
      <c r="B16" s="53" t="str">
        <f aca="false">IF(OR(LINEAS!$D$11="",DATOS!$C$22="—",ABS(LINEAS!$AJ$11*DATOS!$C$67)&lt;0.00005),"*",LINEAS!$D$11&amp;" UNI G"&amp;DATOS!$C$22&amp;" "&amp;TEXT(LINEAS!$AJ$11*DATOS!$C$67,DATOS!$C$68))</f>
        <v>79 125 TO 128 UNI GZ 0.0066</v>
      </c>
      <c r="C16" s="51" t="str">
        <f aca="false">IF(LEN($B16)&gt;79,"MÁS DE 79 CARACTERES","")</f>
        <v/>
      </c>
      <c r="D16" s="53" t="str">
        <f aca="false">IF(PRESIONES!$C$22="NO","",IF(OR(LINEAS!$D$11="",DATOS!$C$22="—",ABS(LINEAS!$AZ$11*DATOS!$C$67)&lt;0.00005),"*",LINEAS!$D$11&amp;" UNI G"&amp;DATOS!$C$22&amp;" "&amp;TEXT(LINEAS!$AZ$11*DATOS!$C$67,DATOS!$C$68)))</f>
        <v/>
      </c>
      <c r="E16" s="51" t="str">
        <f aca="false">IF(LEN($D16)&gt;79,"MÁS DE 79 CARACTERES","")</f>
        <v/>
      </c>
      <c r="G16" s="9" t="s">
        <v>635</v>
      </c>
      <c r="H16" s="9"/>
      <c r="I16" s="9"/>
      <c r="J16" s="9"/>
      <c r="K16" s="9"/>
      <c r="L16" s="9"/>
      <c r="M16" s="9"/>
      <c r="N16" s="9"/>
      <c r="O16" s="9"/>
      <c r="P16" s="9"/>
    </row>
    <row r="17" customFormat="false" ht="30" hidden="false" customHeight="true" outlineLevel="0" collapsed="false">
      <c r="B17" s="53" t="str">
        <f aca="false">IF(OR(LINEAS!$D$12="",ABS(-LINEAS!$AB$12*DATOS!$C$67)&lt;0.00005),"*",LINEAS!$D$12&amp;" UNI GY "&amp;TEXT(-LINEAS!$AB$12*DATOS!$C$67,DATOS!$C$68))</f>
        <v>78 121 TO 124 UNI GY 0.1318</v>
      </c>
      <c r="C17" s="51" t="str">
        <f aca="false">IF(LEN($B17)&gt;79,"MÁS DE 79 CARACTERES","")</f>
        <v/>
      </c>
      <c r="D17" s="53" t="str">
        <f aca="false">IF(PRESIONES!$C$22="NO","",IF(OR(LINEAS!$D$12="",ABS(-LINEAS!$AR$12*DATOS!$C$67)&lt;0.00005),"*",LINEAS!$D$12&amp;" UNI GY "&amp;TEXT(-LINEAS!$AR$12*DATOS!$C$67,DATOS!$C$68)))</f>
        <v/>
      </c>
      <c r="E17" s="51" t="str">
        <f aca="false">IF(LEN($D17)&gt;79,"MÁS DE 79 CARACTERES","")</f>
        <v/>
      </c>
      <c r="G17" s="21" t="s">
        <v>636</v>
      </c>
      <c r="H17" s="21"/>
      <c r="I17" s="21"/>
      <c r="J17" s="21"/>
      <c r="K17" s="21"/>
      <c r="L17" s="21"/>
      <c r="M17" s="21"/>
      <c r="N17" s="21"/>
      <c r="O17" s="21"/>
      <c r="P17" s="21"/>
    </row>
    <row r="18" customFormat="false" ht="30" hidden="false" customHeight="true" outlineLevel="0" collapsed="false">
      <c r="B18" s="53" t="str">
        <f aca="false">IF(OR(LINEAS!$D$12="",DATOS!$C$22="—",ABS(LINEAS!$AJ$12*DATOS!$C$67)&lt;0.00005),"*",LINEAS!$D$12&amp;" UNI G"&amp;DATOS!$C$22&amp;" "&amp;TEXT(LINEAS!$AJ$12*DATOS!$C$67,DATOS!$C$68))</f>
        <v>78 121 TO 124 UNI GZ 0.0066</v>
      </c>
      <c r="C18" s="51" t="str">
        <f aca="false">IF(LEN($B18)&gt;79,"MÁS DE 79 CARACTERES","")</f>
        <v/>
      </c>
      <c r="D18" s="53" t="str">
        <f aca="false">IF(PRESIONES!$C$22="NO","",IF(OR(LINEAS!$D$12="",DATOS!$C$22="—",ABS(LINEAS!$AZ$12*DATOS!$C$67)&lt;0.00005),"*",LINEAS!$D$12&amp;" UNI G"&amp;DATOS!$C$22&amp;" "&amp;TEXT(LINEAS!$AZ$12*DATOS!$C$67,DATOS!$C$68)))</f>
        <v/>
      </c>
      <c r="E18" s="51" t="str">
        <f aca="false">IF(LEN($D18)&gt;79,"MÁS DE 79 CARACTERES","")</f>
        <v/>
      </c>
      <c r="G18" s="10" t="s">
        <v>311</v>
      </c>
      <c r="H18" s="10" t="str">
        <f aca="false">DATOS!$B$72</f>
        <v>LOAD 8</v>
      </c>
      <c r="I18" s="10" t="str">
        <f aca="false">DATOS!$B$73</f>
        <v>LOAD 9</v>
      </c>
      <c r="J18" s="10" t="str">
        <f aca="false">DATOS!$B$74</f>
        <v>LOAD 10</v>
      </c>
      <c r="K18" s="10" t="str">
        <f aca="false">DATOS!$B$75</f>
        <v>LOAD 11</v>
      </c>
      <c r="L18" s="10" t="str">
        <f aca="false">DATOS!$B$76</f>
        <v>LOAD 12</v>
      </c>
      <c r="M18" s="10" t="str">
        <f aca="false">DATOS!$B$77</f>
        <v>LOAD 13</v>
      </c>
      <c r="N18" s="10" t="str">
        <f aca="false">DATOS!$B$78</f>
        <v>LOAD 14</v>
      </c>
      <c r="O18" s="10" t="str">
        <f aca="false">DATOS!$B$79</f>
        <v>LOAD 15</v>
      </c>
      <c r="P18" s="10" t="s">
        <v>637</v>
      </c>
    </row>
    <row r="19" customFormat="false" ht="15" hidden="false" customHeight="true" outlineLevel="0" collapsed="false">
      <c r="B19" s="53" t="str">
        <f aca="false">IF(OR(LINEAS!$D$13="",ABS(-LINEAS!$AB$13*DATOS!$C$67)&lt;0.00005),"*",LINEAS!$D$13&amp;" UNI GY "&amp;TEXT(-LINEAS!$AB$13*DATOS!$C$67,DATOS!$C$68))</f>
        <v>77 117 TO 120 UNI GY 0.1318</v>
      </c>
      <c r="C19" s="51" t="str">
        <f aca="false">IF(LEN($B19)&gt;79,"MÁS DE 79 CARACTERES","")</f>
        <v/>
      </c>
      <c r="D19" s="53" t="str">
        <f aca="false">IF(PRESIONES!$C$22="NO","",IF(OR(LINEAS!$D$13="",ABS(-LINEAS!$AR$13*DATOS!$C$67)&lt;0.00005),"*",LINEAS!$D$13&amp;" UNI GY "&amp;TEXT(-LINEAS!$AR$13*DATOS!$C$67,DATOS!$C$68)))</f>
        <v/>
      </c>
      <c r="E19" s="51" t="str">
        <f aca="false">IF(LEN($D19)&gt;79,"MÁS DE 79 CARACTERES","")</f>
        <v/>
      </c>
      <c r="G19" s="11" t="s">
        <v>638</v>
      </c>
      <c r="H19" s="54" t="n">
        <f aca="false">1*PRESIONES!$C$43*IF(DATOS!$C$65="CM KG",0.0001,IF(DATOS!$C$65="METER KG",1,0.00980665))</f>
        <v>-0.000918395091555623</v>
      </c>
      <c r="I19" s="54" t="n">
        <f aca="false">1*PRESIONES!$D$43*IF(DATOS!$C$65="CM KG",0.0001,IF(DATOS!$C$65="METER KG",1,0.00980665))</f>
        <v>-0.000918395091555623</v>
      </c>
      <c r="J19" s="54" t="n">
        <f aca="false">1*PRESIONES!$E$43*IF(DATOS!$C$65="CM KG",0.0001,IF(DATOS!$C$65="METER KG",1,0.00980665))</f>
        <v>0.00676992589013325</v>
      </c>
      <c r="K19" s="54" t="n">
        <f aca="false">1*PRESIONES!$F$43*IF(DATOS!$C$65="CM KG",0.0001,IF(DATOS!$C$65="METER KG",1,0.00980665))</f>
        <v>-0.00606240736266657</v>
      </c>
      <c r="L19" s="54" t="n">
        <f aca="false">1*PRESIONES!$G$43*IF(DATOS!$C$65="CM KG",0.0001,IF(DATOS!$C$65="METER KG",1,0.00980665))</f>
        <v>-0.000918395091555623</v>
      </c>
      <c r="M19" s="54" t="n">
        <f aca="false">1*PRESIONES!$H$43*IF(DATOS!$C$65="CM KG",0.0001,IF(DATOS!$C$65="METER KG",1,0.00980665))</f>
        <v>-0.000918395091555623</v>
      </c>
      <c r="N19" s="54" t="n">
        <f aca="false">1*PRESIONES!$I$43*IF(DATOS!$C$65="CM KG",0.0001,IF(DATOS!$C$65="METER KG",1,0.00980665))</f>
        <v>0.00676992589013325</v>
      </c>
      <c r="O19" s="54" t="n">
        <f aca="false">1*PRESIONES!$J$43*IF(DATOS!$C$65="CM KG",0.0001,IF(DATOS!$C$65="METER KG",1,0.00980665))</f>
        <v>-0.00606240736266657</v>
      </c>
      <c r="P19" s="20" t="s">
        <v>639</v>
      </c>
    </row>
    <row r="20" customFormat="false" ht="15" hidden="false" customHeight="true" outlineLevel="0" collapsed="false">
      <c r="B20" s="53" t="str">
        <f aca="false">IF(OR(LINEAS!$D$13="",DATOS!$C$22="—",ABS(LINEAS!$AJ$13*DATOS!$C$67)&lt;0.00005),"*",LINEAS!$D$13&amp;" UNI G"&amp;DATOS!$C$22&amp;" "&amp;TEXT(LINEAS!$AJ$13*DATOS!$C$67,DATOS!$C$68))</f>
        <v>77 117 TO 120 UNI GZ 0.0066</v>
      </c>
      <c r="C20" s="51" t="str">
        <f aca="false">IF(LEN($B20)&gt;79,"MÁS DE 79 CARACTERES","")</f>
        <v/>
      </c>
      <c r="D20" s="53" t="str">
        <f aca="false">IF(PRESIONES!$C$22="NO","",IF(OR(LINEAS!$D$13="",DATOS!$C$22="—",ABS(LINEAS!$AZ$13*DATOS!$C$67)&lt;0.00005),"*",LINEAS!$D$13&amp;" UNI G"&amp;DATOS!$C$22&amp;" "&amp;TEXT(LINEAS!$AZ$13*DATOS!$C$67,DATOS!$C$68)))</f>
        <v/>
      </c>
      <c r="E20" s="51" t="str">
        <f aca="false">IF(LEN($D20)&gt;79,"MÁS DE 79 CARACTERES","")</f>
        <v/>
      </c>
      <c r="G20" s="11" t="s">
        <v>640</v>
      </c>
      <c r="H20" s="54" t="n">
        <f aca="false">-1*PRESIONES!$C$44*IF(DATOS!$C$65="CM KG",0.0001,IF(DATOS!$C$65="METER KG",1,0.00980665))</f>
        <v>0.000918395091555623</v>
      </c>
      <c r="I20" s="54" t="n">
        <f aca="false">-1*PRESIONES!$D$44*IF(DATOS!$C$65="CM KG",0.0001,IF(DATOS!$C$65="METER KG",1,0.00980665))</f>
        <v>0.000918395091555623</v>
      </c>
      <c r="J20" s="54" t="n">
        <f aca="false">-1*PRESIONES!$E$44*IF(DATOS!$C$65="CM KG",0.0001,IF(DATOS!$C$65="METER KG",1,0.00980665))</f>
        <v>-0.000529925890133252</v>
      </c>
      <c r="K20" s="54" t="n">
        <f aca="false">-1*PRESIONES!$F$44*IF(DATOS!$C$65="CM KG",0.0001,IF(DATOS!$C$65="METER KG",1,0.00980665))</f>
        <v>-0.000177592637333436</v>
      </c>
      <c r="L20" s="54" t="n">
        <f aca="false">-1*PRESIONES!$G$44*IF(DATOS!$C$65="CM KG",0.0001,IF(DATOS!$C$65="METER KG",1,0.00980665))</f>
        <v>0.000918395091555623</v>
      </c>
      <c r="M20" s="54" t="n">
        <f aca="false">-1*PRESIONES!$H$44*IF(DATOS!$C$65="CM KG",0.0001,IF(DATOS!$C$65="METER KG",1,0.00980665))</f>
        <v>0.000918395091555623</v>
      </c>
      <c r="N20" s="54" t="n">
        <f aca="false">-1*PRESIONES!$I$44*IF(DATOS!$C$65="CM KG",0.0001,IF(DATOS!$C$65="METER KG",1,0.00980665))</f>
        <v>-0.000529925890133252</v>
      </c>
      <c r="O20" s="54" t="n">
        <f aca="false">-1*PRESIONES!$J$44*IF(DATOS!$C$65="CM KG",0.0001,IF(DATOS!$C$65="METER KG",1,0.00980665))</f>
        <v>-0.000177592637333436</v>
      </c>
      <c r="P20" s="20" t="s">
        <v>639</v>
      </c>
    </row>
    <row r="21" customFormat="false" ht="15" hidden="false" customHeight="true" outlineLevel="0" collapsed="false">
      <c r="B21" s="53" t="str">
        <f aca="false">IF(OR(LINEAS!$D$14="",ABS(-LINEAS!$AB$14*DATOS!$C$67)&lt;0.00005),"*",LINEAS!$D$14&amp;" UNI GY "&amp;TEXT(-LINEAS!$AB$14*DATOS!$C$67,DATOS!$C$68))</f>
        <v>9 93 TO 96 UNI GY 0.1318</v>
      </c>
      <c r="C21" s="51" t="str">
        <f aca="false">IF(LEN($B21)&gt;79,"MÁS DE 79 CARACTERES","")</f>
        <v/>
      </c>
      <c r="D21" s="53" t="str">
        <f aca="false">IF(PRESIONES!$C$22="NO","",IF(OR(LINEAS!$D$14="",ABS(-LINEAS!$AR$14*DATOS!$C$67)&lt;0.00005),"*",LINEAS!$D$14&amp;" UNI GY "&amp;TEXT(-LINEAS!$AR$14*DATOS!$C$67,DATOS!$C$68)))</f>
        <v/>
      </c>
      <c r="E21" s="51" t="str">
        <f aca="false">IF(LEN($D21)&gt;79,"MÁS DE 79 CARACTERES","")</f>
        <v/>
      </c>
      <c r="G21" s="11" t="s">
        <v>641</v>
      </c>
      <c r="H21" s="54" t="n">
        <f aca="false">1*PRESIONES!$C$45*IF(DATOS!$C$65="CM KG",0.0001,IF(DATOS!$C$65="METER KG",1,0.00980665))</f>
        <v>0.00628160490844438</v>
      </c>
      <c r="I21" s="54" t="n">
        <f aca="false">1*PRESIONES!$D$45*IF(DATOS!$C$65="CM KG",0.0001,IF(DATOS!$C$65="METER KG",1,0.00980665))</f>
        <v>4.16049084443763E-005</v>
      </c>
      <c r="J21" s="54" t="n">
        <f aca="false">1*PRESIONES!$E$45*IF(DATOS!$C$65="CM KG",0.0001,IF(DATOS!$C$65="METER KG",1,0.00980665))</f>
        <v>-0.000430074109866748</v>
      </c>
      <c r="K21" s="54" t="n">
        <f aca="false">1*PRESIONES!$F$45*IF(DATOS!$C$65="CM KG",0.0001,IF(DATOS!$C$65="METER KG",1,0.00980665))</f>
        <v>-0.00702240736266657</v>
      </c>
      <c r="L21" s="54" t="n">
        <f aca="false">1*PRESIONES!$G$45*IF(DATOS!$C$65="CM KG",0.0001,IF(DATOS!$C$65="METER KG",1,0.00980665))</f>
        <v>0.00628160490844438</v>
      </c>
      <c r="M21" s="54" t="n">
        <f aca="false">1*PRESIONES!$H$45*IF(DATOS!$C$65="CM KG",0.0001,IF(DATOS!$C$65="METER KG",1,0.00980665))</f>
        <v>4.16049084443763E-005</v>
      </c>
      <c r="N21" s="54" t="n">
        <f aca="false">1*PRESIONES!$I$45*IF(DATOS!$C$65="CM KG",0.0001,IF(DATOS!$C$65="METER KG",1,0.00980665))</f>
        <v>-0.000430074109866748</v>
      </c>
      <c r="O21" s="54" t="n">
        <f aca="false">1*PRESIONES!$J$45*IF(DATOS!$C$65="CM KG",0.0001,IF(DATOS!$C$65="METER KG",1,0.00980665))</f>
        <v>-0.00702240736266657</v>
      </c>
      <c r="P21" s="20" t="s">
        <v>642</v>
      </c>
    </row>
    <row r="22" customFormat="false" ht="15" hidden="false" customHeight="true" outlineLevel="0" collapsed="false">
      <c r="B22" s="53" t="str">
        <f aca="false">IF(OR(LINEAS!$D$14="",DATOS!$C$22="—",ABS(LINEAS!$AJ$14*DATOS!$C$67)&lt;0.00005),"*",LINEAS!$D$14&amp;" UNI G"&amp;DATOS!$C$22&amp;" "&amp;TEXT(LINEAS!$AJ$14*DATOS!$C$67,DATOS!$C$68))</f>
        <v>9 93 TO 96 UNI GZ 0.0066</v>
      </c>
      <c r="C22" s="51" t="str">
        <f aca="false">IF(LEN($B22)&gt;79,"MÁS DE 79 CARACTERES","")</f>
        <v/>
      </c>
      <c r="D22" s="53" t="str">
        <f aca="false">IF(PRESIONES!$C$22="NO","",IF(OR(LINEAS!$D$14="",DATOS!$C$22="—",ABS(LINEAS!$AZ$14*DATOS!$C$67)&lt;0.00005),"*",LINEAS!$D$14&amp;" UNI G"&amp;DATOS!$C$22&amp;" "&amp;TEXT(LINEAS!$AZ$14*DATOS!$C$67,DATOS!$C$68)))</f>
        <v/>
      </c>
      <c r="E22" s="51" t="str">
        <f aca="false">IF(LEN($D22)&gt;79,"MÁS DE 79 CARACTERES","")</f>
        <v/>
      </c>
      <c r="G22" s="11" t="s">
        <v>643</v>
      </c>
      <c r="H22" s="54" t="n">
        <f aca="false">-1*PRESIONES!$C$46*IF(DATOS!$C$65="CM KG",0.0001,IF(DATOS!$C$65="METER KG",1,0.00980665))</f>
        <v>-4.16049084443763E-005</v>
      </c>
      <c r="I22" s="54" t="n">
        <f aca="false">-1*PRESIONES!$D$46*IF(DATOS!$C$65="CM KG",0.0001,IF(DATOS!$C$65="METER KG",1,0.00980665))</f>
        <v>-0.00628160490844438</v>
      </c>
      <c r="J22" s="54" t="n">
        <f aca="false">-1*PRESIONES!$E$46*IF(DATOS!$C$65="CM KG",0.0001,IF(DATOS!$C$65="METER KG",1,0.00980665))</f>
        <v>0.000430074109866748</v>
      </c>
      <c r="K22" s="54" t="n">
        <f aca="false">-1*PRESIONES!$F$46*IF(DATOS!$C$65="CM KG",0.0001,IF(DATOS!$C$65="METER KG",1,0.00980665))</f>
        <v>0.00702240736266657</v>
      </c>
      <c r="L22" s="54" t="n">
        <f aca="false">-1*PRESIONES!$G$46*IF(DATOS!$C$65="CM KG",0.0001,IF(DATOS!$C$65="METER KG",1,0.00980665))</f>
        <v>-4.16049084443763E-005</v>
      </c>
      <c r="M22" s="54" t="n">
        <f aca="false">-1*PRESIONES!$H$46*IF(DATOS!$C$65="CM KG",0.0001,IF(DATOS!$C$65="METER KG",1,0.00980665))</f>
        <v>-0.00628160490844438</v>
      </c>
      <c r="N22" s="54" t="n">
        <f aca="false">-1*PRESIONES!$I$46*IF(DATOS!$C$65="CM KG",0.0001,IF(DATOS!$C$65="METER KG",1,0.00980665))</f>
        <v>0.000430074109866748</v>
      </c>
      <c r="O22" s="54" t="n">
        <f aca="false">-1*PRESIONES!$J$46*IF(DATOS!$C$65="CM KG",0.0001,IF(DATOS!$C$65="METER KG",1,0.00980665))</f>
        <v>0.00702240736266657</v>
      </c>
      <c r="P22" s="20" t="s">
        <v>642</v>
      </c>
    </row>
    <row r="23" customFormat="false" ht="15" hidden="false" customHeight="true" outlineLevel="0" collapsed="false">
      <c r="B23" s="53" t="str">
        <f aca="false">IF(OR(LINEAS!$D$15="",ABS(-LINEAS!$AB$15*DATOS!$C$67)&lt;0.00005),"*",LINEAS!$D$15&amp;" UNI GY "&amp;TEXT(-LINEAS!$AB$15*DATOS!$C$67,DATOS!$C$68))</f>
        <v>76 113 TO 116 UNI GY 0.1318</v>
      </c>
      <c r="C23" s="51" t="str">
        <f aca="false">IF(LEN($B23)&gt;79,"MÁS DE 79 CARACTERES","")</f>
        <v/>
      </c>
      <c r="D23" s="53" t="str">
        <f aca="false">IF(PRESIONES!$C$22="NO","",IF(OR(LINEAS!$D$15="",ABS(-LINEAS!$AR$15*DATOS!$C$67)&lt;0.00005),"*",LINEAS!$D$15&amp;" UNI GY "&amp;TEXT(-LINEAS!$AR$15*DATOS!$C$67,DATOS!$C$68)))</f>
        <v/>
      </c>
      <c r="E23" s="51" t="str">
        <f aca="false">IF(LEN($D23)&gt;79,"MÁS DE 79 CARACTERES","")</f>
        <v/>
      </c>
      <c r="G23" s="11" t="s">
        <v>644</v>
      </c>
      <c r="H23" s="54" t="n">
        <f aca="false">1*PRESIONES!$C$47*IF(DATOS!$C$65="CM KG",0.0001,IF(DATOS!$C$65="METER KG",1,0.00980665))</f>
        <v>-0.000918395091555623</v>
      </c>
      <c r="I23" s="54" t="n">
        <f aca="false">1*PRESIONES!$D$47*IF(DATOS!$C$65="CM KG",0.0001,IF(DATOS!$C$65="METER KG",1,0.00980665))</f>
        <v>-0.000918395091555623</v>
      </c>
      <c r="J23" s="54" t="n">
        <f aca="false">1*PRESIONES!$E$47*IF(DATOS!$C$65="CM KG",0.0001,IF(DATOS!$C$65="METER KG",1,0.00980665))</f>
        <v>0.00683649374364426</v>
      </c>
      <c r="K23" s="54" t="n">
        <f aca="false">1*PRESIONES!$F$47*IF(DATOS!$C$65="CM KG",0.0001,IF(DATOS!$C$65="METER KG",1,0.00980665))</f>
        <v>-0.00606240736266657</v>
      </c>
      <c r="L23" s="54" t="n">
        <f aca="false">1*PRESIONES!$G$47*IF(DATOS!$C$65="CM KG",0.0001,IF(DATOS!$C$65="METER KG",1,0.00980665))</f>
        <v>-0.000918395091555623</v>
      </c>
      <c r="M23" s="54" t="n">
        <f aca="false">1*PRESIONES!$H$47*IF(DATOS!$C$65="CM KG",0.0001,IF(DATOS!$C$65="METER KG",1,0.00980665))</f>
        <v>-0.000918395091555623</v>
      </c>
      <c r="N23" s="54" t="n">
        <f aca="false">1*PRESIONES!$I$47*IF(DATOS!$C$65="CM KG",0.0001,IF(DATOS!$C$65="METER KG",1,0.00980665))</f>
        <v>0.00683649374364426</v>
      </c>
      <c r="O23" s="54" t="n">
        <f aca="false">1*PRESIONES!$J$47*IF(DATOS!$C$65="CM KG",0.0001,IF(DATOS!$C$65="METER KG",1,0.00980665))</f>
        <v>-0.00606240736266657</v>
      </c>
      <c r="P23" s="20" t="s">
        <v>639</v>
      </c>
    </row>
    <row r="24" customFormat="false" ht="15" hidden="false" customHeight="true" outlineLevel="0" collapsed="false">
      <c r="B24" s="53" t="str">
        <f aca="false">IF(OR(LINEAS!$D$15="",DATOS!$C$22="—",ABS(LINEAS!$AJ$15*DATOS!$C$67)&lt;0.00005),"*",LINEAS!$D$15&amp;" UNI G"&amp;DATOS!$C$22&amp;" "&amp;TEXT(LINEAS!$AJ$15*DATOS!$C$67,DATOS!$C$68))</f>
        <v>76 113 TO 116 UNI GZ 0.0066</v>
      </c>
      <c r="C24" s="51" t="str">
        <f aca="false">IF(LEN($B24)&gt;79,"MÁS DE 79 CARACTERES","")</f>
        <v/>
      </c>
      <c r="D24" s="53" t="str">
        <f aca="false">IF(PRESIONES!$C$22="NO","",IF(OR(LINEAS!$D$15="",DATOS!$C$22="—",ABS(LINEAS!$AZ$15*DATOS!$C$67)&lt;0.00005),"*",LINEAS!$D$15&amp;" UNI G"&amp;DATOS!$C$22&amp;" "&amp;TEXT(LINEAS!$AZ$15*DATOS!$C$67,DATOS!$C$68)))</f>
        <v/>
      </c>
      <c r="E24" s="51" t="str">
        <f aca="false">IF(LEN($D24)&gt;79,"MÁS DE 79 CARACTERES","")</f>
        <v/>
      </c>
      <c r="G24" s="11" t="s">
        <v>645</v>
      </c>
      <c r="H24" s="54" t="n">
        <f aca="false">-1*PRESIONES!$C$48*IF(DATOS!$C$65="CM KG",0.0001,IF(DATOS!$C$65="METER KG",1,0.00980665))</f>
        <v>0.000918395091555623</v>
      </c>
      <c r="I24" s="54" t="n">
        <f aca="false">-1*PRESIONES!$D$48*IF(DATOS!$C$65="CM KG",0.0001,IF(DATOS!$C$65="METER KG",1,0.00980665))</f>
        <v>0.000918395091555623</v>
      </c>
      <c r="J24" s="54" t="n">
        <f aca="false">-1*PRESIONES!$E$48*IF(DATOS!$C$65="CM KG",0.0001,IF(DATOS!$C$65="METER KG",1,0.00980665))</f>
        <v>-0.000529925890133252</v>
      </c>
      <c r="K24" s="54" t="n">
        <f aca="false">-1*PRESIONES!$F$48*IF(DATOS!$C$65="CM KG",0.0001,IF(DATOS!$C$65="METER KG",1,0.00980665))</f>
        <v>-0.000177592637333436</v>
      </c>
      <c r="L24" s="54" t="n">
        <f aca="false">-1*PRESIONES!$G$48*IF(DATOS!$C$65="CM KG",0.0001,IF(DATOS!$C$65="METER KG",1,0.00980665))</f>
        <v>0.000918395091555623</v>
      </c>
      <c r="M24" s="54" t="n">
        <f aca="false">-1*PRESIONES!$H$48*IF(DATOS!$C$65="CM KG",0.0001,IF(DATOS!$C$65="METER KG",1,0.00980665))</f>
        <v>0.000918395091555623</v>
      </c>
      <c r="N24" s="54" t="n">
        <f aca="false">-1*PRESIONES!$I$48*IF(DATOS!$C$65="CM KG",0.0001,IF(DATOS!$C$65="METER KG",1,0.00980665))</f>
        <v>-0.000529925890133252</v>
      </c>
      <c r="O24" s="54" t="n">
        <f aca="false">-1*PRESIONES!$J$48*IF(DATOS!$C$65="CM KG",0.0001,IF(DATOS!$C$65="METER KG",1,0.00980665))</f>
        <v>-0.000177592637333436</v>
      </c>
      <c r="P24" s="20" t="s">
        <v>639</v>
      </c>
    </row>
    <row r="25" customFormat="false" ht="15" hidden="false" customHeight="true" outlineLevel="0" collapsed="false">
      <c r="B25" s="53" t="str">
        <f aca="false">IF(OR(LINEAS!$D$16="",ABS(-LINEAS!$AB$16*DATOS!$C$67)&lt;0.00005),"*",LINEAS!$D$16&amp;" UNI GY "&amp;TEXT(-LINEAS!$AB$16*DATOS!$C$67,DATOS!$C$68))</f>
        <v>75 109 TO 112 UNI GY 0.1318</v>
      </c>
      <c r="C25" s="51" t="str">
        <f aca="false">IF(LEN($B25)&gt;79,"MÁS DE 79 CARACTERES","")</f>
        <v/>
      </c>
      <c r="D25" s="53" t="str">
        <f aca="false">IF(PRESIONES!$C$22="NO","",IF(OR(LINEAS!$D$16="",ABS(-LINEAS!$AR$16*DATOS!$C$67)&lt;0.00005),"*",LINEAS!$D$16&amp;" UNI GY "&amp;TEXT(-LINEAS!$AR$16*DATOS!$C$67,DATOS!$C$68)))</f>
        <v/>
      </c>
      <c r="E25" s="51" t="str">
        <f aca="false">IF(LEN($D25)&gt;79,"MÁS DE 79 CARACTERES","")</f>
        <v/>
      </c>
      <c r="G25" s="11" t="s">
        <v>646</v>
      </c>
      <c r="H25" s="54" t="n">
        <f aca="false">1*PRESIONES!$C$49*IF(DATOS!$C$65="CM KG",0.0001,IF(DATOS!$C$65="METER KG",1,0.00980665))</f>
        <v>0.00634817276195538</v>
      </c>
      <c r="I25" s="54" t="n">
        <f aca="false">1*PRESIONES!$D$49*IF(DATOS!$C$65="CM KG",0.0001,IF(DATOS!$C$65="METER KG",1,0.00980665))</f>
        <v>4.16049084443763E-005</v>
      </c>
      <c r="J25" s="54" t="n">
        <f aca="false">1*PRESIONES!$E$49*IF(DATOS!$C$65="CM KG",0.0001,IF(DATOS!$C$65="METER KG",1,0.00980665))</f>
        <v>-0.000430074109866748</v>
      </c>
      <c r="K25" s="54" t="n">
        <f aca="false">1*PRESIONES!$F$49*IF(DATOS!$C$65="CM KG",0.0001,IF(DATOS!$C$65="METER KG",1,0.00980665))</f>
        <v>-0.00702240736266657</v>
      </c>
      <c r="L25" s="54" t="n">
        <f aca="false">1*PRESIONES!$G$49*IF(DATOS!$C$65="CM KG",0.0001,IF(DATOS!$C$65="METER KG",1,0.00980665))</f>
        <v>0.00634817276195538</v>
      </c>
      <c r="M25" s="54" t="n">
        <f aca="false">1*PRESIONES!$H$49*IF(DATOS!$C$65="CM KG",0.0001,IF(DATOS!$C$65="METER KG",1,0.00980665))</f>
        <v>4.16049084443763E-005</v>
      </c>
      <c r="N25" s="54" t="n">
        <f aca="false">1*PRESIONES!$I$49*IF(DATOS!$C$65="CM KG",0.0001,IF(DATOS!$C$65="METER KG",1,0.00980665))</f>
        <v>-0.000430074109866748</v>
      </c>
      <c r="O25" s="54" t="n">
        <f aca="false">1*PRESIONES!$J$49*IF(DATOS!$C$65="CM KG",0.0001,IF(DATOS!$C$65="METER KG",1,0.00980665))</f>
        <v>-0.00702240736266657</v>
      </c>
      <c r="P25" s="20" t="s">
        <v>642</v>
      </c>
    </row>
    <row r="26" customFormat="false" ht="15" hidden="false" customHeight="true" outlineLevel="0" collapsed="false">
      <c r="B26" s="53" t="str">
        <f aca="false">IF(OR(LINEAS!$D$16="",DATOS!$C$22="—",ABS(LINEAS!$AJ$16*DATOS!$C$67)&lt;0.00005),"*",LINEAS!$D$16&amp;" UNI G"&amp;DATOS!$C$22&amp;" "&amp;TEXT(LINEAS!$AJ$16*DATOS!$C$67,DATOS!$C$68))</f>
        <v>75 109 TO 112 UNI GZ 0.0066</v>
      </c>
      <c r="C26" s="51" t="str">
        <f aca="false">IF(LEN($B26)&gt;79,"MÁS DE 79 CARACTERES","")</f>
        <v/>
      </c>
      <c r="D26" s="53" t="str">
        <f aca="false">IF(PRESIONES!$C$22="NO","",IF(OR(LINEAS!$D$16="",DATOS!$C$22="—",ABS(LINEAS!$AZ$16*DATOS!$C$67)&lt;0.00005),"*",LINEAS!$D$16&amp;" UNI G"&amp;DATOS!$C$22&amp;" "&amp;TEXT(LINEAS!$AZ$16*DATOS!$C$67,DATOS!$C$68)))</f>
        <v/>
      </c>
      <c r="E26" s="51" t="str">
        <f aca="false">IF(LEN($D26)&gt;79,"MÁS DE 79 CARACTERES","")</f>
        <v/>
      </c>
      <c r="G26" s="11" t="s">
        <v>647</v>
      </c>
      <c r="H26" s="54" t="n">
        <f aca="false">-1*PRESIONES!$C$50*IF(DATOS!$C$65="CM KG",0.0001,IF(DATOS!$C$65="METER KG",1,0.00980665))</f>
        <v>-4.16049084443763E-005</v>
      </c>
      <c r="I26" s="54" t="n">
        <f aca="false">-1*PRESIONES!$D$50*IF(DATOS!$C$65="CM KG",0.0001,IF(DATOS!$C$65="METER KG",1,0.00980665))</f>
        <v>-0.00634817276195538</v>
      </c>
      <c r="J26" s="54" t="n">
        <f aca="false">-1*PRESIONES!$E$50*IF(DATOS!$C$65="CM KG",0.0001,IF(DATOS!$C$65="METER KG",1,0.00980665))</f>
        <v>0.000430074109866748</v>
      </c>
      <c r="K26" s="54" t="n">
        <f aca="false">-1*PRESIONES!$F$50*IF(DATOS!$C$65="CM KG",0.0001,IF(DATOS!$C$65="METER KG",1,0.00980665))</f>
        <v>0.00702240736266657</v>
      </c>
      <c r="L26" s="54" t="n">
        <f aca="false">-1*PRESIONES!$G$50*IF(DATOS!$C$65="CM KG",0.0001,IF(DATOS!$C$65="METER KG",1,0.00980665))</f>
        <v>-4.16049084443763E-005</v>
      </c>
      <c r="M26" s="54" t="n">
        <f aca="false">-1*PRESIONES!$H$50*IF(DATOS!$C$65="CM KG",0.0001,IF(DATOS!$C$65="METER KG",1,0.00980665))</f>
        <v>-0.00634817276195538</v>
      </c>
      <c r="N26" s="54" t="n">
        <f aca="false">-1*PRESIONES!$I$50*IF(DATOS!$C$65="CM KG",0.0001,IF(DATOS!$C$65="METER KG",1,0.00980665))</f>
        <v>0.000430074109866748</v>
      </c>
      <c r="O26" s="54" t="n">
        <f aca="false">-1*PRESIONES!$J$50*IF(DATOS!$C$65="CM KG",0.0001,IF(DATOS!$C$65="METER KG",1,0.00980665))</f>
        <v>0.00702240736266657</v>
      </c>
      <c r="P26" s="20" t="s">
        <v>642</v>
      </c>
    </row>
    <row r="27" customFormat="false" ht="15" hidden="false" customHeight="true" outlineLevel="0" collapsed="false">
      <c r="B27" s="53" t="str">
        <f aca="false">IF(OR(LINEAS!$D$17="",ABS(-LINEAS!$AB$17*DATOS!$C$67)&lt;0.00005),"*",LINEAS!$D$17&amp;" UNI GY "&amp;TEXT(-LINEAS!$AB$17*DATOS!$C$67,DATOS!$C$68))</f>
        <v>74 105 TO 108 UNI GY 0.1318</v>
      </c>
      <c r="C27" s="51" t="str">
        <f aca="false">IF(LEN($B27)&gt;79,"MÁS DE 79 CARACTERES","")</f>
        <v/>
      </c>
      <c r="D27" s="53" t="str">
        <f aca="false">IF(PRESIONES!$C$22="NO","",IF(OR(LINEAS!$D$17="",ABS(-LINEAS!$AR$17*DATOS!$C$67)&lt;0.00005),"*",LINEAS!$D$17&amp;" UNI GY "&amp;TEXT(-LINEAS!$AR$17*DATOS!$C$67,DATOS!$C$68)))</f>
        <v/>
      </c>
      <c r="E27" s="51" t="str">
        <f aca="false">IF(LEN($D27)&gt;79,"MÁS DE 79 CARACTERES","")</f>
        <v/>
      </c>
      <c r="G27" s="11" t="s">
        <v>648</v>
      </c>
      <c r="H27" s="54" t="n">
        <f aca="false">-1*PRESIONES!$C$51*IF(DATOS!$C$65="CM KG",0.0001,IF(DATOS!$C$65="METER KG",1,0.00980665))</f>
        <v>0.00097664196337775</v>
      </c>
      <c r="I27" s="54" t="n">
        <f aca="false">-1*PRESIONES!$D$51*IF(DATOS!$C$65="CM KG",0.0001,IF(DATOS!$C$65="METER KG",1,0.00980665))</f>
        <v>0.00097664196337775</v>
      </c>
      <c r="J27" s="54" t="n">
        <f aca="false">-1*PRESIONES!$E$51*IF(DATOS!$C$65="CM KG",0.0001,IF(DATOS!$C$65="METER KG",1,0.00980665))</f>
        <v>0.000488320981688875</v>
      </c>
      <c r="K27" s="54" t="n">
        <f aca="false">-1*PRESIONES!$F$51*IF(DATOS!$C$65="CM KG",0.0001,IF(DATOS!$C$65="METER KG",1,0.00980665))</f>
        <v>0.00708065423448869</v>
      </c>
      <c r="L27" s="54" t="n">
        <f aca="false">-1*PRESIONES!$G$51*IF(DATOS!$C$65="CM KG",0.0001,IF(DATOS!$C$65="METER KG",1,0.00980665))</f>
        <v>0.00097664196337775</v>
      </c>
      <c r="M27" s="54" t="n">
        <f aca="false">-1*PRESIONES!$H$51*IF(DATOS!$C$65="CM KG",0.0001,IF(DATOS!$C$65="METER KG",1,0.00980665))</f>
        <v>0.00097664196337775</v>
      </c>
      <c r="N27" s="54" t="n">
        <f aca="false">-1*PRESIONES!$I$51*IF(DATOS!$C$65="CM KG",0.0001,IF(DATOS!$C$65="METER KG",1,0.00980665))</f>
        <v>0.000488320981688875</v>
      </c>
      <c r="O27" s="54" t="n">
        <f aca="false">-1*PRESIONES!$J$51*IF(DATOS!$C$65="CM KG",0.0001,IF(DATOS!$C$65="METER KG",1,0.00980665))</f>
        <v>0.00708065423448869</v>
      </c>
      <c r="P27" s="20" t="s">
        <v>649</v>
      </c>
    </row>
    <row r="28" customFormat="false" ht="15" hidden="false" customHeight="true" outlineLevel="0" collapsed="false">
      <c r="B28" s="53" t="str">
        <f aca="false">IF(OR(LINEAS!$D$17="",DATOS!$C$22="—",ABS(LINEAS!$AJ$17*DATOS!$C$67)&lt;0.00005),"*",LINEAS!$D$17&amp;" UNI G"&amp;DATOS!$C$22&amp;" "&amp;TEXT(LINEAS!$AJ$17*DATOS!$C$67,DATOS!$C$68))</f>
        <v>74 105 TO 108 UNI GZ 0.0066</v>
      </c>
      <c r="C28" s="51" t="str">
        <f aca="false">IF(LEN($B28)&gt;79,"MÁS DE 79 CARACTERES","")</f>
        <v/>
      </c>
      <c r="D28" s="53" t="str">
        <f aca="false">IF(PRESIONES!$C$22="NO","",IF(OR(LINEAS!$D$17="",DATOS!$C$22="—",ABS(LINEAS!$AZ$17*DATOS!$C$67)&lt;0.00005),"*",LINEAS!$D$17&amp;" UNI G"&amp;DATOS!$C$22&amp;" "&amp;TEXT(LINEAS!$AZ$17*DATOS!$C$67,DATOS!$C$68)))</f>
        <v/>
      </c>
      <c r="E28" s="51" t="str">
        <f aca="false">IF(LEN($D28)&gt;79,"MÁS DE 79 CARACTERES","")</f>
        <v/>
      </c>
      <c r="G28" s="11" t="s">
        <v>650</v>
      </c>
      <c r="H28" s="54" t="n">
        <f aca="false">-1*PRESIONES!$C$52*IF(DATOS!$C$65="CM KG",0.0001,IF(DATOS!$C$65="METER KG",1,0.00980665))</f>
        <v>0.00097664196337775</v>
      </c>
      <c r="I28" s="54" t="n">
        <f aca="false">-1*PRESIONES!$D$52*IF(DATOS!$C$65="CM KG",0.0001,IF(DATOS!$C$65="METER KG",1,0.00980665))</f>
        <v>0.00097664196337775</v>
      </c>
      <c r="J28" s="54" t="n">
        <f aca="false">-1*PRESIONES!$E$52*IF(DATOS!$C$65="CM KG",0.0001,IF(DATOS!$C$65="METER KG",1,0.00980665))</f>
        <v>0.000488320981688875</v>
      </c>
      <c r="K28" s="54" t="n">
        <f aca="false">-1*PRESIONES!$F$52*IF(DATOS!$C$65="CM KG",0.0001,IF(DATOS!$C$65="METER KG",1,0.00980665))</f>
        <v>0.00708065423448869</v>
      </c>
      <c r="L28" s="54" t="n">
        <f aca="false">-1*PRESIONES!$G$52*IF(DATOS!$C$65="CM KG",0.0001,IF(DATOS!$C$65="METER KG",1,0.00980665))</f>
        <v>0.00097664196337775</v>
      </c>
      <c r="M28" s="54" t="n">
        <f aca="false">-1*PRESIONES!$H$52*IF(DATOS!$C$65="CM KG",0.0001,IF(DATOS!$C$65="METER KG",1,0.00980665))</f>
        <v>0.00097664196337775</v>
      </c>
      <c r="N28" s="54" t="n">
        <f aca="false">-1*PRESIONES!$I$52*IF(DATOS!$C$65="CM KG",0.0001,IF(DATOS!$C$65="METER KG",1,0.00980665))</f>
        <v>0.000488320981688875</v>
      </c>
      <c r="O28" s="54" t="n">
        <f aca="false">-1*PRESIONES!$J$52*IF(DATOS!$C$65="CM KG",0.0001,IF(DATOS!$C$65="METER KG",1,0.00980665))</f>
        <v>0.00708065423448869</v>
      </c>
      <c r="P28" s="20" t="s">
        <v>649</v>
      </c>
    </row>
    <row r="29" customFormat="false" ht="15" hidden="false" customHeight="true" outlineLevel="0" collapsed="false">
      <c r="B29" s="53" t="str">
        <f aca="false">IF(OR(LINEAS!$D$18="",ABS(-LINEAS!$AB$18*DATOS!$C$67)&lt;0.00005),"*",LINEAS!$D$18&amp;" UNI GY "&amp;TEXT(-LINEAS!$AB$18*DATOS!$C$67,DATOS!$C$68))</f>
        <v>73 101 TO 104 UNI GY 0.1318</v>
      </c>
      <c r="C29" s="51" t="str">
        <f aca="false">IF(LEN($B29)&gt;79,"MÁS DE 79 CARACTERES","")</f>
        <v/>
      </c>
      <c r="D29" s="53" t="str">
        <f aca="false">IF(PRESIONES!$C$22="NO","",IF(OR(LINEAS!$D$18="",ABS(-LINEAS!$AR$18*DATOS!$C$67)&lt;0.00005),"*",LINEAS!$D$18&amp;" UNI GY "&amp;TEXT(-LINEAS!$AR$18*DATOS!$C$67,DATOS!$C$68)))</f>
        <v/>
      </c>
      <c r="E29" s="51" t="str">
        <f aca="false">IF(LEN($D29)&gt;79,"MÁS DE 79 CARACTERES","")</f>
        <v/>
      </c>
      <c r="G29" s="11" t="s">
        <v>651</v>
      </c>
      <c r="H29" s="54" t="n">
        <f aca="false">-1*PRESIONES!$C$53*IF(DATOS!$C$65="CM KG",0.0001,IF(DATOS!$C$65="METER KG",1,0.00980665))</f>
        <v>0.00097664196337775</v>
      </c>
      <c r="I29" s="54" t="n">
        <f aca="false">-1*PRESIONES!$D$53*IF(DATOS!$C$65="CM KG",0.0001,IF(DATOS!$C$65="METER KG",1,0.00980665))</f>
        <v>0.00097664196337775</v>
      </c>
      <c r="J29" s="54" t="n">
        <f aca="false">-1*PRESIONES!$E$53*IF(DATOS!$C$65="CM KG",0.0001,IF(DATOS!$C$65="METER KG",1,0.00980665))</f>
        <v>0.000488320981688875</v>
      </c>
      <c r="K29" s="54" t="n">
        <f aca="false">-1*PRESIONES!$F$53*IF(DATOS!$C$65="CM KG",0.0001,IF(DATOS!$C$65="METER KG",1,0.00980665))</f>
        <v>0.00708065423448869</v>
      </c>
      <c r="L29" s="54" t="n">
        <f aca="false">-1*PRESIONES!$G$53*IF(DATOS!$C$65="CM KG",0.0001,IF(DATOS!$C$65="METER KG",1,0.00980665))</f>
        <v>0.00097664196337775</v>
      </c>
      <c r="M29" s="54" t="n">
        <f aca="false">-1*PRESIONES!$H$53*IF(DATOS!$C$65="CM KG",0.0001,IF(DATOS!$C$65="METER KG",1,0.00980665))</f>
        <v>0.00097664196337775</v>
      </c>
      <c r="N29" s="54" t="n">
        <f aca="false">-1*PRESIONES!$I$53*IF(DATOS!$C$65="CM KG",0.0001,IF(DATOS!$C$65="METER KG",1,0.00980665))</f>
        <v>0.000488320981688875</v>
      </c>
      <c r="O29" s="54" t="n">
        <f aca="false">-1*PRESIONES!$J$53*IF(DATOS!$C$65="CM KG",0.0001,IF(DATOS!$C$65="METER KG",1,0.00980665))</f>
        <v>0.00708065423448869</v>
      </c>
      <c r="P29" s="20" t="s">
        <v>649</v>
      </c>
    </row>
    <row r="30" customFormat="false" ht="15" hidden="false" customHeight="true" outlineLevel="0" collapsed="false">
      <c r="B30" s="53" t="str">
        <f aca="false">IF(OR(LINEAS!$D$18="",DATOS!$C$22="—",ABS(LINEAS!$AJ$18*DATOS!$C$67)&lt;0.00005),"*",LINEAS!$D$18&amp;" UNI G"&amp;DATOS!$C$22&amp;" "&amp;TEXT(LINEAS!$AJ$18*DATOS!$C$67,DATOS!$C$68))</f>
        <v>73 101 TO 104 UNI GZ 0.0066</v>
      </c>
      <c r="C30" s="51" t="str">
        <f aca="false">IF(LEN($B30)&gt;79,"MÁS DE 79 CARACTERES","")</f>
        <v/>
      </c>
      <c r="D30" s="53" t="str">
        <f aca="false">IF(PRESIONES!$C$22="NO","",IF(OR(LINEAS!$D$18="",DATOS!$C$22="—",ABS(LINEAS!$AZ$18*DATOS!$C$67)&lt;0.00005),"*",LINEAS!$D$18&amp;" UNI G"&amp;DATOS!$C$22&amp;" "&amp;TEXT(LINEAS!$AZ$18*DATOS!$C$67,DATOS!$C$68)))</f>
        <v/>
      </c>
      <c r="E30" s="51" t="str">
        <f aca="false">IF(LEN($D30)&gt;79,"MÁS DE 79 CARACTERES","")</f>
        <v/>
      </c>
      <c r="G30" s="11" t="s">
        <v>652</v>
      </c>
      <c r="H30" s="54" t="n">
        <f aca="false">-1*PRESIONES!$C$54*IF(DATOS!$C$65="CM KG",0.0001,IF(DATOS!$C$65="METER KG",1,0.00980665))</f>
        <v>0.00097664196337775</v>
      </c>
      <c r="I30" s="54" t="n">
        <f aca="false">-1*PRESIONES!$D$54*IF(DATOS!$C$65="CM KG",0.0001,IF(DATOS!$C$65="METER KG",1,0.00980665))</f>
        <v>0.00097664196337775</v>
      </c>
      <c r="J30" s="54" t="n">
        <f aca="false">-1*PRESIONES!$E$54*IF(DATOS!$C$65="CM KG",0.0001,IF(DATOS!$C$65="METER KG",1,0.00980665))</f>
        <v>0.000488320981688875</v>
      </c>
      <c r="K30" s="54" t="n">
        <f aca="false">-1*PRESIONES!$F$54*IF(DATOS!$C$65="CM KG",0.0001,IF(DATOS!$C$65="METER KG",1,0.00980665))</f>
        <v>0.00708065423448869</v>
      </c>
      <c r="L30" s="54" t="n">
        <f aca="false">-1*PRESIONES!$G$54*IF(DATOS!$C$65="CM KG",0.0001,IF(DATOS!$C$65="METER KG",1,0.00980665))</f>
        <v>0.00097664196337775</v>
      </c>
      <c r="M30" s="54" t="n">
        <f aca="false">-1*PRESIONES!$H$54*IF(DATOS!$C$65="CM KG",0.0001,IF(DATOS!$C$65="METER KG",1,0.00980665))</f>
        <v>0.00097664196337775</v>
      </c>
      <c r="N30" s="54" t="n">
        <f aca="false">-1*PRESIONES!$I$54*IF(DATOS!$C$65="CM KG",0.0001,IF(DATOS!$C$65="METER KG",1,0.00980665))</f>
        <v>0.000488320981688875</v>
      </c>
      <c r="O30" s="54" t="n">
        <f aca="false">-1*PRESIONES!$J$54*IF(DATOS!$C$65="CM KG",0.0001,IF(DATOS!$C$65="METER KG",1,0.00980665))</f>
        <v>0.00708065423448869</v>
      </c>
      <c r="P30" s="20" t="s">
        <v>649</v>
      </c>
    </row>
    <row r="31" customFormat="false" ht="15" hidden="false" customHeight="true" outlineLevel="0" collapsed="false">
      <c r="B31" s="53" t="str">
        <f aca="false">IF(OR(LINEAS!$D$19="",ABS(-LINEAS!$AB$19*DATOS!$C$67)&lt;0.00005),"*",LINEAS!$D$19&amp;" UNI GY "&amp;TEXT(-LINEAS!$AB$19*DATOS!$C$67,DATOS!$C$68))</f>
        <v>8 89 TO 92 UNI GY 0.1270</v>
      </c>
      <c r="C31" s="51" t="str">
        <f aca="false">IF(LEN($B31)&gt;79,"MÁS DE 79 CARACTERES","")</f>
        <v/>
      </c>
      <c r="D31" s="53" t="str">
        <f aca="false">IF(PRESIONES!$C$22="NO","",IF(OR(LINEAS!$D$19="",ABS(-LINEAS!$AR$19*DATOS!$C$67)&lt;0.00005),"*",LINEAS!$D$19&amp;" UNI GY "&amp;TEXT(-LINEAS!$AR$19*DATOS!$C$67,DATOS!$C$68)))</f>
        <v/>
      </c>
      <c r="E31" s="51" t="str">
        <f aca="false">IF(LEN($D31)&gt;79,"MÁS DE 79 CARACTERES","")</f>
        <v/>
      </c>
      <c r="G31" s="4" t="str">
        <f aca="false">"Unidades de presión: "&amp;IF(DATOS!$C$65="CM KG","kg/cm²",IF(DATOS!$C$65="METER KG","kg/m²","kN/m²"))</f>
        <v>Unidades de presión: kg/cm²</v>
      </c>
      <c r="H31" s="4"/>
      <c r="I31" s="4"/>
      <c r="J31" s="4"/>
      <c r="K31" s="4"/>
      <c r="L31" s="4"/>
      <c r="M31" s="4"/>
      <c r="N31" s="4"/>
      <c r="O31" s="4"/>
      <c r="P31" s="4"/>
    </row>
    <row r="32" customFormat="false" ht="15" hidden="false" customHeight="true" outlineLevel="0" collapsed="false">
      <c r="B32" s="53" t="str">
        <f aca="false">IF(OR(LINEAS!$D$19="",DATOS!$C$22="—",ABS(LINEAS!$AJ$19*DATOS!$C$67)&lt;0.00005),"*",LINEAS!$D$19&amp;" UNI G"&amp;DATOS!$C$22&amp;" "&amp;TEXT(LINEAS!$AJ$19*DATOS!$C$67,DATOS!$C$68))</f>
        <v>8 89 TO 92 UNI GZ 0.0063</v>
      </c>
      <c r="C32" s="51" t="str">
        <f aca="false">IF(LEN($B32)&gt;79,"MÁS DE 79 CARACTERES","")</f>
        <v/>
      </c>
      <c r="D32" s="53" t="str">
        <f aca="false">IF(PRESIONES!$C$22="NO","",IF(OR(LINEAS!$D$19="",DATOS!$C$22="—",ABS(LINEAS!$AZ$19*DATOS!$C$67)&lt;0.00005),"*",LINEAS!$D$19&amp;" UNI G"&amp;DATOS!$C$22&amp;" "&amp;TEXT(LINEAS!$AZ$19*DATOS!$C$67,DATOS!$C$68)))</f>
        <v/>
      </c>
      <c r="E32" s="51" t="str">
        <f aca="false">IF(LEN($D32)&gt;79,"MÁS DE 79 CARACTERES","")</f>
        <v/>
      </c>
    </row>
    <row r="33" customFormat="false" ht="21" hidden="false" customHeight="true" outlineLevel="0" collapsed="false">
      <c r="B33" s="53" t="str">
        <f aca="false">IF(OR(LINEAS!$D$20="",ABS(-LINEAS!$AB$20*DATOS!$C$67)&lt;0.00005),"*",LINEAS!$D$20&amp;" UNI GY "&amp;TEXT(-LINEAS!$AB$20*DATOS!$C$67,DATOS!$C$68))</f>
        <v>56 97 TO 100 UNI GY 0.1221</v>
      </c>
      <c r="C33" s="51" t="str">
        <f aca="false">IF(LEN($B33)&gt;79,"MÁS DE 79 CARACTERES","")</f>
        <v/>
      </c>
      <c r="D33" s="53" t="str">
        <f aca="false">IF(PRESIONES!$C$22="NO","",IF(OR(LINEAS!$D$20="",ABS(-LINEAS!$AR$20*DATOS!$C$67)&lt;0.00005),"*",LINEAS!$D$20&amp;" UNI GY "&amp;TEXT(-LINEAS!$AR$20*DATOS!$C$67,DATOS!$C$68)))</f>
        <v/>
      </c>
      <c r="E33" s="51" t="str">
        <f aca="false">IF(LEN($D33)&gt;79,"MÁS DE 79 CARACTERES","")</f>
        <v/>
      </c>
      <c r="G33" s="9" t="s">
        <v>653</v>
      </c>
      <c r="H33" s="9"/>
      <c r="I33" s="9"/>
      <c r="J33" s="9"/>
      <c r="K33" s="9"/>
      <c r="L33" s="9"/>
      <c r="M33" s="9"/>
      <c r="N33" s="9"/>
      <c r="O33" s="9"/>
      <c r="P33" s="9"/>
    </row>
    <row r="34" customFormat="false" ht="18" hidden="false" customHeight="true" outlineLevel="0" collapsed="false">
      <c r="B34" s="53" t="str">
        <f aca="false">IF(OR(LINEAS!$D$20="",DATOS!$C$22="—",ABS(LINEAS!$AJ$20*DATOS!$C$67)&lt;0.00005),"*",LINEAS!$D$20&amp;" UNI G"&amp;DATOS!$C$22&amp;" "&amp;TEXT(LINEAS!$AJ$20*DATOS!$C$67,DATOS!$C$68))</f>
        <v>56 97 TO 100 UNI GZ 0.0061</v>
      </c>
      <c r="C34" s="51" t="str">
        <f aca="false">IF(LEN($B34)&gt;79,"MÁS DE 79 CARACTERES","")</f>
        <v/>
      </c>
      <c r="D34" s="53" t="str">
        <f aca="false">IF(PRESIONES!$C$22="NO","",IF(OR(LINEAS!$D$20="",DATOS!$C$22="—",ABS(LINEAS!$AZ$20*DATOS!$C$67)&lt;0.00005),"*",LINEAS!$D$20&amp;" UNI G"&amp;DATOS!$C$22&amp;" "&amp;TEXT(LINEAS!$AZ$20*DATOS!$C$67,DATOS!$C$68)))</f>
        <v/>
      </c>
      <c r="E34" s="51" t="str">
        <f aca="false">IF(LEN($D34)&gt;79,"MÁS DE 79 CARACTERES","")</f>
        <v/>
      </c>
      <c r="G34" s="36" t="s">
        <v>654</v>
      </c>
      <c r="H34" s="36"/>
      <c r="I34" s="36"/>
      <c r="J34" s="36"/>
      <c r="K34" s="36"/>
      <c r="L34" s="36"/>
      <c r="M34" s="36"/>
      <c r="N34" s="36"/>
      <c r="O34" s="36"/>
      <c r="P34" s="36"/>
    </row>
    <row r="35" customFormat="false" ht="18" hidden="false" customHeight="true" outlineLevel="0" collapsed="false">
      <c r="B35" s="53" t="str">
        <f aca="false">IF(OR(LINEAS!$D$21="",ABS(-LINEAS!$AB$21*DATOS!$C$67)&lt;0.00005),"*",LINEAS!$D$21&amp;" UNI GY "&amp;TEXT(-LINEAS!$AB$21*DATOS!$C$67,DATOS!$C$68))</f>
        <v>7 81 TO 84 UNI GY 0.0610</v>
      </c>
      <c r="C35" s="51" t="str">
        <f aca="false">IF(LEN($B35)&gt;79,"MÁS DE 79 CARACTERES","")</f>
        <v/>
      </c>
      <c r="D35" s="53" t="str">
        <f aca="false">IF(PRESIONES!$C$22="NO","",IF(OR(LINEAS!$D$21="",ABS(-LINEAS!$AR$21*DATOS!$C$67)&lt;0.00005),"*",LINEAS!$D$21&amp;" UNI GY "&amp;TEXT(-LINEAS!$AR$21*DATOS!$C$67,DATOS!$C$68)))</f>
        <v/>
      </c>
      <c r="E35" s="51" t="str">
        <f aca="false">IF(LEN($D35)&gt;79,"MÁS DE 79 CARACTERES","")</f>
        <v/>
      </c>
      <c r="G35" s="36" t="s">
        <v>655</v>
      </c>
      <c r="H35" s="36"/>
      <c r="I35" s="36"/>
      <c r="J35" s="36"/>
      <c r="K35" s="36"/>
      <c r="L35" s="36"/>
      <c r="M35" s="36"/>
      <c r="N35" s="36"/>
      <c r="O35" s="36"/>
      <c r="P35" s="36"/>
    </row>
    <row r="36" customFormat="false" ht="18" hidden="false" customHeight="true" outlineLevel="0" collapsed="false">
      <c r="B36" s="53" t="str">
        <f aca="false">IF(OR(LINEAS!$D$21="",DATOS!$C$22="—",ABS(LINEAS!$AJ$21*DATOS!$C$67)&lt;0.00005),"*",LINEAS!$D$21&amp;" UNI G"&amp;DATOS!$C$22&amp;" "&amp;TEXT(LINEAS!$AJ$21*DATOS!$C$67,DATOS!$C$68))</f>
        <v>7 81 TO 84 UNI GZ 0.0031</v>
      </c>
      <c r="C36" s="51" t="str">
        <f aca="false">IF(LEN($B36)&gt;79,"MÁS DE 79 CARACTERES","")</f>
        <v/>
      </c>
      <c r="D36" s="53" t="str">
        <f aca="false">IF(PRESIONES!$C$22="NO","",IF(OR(LINEAS!$D$21="",DATOS!$C$22="—",ABS(LINEAS!$AZ$21*DATOS!$C$67)&lt;0.00005),"*",LINEAS!$D$21&amp;" UNI G"&amp;DATOS!$C$22&amp;" "&amp;TEXT(LINEAS!$AZ$21*DATOS!$C$67,DATOS!$C$68)))</f>
        <v/>
      </c>
      <c r="E36" s="51" t="str">
        <f aca="false">IF(LEN($D36)&gt;79,"MÁS DE 79 CARACTERES","")</f>
        <v/>
      </c>
      <c r="G36" s="36" t="s">
        <v>656</v>
      </c>
      <c r="H36" s="36"/>
      <c r="I36" s="36"/>
      <c r="J36" s="36"/>
      <c r="K36" s="36"/>
      <c r="L36" s="36"/>
      <c r="M36" s="36"/>
      <c r="N36" s="36"/>
      <c r="O36" s="36"/>
      <c r="P36" s="36"/>
    </row>
    <row r="37" customFormat="false" ht="18" hidden="false" customHeight="true" outlineLevel="0" collapsed="false">
      <c r="B37" s="53" t="str">
        <f aca="false">IF(OR(LINEAS!$D$22="",ABS(-LINEAS!$AB$22*DATOS!$C$67)&lt;0.00005),"*",LINEAS!$D$22&amp;" UNI GY "&amp;TEXT(-LINEAS!$AB$22*DATOS!$C$67,DATOS!$C$68))</f>
        <v>*</v>
      </c>
      <c r="C37" s="51" t="str">
        <f aca="false">IF(LEN($B37)&gt;79,"MÁS DE 79 CARACTERES","")</f>
        <v/>
      </c>
      <c r="D37" s="53" t="str">
        <f aca="false">IF(PRESIONES!$C$22="NO","",IF(OR(LINEAS!$D$22="",ABS(-LINEAS!$AR$22*DATOS!$C$67)&lt;0.00005),"*",LINEAS!$D$22&amp;" UNI GY "&amp;TEXT(-LINEAS!$AR$22*DATOS!$C$67,DATOS!$C$68)))</f>
        <v/>
      </c>
      <c r="E37" s="51" t="str">
        <f aca="false">IF(LEN($D37)&gt;79,"MÁS DE 79 CARACTERES","")</f>
        <v/>
      </c>
      <c r="G37" s="36" t="s">
        <v>657</v>
      </c>
      <c r="H37" s="36"/>
      <c r="I37" s="36"/>
      <c r="J37" s="36"/>
      <c r="K37" s="36"/>
      <c r="L37" s="36"/>
      <c r="M37" s="36"/>
      <c r="N37" s="36"/>
      <c r="O37" s="36"/>
      <c r="P37" s="36"/>
    </row>
    <row r="38" customFormat="false" ht="18" hidden="false" customHeight="true" outlineLevel="0" collapsed="false">
      <c r="B38" s="53" t="str">
        <f aca="false">IF(OR(LINEAS!$D$22="",DATOS!$C$22="—",ABS(LINEAS!$AJ$22*DATOS!$C$67)&lt;0.00005),"*",LINEAS!$D$22&amp;" UNI G"&amp;DATOS!$C$22&amp;" "&amp;TEXT(LINEAS!$AJ$22*DATOS!$C$67,DATOS!$C$68))</f>
        <v>*</v>
      </c>
      <c r="C38" s="51" t="str">
        <f aca="false">IF(LEN($B38)&gt;79,"MÁS DE 79 CARACTERES","")</f>
        <v/>
      </c>
      <c r="D38" s="53" t="str">
        <f aca="false">IF(PRESIONES!$C$22="NO","",IF(OR(LINEAS!$D$22="",DATOS!$C$22="—",ABS(LINEAS!$AZ$22*DATOS!$C$67)&lt;0.00005),"*",LINEAS!$D$22&amp;" UNI G"&amp;DATOS!$C$22&amp;" "&amp;TEXT(LINEAS!$AZ$22*DATOS!$C$67,DATOS!$C$68)))</f>
        <v/>
      </c>
      <c r="E38" s="51" t="str">
        <f aca="false">IF(LEN($D38)&gt;79,"MÁS DE 79 CARACTERES","")</f>
        <v/>
      </c>
      <c r="G38" s="36" t="s">
        <v>658</v>
      </c>
      <c r="H38" s="36"/>
      <c r="I38" s="36"/>
      <c r="J38" s="36"/>
      <c r="K38" s="36"/>
      <c r="L38" s="36"/>
      <c r="M38" s="36"/>
      <c r="N38" s="36"/>
      <c r="O38" s="36"/>
      <c r="P38" s="36"/>
    </row>
    <row r="39" customFormat="false" ht="15" hidden="false" customHeight="true" outlineLevel="0" collapsed="false">
      <c r="B39" s="53" t="str">
        <f aca="false">IF(OR(LINEAS!$D$23="",ABS(-LINEAS!$AB$23*DATOS!$C$67)&lt;0.00005),"*",LINEAS!$D$23&amp;" UNI GY "&amp;TEXT(-LINEAS!$AB$23*DATOS!$C$67,DATOS!$C$68))</f>
        <v>*</v>
      </c>
      <c r="C39" s="51" t="str">
        <f aca="false">IF(LEN($B39)&gt;79,"MÁS DE 79 CARACTERES","")</f>
        <v/>
      </c>
      <c r="D39" s="53" t="str">
        <f aca="false">IF(PRESIONES!$C$22="NO","",IF(OR(LINEAS!$D$23="",ABS(-LINEAS!$AR$23*DATOS!$C$67)&lt;0.00005),"*",LINEAS!$D$23&amp;" UNI GY "&amp;TEXT(-LINEAS!$AR$23*DATOS!$C$67,DATOS!$C$68)))</f>
        <v/>
      </c>
      <c r="E39" s="51" t="str">
        <f aca="false">IF(LEN($D39)&gt;79,"MÁS DE 79 CARACTERES","")</f>
        <v/>
      </c>
    </row>
    <row r="40" customFormat="false" ht="15" hidden="false" customHeight="true" outlineLevel="0" collapsed="false">
      <c r="B40" s="53" t="str">
        <f aca="false">IF(OR(LINEAS!$D$23="",DATOS!$C$22="—",ABS(LINEAS!$AJ$23*DATOS!$C$67)&lt;0.00005),"*",LINEAS!$D$23&amp;" UNI G"&amp;DATOS!$C$22&amp;" "&amp;TEXT(LINEAS!$AJ$23*DATOS!$C$67,DATOS!$C$68))</f>
        <v>*</v>
      </c>
      <c r="C40" s="51" t="str">
        <f aca="false">IF(LEN($B40)&gt;79,"MÁS DE 79 CARACTERES","")</f>
        <v/>
      </c>
      <c r="D40" s="53" t="str">
        <f aca="false">IF(PRESIONES!$C$22="NO","",IF(OR(LINEAS!$D$23="",DATOS!$C$22="—",ABS(LINEAS!$AZ$23*DATOS!$C$67)&lt;0.00005),"*",LINEAS!$D$23&amp;" UNI G"&amp;DATOS!$C$22&amp;" "&amp;TEXT(LINEAS!$AZ$23*DATOS!$C$67,DATOS!$C$68)))</f>
        <v/>
      </c>
      <c r="E40" s="51" t="str">
        <f aca="false">IF(LEN($D40)&gt;79,"MÁS DE 79 CARACTERES","")</f>
        <v/>
      </c>
    </row>
    <row r="41" customFormat="false" ht="15" hidden="false" customHeight="true" outlineLevel="0" collapsed="false">
      <c r="B41" s="53" t="str">
        <f aca="false">IF(OR(LINEAS!$D$24="",ABS(-LINEAS!$AB$24*DATOS!$C$67)&lt;0.00005),"*",LINEAS!$D$24&amp;" UNI GY "&amp;TEXT(-LINEAS!$AB$24*DATOS!$C$67,DATOS!$C$68))</f>
        <v>*</v>
      </c>
      <c r="C41" s="51" t="str">
        <f aca="false">IF(LEN($B41)&gt;79,"MÁS DE 79 CARACTERES","")</f>
        <v/>
      </c>
      <c r="D41" s="53" t="str">
        <f aca="false">IF(PRESIONES!$C$22="NO","",IF(OR(LINEAS!$D$24="",ABS(-LINEAS!$AR$24*DATOS!$C$67)&lt;0.00005),"*",LINEAS!$D$24&amp;" UNI GY "&amp;TEXT(-LINEAS!$AR$24*DATOS!$C$67,DATOS!$C$68)))</f>
        <v/>
      </c>
      <c r="E41" s="51" t="str">
        <f aca="false">IF(LEN($D41)&gt;79,"MÁS DE 79 CARACTERES","")</f>
        <v/>
      </c>
    </row>
    <row r="42" customFormat="false" ht="15" hidden="false" customHeight="true" outlineLevel="0" collapsed="false">
      <c r="B42" s="53" t="str">
        <f aca="false">IF(OR(LINEAS!$D$24="",DATOS!$C$22="—",ABS(LINEAS!$AJ$24*DATOS!$C$67)&lt;0.00005),"*",LINEAS!$D$24&amp;" UNI G"&amp;DATOS!$C$22&amp;" "&amp;TEXT(LINEAS!$AJ$24*DATOS!$C$67,DATOS!$C$68))</f>
        <v>*</v>
      </c>
      <c r="C42" s="51" t="str">
        <f aca="false">IF(LEN($B42)&gt;79,"MÁS DE 79 CARACTERES","")</f>
        <v/>
      </c>
      <c r="D42" s="53" t="str">
        <f aca="false">IF(PRESIONES!$C$22="NO","",IF(OR(LINEAS!$D$24="",DATOS!$C$22="—",ABS(LINEAS!$AZ$24*DATOS!$C$67)&lt;0.00005),"*",LINEAS!$D$24&amp;" UNI G"&amp;DATOS!$C$22&amp;" "&amp;TEXT(LINEAS!$AZ$24*DATOS!$C$67,DATOS!$C$68)))</f>
        <v/>
      </c>
      <c r="E42" s="51" t="str">
        <f aca="false">IF(LEN($D42)&gt;79,"MÁS DE 79 CARACTERES","")</f>
        <v/>
      </c>
    </row>
    <row r="43" customFormat="false" ht="15" hidden="false" customHeight="true" outlineLevel="0" collapsed="false">
      <c r="B43" s="53" t="str">
        <f aca="false">IF(OR(LINEAS!$D$25="",ABS(-LINEAS!$AB$25*DATOS!$C$67)&lt;0.00005),"*",LINEAS!$D$25&amp;" UNI GY "&amp;TEXT(-LINEAS!$AB$25*DATOS!$C$67,DATOS!$C$68))</f>
        <v>*</v>
      </c>
      <c r="C43" s="51" t="str">
        <f aca="false">IF(LEN($B43)&gt;79,"MÁS DE 79 CARACTERES","")</f>
        <v/>
      </c>
      <c r="D43" s="53" t="str">
        <f aca="false">IF(PRESIONES!$C$22="NO","",IF(OR(LINEAS!$D$25="",ABS(-LINEAS!$AR$25*DATOS!$C$67)&lt;0.00005),"*",LINEAS!$D$25&amp;" UNI GY "&amp;TEXT(-LINEAS!$AR$25*DATOS!$C$67,DATOS!$C$68)))</f>
        <v/>
      </c>
      <c r="E43" s="51" t="str">
        <f aca="false">IF(LEN($D43)&gt;79,"MÁS DE 79 CARACTERES","")</f>
        <v/>
      </c>
    </row>
    <row r="44" customFormat="false" ht="15" hidden="false" customHeight="true" outlineLevel="0" collapsed="false">
      <c r="B44" s="53" t="str">
        <f aca="false">IF(OR(LINEAS!$D$25="",DATOS!$C$22="—",ABS(LINEAS!$AJ$25*DATOS!$C$67)&lt;0.00005),"*",LINEAS!$D$25&amp;" UNI G"&amp;DATOS!$C$22&amp;" "&amp;TEXT(LINEAS!$AJ$25*DATOS!$C$67,DATOS!$C$68))</f>
        <v>*</v>
      </c>
      <c r="C44" s="51" t="str">
        <f aca="false">IF(LEN($B44)&gt;79,"MÁS DE 79 CARACTERES","")</f>
        <v/>
      </c>
      <c r="D44" s="53" t="str">
        <f aca="false">IF(PRESIONES!$C$22="NO","",IF(OR(LINEAS!$D$25="",DATOS!$C$22="—",ABS(LINEAS!$AZ$25*DATOS!$C$67)&lt;0.00005),"*",LINEAS!$D$25&amp;" UNI G"&amp;DATOS!$C$22&amp;" "&amp;TEXT(LINEAS!$AZ$25*DATOS!$C$67,DATOS!$C$68)))</f>
        <v/>
      </c>
      <c r="E44" s="51" t="str">
        <f aca="false">IF(LEN($D44)&gt;79,"MÁS DE 79 CARACTERES","")</f>
        <v/>
      </c>
    </row>
    <row r="45" customFormat="false" ht="15" hidden="false" customHeight="true" outlineLevel="0" collapsed="false">
      <c r="B45" s="53" t="str">
        <f aca="false">IF(OR(LINEAS!$D$26="",ABS(-LINEAS!$AB$26*DATOS!$C$67)&lt;0.00005),"*",LINEAS!$D$26&amp;" UNI GY "&amp;TEXT(-LINEAS!$AB$26*DATOS!$C$67,DATOS!$C$68))</f>
        <v>*</v>
      </c>
      <c r="C45" s="51" t="str">
        <f aca="false">IF(LEN($B45)&gt;79,"MÁS DE 79 CARACTERES","")</f>
        <v/>
      </c>
      <c r="D45" s="53" t="str">
        <f aca="false">IF(PRESIONES!$C$22="NO","",IF(OR(LINEAS!$D$26="",ABS(-LINEAS!$AR$26*DATOS!$C$67)&lt;0.00005),"*",LINEAS!$D$26&amp;" UNI GY "&amp;TEXT(-LINEAS!$AR$26*DATOS!$C$67,DATOS!$C$68)))</f>
        <v/>
      </c>
      <c r="E45" s="51" t="str">
        <f aca="false">IF(LEN($D45)&gt;79,"MÁS DE 79 CARACTERES","")</f>
        <v/>
      </c>
    </row>
    <row r="46" customFormat="false" ht="15" hidden="false" customHeight="true" outlineLevel="0" collapsed="false">
      <c r="B46" s="53" t="str">
        <f aca="false">IF(OR(LINEAS!$D$26="",DATOS!$C$22="—",ABS(LINEAS!$AJ$26*DATOS!$C$67)&lt;0.00005),"*",LINEAS!$D$26&amp;" UNI G"&amp;DATOS!$C$22&amp;" "&amp;TEXT(LINEAS!$AJ$26*DATOS!$C$67,DATOS!$C$68))</f>
        <v>*</v>
      </c>
      <c r="C46" s="51" t="str">
        <f aca="false">IF(LEN($B46)&gt;79,"MÁS DE 79 CARACTERES","")</f>
        <v/>
      </c>
      <c r="D46" s="53" t="str">
        <f aca="false">IF(PRESIONES!$C$22="NO","",IF(OR(LINEAS!$D$26="",DATOS!$C$22="—",ABS(LINEAS!$AZ$26*DATOS!$C$67)&lt;0.00005),"*",LINEAS!$D$26&amp;" UNI G"&amp;DATOS!$C$22&amp;" "&amp;TEXT(LINEAS!$AZ$26*DATOS!$C$67,DATOS!$C$68)))</f>
        <v/>
      </c>
      <c r="E46" s="51" t="str">
        <f aca="false">IF(LEN($D46)&gt;79,"MÁS DE 79 CARACTERES","")</f>
        <v/>
      </c>
    </row>
    <row r="47" customFormat="false" ht="15" hidden="false" customHeight="true" outlineLevel="0" collapsed="false">
      <c r="B47" s="53" t="str">
        <f aca="false">IF(OR(LINEAS!$D$27="",ABS(-LINEAS!$AB$27*DATOS!$C$67)&lt;0.00005),"*",LINEAS!$D$27&amp;" UNI GY "&amp;TEXT(-LINEAS!$AB$27*DATOS!$C$67,DATOS!$C$68))</f>
        <v>*</v>
      </c>
      <c r="C47" s="51" t="str">
        <f aca="false">IF(LEN($B47)&gt;79,"MÁS DE 79 CARACTERES","")</f>
        <v/>
      </c>
      <c r="D47" s="53" t="str">
        <f aca="false">IF(PRESIONES!$C$22="NO","",IF(OR(LINEAS!$D$27="",ABS(-LINEAS!$AR$27*DATOS!$C$67)&lt;0.00005),"*",LINEAS!$D$27&amp;" UNI GY "&amp;TEXT(-LINEAS!$AR$27*DATOS!$C$67,DATOS!$C$68)))</f>
        <v/>
      </c>
      <c r="E47" s="51" t="str">
        <f aca="false">IF(LEN($D47)&gt;79,"MÁS DE 79 CARACTERES","")</f>
        <v/>
      </c>
    </row>
    <row r="48" customFormat="false" ht="15" hidden="false" customHeight="true" outlineLevel="0" collapsed="false">
      <c r="B48" s="53" t="str">
        <f aca="false">IF(OR(LINEAS!$D$27="",DATOS!$C$22="—",ABS(LINEAS!$AJ$27*DATOS!$C$67)&lt;0.00005),"*",LINEAS!$D$27&amp;" UNI G"&amp;DATOS!$C$22&amp;" "&amp;TEXT(LINEAS!$AJ$27*DATOS!$C$67,DATOS!$C$68))</f>
        <v>*</v>
      </c>
      <c r="C48" s="51" t="str">
        <f aca="false">IF(LEN($B48)&gt;79,"MÁS DE 79 CARACTERES","")</f>
        <v/>
      </c>
      <c r="D48" s="53" t="str">
        <f aca="false">IF(PRESIONES!$C$22="NO","",IF(OR(LINEAS!$D$27="",DATOS!$C$22="—",ABS(LINEAS!$AZ$27*DATOS!$C$67)&lt;0.00005),"*",LINEAS!$D$27&amp;" UNI G"&amp;DATOS!$C$22&amp;" "&amp;TEXT(LINEAS!$AZ$27*DATOS!$C$67,DATOS!$C$68)))</f>
        <v/>
      </c>
      <c r="E48" s="51" t="str">
        <f aca="false">IF(LEN($D48)&gt;79,"MÁS DE 79 CARACTERES","")</f>
        <v/>
      </c>
    </row>
    <row r="49" customFormat="false" ht="15" hidden="false" customHeight="true" outlineLevel="0" collapsed="false">
      <c r="B49" s="53" t="str">
        <f aca="false">IF(OR(LINEAS!$D$28="",ABS(-LINEAS!$AB$28*DATOS!$C$67)&lt;0.00005),"*",LINEAS!$D$28&amp;" UNI GY "&amp;TEXT(-LINEAS!$AB$28*DATOS!$C$67,DATOS!$C$68))</f>
        <v>*</v>
      </c>
      <c r="C49" s="51" t="str">
        <f aca="false">IF(LEN($B49)&gt;79,"MÁS DE 79 CARACTERES","")</f>
        <v/>
      </c>
      <c r="D49" s="53" t="str">
        <f aca="false">IF(PRESIONES!$C$22="NO","",IF(OR(LINEAS!$D$28="",ABS(-LINEAS!$AR$28*DATOS!$C$67)&lt;0.00005),"*",LINEAS!$D$28&amp;" UNI GY "&amp;TEXT(-LINEAS!$AR$28*DATOS!$C$67,DATOS!$C$68)))</f>
        <v/>
      </c>
      <c r="E49" s="51" t="str">
        <f aca="false">IF(LEN($D49)&gt;79,"MÁS DE 79 CARACTERES","")</f>
        <v/>
      </c>
    </row>
    <row r="50" customFormat="false" ht="15" hidden="false" customHeight="true" outlineLevel="0" collapsed="false">
      <c r="B50" s="53" t="str">
        <f aca="false">IF(OR(LINEAS!$D$28="",DATOS!$C$22="—",ABS(LINEAS!$AJ$28*DATOS!$C$67)&lt;0.00005),"*",LINEAS!$D$28&amp;" UNI G"&amp;DATOS!$C$22&amp;" "&amp;TEXT(LINEAS!$AJ$28*DATOS!$C$67,DATOS!$C$68))</f>
        <v>*</v>
      </c>
      <c r="C50" s="51" t="str">
        <f aca="false">IF(LEN($B50)&gt;79,"MÁS DE 79 CARACTERES","")</f>
        <v/>
      </c>
      <c r="D50" s="53" t="str">
        <f aca="false">IF(PRESIONES!$C$22="NO","",IF(OR(LINEAS!$D$28="",DATOS!$C$22="—",ABS(LINEAS!$AZ$28*DATOS!$C$67)&lt;0.00005),"*",LINEAS!$D$28&amp;" UNI G"&amp;DATOS!$C$22&amp;" "&amp;TEXT(LINEAS!$AZ$28*DATOS!$C$67,DATOS!$C$68)))</f>
        <v/>
      </c>
      <c r="E50" s="51" t="str">
        <f aca="false">IF(LEN($D50)&gt;79,"MÁS DE 79 CARACTERES","")</f>
        <v/>
      </c>
    </row>
    <row r="51" customFormat="false" ht="15" hidden="false" customHeight="true" outlineLevel="0" collapsed="false">
      <c r="B51" s="53" t="str">
        <f aca="false">IF(OR(LINEAS!$D$29="",ABS(-LINEAS!$AB$29*DATOS!$C$67)&lt;0.00005),"*",LINEAS!$D$29&amp;" UNI GY "&amp;TEXT(-LINEAS!$AB$29*DATOS!$C$67,DATOS!$C$68))</f>
        <v>*</v>
      </c>
      <c r="C51" s="51" t="str">
        <f aca="false">IF(LEN($B51)&gt;79,"MÁS DE 79 CARACTERES","")</f>
        <v/>
      </c>
      <c r="D51" s="53" t="str">
        <f aca="false">IF(PRESIONES!$C$22="NO","",IF(OR(LINEAS!$D$29="",ABS(-LINEAS!$AR$29*DATOS!$C$67)&lt;0.00005),"*",LINEAS!$D$29&amp;" UNI GY "&amp;TEXT(-LINEAS!$AR$29*DATOS!$C$67,DATOS!$C$68)))</f>
        <v/>
      </c>
      <c r="E51" s="51" t="str">
        <f aca="false">IF(LEN($D51)&gt;79,"MÁS DE 79 CARACTERES","")</f>
        <v/>
      </c>
    </row>
    <row r="52" customFormat="false" ht="15" hidden="false" customHeight="true" outlineLevel="0" collapsed="false">
      <c r="B52" s="53" t="str">
        <f aca="false">IF(OR(LINEAS!$D$29="",DATOS!$C$22="—",ABS(LINEAS!$AJ$29*DATOS!$C$67)&lt;0.00005),"*",LINEAS!$D$29&amp;" UNI G"&amp;DATOS!$C$22&amp;" "&amp;TEXT(LINEAS!$AJ$29*DATOS!$C$67,DATOS!$C$68))</f>
        <v>*</v>
      </c>
      <c r="C52" s="51" t="str">
        <f aca="false">IF(LEN($B52)&gt;79,"MÁS DE 79 CARACTERES","")</f>
        <v/>
      </c>
      <c r="D52" s="53" t="str">
        <f aca="false">IF(PRESIONES!$C$22="NO","",IF(OR(LINEAS!$D$29="",DATOS!$C$22="—",ABS(LINEAS!$AZ$29*DATOS!$C$67)&lt;0.00005),"*",LINEAS!$D$29&amp;" UNI G"&amp;DATOS!$C$22&amp;" "&amp;TEXT(LINEAS!$AZ$29*DATOS!$C$67,DATOS!$C$68)))</f>
        <v/>
      </c>
      <c r="E52" s="51" t="str">
        <f aca="false">IF(LEN($D52)&gt;79,"MÁS DE 79 CARACTERES","")</f>
        <v/>
      </c>
    </row>
    <row r="53" customFormat="false" ht="15" hidden="false" customHeight="true" outlineLevel="0" collapsed="false">
      <c r="B53" s="53" t="str">
        <f aca="false">IF(OR(LINEAS!$D$30="",ABS(-LINEAS!$AB$30*DATOS!$C$67)&lt;0.00005),"*",LINEAS!$D$30&amp;" UNI GY "&amp;TEXT(-LINEAS!$AB$30*DATOS!$C$67,DATOS!$C$68))</f>
        <v>*</v>
      </c>
      <c r="C53" s="51" t="str">
        <f aca="false">IF(LEN($B53)&gt;79,"MÁS DE 79 CARACTERES","")</f>
        <v/>
      </c>
      <c r="D53" s="53" t="str">
        <f aca="false">IF(PRESIONES!$C$22="NO","",IF(OR(LINEAS!$D$30="",ABS(-LINEAS!$AR$30*DATOS!$C$67)&lt;0.00005),"*",LINEAS!$D$30&amp;" UNI GY "&amp;TEXT(-LINEAS!$AR$30*DATOS!$C$67,DATOS!$C$68)))</f>
        <v/>
      </c>
      <c r="E53" s="51" t="str">
        <f aca="false">IF(LEN($D53)&gt;79,"MÁS DE 79 CARACTERES","")</f>
        <v/>
      </c>
    </row>
    <row r="54" customFormat="false" ht="15" hidden="false" customHeight="true" outlineLevel="0" collapsed="false">
      <c r="B54" s="53" t="str">
        <f aca="false">IF(OR(LINEAS!$D$30="",DATOS!$C$22="—",ABS(LINEAS!$AJ$30*DATOS!$C$67)&lt;0.00005),"*",LINEAS!$D$30&amp;" UNI G"&amp;DATOS!$C$22&amp;" "&amp;TEXT(LINEAS!$AJ$30*DATOS!$C$67,DATOS!$C$68))</f>
        <v>*</v>
      </c>
      <c r="C54" s="51" t="str">
        <f aca="false">IF(LEN($B54)&gt;79,"MÁS DE 79 CARACTERES","")</f>
        <v/>
      </c>
      <c r="D54" s="53" t="str">
        <f aca="false">IF(PRESIONES!$C$22="NO","",IF(OR(LINEAS!$D$30="",DATOS!$C$22="—",ABS(LINEAS!$AZ$30*DATOS!$C$67)&lt;0.00005),"*",LINEAS!$D$30&amp;" UNI G"&amp;DATOS!$C$22&amp;" "&amp;TEXT(LINEAS!$AZ$30*DATOS!$C$67,DATOS!$C$68)))</f>
        <v/>
      </c>
      <c r="E54" s="51" t="str">
        <f aca="false">IF(LEN($D54)&gt;79,"MÁS DE 79 CARACTERES","")</f>
        <v/>
      </c>
    </row>
    <row r="55" customFormat="false" ht="15" hidden="false" customHeight="true" outlineLevel="0" collapsed="false">
      <c r="B55" s="53" t="str">
        <f aca="false">IF(OR(LINEAS!$D$31="",ABS(-LINEAS!$AB$31*DATOS!$C$67)&lt;0.00005),"*",LINEAS!$D$31&amp;" UNI GY "&amp;TEXT(-LINEAS!$AB$31*DATOS!$C$67,DATOS!$C$68))</f>
        <v>*</v>
      </c>
      <c r="C55" s="51" t="str">
        <f aca="false">IF(LEN($B55)&gt;79,"MÁS DE 79 CARACTERES","")</f>
        <v/>
      </c>
      <c r="D55" s="53" t="str">
        <f aca="false">IF(PRESIONES!$C$22="NO","",IF(OR(LINEAS!$D$31="",ABS(-LINEAS!$AR$31*DATOS!$C$67)&lt;0.00005),"*",LINEAS!$D$31&amp;" UNI GY "&amp;TEXT(-LINEAS!$AR$31*DATOS!$C$67,DATOS!$C$68)))</f>
        <v/>
      </c>
      <c r="E55" s="51" t="str">
        <f aca="false">IF(LEN($D55)&gt;79,"MÁS DE 79 CARACTERES","")</f>
        <v/>
      </c>
    </row>
    <row r="56" customFormat="false" ht="15" hidden="false" customHeight="true" outlineLevel="0" collapsed="false">
      <c r="B56" s="53" t="str">
        <f aca="false">IF(OR(LINEAS!$D$31="",DATOS!$C$22="—",ABS(LINEAS!$AJ$31*DATOS!$C$67)&lt;0.00005),"*",LINEAS!$D$31&amp;" UNI G"&amp;DATOS!$C$22&amp;" "&amp;TEXT(LINEAS!$AJ$31*DATOS!$C$67,DATOS!$C$68))</f>
        <v>*</v>
      </c>
      <c r="C56" s="51" t="str">
        <f aca="false">IF(LEN($B56)&gt;79,"MÁS DE 79 CARACTERES","")</f>
        <v/>
      </c>
      <c r="D56" s="53" t="str">
        <f aca="false">IF(PRESIONES!$C$22="NO","",IF(OR(LINEAS!$D$31="",DATOS!$C$22="—",ABS(LINEAS!$AZ$31*DATOS!$C$67)&lt;0.00005),"*",LINEAS!$D$31&amp;" UNI G"&amp;DATOS!$C$22&amp;" "&amp;TEXT(LINEAS!$AZ$31*DATOS!$C$67,DATOS!$C$68)))</f>
        <v/>
      </c>
      <c r="E56" s="51" t="str">
        <f aca="false">IF(LEN($D56)&gt;79,"MÁS DE 79 CARACTERES","")</f>
        <v/>
      </c>
    </row>
    <row r="57" customFormat="false" ht="15" hidden="false" customHeight="true" outlineLevel="0" collapsed="false">
      <c r="B57" s="53" t="str">
        <f aca="false">IF(OR(LINEAS!$D$32="",ABS(-LINEAS!$AB$32*DATOS!$C$67)&lt;0.00005),"*",LINEAS!$D$32&amp;" UNI GY "&amp;TEXT(-LINEAS!$AB$32*DATOS!$C$67,DATOS!$C$68))</f>
        <v>*</v>
      </c>
      <c r="C57" s="51" t="str">
        <f aca="false">IF(LEN($B57)&gt;79,"MÁS DE 79 CARACTERES","")</f>
        <v/>
      </c>
      <c r="D57" s="53" t="str">
        <f aca="false">IF(PRESIONES!$C$22="NO","",IF(OR(LINEAS!$D$32="",ABS(-LINEAS!$AR$32*DATOS!$C$67)&lt;0.00005),"*",LINEAS!$D$32&amp;" UNI GY "&amp;TEXT(-LINEAS!$AR$32*DATOS!$C$67,DATOS!$C$68)))</f>
        <v/>
      </c>
      <c r="E57" s="51" t="str">
        <f aca="false">IF(LEN($D57)&gt;79,"MÁS DE 79 CARACTERES","")</f>
        <v/>
      </c>
    </row>
    <row r="58" customFormat="false" ht="15" hidden="false" customHeight="true" outlineLevel="0" collapsed="false">
      <c r="B58" s="53" t="str">
        <f aca="false">IF(OR(LINEAS!$D$32="",DATOS!$C$22="—",ABS(LINEAS!$AJ$32*DATOS!$C$67)&lt;0.00005),"*",LINEAS!$D$32&amp;" UNI G"&amp;DATOS!$C$22&amp;" "&amp;TEXT(LINEAS!$AJ$32*DATOS!$C$67,DATOS!$C$68))</f>
        <v>*</v>
      </c>
      <c r="C58" s="51" t="str">
        <f aca="false">IF(LEN($B58)&gt;79,"MÁS DE 79 CARACTERES","")</f>
        <v/>
      </c>
      <c r="D58" s="53" t="str">
        <f aca="false">IF(PRESIONES!$C$22="NO","",IF(OR(LINEAS!$D$32="",DATOS!$C$22="—",ABS(LINEAS!$AZ$32*DATOS!$C$67)&lt;0.00005),"*",LINEAS!$D$32&amp;" UNI G"&amp;DATOS!$C$22&amp;" "&amp;TEXT(LINEAS!$AZ$32*DATOS!$C$67,DATOS!$C$68)))</f>
        <v/>
      </c>
      <c r="E58" s="51" t="str">
        <f aca="false">IF(LEN($D58)&gt;79,"MÁS DE 79 CARACTERES","")</f>
        <v/>
      </c>
    </row>
    <row r="59" customFormat="false" ht="15" hidden="false" customHeight="true" outlineLevel="0" collapsed="false">
      <c r="B59" s="53" t="str">
        <f aca="false">IF(OR(LINEAS!$D$33="",ABS(-LINEAS!$AB$33*DATOS!$C$67)&lt;0.00005),"*",LINEAS!$D$33&amp;" UNI GY "&amp;TEXT(-LINEAS!$AB$33*DATOS!$C$67,DATOS!$C$68))</f>
        <v>*</v>
      </c>
      <c r="C59" s="51" t="str">
        <f aca="false">IF(LEN($B59)&gt;79,"MÁS DE 79 CARACTERES","")</f>
        <v/>
      </c>
      <c r="D59" s="53" t="str">
        <f aca="false">IF(PRESIONES!$C$22="NO","",IF(OR(LINEAS!$D$33="",ABS(-LINEAS!$AR$33*DATOS!$C$67)&lt;0.00005),"*",LINEAS!$D$33&amp;" UNI GY "&amp;TEXT(-LINEAS!$AR$33*DATOS!$C$67,DATOS!$C$68)))</f>
        <v/>
      </c>
      <c r="E59" s="51" t="str">
        <f aca="false">IF(LEN($D59)&gt;79,"MÁS DE 79 CARACTERES","")</f>
        <v/>
      </c>
    </row>
    <row r="60" customFormat="false" ht="15" hidden="false" customHeight="true" outlineLevel="0" collapsed="false">
      <c r="B60" s="53" t="str">
        <f aca="false">IF(OR(LINEAS!$D$33="",DATOS!$C$22="—",ABS(LINEAS!$AJ$33*DATOS!$C$67)&lt;0.00005),"*",LINEAS!$D$33&amp;" UNI G"&amp;DATOS!$C$22&amp;" "&amp;TEXT(LINEAS!$AJ$33*DATOS!$C$67,DATOS!$C$68))</f>
        <v>*</v>
      </c>
      <c r="C60" s="51" t="str">
        <f aca="false">IF(LEN($B60)&gt;79,"MÁS DE 79 CARACTERES","")</f>
        <v/>
      </c>
      <c r="D60" s="53" t="str">
        <f aca="false">IF(PRESIONES!$C$22="NO","",IF(OR(LINEAS!$D$33="",DATOS!$C$22="—",ABS(LINEAS!$AZ$33*DATOS!$C$67)&lt;0.00005),"*",LINEAS!$D$33&amp;" UNI G"&amp;DATOS!$C$22&amp;" "&amp;TEXT(LINEAS!$AZ$33*DATOS!$C$67,DATOS!$C$68)))</f>
        <v/>
      </c>
      <c r="E60" s="51" t="str">
        <f aca="false">IF(LEN($D60)&gt;79,"MÁS DE 79 CARACTERES","")</f>
        <v/>
      </c>
    </row>
    <row r="61" customFormat="false" ht="15" hidden="false" customHeight="true" outlineLevel="0" collapsed="false">
      <c r="B61" s="53" t="str">
        <f aca="false">IF(OR(LINEAS!$D$34="",ABS(-LINEAS!$AB$34*DATOS!$C$67)&lt;0.00005),"*",LINEAS!$D$34&amp;" UNI GY "&amp;TEXT(-LINEAS!$AB$34*DATOS!$C$67,DATOS!$C$68))</f>
        <v>*</v>
      </c>
      <c r="C61" s="51" t="str">
        <f aca="false">IF(LEN($B61)&gt;79,"MÁS DE 79 CARACTERES","")</f>
        <v/>
      </c>
      <c r="D61" s="53" t="str">
        <f aca="false">IF(PRESIONES!$C$22="NO","",IF(OR(LINEAS!$D$34="",ABS(-LINEAS!$AR$34*DATOS!$C$67)&lt;0.00005),"*",LINEAS!$D$34&amp;" UNI GY "&amp;TEXT(-LINEAS!$AR$34*DATOS!$C$67,DATOS!$C$68)))</f>
        <v/>
      </c>
      <c r="E61" s="51" t="str">
        <f aca="false">IF(LEN($D61)&gt;79,"MÁS DE 79 CARACTERES","")</f>
        <v/>
      </c>
    </row>
    <row r="62" customFormat="false" ht="15" hidden="false" customHeight="true" outlineLevel="0" collapsed="false">
      <c r="B62" s="53" t="str">
        <f aca="false">IF(OR(LINEAS!$D$34="",DATOS!$C$22="—",ABS(LINEAS!$AJ$34*DATOS!$C$67)&lt;0.00005),"*",LINEAS!$D$34&amp;" UNI G"&amp;DATOS!$C$22&amp;" "&amp;TEXT(LINEAS!$AJ$34*DATOS!$C$67,DATOS!$C$68))</f>
        <v>*</v>
      </c>
      <c r="C62" s="51" t="str">
        <f aca="false">IF(LEN($B62)&gt;79,"MÁS DE 79 CARACTERES","")</f>
        <v/>
      </c>
      <c r="D62" s="53" t="str">
        <f aca="false">IF(PRESIONES!$C$22="NO","",IF(OR(LINEAS!$D$34="",DATOS!$C$22="—",ABS(LINEAS!$AZ$34*DATOS!$C$67)&lt;0.00005),"*",LINEAS!$D$34&amp;" UNI G"&amp;DATOS!$C$22&amp;" "&amp;TEXT(LINEAS!$AZ$34*DATOS!$C$67,DATOS!$C$68)))</f>
        <v/>
      </c>
      <c r="E62" s="51" t="str">
        <f aca="false">IF(LEN($D62)&gt;79,"MÁS DE 79 CARACTERES","")</f>
        <v/>
      </c>
    </row>
    <row r="63" customFormat="false" ht="15" hidden="false" customHeight="true" outlineLevel="0" collapsed="false">
      <c r="B63" s="53" t="str">
        <f aca="false">IF(OR(LINEAS!$D$35="",ABS(-LINEAS!$AB$35*DATOS!$C$67)&lt;0.00005),"*",LINEAS!$D$35&amp;" UNI GY "&amp;TEXT(-LINEAS!$AB$35*DATOS!$C$67,DATOS!$C$68))</f>
        <v>*</v>
      </c>
      <c r="C63" s="51" t="str">
        <f aca="false">IF(LEN($B63)&gt;79,"MÁS DE 79 CARACTERES","")</f>
        <v/>
      </c>
      <c r="D63" s="53" t="str">
        <f aca="false">IF(PRESIONES!$C$22="NO","",IF(OR(LINEAS!$D$35="",ABS(-LINEAS!$AR$35*DATOS!$C$67)&lt;0.00005),"*",LINEAS!$D$35&amp;" UNI GY "&amp;TEXT(-LINEAS!$AR$35*DATOS!$C$67,DATOS!$C$68)))</f>
        <v/>
      </c>
      <c r="E63" s="51" t="str">
        <f aca="false">IF(LEN($D63)&gt;79,"MÁS DE 79 CARACTERES","")</f>
        <v/>
      </c>
    </row>
    <row r="64" customFormat="false" ht="15" hidden="false" customHeight="true" outlineLevel="0" collapsed="false">
      <c r="B64" s="53" t="str">
        <f aca="false">IF(OR(LINEAS!$D$35="",DATOS!$C$22="—",ABS(LINEAS!$AJ$35*DATOS!$C$67)&lt;0.00005),"*",LINEAS!$D$35&amp;" UNI G"&amp;DATOS!$C$22&amp;" "&amp;TEXT(LINEAS!$AJ$35*DATOS!$C$67,DATOS!$C$68))</f>
        <v>*</v>
      </c>
      <c r="C64" s="51" t="str">
        <f aca="false">IF(LEN($B64)&gt;79,"MÁS DE 79 CARACTERES","")</f>
        <v/>
      </c>
      <c r="D64" s="53" t="str">
        <f aca="false">IF(PRESIONES!$C$22="NO","",IF(OR(LINEAS!$D$35="",DATOS!$C$22="—",ABS(LINEAS!$AZ$35*DATOS!$C$67)&lt;0.00005),"*",LINEAS!$D$35&amp;" UNI G"&amp;DATOS!$C$22&amp;" "&amp;TEXT(LINEAS!$AZ$35*DATOS!$C$67,DATOS!$C$68)))</f>
        <v/>
      </c>
      <c r="E64" s="51" t="str">
        <f aca="false">IF(LEN($D64)&gt;79,"MÁS DE 79 CARACTERES","")</f>
        <v/>
      </c>
    </row>
    <row r="65" customFormat="false" ht="15" hidden="false" customHeight="true" outlineLevel="0" collapsed="false">
      <c r="B65" s="53" t="str">
        <f aca="false">IF(OR(LINEAS!$D$36="",ABS(-LINEAS!$AB$36*DATOS!$C$67)&lt;0.00005),"*",LINEAS!$D$36&amp;" UNI GY "&amp;TEXT(-LINEAS!$AB$36*DATOS!$C$67,DATOS!$C$68))</f>
        <v>*</v>
      </c>
      <c r="C65" s="51" t="str">
        <f aca="false">IF(LEN($B65)&gt;79,"MÁS DE 79 CARACTERES","")</f>
        <v/>
      </c>
      <c r="D65" s="53" t="str">
        <f aca="false">IF(PRESIONES!$C$22="NO","",IF(OR(LINEAS!$D$36="",ABS(-LINEAS!$AR$36*DATOS!$C$67)&lt;0.00005),"*",LINEAS!$D$36&amp;" UNI GY "&amp;TEXT(-LINEAS!$AR$36*DATOS!$C$67,DATOS!$C$68)))</f>
        <v/>
      </c>
      <c r="E65" s="51" t="str">
        <f aca="false">IF(LEN($D65)&gt;79,"MÁS DE 79 CARACTERES","")</f>
        <v/>
      </c>
    </row>
    <row r="66" customFormat="false" ht="15" hidden="false" customHeight="true" outlineLevel="0" collapsed="false">
      <c r="B66" s="53" t="str">
        <f aca="false">IF(OR(LINEAS!$D$36="",DATOS!$C$22="—",ABS(LINEAS!$AJ$36*DATOS!$C$67)&lt;0.00005),"*",LINEAS!$D$36&amp;" UNI G"&amp;DATOS!$C$22&amp;" "&amp;TEXT(LINEAS!$AJ$36*DATOS!$C$67,DATOS!$C$68))</f>
        <v>*</v>
      </c>
      <c r="C66" s="51" t="str">
        <f aca="false">IF(LEN($B66)&gt;79,"MÁS DE 79 CARACTERES","")</f>
        <v/>
      </c>
      <c r="D66" s="53" t="str">
        <f aca="false">IF(PRESIONES!$C$22="NO","",IF(OR(LINEAS!$D$36="",DATOS!$C$22="—",ABS(LINEAS!$AZ$36*DATOS!$C$67)&lt;0.00005),"*",LINEAS!$D$36&amp;" UNI G"&amp;DATOS!$C$22&amp;" "&amp;TEXT(LINEAS!$AZ$36*DATOS!$C$67,DATOS!$C$68)))</f>
        <v/>
      </c>
      <c r="E66" s="51" t="str">
        <f aca="false">IF(LEN($D66)&gt;79,"MÁS DE 79 CARACTERES","")</f>
        <v/>
      </c>
    </row>
    <row r="67" customFormat="false" ht="15" hidden="false" customHeight="true" outlineLevel="0" collapsed="false">
      <c r="B67" s="53" t="str">
        <f aca="false">IF(OR(LINEAS!$D$37="",ABS(-LINEAS!$AB$37*DATOS!$C$67)&lt;0.00005),"*",LINEAS!$D$37&amp;" UNI GY "&amp;TEXT(-LINEAS!$AB$37*DATOS!$C$67,DATOS!$C$68))</f>
        <v>*</v>
      </c>
      <c r="C67" s="51" t="str">
        <f aca="false">IF(LEN($B67)&gt;79,"MÁS DE 79 CARACTERES","")</f>
        <v/>
      </c>
      <c r="D67" s="53" t="str">
        <f aca="false">IF(PRESIONES!$C$22="NO","",IF(OR(LINEAS!$D$37="",ABS(-LINEAS!$AR$37*DATOS!$C$67)&lt;0.00005),"*",LINEAS!$D$37&amp;" UNI GY "&amp;TEXT(-LINEAS!$AR$37*DATOS!$C$67,DATOS!$C$68)))</f>
        <v/>
      </c>
      <c r="E67" s="51" t="str">
        <f aca="false">IF(LEN($D67)&gt;79,"MÁS DE 79 CARACTERES","")</f>
        <v/>
      </c>
    </row>
    <row r="68" customFormat="false" ht="15" hidden="false" customHeight="true" outlineLevel="0" collapsed="false">
      <c r="B68" s="53" t="str">
        <f aca="false">IF(OR(LINEAS!$D$37="",DATOS!$C$22="—",ABS(LINEAS!$AJ$37*DATOS!$C$67)&lt;0.00005),"*",LINEAS!$D$37&amp;" UNI G"&amp;DATOS!$C$22&amp;" "&amp;TEXT(LINEAS!$AJ$37*DATOS!$C$67,DATOS!$C$68))</f>
        <v>*</v>
      </c>
      <c r="C68" s="51" t="str">
        <f aca="false">IF(LEN($B68)&gt;79,"MÁS DE 79 CARACTERES","")</f>
        <v/>
      </c>
      <c r="D68" s="53" t="str">
        <f aca="false">IF(PRESIONES!$C$22="NO","",IF(OR(LINEAS!$D$37="",DATOS!$C$22="—",ABS(LINEAS!$AZ$37*DATOS!$C$67)&lt;0.00005),"*",LINEAS!$D$37&amp;" UNI G"&amp;DATOS!$C$22&amp;" "&amp;TEXT(LINEAS!$AZ$37*DATOS!$C$67,DATOS!$C$68)))</f>
        <v/>
      </c>
      <c r="E68" s="51" t="str">
        <f aca="false">IF(LEN($D68)&gt;79,"MÁS DE 79 CARACTERES","")</f>
        <v/>
      </c>
    </row>
    <row r="69" customFormat="false" ht="15" hidden="false" customHeight="true" outlineLevel="0" collapsed="false">
      <c r="B69" s="53" t="str">
        <f aca="false">IF(OR(LINEAS!$D$38="",ABS(-LINEAS!$AB$38*DATOS!$C$67)&lt;0.00005),"*",LINEAS!$D$38&amp;" UNI GY "&amp;TEXT(-LINEAS!$AB$38*DATOS!$C$67,DATOS!$C$68))</f>
        <v>*</v>
      </c>
      <c r="C69" s="51" t="str">
        <f aca="false">IF(LEN($B69)&gt;79,"MÁS DE 79 CARACTERES","")</f>
        <v/>
      </c>
      <c r="D69" s="53" t="str">
        <f aca="false">IF(PRESIONES!$C$22="NO","",IF(OR(LINEAS!$D$38="",ABS(-LINEAS!$AR$38*DATOS!$C$67)&lt;0.00005),"*",LINEAS!$D$38&amp;" UNI GY "&amp;TEXT(-LINEAS!$AR$38*DATOS!$C$67,DATOS!$C$68)))</f>
        <v/>
      </c>
      <c r="E69" s="51" t="str">
        <f aca="false">IF(LEN($D69)&gt;79,"MÁS DE 79 CARACTERES","")</f>
        <v/>
      </c>
    </row>
    <row r="70" customFormat="false" ht="15" hidden="false" customHeight="true" outlineLevel="0" collapsed="false">
      <c r="B70" s="53" t="str">
        <f aca="false">IF(OR(LINEAS!$D$38="",DATOS!$C$22="—",ABS(LINEAS!$AJ$38*DATOS!$C$67)&lt;0.00005),"*",LINEAS!$D$38&amp;" UNI G"&amp;DATOS!$C$22&amp;" "&amp;TEXT(LINEAS!$AJ$38*DATOS!$C$67,DATOS!$C$68))</f>
        <v>*</v>
      </c>
      <c r="C70" s="51" t="str">
        <f aca="false">IF(LEN($B70)&gt;79,"MÁS DE 79 CARACTERES","")</f>
        <v/>
      </c>
      <c r="D70" s="53" t="str">
        <f aca="false">IF(PRESIONES!$C$22="NO","",IF(OR(LINEAS!$D$38="",DATOS!$C$22="—",ABS(LINEAS!$AZ$38*DATOS!$C$67)&lt;0.00005),"*",LINEAS!$D$38&amp;" UNI G"&amp;DATOS!$C$22&amp;" "&amp;TEXT(LINEAS!$AZ$38*DATOS!$C$67,DATOS!$C$68)))</f>
        <v/>
      </c>
      <c r="E70" s="51" t="str">
        <f aca="false">IF(LEN($D70)&gt;79,"MÁS DE 79 CARACTERES","")</f>
        <v/>
      </c>
    </row>
    <row r="71" customFormat="false" ht="15" hidden="false" customHeight="true" outlineLevel="0" collapsed="false">
      <c r="B71" s="53" t="str">
        <f aca="false">IF(OR(LINEAS!$D$45="",LINEAS!$U$45=0,ABS(IF(OR(LINEAS!$U$45=1,LINEAS!$U$45=3),1,-1)*LINEAS!$AB$45*DATOS!$C$67)&lt;0.00005),"*",LINEAS!$D$45&amp;" UNI "&amp;IF(LINEAS!$U$45&lt;=2,"GZ","GX")&amp;" "&amp;TEXT(IF(OR(LINEAS!$U$45=1,LINEAS!$U$45=3),1,-1)*LINEAS!$AB$45*DATOS!$C$67,DATOS!$C$68))</f>
        <v>261 UNI GX 0.7538</v>
      </c>
      <c r="C71" s="51" t="str">
        <f aca="false">IF(LEN($B71)&gt;79,"MÁS DE 79 CARACTERES","")</f>
        <v/>
      </c>
      <c r="D71" s="53" t="str">
        <f aca="false">IF(PRESIONES!$C$22="NO","",IF(OR(LINEAS!$D$45="",LINEAS!$U$45=0,ABS(IF(OR(LINEAS!$U$45=1,LINEAS!$U$45=3),1,-1)*LINEAS!$AB$45*DATOS!$C$67)&lt;0.00005),"*",LINEAS!$D$45&amp;" UNI "&amp;IF(LINEAS!$U$45&lt;=2,"GZ","GX")&amp;" "&amp;TEXT(IF(OR(LINEAS!$U$45=1,LINEAS!$U$45=3),1,-1)*LINEAS!$AB$45*DATOS!$C$67,DATOS!$C$68)))</f>
        <v/>
      </c>
      <c r="E71" s="51" t="str">
        <f aca="false">IF(LEN($D71)&gt;79,"MÁS DE 79 CARACTERES","")</f>
        <v/>
      </c>
    </row>
    <row r="72" customFormat="false" ht="15" hidden="false" customHeight="true" outlineLevel="0" collapsed="false">
      <c r="B72" s="53" t="str">
        <f aca="false">IF(OR(LINEAS!$D$46="",LINEAS!$U$46=0,ABS(IF(OR(LINEAS!$U$46=1,LINEAS!$U$46=3),1,-1)*LINEAS!$AB$46*DATOS!$C$67)&lt;0.00005),"*",LINEAS!$D$46&amp;" UNI "&amp;IF(LINEAS!$U$46&lt;=2,"GZ","GX")&amp;" "&amp;TEXT(IF(OR(LINEAS!$U$46=1,LINEAS!$U$46=3),1,-1)*LINEAS!$AB$46*DATOS!$C$67,DATOS!$C$68))</f>
        <v>260 UNI GX 0.7538</v>
      </c>
      <c r="C72" s="51" t="str">
        <f aca="false">IF(LEN($B72)&gt;79,"MÁS DE 79 CARACTERES","")</f>
        <v/>
      </c>
      <c r="D72" s="53" t="str">
        <f aca="false">IF(PRESIONES!$C$22="NO","",IF(OR(LINEAS!$D$46="",LINEAS!$U$46=0,ABS(IF(OR(LINEAS!$U$46=1,LINEAS!$U$46=3),1,-1)*LINEAS!$AB$46*DATOS!$C$67)&lt;0.00005),"*",LINEAS!$D$46&amp;" UNI "&amp;IF(LINEAS!$U$46&lt;=2,"GZ","GX")&amp;" "&amp;TEXT(IF(OR(LINEAS!$U$46=1,LINEAS!$U$46=3),1,-1)*LINEAS!$AB$46*DATOS!$C$67,DATOS!$C$68)))</f>
        <v/>
      </c>
      <c r="E72" s="51" t="str">
        <f aca="false">IF(LEN($D72)&gt;79,"MÁS DE 79 CARACTERES","")</f>
        <v/>
      </c>
    </row>
    <row r="73" customFormat="false" ht="15" hidden="false" customHeight="true" outlineLevel="0" collapsed="false">
      <c r="B73" s="53" t="str">
        <f aca="false">IF(OR(LINEAS!$D$47="",LINEAS!$U$47=0,ABS(IF(OR(LINEAS!$U$47=1,LINEAS!$U$47=3),1,-1)*LINEAS!$AB$47*DATOS!$C$67)&lt;0.00005),"*",LINEAS!$D$47&amp;" UNI "&amp;IF(LINEAS!$U$47&lt;=2,"GZ","GX")&amp;" "&amp;TEXT(IF(OR(LINEAS!$U$47=1,LINEAS!$U$47=3),1,-1)*LINEAS!$AB$47*DATOS!$C$67,DATOS!$C$68))</f>
        <v>259 UNI GX 0.7538</v>
      </c>
      <c r="C73" s="51" t="str">
        <f aca="false">IF(LEN($B73)&gt;79,"MÁS DE 79 CARACTERES","")</f>
        <v/>
      </c>
      <c r="D73" s="53" t="str">
        <f aca="false">IF(PRESIONES!$C$22="NO","",IF(OR(LINEAS!$D$47="",LINEAS!$U$47=0,ABS(IF(OR(LINEAS!$U$47=1,LINEAS!$U$47=3),1,-1)*LINEAS!$AB$47*DATOS!$C$67)&lt;0.00005),"*",LINEAS!$D$47&amp;" UNI "&amp;IF(LINEAS!$U$47&lt;=2,"GZ","GX")&amp;" "&amp;TEXT(IF(OR(LINEAS!$U$47=1,LINEAS!$U$47=3),1,-1)*LINEAS!$AB$47*DATOS!$C$67,DATOS!$C$68)))</f>
        <v/>
      </c>
      <c r="E73" s="51" t="str">
        <f aca="false">IF(LEN($D73)&gt;79,"MÁS DE 79 CARACTERES","")</f>
        <v/>
      </c>
    </row>
    <row r="74" customFormat="false" ht="15" hidden="false" customHeight="true" outlineLevel="0" collapsed="false">
      <c r="B74" s="53" t="str">
        <f aca="false">IF(OR(LINEAS!$D$48="",LINEAS!$U$48=0,ABS(IF(OR(LINEAS!$U$48=1,LINEAS!$U$48=3),1,-1)*LINEAS!$AB$48*DATOS!$C$67)&lt;0.00005),"*",LINEAS!$D$48&amp;" UNI "&amp;IF(LINEAS!$U$48&lt;=2,"GZ","GX")&amp;" "&amp;TEXT(IF(OR(LINEAS!$U$48=1,LINEAS!$U$48=3),1,-1)*LINEAS!$AB$48*DATOS!$C$67,DATOS!$C$68))</f>
        <v>270 UNI GX 0.7538</v>
      </c>
      <c r="C74" s="51" t="str">
        <f aca="false">IF(LEN($B74)&gt;79,"MÁS DE 79 CARACTERES","")</f>
        <v/>
      </c>
      <c r="D74" s="53" t="str">
        <f aca="false">IF(PRESIONES!$C$22="NO","",IF(OR(LINEAS!$D$48="",LINEAS!$U$48=0,ABS(IF(OR(LINEAS!$U$48=1,LINEAS!$U$48=3),1,-1)*LINEAS!$AB$48*DATOS!$C$67)&lt;0.00005),"*",LINEAS!$D$48&amp;" UNI "&amp;IF(LINEAS!$U$48&lt;=2,"GZ","GX")&amp;" "&amp;TEXT(IF(OR(LINEAS!$U$48=1,LINEAS!$U$48=3),1,-1)*LINEAS!$AB$48*DATOS!$C$67,DATOS!$C$68)))</f>
        <v/>
      </c>
      <c r="E74" s="51" t="str">
        <f aca="false">IF(LEN($D74)&gt;79,"MÁS DE 79 CARACTERES","")</f>
        <v/>
      </c>
    </row>
    <row r="75" customFormat="false" ht="15" hidden="false" customHeight="true" outlineLevel="0" collapsed="false">
      <c r="B75" s="53" t="str">
        <f aca="false">IF(OR(LINEAS!$D$49="",LINEAS!$U$49=0,ABS(IF(OR(LINEAS!$U$49=1,LINEAS!$U$49=3),1,-1)*LINEAS!$AB$49*DATOS!$C$67)&lt;0.00005),"*",LINEAS!$D$49&amp;" UNI "&amp;IF(LINEAS!$U$49&lt;=2,"GZ","GX")&amp;" "&amp;TEXT(IF(OR(LINEAS!$U$49=1,LINEAS!$U$49=3),1,-1)*LINEAS!$AB$49*DATOS!$C$67,DATOS!$C$68))</f>
        <v>269 UNI GX 0.7538</v>
      </c>
      <c r="C75" s="51" t="str">
        <f aca="false">IF(LEN($B75)&gt;79,"MÁS DE 79 CARACTERES","")</f>
        <v/>
      </c>
      <c r="D75" s="53" t="str">
        <f aca="false">IF(PRESIONES!$C$22="NO","",IF(OR(LINEAS!$D$49="",LINEAS!$U$49=0,ABS(IF(OR(LINEAS!$U$49=1,LINEAS!$U$49=3),1,-1)*LINEAS!$AB$49*DATOS!$C$67)&lt;0.00005),"*",LINEAS!$D$49&amp;" UNI "&amp;IF(LINEAS!$U$49&lt;=2,"GZ","GX")&amp;" "&amp;TEXT(IF(OR(LINEAS!$U$49=1,LINEAS!$U$49=3),1,-1)*LINEAS!$AB$49*DATOS!$C$67,DATOS!$C$68)))</f>
        <v/>
      </c>
      <c r="E75" s="51" t="str">
        <f aca="false">IF(LEN($D75)&gt;79,"MÁS DE 79 CARACTERES","")</f>
        <v/>
      </c>
    </row>
    <row r="76" customFormat="false" ht="15" hidden="false" customHeight="true" outlineLevel="0" collapsed="false">
      <c r="B76" s="53" t="str">
        <f aca="false">IF(OR(LINEAS!$D$50="",LINEAS!$U$50=0,ABS(IF(OR(LINEAS!$U$50=1,LINEAS!$U$50=3),1,-1)*LINEAS!$AB$50*DATOS!$C$67)&lt;0.00005),"*",LINEAS!$D$50&amp;" UNI "&amp;IF(LINEAS!$U$50&lt;=2,"GZ","GX")&amp;" "&amp;TEXT(IF(OR(LINEAS!$U$50=1,LINEAS!$U$50=3),1,-1)*LINEAS!$AB$50*DATOS!$C$67,DATOS!$C$68))</f>
        <v>268 UNI GX 0.7538</v>
      </c>
      <c r="C76" s="51" t="str">
        <f aca="false">IF(LEN($B76)&gt;79,"MÁS DE 79 CARACTERES","")</f>
        <v/>
      </c>
      <c r="D76" s="53" t="str">
        <f aca="false">IF(PRESIONES!$C$22="NO","",IF(OR(LINEAS!$D$50="",LINEAS!$U$50=0,ABS(IF(OR(LINEAS!$U$50=1,LINEAS!$U$50=3),1,-1)*LINEAS!$AB$50*DATOS!$C$67)&lt;0.00005),"*",LINEAS!$D$50&amp;" UNI "&amp;IF(LINEAS!$U$50&lt;=2,"GZ","GX")&amp;" "&amp;TEXT(IF(OR(LINEAS!$U$50=1,LINEAS!$U$50=3),1,-1)*LINEAS!$AB$50*DATOS!$C$67,DATOS!$C$68)))</f>
        <v/>
      </c>
      <c r="E76" s="51" t="str">
        <f aca="false">IF(LEN($D76)&gt;79,"MÁS DE 79 CARACTERES","")</f>
        <v/>
      </c>
    </row>
    <row r="77" customFormat="false" ht="15" hidden="false" customHeight="true" outlineLevel="0" collapsed="false">
      <c r="B77" s="53" t="str">
        <f aca="false">IF(OR(LINEAS!$D$51="",LINEAS!$U$51=0,ABS(IF(OR(LINEAS!$U$51=1,LINEAS!$U$51=3),1,-1)*LINEAS!$AB$51*DATOS!$C$67)&lt;0.00005),"*",LINEAS!$D$51&amp;" UNI "&amp;IF(LINEAS!$U$51&lt;=2,"GZ","GX")&amp;" "&amp;TEXT(IF(OR(LINEAS!$U$51=1,LINEAS!$U$51=3),1,-1)*LINEAS!$AB$51*DATOS!$C$67,DATOS!$C$68))</f>
        <v>279 UNI GX 0.7538</v>
      </c>
      <c r="C77" s="51" t="str">
        <f aca="false">IF(LEN($B77)&gt;79,"MÁS DE 79 CARACTERES","")</f>
        <v/>
      </c>
      <c r="D77" s="53" t="str">
        <f aca="false">IF(PRESIONES!$C$22="NO","",IF(OR(LINEAS!$D$51="",LINEAS!$U$51=0,ABS(IF(OR(LINEAS!$U$51=1,LINEAS!$U$51=3),1,-1)*LINEAS!$AB$51*DATOS!$C$67)&lt;0.00005),"*",LINEAS!$D$51&amp;" UNI "&amp;IF(LINEAS!$U$51&lt;=2,"GZ","GX")&amp;" "&amp;TEXT(IF(OR(LINEAS!$U$51=1,LINEAS!$U$51=3),1,-1)*LINEAS!$AB$51*DATOS!$C$67,DATOS!$C$68)))</f>
        <v/>
      </c>
      <c r="E77" s="51" t="str">
        <f aca="false">IF(LEN($D77)&gt;79,"MÁS DE 79 CARACTERES","")</f>
        <v/>
      </c>
    </row>
    <row r="78" customFormat="false" ht="15" hidden="false" customHeight="true" outlineLevel="0" collapsed="false">
      <c r="B78" s="53" t="str">
        <f aca="false">IF(OR(LINEAS!$D$52="",LINEAS!$U$52=0,ABS(IF(OR(LINEAS!$U$52=1,LINEAS!$U$52=3),1,-1)*LINEAS!$AB$52*DATOS!$C$67)&lt;0.00005),"*",LINEAS!$D$52&amp;" UNI "&amp;IF(LINEAS!$U$52&lt;=2,"GZ","GX")&amp;" "&amp;TEXT(IF(OR(LINEAS!$U$52=1,LINEAS!$U$52=3),1,-1)*LINEAS!$AB$52*DATOS!$C$67,DATOS!$C$68))</f>
        <v>278 UNI GX 0.7538</v>
      </c>
      <c r="C78" s="51" t="str">
        <f aca="false">IF(LEN($B78)&gt;79,"MÁS DE 79 CARACTERES","")</f>
        <v/>
      </c>
      <c r="D78" s="53" t="str">
        <f aca="false">IF(PRESIONES!$C$22="NO","",IF(OR(LINEAS!$D$52="",LINEAS!$U$52=0,ABS(IF(OR(LINEAS!$U$52=1,LINEAS!$U$52=3),1,-1)*LINEAS!$AB$52*DATOS!$C$67)&lt;0.00005),"*",LINEAS!$D$52&amp;" UNI "&amp;IF(LINEAS!$U$52&lt;=2,"GZ","GX")&amp;" "&amp;TEXT(IF(OR(LINEAS!$U$52=1,LINEAS!$U$52=3),1,-1)*LINEAS!$AB$52*DATOS!$C$67,DATOS!$C$68)))</f>
        <v/>
      </c>
      <c r="E78" s="51" t="str">
        <f aca="false">IF(LEN($D78)&gt;79,"MÁS DE 79 CARACTERES","")</f>
        <v/>
      </c>
    </row>
    <row r="79" customFormat="false" ht="15" hidden="false" customHeight="true" outlineLevel="0" collapsed="false">
      <c r="B79" s="53" t="str">
        <f aca="false">IF(OR(LINEAS!$D$53="",LINEAS!$U$53=0,ABS(IF(OR(LINEAS!$U$53=1,LINEAS!$U$53=3),1,-1)*LINEAS!$AB$53*DATOS!$C$67)&lt;0.00005),"*",LINEAS!$D$53&amp;" UNI "&amp;IF(LINEAS!$U$53&lt;=2,"GZ","GX")&amp;" "&amp;TEXT(IF(OR(LINEAS!$U$53=1,LINEAS!$U$53=3),1,-1)*LINEAS!$AB$53*DATOS!$C$67,DATOS!$C$68))</f>
        <v>277 UNI GX 0.7538</v>
      </c>
      <c r="C79" s="51" t="str">
        <f aca="false">IF(LEN($B79)&gt;79,"MÁS DE 79 CARACTERES","")</f>
        <v/>
      </c>
      <c r="D79" s="53" t="str">
        <f aca="false">IF(PRESIONES!$C$22="NO","",IF(OR(LINEAS!$D$53="",LINEAS!$U$53=0,ABS(IF(OR(LINEAS!$U$53=1,LINEAS!$U$53=3),1,-1)*LINEAS!$AB$53*DATOS!$C$67)&lt;0.00005),"*",LINEAS!$D$53&amp;" UNI "&amp;IF(LINEAS!$U$53&lt;=2,"GZ","GX")&amp;" "&amp;TEXT(IF(OR(LINEAS!$U$53=1,LINEAS!$U$53=3),1,-1)*LINEAS!$AB$53*DATOS!$C$67,DATOS!$C$68)))</f>
        <v/>
      </c>
      <c r="E79" s="51" t="str">
        <f aca="false">IF(LEN($D79)&gt;79,"MÁS DE 79 CARACTERES","")</f>
        <v/>
      </c>
    </row>
    <row r="80" customFormat="false" ht="15" hidden="false" customHeight="true" outlineLevel="0" collapsed="false">
      <c r="B80" s="53" t="str">
        <f aca="false">IF(OR(LINEAS!$D$54="",LINEAS!$U$54=0,ABS(IF(OR(LINEAS!$U$54=1,LINEAS!$U$54=3),1,-1)*LINEAS!$AB$54*DATOS!$C$67)&lt;0.00005),"*",LINEAS!$D$54&amp;" UNI "&amp;IF(LINEAS!$U$54&lt;=2,"GZ","GX")&amp;" "&amp;TEXT(IF(OR(LINEAS!$U$54=1,LINEAS!$U$54=3),1,-1)*LINEAS!$AB$54*DATOS!$C$67,DATOS!$C$68))</f>
        <v>289 UNI GX 0.7538</v>
      </c>
      <c r="C80" s="51" t="str">
        <f aca="false">IF(LEN($B80)&gt;79,"MÁS DE 79 CARACTERES","")</f>
        <v/>
      </c>
      <c r="D80" s="53" t="str">
        <f aca="false">IF(PRESIONES!$C$22="NO","",IF(OR(LINEAS!$D$54="",LINEAS!$U$54=0,ABS(IF(OR(LINEAS!$U$54=1,LINEAS!$U$54=3),1,-1)*LINEAS!$AB$54*DATOS!$C$67)&lt;0.00005),"*",LINEAS!$D$54&amp;" UNI "&amp;IF(LINEAS!$U$54&lt;=2,"GZ","GX")&amp;" "&amp;TEXT(IF(OR(LINEAS!$U$54=1,LINEAS!$U$54=3),1,-1)*LINEAS!$AB$54*DATOS!$C$67,DATOS!$C$68)))</f>
        <v/>
      </c>
      <c r="E80" s="51" t="str">
        <f aca="false">IF(LEN($D80)&gt;79,"MÁS DE 79 CARACTERES","")</f>
        <v/>
      </c>
    </row>
    <row r="81" customFormat="false" ht="15" hidden="false" customHeight="true" outlineLevel="0" collapsed="false">
      <c r="B81" s="53" t="str">
        <f aca="false">IF(OR(LINEAS!$D$55="",LINEAS!$U$55=0,ABS(IF(OR(LINEAS!$U$55=1,LINEAS!$U$55=3),1,-1)*LINEAS!$AB$55*DATOS!$C$67)&lt;0.00005),"*",LINEAS!$D$55&amp;" UNI "&amp;IF(LINEAS!$U$55&lt;=2,"GZ","GX")&amp;" "&amp;TEXT(IF(OR(LINEAS!$U$55=1,LINEAS!$U$55=3),1,-1)*LINEAS!$AB$55*DATOS!$C$67,DATOS!$C$68))</f>
        <v>288 UNI GX 0.7538</v>
      </c>
      <c r="C81" s="51" t="str">
        <f aca="false">IF(LEN($B81)&gt;79,"MÁS DE 79 CARACTERES","")</f>
        <v/>
      </c>
      <c r="D81" s="53" t="str">
        <f aca="false">IF(PRESIONES!$C$22="NO","",IF(OR(LINEAS!$D$55="",LINEAS!$U$55=0,ABS(IF(OR(LINEAS!$U$55=1,LINEAS!$U$55=3),1,-1)*LINEAS!$AB$55*DATOS!$C$67)&lt;0.00005),"*",LINEAS!$D$55&amp;" UNI "&amp;IF(LINEAS!$U$55&lt;=2,"GZ","GX")&amp;" "&amp;TEXT(IF(OR(LINEAS!$U$55=1,LINEAS!$U$55=3),1,-1)*LINEAS!$AB$55*DATOS!$C$67,DATOS!$C$68)))</f>
        <v/>
      </c>
      <c r="E81" s="51" t="str">
        <f aca="false">IF(LEN($D81)&gt;79,"MÁS DE 79 CARACTERES","")</f>
        <v/>
      </c>
    </row>
    <row r="82" customFormat="false" ht="15" hidden="false" customHeight="true" outlineLevel="0" collapsed="false">
      <c r="B82" s="53" t="str">
        <f aca="false">IF(OR(LINEAS!$D$56="",LINEAS!$U$56=0,ABS(IF(OR(LINEAS!$U$56=1,LINEAS!$U$56=3),1,-1)*LINEAS!$AB$56*DATOS!$C$67)&lt;0.00005),"*",LINEAS!$D$56&amp;" UNI "&amp;IF(LINEAS!$U$56&lt;=2,"GZ","GX")&amp;" "&amp;TEXT(IF(OR(LINEAS!$U$56=1,LINEAS!$U$56=3),1,-1)*LINEAS!$AB$56*DATOS!$C$67,DATOS!$C$68))</f>
        <v>287 UNI GX 0.7538</v>
      </c>
      <c r="C82" s="51" t="str">
        <f aca="false">IF(LEN($B82)&gt;79,"MÁS DE 79 CARACTERES","")</f>
        <v/>
      </c>
      <c r="D82" s="53" t="str">
        <f aca="false">IF(PRESIONES!$C$22="NO","",IF(OR(LINEAS!$D$56="",LINEAS!$U$56=0,ABS(IF(OR(LINEAS!$U$56=1,LINEAS!$U$56=3),1,-1)*LINEAS!$AB$56*DATOS!$C$67)&lt;0.00005),"*",LINEAS!$D$56&amp;" UNI "&amp;IF(LINEAS!$U$56&lt;=2,"GZ","GX")&amp;" "&amp;TEXT(IF(OR(LINEAS!$U$56=1,LINEAS!$U$56=3),1,-1)*LINEAS!$AB$56*DATOS!$C$67,DATOS!$C$68)))</f>
        <v/>
      </c>
      <c r="E82" s="51" t="str">
        <f aca="false">IF(LEN($D82)&gt;79,"MÁS DE 79 CARACTERES","")</f>
        <v/>
      </c>
    </row>
    <row r="83" customFormat="false" ht="15" hidden="false" customHeight="true" outlineLevel="0" collapsed="false">
      <c r="B83" s="53" t="str">
        <f aca="false">IF(OR(LINEAS!$D$57="",LINEAS!$U$57=0,ABS(IF(OR(LINEAS!$U$57=1,LINEAS!$U$57=3),1,-1)*LINEAS!$AB$57*DATOS!$C$67)&lt;0.00005),"*",LINEAS!$D$57&amp;" UNI "&amp;IF(LINEAS!$U$57&lt;=2,"GZ","GX")&amp;" "&amp;TEXT(IF(OR(LINEAS!$U$57=1,LINEAS!$U$57=3),1,-1)*LINEAS!$AB$57*DATOS!$C$67,DATOS!$C$68))</f>
        <v>297 UNI GX 0.7538</v>
      </c>
      <c r="C83" s="51" t="str">
        <f aca="false">IF(LEN($B83)&gt;79,"MÁS DE 79 CARACTERES","")</f>
        <v/>
      </c>
      <c r="D83" s="53" t="str">
        <f aca="false">IF(PRESIONES!$C$22="NO","",IF(OR(LINEAS!$D$57="",LINEAS!$U$57=0,ABS(IF(OR(LINEAS!$U$57=1,LINEAS!$U$57=3),1,-1)*LINEAS!$AB$57*DATOS!$C$67)&lt;0.00005),"*",LINEAS!$D$57&amp;" UNI "&amp;IF(LINEAS!$U$57&lt;=2,"GZ","GX")&amp;" "&amp;TEXT(IF(OR(LINEAS!$U$57=1,LINEAS!$U$57=3),1,-1)*LINEAS!$AB$57*DATOS!$C$67,DATOS!$C$68)))</f>
        <v/>
      </c>
      <c r="E83" s="51" t="str">
        <f aca="false">IF(LEN($D83)&gt;79,"MÁS DE 79 CARACTERES","")</f>
        <v/>
      </c>
    </row>
    <row r="84" customFormat="false" ht="15" hidden="false" customHeight="true" outlineLevel="0" collapsed="false">
      <c r="B84" s="53" t="str">
        <f aca="false">IF(OR(LINEAS!$D$58="",LINEAS!$U$58=0,ABS(IF(OR(LINEAS!$U$58=1,LINEAS!$U$58=3),1,-1)*LINEAS!$AB$58*DATOS!$C$67)&lt;0.00005),"*",LINEAS!$D$58&amp;" UNI "&amp;IF(LINEAS!$U$58&lt;=2,"GZ","GX")&amp;" "&amp;TEXT(IF(OR(LINEAS!$U$58=1,LINEAS!$U$58=3),1,-1)*LINEAS!$AB$58*DATOS!$C$67,DATOS!$C$68))</f>
        <v>296 UNI GX 0.7538</v>
      </c>
      <c r="C84" s="51" t="str">
        <f aca="false">IF(LEN($B84)&gt;79,"MÁS DE 79 CARACTERES","")</f>
        <v/>
      </c>
      <c r="D84" s="53" t="str">
        <f aca="false">IF(PRESIONES!$C$22="NO","",IF(OR(LINEAS!$D$58="",LINEAS!$U$58=0,ABS(IF(OR(LINEAS!$U$58=1,LINEAS!$U$58=3),1,-1)*LINEAS!$AB$58*DATOS!$C$67)&lt;0.00005),"*",LINEAS!$D$58&amp;" UNI "&amp;IF(LINEAS!$U$58&lt;=2,"GZ","GX")&amp;" "&amp;TEXT(IF(OR(LINEAS!$U$58=1,LINEAS!$U$58=3),1,-1)*LINEAS!$AB$58*DATOS!$C$67,DATOS!$C$68)))</f>
        <v/>
      </c>
      <c r="E84" s="51" t="str">
        <f aca="false">IF(LEN($D84)&gt;79,"MÁS DE 79 CARACTERES","")</f>
        <v/>
      </c>
    </row>
    <row r="85" customFormat="false" ht="15" hidden="false" customHeight="true" outlineLevel="0" collapsed="false">
      <c r="B85" s="53" t="str">
        <f aca="false">IF(OR(LINEAS!$D$59="",LINEAS!$U$59=0,ABS(IF(OR(LINEAS!$U$59=1,LINEAS!$U$59=3),1,-1)*LINEAS!$AB$59*DATOS!$C$67)&lt;0.00005),"*",LINEAS!$D$59&amp;" UNI "&amp;IF(LINEAS!$U$59&lt;=2,"GZ","GX")&amp;" "&amp;TEXT(IF(OR(LINEAS!$U$59=1,LINEAS!$U$59=3),1,-1)*LINEAS!$AB$59*DATOS!$C$67,DATOS!$C$68))</f>
        <v>295 UNI GX 0.7538</v>
      </c>
      <c r="C85" s="51" t="str">
        <f aca="false">IF(LEN($B85)&gt;79,"MÁS DE 79 CARACTERES","")</f>
        <v/>
      </c>
      <c r="D85" s="53" t="str">
        <f aca="false">IF(PRESIONES!$C$22="NO","",IF(OR(LINEAS!$D$59="",LINEAS!$U$59=0,ABS(IF(OR(LINEAS!$U$59=1,LINEAS!$U$59=3),1,-1)*LINEAS!$AB$59*DATOS!$C$67)&lt;0.00005),"*",LINEAS!$D$59&amp;" UNI "&amp;IF(LINEAS!$U$59&lt;=2,"GZ","GX")&amp;" "&amp;TEXT(IF(OR(LINEAS!$U$59=1,LINEAS!$U$59=3),1,-1)*LINEAS!$AB$59*DATOS!$C$67,DATOS!$C$68)))</f>
        <v/>
      </c>
      <c r="E85" s="51" t="str">
        <f aca="false">IF(LEN($D85)&gt;79,"MÁS DE 79 CARACTERES","")</f>
        <v/>
      </c>
    </row>
    <row r="86" customFormat="false" ht="15" hidden="false" customHeight="true" outlineLevel="0" collapsed="false">
      <c r="B86" s="53" t="str">
        <f aca="false">IF(OR(LINEAS!$D$60="",LINEAS!$U$60=0,ABS(IF(OR(LINEAS!$U$60=1,LINEAS!$U$60=3),1,-1)*LINEAS!$AB$60*DATOS!$C$67)&lt;0.00005),"*",LINEAS!$D$60&amp;" UNI "&amp;IF(LINEAS!$U$60&lt;=2,"GZ","GX")&amp;" "&amp;TEXT(IF(OR(LINEAS!$U$60=1,LINEAS!$U$60=3),1,-1)*LINEAS!$AB$60*DATOS!$C$67,DATOS!$C$68))</f>
        <v>305 UNI GX 0.7538</v>
      </c>
      <c r="C86" s="51" t="str">
        <f aca="false">IF(LEN($B86)&gt;79,"MÁS DE 79 CARACTERES","")</f>
        <v/>
      </c>
      <c r="D86" s="53" t="str">
        <f aca="false">IF(PRESIONES!$C$22="NO","",IF(OR(LINEAS!$D$60="",LINEAS!$U$60=0,ABS(IF(OR(LINEAS!$U$60=1,LINEAS!$U$60=3),1,-1)*LINEAS!$AB$60*DATOS!$C$67)&lt;0.00005),"*",LINEAS!$D$60&amp;" UNI "&amp;IF(LINEAS!$U$60&lt;=2,"GZ","GX")&amp;" "&amp;TEXT(IF(OR(LINEAS!$U$60=1,LINEAS!$U$60=3),1,-1)*LINEAS!$AB$60*DATOS!$C$67,DATOS!$C$68)))</f>
        <v/>
      </c>
      <c r="E86" s="51" t="str">
        <f aca="false">IF(LEN($D86)&gt;79,"MÁS DE 79 CARACTERES","")</f>
        <v/>
      </c>
    </row>
    <row r="87" customFormat="false" ht="15" hidden="false" customHeight="true" outlineLevel="0" collapsed="false">
      <c r="B87" s="53" t="str">
        <f aca="false">IF(OR(LINEAS!$D$61="",LINEAS!$U$61=0,ABS(IF(OR(LINEAS!$U$61=1,LINEAS!$U$61=3),1,-1)*LINEAS!$AB$61*DATOS!$C$67)&lt;0.00005),"*",LINEAS!$D$61&amp;" UNI "&amp;IF(LINEAS!$U$61&lt;=2,"GZ","GX")&amp;" "&amp;TEXT(IF(OR(LINEAS!$U$61=1,LINEAS!$U$61=3),1,-1)*LINEAS!$AB$61*DATOS!$C$67,DATOS!$C$68))</f>
        <v>304 UNI GX 0.7538</v>
      </c>
      <c r="C87" s="51" t="str">
        <f aca="false">IF(LEN($B87)&gt;79,"MÁS DE 79 CARACTERES","")</f>
        <v/>
      </c>
      <c r="D87" s="53" t="str">
        <f aca="false">IF(PRESIONES!$C$22="NO","",IF(OR(LINEAS!$D$61="",LINEAS!$U$61=0,ABS(IF(OR(LINEAS!$U$61=1,LINEAS!$U$61=3),1,-1)*LINEAS!$AB$61*DATOS!$C$67)&lt;0.00005),"*",LINEAS!$D$61&amp;" UNI "&amp;IF(LINEAS!$U$61&lt;=2,"GZ","GX")&amp;" "&amp;TEXT(IF(OR(LINEAS!$U$61=1,LINEAS!$U$61=3),1,-1)*LINEAS!$AB$61*DATOS!$C$67,DATOS!$C$68)))</f>
        <v/>
      </c>
      <c r="E87" s="51" t="str">
        <f aca="false">IF(LEN($D87)&gt;79,"MÁS DE 79 CARACTERES","")</f>
        <v/>
      </c>
    </row>
    <row r="88" customFormat="false" ht="15" hidden="false" customHeight="true" outlineLevel="0" collapsed="false">
      <c r="B88" s="53" t="str">
        <f aca="false">IF(OR(LINEAS!$D$62="",LINEAS!$U$62=0,ABS(IF(OR(LINEAS!$U$62=1,LINEAS!$U$62=3),1,-1)*LINEAS!$AB$62*DATOS!$C$67)&lt;0.00005),"*",LINEAS!$D$62&amp;" UNI "&amp;IF(LINEAS!$U$62&lt;=2,"GZ","GX")&amp;" "&amp;TEXT(IF(OR(LINEAS!$U$62=1,LINEAS!$U$62=3),1,-1)*LINEAS!$AB$62*DATOS!$C$67,DATOS!$C$68))</f>
        <v>303 UNI GX 0.7538</v>
      </c>
      <c r="C88" s="51" t="str">
        <f aca="false">IF(LEN($B88)&gt;79,"MÁS DE 79 CARACTERES","")</f>
        <v/>
      </c>
      <c r="D88" s="53" t="str">
        <f aca="false">IF(PRESIONES!$C$22="NO","",IF(OR(LINEAS!$D$62="",LINEAS!$U$62=0,ABS(IF(OR(LINEAS!$U$62=1,LINEAS!$U$62=3),1,-1)*LINEAS!$AB$62*DATOS!$C$67)&lt;0.00005),"*",LINEAS!$D$62&amp;" UNI "&amp;IF(LINEAS!$U$62&lt;=2,"GZ","GX")&amp;" "&amp;TEXT(IF(OR(LINEAS!$U$62=1,LINEAS!$U$62=3),1,-1)*LINEAS!$AB$62*DATOS!$C$67,DATOS!$C$68)))</f>
        <v/>
      </c>
      <c r="E88" s="51" t="str">
        <f aca="false">IF(LEN($D88)&gt;79,"MÁS DE 79 CARACTERES","")</f>
        <v/>
      </c>
    </row>
    <row r="89" customFormat="false" ht="15" hidden="false" customHeight="true" outlineLevel="0" collapsed="false">
      <c r="B89" s="53" t="str">
        <f aca="false">IF(OR(LINEAS!$D$63="",LINEAS!$U$63=0,ABS(IF(OR(LINEAS!$U$63=1,LINEAS!$U$63=3),1,-1)*LINEAS!$AB$63*DATOS!$C$67)&lt;0.00005),"*",LINEAS!$D$63&amp;" UNI "&amp;IF(LINEAS!$U$63&lt;=2,"GZ","GX")&amp;" "&amp;TEXT(IF(OR(LINEAS!$U$63=1,LINEAS!$U$63=3),1,-1)*LINEAS!$AB$63*DATOS!$C$67,DATOS!$C$68))</f>
        <v>314 UNI GX 0.7538</v>
      </c>
      <c r="C89" s="51" t="str">
        <f aca="false">IF(LEN($B89)&gt;79,"MÁS DE 79 CARACTERES","")</f>
        <v/>
      </c>
      <c r="D89" s="53" t="str">
        <f aca="false">IF(PRESIONES!$C$22="NO","",IF(OR(LINEAS!$D$63="",LINEAS!$U$63=0,ABS(IF(OR(LINEAS!$U$63=1,LINEAS!$U$63=3),1,-1)*LINEAS!$AB$63*DATOS!$C$67)&lt;0.00005),"*",LINEAS!$D$63&amp;" UNI "&amp;IF(LINEAS!$U$63&lt;=2,"GZ","GX")&amp;" "&amp;TEXT(IF(OR(LINEAS!$U$63=1,LINEAS!$U$63=3),1,-1)*LINEAS!$AB$63*DATOS!$C$67,DATOS!$C$68)))</f>
        <v/>
      </c>
      <c r="E89" s="51" t="str">
        <f aca="false">IF(LEN($D89)&gt;79,"MÁS DE 79 CARACTERES","")</f>
        <v/>
      </c>
    </row>
    <row r="90" customFormat="false" ht="15" hidden="false" customHeight="true" outlineLevel="0" collapsed="false">
      <c r="B90" s="53" t="str">
        <f aca="false">IF(OR(LINEAS!$D$64="",LINEAS!$U$64=0,ABS(IF(OR(LINEAS!$U$64=1,LINEAS!$U$64=3),1,-1)*LINEAS!$AB$64*DATOS!$C$67)&lt;0.00005),"*",LINEAS!$D$64&amp;" UNI "&amp;IF(LINEAS!$U$64&lt;=2,"GZ","GX")&amp;" "&amp;TEXT(IF(OR(LINEAS!$U$64=1,LINEAS!$U$64=3),1,-1)*LINEAS!$AB$64*DATOS!$C$67,DATOS!$C$68))</f>
        <v>313 UNI GX 0.7538</v>
      </c>
      <c r="C90" s="51" t="str">
        <f aca="false">IF(LEN($B90)&gt;79,"MÁS DE 79 CARACTERES","")</f>
        <v/>
      </c>
      <c r="D90" s="53" t="str">
        <f aca="false">IF(PRESIONES!$C$22="NO","",IF(OR(LINEAS!$D$64="",LINEAS!$U$64=0,ABS(IF(OR(LINEAS!$U$64=1,LINEAS!$U$64=3),1,-1)*LINEAS!$AB$64*DATOS!$C$67)&lt;0.00005),"*",LINEAS!$D$64&amp;" UNI "&amp;IF(LINEAS!$U$64&lt;=2,"GZ","GX")&amp;" "&amp;TEXT(IF(OR(LINEAS!$U$64=1,LINEAS!$U$64=3),1,-1)*LINEAS!$AB$64*DATOS!$C$67,DATOS!$C$68)))</f>
        <v/>
      </c>
      <c r="E90" s="51" t="str">
        <f aca="false">IF(LEN($D90)&gt;79,"MÁS DE 79 CARACTERES","")</f>
        <v/>
      </c>
    </row>
    <row r="91" customFormat="false" ht="15" hidden="false" customHeight="true" outlineLevel="0" collapsed="false">
      <c r="B91" s="53" t="str">
        <f aca="false">IF(OR(LINEAS!$D$65="",LINEAS!$U$65=0,ABS(IF(OR(LINEAS!$U$65=1,LINEAS!$U$65=3),1,-1)*LINEAS!$AB$65*DATOS!$C$67)&lt;0.00005),"*",LINEAS!$D$65&amp;" UNI "&amp;IF(LINEAS!$U$65&lt;=2,"GZ","GX")&amp;" "&amp;TEXT(IF(OR(LINEAS!$U$65=1,LINEAS!$U$65=3),1,-1)*LINEAS!$AB$65*DATOS!$C$67,DATOS!$C$68))</f>
        <v>312 UNI GX 0.7538</v>
      </c>
      <c r="C91" s="51" t="str">
        <f aca="false">IF(LEN($B91)&gt;79,"MÁS DE 79 CARACTERES","")</f>
        <v/>
      </c>
      <c r="D91" s="53" t="str">
        <f aca="false">IF(PRESIONES!$C$22="NO","",IF(OR(LINEAS!$D$65="",LINEAS!$U$65=0,ABS(IF(OR(LINEAS!$U$65=1,LINEAS!$U$65=3),1,-1)*LINEAS!$AB$65*DATOS!$C$67)&lt;0.00005),"*",LINEAS!$D$65&amp;" UNI "&amp;IF(LINEAS!$U$65&lt;=2,"GZ","GX")&amp;" "&amp;TEXT(IF(OR(LINEAS!$U$65=1,LINEAS!$U$65=3),1,-1)*LINEAS!$AB$65*DATOS!$C$67,DATOS!$C$68)))</f>
        <v/>
      </c>
      <c r="E91" s="51" t="str">
        <f aca="false">IF(LEN($D91)&gt;79,"MÁS DE 79 CARACTERES","")</f>
        <v/>
      </c>
    </row>
    <row r="92" customFormat="false" ht="15" hidden="false" customHeight="true" outlineLevel="0" collapsed="false">
      <c r="B92" s="53" t="str">
        <f aca="false">IF(OR(LINEAS!$D$66="",LINEAS!$U$66=0,ABS(IF(OR(LINEAS!$U$66=1,LINEAS!$U$66=3),1,-1)*LINEAS!$AB$66*DATOS!$C$67)&lt;0.00005),"*",LINEAS!$D$66&amp;" UNI "&amp;IF(LINEAS!$U$66&lt;=2,"GZ","GX")&amp;" "&amp;TEXT(IF(OR(LINEAS!$U$66=1,LINEAS!$U$66=3),1,-1)*LINEAS!$AB$66*DATOS!$C$67,DATOS!$C$68))</f>
        <v>317 UNI GX 0.6451</v>
      </c>
      <c r="C92" s="51" t="str">
        <f aca="false">IF(LEN($B92)&gt;79,"MÁS DE 79 CARACTERES","")</f>
        <v/>
      </c>
      <c r="D92" s="53" t="str">
        <f aca="false">IF(PRESIONES!$C$22="NO","",IF(OR(LINEAS!$D$66="",LINEAS!$U$66=0,ABS(IF(OR(LINEAS!$U$66=1,LINEAS!$U$66=3),1,-1)*LINEAS!$AB$66*DATOS!$C$67)&lt;0.00005),"*",LINEAS!$D$66&amp;" UNI "&amp;IF(LINEAS!$U$66&lt;=2,"GZ","GX")&amp;" "&amp;TEXT(IF(OR(LINEAS!$U$66=1,LINEAS!$U$66=3),1,-1)*LINEAS!$AB$66*DATOS!$C$67,DATOS!$C$68)))</f>
        <v/>
      </c>
      <c r="E92" s="51" t="str">
        <f aca="false">IF(LEN($D92)&gt;79,"MÁS DE 79 CARACTERES","")</f>
        <v/>
      </c>
    </row>
    <row r="93" customFormat="false" ht="15" hidden="false" customHeight="true" outlineLevel="0" collapsed="false">
      <c r="B93" s="53" t="str">
        <f aca="false">IF(OR(LINEAS!$D$67="",LINEAS!$U$67=0,ABS(IF(OR(LINEAS!$U$67=1,LINEAS!$U$67=3),1,-1)*LINEAS!$AB$67*DATOS!$C$67)&lt;0.00005),"*",LINEAS!$D$67&amp;" UNI "&amp;IF(LINEAS!$U$67&lt;=2,"GZ","GX")&amp;" "&amp;TEXT(IF(OR(LINEAS!$U$67=1,LINEAS!$U$67=3),1,-1)*LINEAS!$AB$67*DATOS!$C$67,DATOS!$C$68))</f>
        <v>316 UNI GX 0.5371</v>
      </c>
      <c r="C93" s="51" t="str">
        <f aca="false">IF(LEN($B93)&gt;79,"MÁS DE 79 CARACTERES","")</f>
        <v/>
      </c>
      <c r="D93" s="53" t="str">
        <f aca="false">IF(PRESIONES!$C$22="NO","",IF(OR(LINEAS!$D$67="",LINEAS!$U$67=0,ABS(IF(OR(LINEAS!$U$67=1,LINEAS!$U$67=3),1,-1)*LINEAS!$AB$67*DATOS!$C$67)&lt;0.00005),"*",LINEAS!$D$67&amp;" UNI "&amp;IF(LINEAS!$U$67&lt;=2,"GZ","GX")&amp;" "&amp;TEXT(IF(OR(LINEAS!$U$67=1,LINEAS!$U$67=3),1,-1)*LINEAS!$AB$67*DATOS!$C$67,DATOS!$C$68)))</f>
        <v/>
      </c>
      <c r="E93" s="51" t="str">
        <f aca="false">IF(LEN($D93)&gt;79,"MÁS DE 79 CARACTERES","")</f>
        <v/>
      </c>
    </row>
    <row r="94" customFormat="false" ht="15" hidden="false" customHeight="true" outlineLevel="0" collapsed="false">
      <c r="B94" s="53" t="str">
        <f aca="false">IF(OR(LINEAS!$D$68="",LINEAS!$U$68=0,ABS(IF(OR(LINEAS!$U$68=1,LINEAS!$U$68=3),1,-1)*LINEAS!$AB$68*DATOS!$C$67)&lt;0.00005),"*",LINEAS!$D$68&amp;" UNI "&amp;IF(LINEAS!$U$68&lt;=2,"GZ","GX")&amp;" "&amp;TEXT(IF(OR(LINEAS!$U$68=1,LINEAS!$U$68=3),1,-1)*LINEAS!$AB$68*DATOS!$C$67,DATOS!$C$68))</f>
        <v>315 UNI GX 0.4648</v>
      </c>
      <c r="C94" s="51" t="str">
        <f aca="false">IF(LEN($B94)&gt;79,"MÁS DE 79 CARACTERES","")</f>
        <v/>
      </c>
      <c r="D94" s="53" t="str">
        <f aca="false">IF(PRESIONES!$C$22="NO","",IF(OR(LINEAS!$D$68="",LINEAS!$U$68=0,ABS(IF(OR(LINEAS!$U$68=1,LINEAS!$U$68=3),1,-1)*LINEAS!$AB$68*DATOS!$C$67)&lt;0.00005),"*",LINEAS!$D$68&amp;" UNI "&amp;IF(LINEAS!$U$68&lt;=2,"GZ","GX")&amp;" "&amp;TEXT(IF(OR(LINEAS!$U$68=1,LINEAS!$U$68=3),1,-1)*LINEAS!$AB$68*DATOS!$C$67,DATOS!$C$68)))</f>
        <v/>
      </c>
      <c r="E94" s="51" t="str">
        <f aca="false">IF(LEN($D94)&gt;79,"MÁS DE 79 CARACTERES","")</f>
        <v/>
      </c>
    </row>
    <row r="95" customFormat="false" ht="15" hidden="false" customHeight="true" outlineLevel="0" collapsed="false">
      <c r="B95" s="53" t="str">
        <f aca="false">IF(OR(LINEAS!$D$69="",LINEAS!$U$69=0,ABS(IF(OR(LINEAS!$U$69=1,LINEAS!$U$69=3),1,-1)*LINEAS!$AB$69*DATOS!$C$67)&lt;0.00005),"*",LINEAS!$D$69&amp;" UNI "&amp;IF(LINEAS!$U$69&lt;=2,"GZ","GX")&amp;" "&amp;TEXT(IF(OR(LINEAS!$U$69=1,LINEAS!$U$69=3),1,-1)*LINEAS!$AB$69*DATOS!$C$67,DATOS!$C$68))</f>
        <v>265 UNI GX -0.0050</v>
      </c>
      <c r="C95" s="51" t="str">
        <f aca="false">IF(LEN($B95)&gt;79,"MÁS DE 79 CARACTERES","")</f>
        <v/>
      </c>
      <c r="D95" s="53" t="str">
        <f aca="false">IF(PRESIONES!$C$22="NO","",IF(OR(LINEAS!$D$69="",LINEAS!$U$69=0,ABS(IF(OR(LINEAS!$U$69=1,LINEAS!$U$69=3),1,-1)*LINEAS!$AB$69*DATOS!$C$67)&lt;0.00005),"*",LINEAS!$D$69&amp;" UNI "&amp;IF(LINEAS!$U$69&lt;=2,"GZ","GX")&amp;" "&amp;TEXT(IF(OR(LINEAS!$U$69=1,LINEAS!$U$69=3),1,-1)*LINEAS!$AB$69*DATOS!$C$67,DATOS!$C$68)))</f>
        <v/>
      </c>
      <c r="E95" s="51" t="str">
        <f aca="false">IF(LEN($D95)&gt;79,"MÁS DE 79 CARACTERES","")</f>
        <v/>
      </c>
    </row>
    <row r="96" customFormat="false" ht="15" hidden="false" customHeight="true" outlineLevel="0" collapsed="false">
      <c r="B96" s="53" t="str">
        <f aca="false">IF(OR(LINEAS!$D$70="",LINEAS!$U$70=0,ABS(IF(OR(LINEAS!$U$70=1,LINEAS!$U$70=3),1,-1)*LINEAS!$AB$70*DATOS!$C$67)&lt;0.00005),"*",LINEAS!$D$70&amp;" UNI "&amp;IF(LINEAS!$U$70&lt;=2,"GZ","GX")&amp;" "&amp;TEXT(IF(OR(LINEAS!$U$70=1,LINEAS!$U$70=3),1,-1)*LINEAS!$AB$70*DATOS!$C$67,DATOS!$C$68))</f>
        <v>266 UNI GX -0.0050</v>
      </c>
      <c r="C96" s="51" t="str">
        <f aca="false">IF(LEN($B96)&gt;79,"MÁS DE 79 CARACTERES","")</f>
        <v/>
      </c>
      <c r="D96" s="53" t="str">
        <f aca="false">IF(PRESIONES!$C$22="NO","",IF(OR(LINEAS!$D$70="",LINEAS!$U$70=0,ABS(IF(OR(LINEAS!$U$70=1,LINEAS!$U$70=3),1,-1)*LINEAS!$AB$70*DATOS!$C$67)&lt;0.00005),"*",LINEAS!$D$70&amp;" UNI "&amp;IF(LINEAS!$U$70&lt;=2,"GZ","GX")&amp;" "&amp;TEXT(IF(OR(LINEAS!$U$70=1,LINEAS!$U$70=3),1,-1)*LINEAS!$AB$70*DATOS!$C$67,DATOS!$C$68)))</f>
        <v/>
      </c>
      <c r="E96" s="51" t="str">
        <f aca="false">IF(LEN($D96)&gt;79,"MÁS DE 79 CARACTERES","")</f>
        <v/>
      </c>
    </row>
    <row r="97" customFormat="false" ht="15" hidden="false" customHeight="true" outlineLevel="0" collapsed="false">
      <c r="B97" s="53" t="str">
        <f aca="false">IF(OR(LINEAS!$D$71="",LINEAS!$U$71=0,ABS(IF(OR(LINEAS!$U$71=1,LINEAS!$U$71=3),1,-1)*LINEAS!$AB$71*DATOS!$C$67)&lt;0.00005),"*",LINEAS!$D$71&amp;" UNI "&amp;IF(LINEAS!$U$71&lt;=2,"GZ","GX")&amp;" "&amp;TEXT(IF(OR(LINEAS!$U$71=1,LINEAS!$U$71=3),1,-1)*LINEAS!$AB$71*DATOS!$C$67,DATOS!$C$68))</f>
        <v>267 UNI GX -0.0050</v>
      </c>
      <c r="C97" s="51" t="str">
        <f aca="false">IF(LEN($B97)&gt;79,"MÁS DE 79 CARACTERES","")</f>
        <v/>
      </c>
      <c r="D97" s="53" t="str">
        <f aca="false">IF(PRESIONES!$C$22="NO","",IF(OR(LINEAS!$D$71="",LINEAS!$U$71=0,ABS(IF(OR(LINEAS!$U$71=1,LINEAS!$U$71=3),1,-1)*LINEAS!$AB$71*DATOS!$C$67)&lt;0.00005),"*",LINEAS!$D$71&amp;" UNI "&amp;IF(LINEAS!$U$71&lt;=2,"GZ","GX")&amp;" "&amp;TEXT(IF(OR(LINEAS!$U$71=1,LINEAS!$U$71=3),1,-1)*LINEAS!$AB$71*DATOS!$C$67,DATOS!$C$68)))</f>
        <v/>
      </c>
      <c r="E97" s="51" t="str">
        <f aca="false">IF(LEN($D97)&gt;79,"MÁS DE 79 CARACTERES","")</f>
        <v/>
      </c>
    </row>
    <row r="98" customFormat="false" ht="15" hidden="false" customHeight="true" outlineLevel="0" collapsed="false">
      <c r="B98" s="53" t="str">
        <f aca="false">IF(OR(LINEAS!$D$72="",LINEAS!$U$72=0,ABS(IF(OR(LINEAS!$U$72=1,LINEAS!$U$72=3),1,-1)*LINEAS!$AB$72*DATOS!$C$67)&lt;0.00005),"*",LINEAS!$D$72&amp;" UNI "&amp;IF(LINEAS!$U$72&lt;=2,"GZ","GX")&amp;" "&amp;TEXT(IF(OR(LINEAS!$U$72=1,LINEAS!$U$72=3),1,-1)*LINEAS!$AB$72*DATOS!$C$67,DATOS!$C$68))</f>
        <v>274 UNI GX -0.0050</v>
      </c>
      <c r="C98" s="51" t="str">
        <f aca="false">IF(LEN($B98)&gt;79,"MÁS DE 79 CARACTERES","")</f>
        <v/>
      </c>
      <c r="D98" s="53" t="str">
        <f aca="false">IF(PRESIONES!$C$22="NO","",IF(OR(LINEAS!$D$72="",LINEAS!$U$72=0,ABS(IF(OR(LINEAS!$U$72=1,LINEAS!$U$72=3),1,-1)*LINEAS!$AB$72*DATOS!$C$67)&lt;0.00005),"*",LINEAS!$D$72&amp;" UNI "&amp;IF(LINEAS!$U$72&lt;=2,"GZ","GX")&amp;" "&amp;TEXT(IF(OR(LINEAS!$U$72=1,LINEAS!$U$72=3),1,-1)*LINEAS!$AB$72*DATOS!$C$67,DATOS!$C$68)))</f>
        <v/>
      </c>
      <c r="E98" s="51" t="str">
        <f aca="false">IF(LEN($D98)&gt;79,"MÁS DE 79 CARACTERES","")</f>
        <v/>
      </c>
    </row>
    <row r="99" customFormat="false" ht="15" hidden="false" customHeight="true" outlineLevel="0" collapsed="false">
      <c r="B99" s="53" t="str">
        <f aca="false">IF(OR(LINEAS!$D$73="",LINEAS!$U$73=0,ABS(IF(OR(LINEAS!$U$73=1,LINEAS!$U$73=3),1,-1)*LINEAS!$AB$73*DATOS!$C$67)&lt;0.00005),"*",LINEAS!$D$73&amp;" UNI "&amp;IF(LINEAS!$U$73&lt;=2,"GZ","GX")&amp;" "&amp;TEXT(IF(OR(LINEAS!$U$73=1,LINEAS!$U$73=3),1,-1)*LINEAS!$AB$73*DATOS!$C$67,DATOS!$C$68))</f>
        <v>275 UNI GX -0.0050</v>
      </c>
      <c r="C99" s="51" t="str">
        <f aca="false">IF(LEN($B99)&gt;79,"MÁS DE 79 CARACTERES","")</f>
        <v/>
      </c>
      <c r="D99" s="53" t="str">
        <f aca="false">IF(PRESIONES!$C$22="NO","",IF(OR(LINEAS!$D$73="",LINEAS!$U$73=0,ABS(IF(OR(LINEAS!$U$73=1,LINEAS!$U$73=3),1,-1)*LINEAS!$AB$73*DATOS!$C$67)&lt;0.00005),"*",LINEAS!$D$73&amp;" UNI "&amp;IF(LINEAS!$U$73&lt;=2,"GZ","GX")&amp;" "&amp;TEXT(IF(OR(LINEAS!$U$73=1,LINEAS!$U$73=3),1,-1)*LINEAS!$AB$73*DATOS!$C$67,DATOS!$C$68)))</f>
        <v/>
      </c>
      <c r="E99" s="51" t="str">
        <f aca="false">IF(LEN($D99)&gt;79,"MÁS DE 79 CARACTERES","")</f>
        <v/>
      </c>
    </row>
    <row r="100" customFormat="false" ht="15" hidden="false" customHeight="true" outlineLevel="0" collapsed="false">
      <c r="B100" s="53" t="str">
        <f aca="false">IF(OR(LINEAS!$D$74="",LINEAS!$U$74=0,ABS(IF(OR(LINEAS!$U$74=1,LINEAS!$U$74=3),1,-1)*LINEAS!$AB$74*DATOS!$C$67)&lt;0.00005),"*",LINEAS!$D$74&amp;" UNI "&amp;IF(LINEAS!$U$74&lt;=2,"GZ","GX")&amp;" "&amp;TEXT(IF(OR(LINEAS!$U$74=1,LINEAS!$U$74=3),1,-1)*LINEAS!$AB$74*DATOS!$C$67,DATOS!$C$68))</f>
        <v>276 UNI GX -0.0050</v>
      </c>
      <c r="C100" s="51" t="str">
        <f aca="false">IF(LEN($B100)&gt;79,"MÁS DE 79 CARACTERES","")</f>
        <v/>
      </c>
      <c r="D100" s="53" t="str">
        <f aca="false">IF(PRESIONES!$C$22="NO","",IF(OR(LINEAS!$D$74="",LINEAS!$U$74=0,ABS(IF(OR(LINEAS!$U$74=1,LINEAS!$U$74=3),1,-1)*LINEAS!$AB$74*DATOS!$C$67)&lt;0.00005),"*",LINEAS!$D$74&amp;" UNI "&amp;IF(LINEAS!$U$74&lt;=2,"GZ","GX")&amp;" "&amp;TEXT(IF(OR(LINEAS!$U$74=1,LINEAS!$U$74=3),1,-1)*LINEAS!$AB$74*DATOS!$C$67,DATOS!$C$68)))</f>
        <v/>
      </c>
      <c r="E100" s="51" t="str">
        <f aca="false">IF(LEN($D100)&gt;79,"MÁS DE 79 CARACTERES","")</f>
        <v/>
      </c>
    </row>
    <row r="101" customFormat="false" ht="15" hidden="false" customHeight="true" outlineLevel="0" collapsed="false">
      <c r="B101" s="53" t="str">
        <f aca="false">IF(OR(LINEAS!$D$75="",LINEAS!$U$75=0,ABS(IF(OR(LINEAS!$U$75=1,LINEAS!$U$75=3),1,-1)*LINEAS!$AB$75*DATOS!$C$67)&lt;0.00005),"*",LINEAS!$D$75&amp;" UNI "&amp;IF(LINEAS!$U$75&lt;=2,"GZ","GX")&amp;" "&amp;TEXT(IF(OR(LINEAS!$U$75=1,LINEAS!$U$75=3),1,-1)*LINEAS!$AB$75*DATOS!$C$67,DATOS!$C$68))</f>
        <v>283 UNI GX -0.0050</v>
      </c>
      <c r="C101" s="51" t="str">
        <f aca="false">IF(LEN($B101)&gt;79,"MÁS DE 79 CARACTERES","")</f>
        <v/>
      </c>
      <c r="D101" s="53" t="str">
        <f aca="false">IF(PRESIONES!$C$22="NO","",IF(OR(LINEAS!$D$75="",LINEAS!$U$75=0,ABS(IF(OR(LINEAS!$U$75=1,LINEAS!$U$75=3),1,-1)*LINEAS!$AB$75*DATOS!$C$67)&lt;0.00005),"*",LINEAS!$D$75&amp;" UNI "&amp;IF(LINEAS!$U$75&lt;=2,"GZ","GX")&amp;" "&amp;TEXT(IF(OR(LINEAS!$U$75=1,LINEAS!$U$75=3),1,-1)*LINEAS!$AB$75*DATOS!$C$67,DATOS!$C$68)))</f>
        <v/>
      </c>
      <c r="E101" s="51" t="str">
        <f aca="false">IF(LEN($D101)&gt;79,"MÁS DE 79 CARACTERES","")</f>
        <v/>
      </c>
    </row>
    <row r="102" customFormat="false" ht="15" hidden="false" customHeight="true" outlineLevel="0" collapsed="false">
      <c r="B102" s="53" t="str">
        <f aca="false">IF(OR(LINEAS!$D$76="",LINEAS!$U$76=0,ABS(IF(OR(LINEAS!$U$76=1,LINEAS!$U$76=3),1,-1)*LINEAS!$AB$76*DATOS!$C$67)&lt;0.00005),"*",LINEAS!$D$76&amp;" UNI "&amp;IF(LINEAS!$U$76&lt;=2,"GZ","GX")&amp;" "&amp;TEXT(IF(OR(LINEAS!$U$76=1,LINEAS!$U$76=3),1,-1)*LINEAS!$AB$76*DATOS!$C$67,DATOS!$C$68))</f>
        <v>284 UNI GX -0.0050</v>
      </c>
      <c r="C102" s="51" t="str">
        <f aca="false">IF(LEN($B102)&gt;79,"MÁS DE 79 CARACTERES","")</f>
        <v/>
      </c>
      <c r="D102" s="53" t="str">
        <f aca="false">IF(PRESIONES!$C$22="NO","",IF(OR(LINEAS!$D$76="",LINEAS!$U$76=0,ABS(IF(OR(LINEAS!$U$76=1,LINEAS!$U$76=3),1,-1)*LINEAS!$AB$76*DATOS!$C$67)&lt;0.00005),"*",LINEAS!$D$76&amp;" UNI "&amp;IF(LINEAS!$U$76&lt;=2,"GZ","GX")&amp;" "&amp;TEXT(IF(OR(LINEAS!$U$76=1,LINEAS!$U$76=3),1,-1)*LINEAS!$AB$76*DATOS!$C$67,DATOS!$C$68)))</f>
        <v/>
      </c>
      <c r="E102" s="51" t="str">
        <f aca="false">IF(LEN($D102)&gt;79,"MÁS DE 79 CARACTERES","")</f>
        <v/>
      </c>
    </row>
    <row r="103" customFormat="false" ht="15" hidden="false" customHeight="true" outlineLevel="0" collapsed="false">
      <c r="B103" s="53" t="str">
        <f aca="false">IF(OR(LINEAS!$D$77="",LINEAS!$U$77=0,ABS(IF(OR(LINEAS!$U$77=1,LINEAS!$U$77=3),1,-1)*LINEAS!$AB$77*DATOS!$C$67)&lt;0.00005),"*",LINEAS!$D$77&amp;" UNI "&amp;IF(LINEAS!$U$77&lt;=2,"GZ","GX")&amp;" "&amp;TEXT(IF(OR(LINEAS!$U$77=1,LINEAS!$U$77=3),1,-1)*LINEAS!$AB$77*DATOS!$C$67,DATOS!$C$68))</f>
        <v>285 UNI GX -0.0050</v>
      </c>
      <c r="C103" s="51" t="str">
        <f aca="false">IF(LEN($B103)&gt;79,"MÁS DE 79 CARACTERES","")</f>
        <v/>
      </c>
      <c r="D103" s="53" t="str">
        <f aca="false">IF(PRESIONES!$C$22="NO","",IF(OR(LINEAS!$D$77="",LINEAS!$U$77=0,ABS(IF(OR(LINEAS!$U$77=1,LINEAS!$U$77=3),1,-1)*LINEAS!$AB$77*DATOS!$C$67)&lt;0.00005),"*",LINEAS!$D$77&amp;" UNI "&amp;IF(LINEAS!$U$77&lt;=2,"GZ","GX")&amp;" "&amp;TEXT(IF(OR(LINEAS!$U$77=1,LINEAS!$U$77=3),1,-1)*LINEAS!$AB$77*DATOS!$C$67,DATOS!$C$68)))</f>
        <v/>
      </c>
      <c r="E103" s="51" t="str">
        <f aca="false">IF(LEN($D103)&gt;79,"MÁS DE 79 CARACTERES","")</f>
        <v/>
      </c>
    </row>
    <row r="104" customFormat="false" ht="15" hidden="false" customHeight="true" outlineLevel="0" collapsed="false">
      <c r="B104" s="53" t="str">
        <f aca="false">IF(OR(LINEAS!$D$78="",LINEAS!$U$78=0,ABS(IF(OR(LINEAS!$U$78=1,LINEAS!$U$78=3),1,-1)*LINEAS!$AB$78*DATOS!$C$67)&lt;0.00005),"*",LINEAS!$D$78&amp;" UNI "&amp;IF(LINEAS!$U$78&lt;=2,"GZ","GX")&amp;" "&amp;TEXT(IF(OR(LINEAS!$U$78=1,LINEAS!$U$78=3),1,-1)*LINEAS!$AB$78*DATOS!$C$67,DATOS!$C$68))</f>
        <v>292 UNI GX -0.0050</v>
      </c>
      <c r="C104" s="51" t="str">
        <f aca="false">IF(LEN($B104)&gt;79,"MÁS DE 79 CARACTERES","")</f>
        <v/>
      </c>
      <c r="D104" s="53" t="str">
        <f aca="false">IF(PRESIONES!$C$22="NO","",IF(OR(LINEAS!$D$78="",LINEAS!$U$78=0,ABS(IF(OR(LINEAS!$U$78=1,LINEAS!$U$78=3),1,-1)*LINEAS!$AB$78*DATOS!$C$67)&lt;0.00005),"*",LINEAS!$D$78&amp;" UNI "&amp;IF(LINEAS!$U$78&lt;=2,"GZ","GX")&amp;" "&amp;TEXT(IF(OR(LINEAS!$U$78=1,LINEAS!$U$78=3),1,-1)*LINEAS!$AB$78*DATOS!$C$67,DATOS!$C$68)))</f>
        <v/>
      </c>
      <c r="E104" s="51" t="str">
        <f aca="false">IF(LEN($D104)&gt;79,"MÁS DE 79 CARACTERES","")</f>
        <v/>
      </c>
    </row>
    <row r="105" customFormat="false" ht="15" hidden="false" customHeight="true" outlineLevel="0" collapsed="false">
      <c r="B105" s="53" t="str">
        <f aca="false">IF(OR(LINEAS!$D$79="",LINEAS!$U$79=0,ABS(IF(OR(LINEAS!$U$79=1,LINEAS!$U$79=3),1,-1)*LINEAS!$AB$79*DATOS!$C$67)&lt;0.00005),"*",LINEAS!$D$79&amp;" UNI "&amp;IF(LINEAS!$U$79&lt;=2,"GZ","GX")&amp;" "&amp;TEXT(IF(OR(LINEAS!$U$79=1,LINEAS!$U$79=3),1,-1)*LINEAS!$AB$79*DATOS!$C$67,DATOS!$C$68))</f>
        <v>293 UNI GX -0.0050</v>
      </c>
      <c r="C105" s="51" t="str">
        <f aca="false">IF(LEN($B105)&gt;79,"MÁS DE 79 CARACTERES","")</f>
        <v/>
      </c>
      <c r="D105" s="53" t="str">
        <f aca="false">IF(PRESIONES!$C$22="NO","",IF(OR(LINEAS!$D$79="",LINEAS!$U$79=0,ABS(IF(OR(LINEAS!$U$79=1,LINEAS!$U$79=3),1,-1)*LINEAS!$AB$79*DATOS!$C$67)&lt;0.00005),"*",LINEAS!$D$79&amp;" UNI "&amp;IF(LINEAS!$U$79&lt;=2,"GZ","GX")&amp;" "&amp;TEXT(IF(OR(LINEAS!$U$79=1,LINEAS!$U$79=3),1,-1)*LINEAS!$AB$79*DATOS!$C$67,DATOS!$C$68)))</f>
        <v/>
      </c>
      <c r="E105" s="51" t="str">
        <f aca="false">IF(LEN($D105)&gt;79,"MÁS DE 79 CARACTERES","")</f>
        <v/>
      </c>
    </row>
    <row r="106" customFormat="false" ht="15" hidden="false" customHeight="true" outlineLevel="0" collapsed="false">
      <c r="B106" s="53" t="str">
        <f aca="false">IF(OR(LINEAS!$D$80="",LINEAS!$U$80=0,ABS(IF(OR(LINEAS!$U$80=1,LINEAS!$U$80=3),1,-1)*LINEAS!$AB$80*DATOS!$C$67)&lt;0.00005),"*",LINEAS!$D$80&amp;" UNI "&amp;IF(LINEAS!$U$80&lt;=2,"GZ","GX")&amp;" "&amp;TEXT(IF(OR(LINEAS!$U$80=1,LINEAS!$U$80=3),1,-1)*LINEAS!$AB$80*DATOS!$C$67,DATOS!$C$68))</f>
        <v>294 UNI GX -0.0050</v>
      </c>
      <c r="C106" s="51" t="str">
        <f aca="false">IF(LEN($B106)&gt;79,"MÁS DE 79 CARACTERES","")</f>
        <v/>
      </c>
      <c r="D106" s="53" t="str">
        <f aca="false">IF(PRESIONES!$C$22="NO","",IF(OR(LINEAS!$D$80="",LINEAS!$U$80=0,ABS(IF(OR(LINEAS!$U$80=1,LINEAS!$U$80=3),1,-1)*LINEAS!$AB$80*DATOS!$C$67)&lt;0.00005),"*",LINEAS!$D$80&amp;" UNI "&amp;IF(LINEAS!$U$80&lt;=2,"GZ","GX")&amp;" "&amp;TEXT(IF(OR(LINEAS!$U$80=1,LINEAS!$U$80=3),1,-1)*LINEAS!$AB$80*DATOS!$C$67,DATOS!$C$68)))</f>
        <v/>
      </c>
      <c r="E106" s="51" t="str">
        <f aca="false">IF(LEN($D106)&gt;79,"MÁS DE 79 CARACTERES","")</f>
        <v/>
      </c>
    </row>
    <row r="107" customFormat="false" ht="15" hidden="false" customHeight="true" outlineLevel="0" collapsed="false">
      <c r="B107" s="53" t="str">
        <f aca="false">IF(OR(LINEAS!$D$81="",LINEAS!$U$81=0,ABS(IF(OR(LINEAS!$U$81=1,LINEAS!$U$81=3),1,-1)*LINEAS!$AB$81*DATOS!$C$67)&lt;0.00005),"*",LINEAS!$D$81&amp;" UNI "&amp;IF(LINEAS!$U$81&lt;=2,"GZ","GX")&amp;" "&amp;TEXT(IF(OR(LINEAS!$U$81=1,LINEAS!$U$81=3),1,-1)*LINEAS!$AB$81*DATOS!$C$67,DATOS!$C$68))</f>
        <v>300 UNI GX -0.0050</v>
      </c>
      <c r="C107" s="51" t="str">
        <f aca="false">IF(LEN($B107)&gt;79,"MÁS DE 79 CARACTERES","")</f>
        <v/>
      </c>
      <c r="D107" s="53" t="str">
        <f aca="false">IF(PRESIONES!$C$22="NO","",IF(OR(LINEAS!$D$81="",LINEAS!$U$81=0,ABS(IF(OR(LINEAS!$U$81=1,LINEAS!$U$81=3),1,-1)*LINEAS!$AB$81*DATOS!$C$67)&lt;0.00005),"*",LINEAS!$D$81&amp;" UNI "&amp;IF(LINEAS!$U$81&lt;=2,"GZ","GX")&amp;" "&amp;TEXT(IF(OR(LINEAS!$U$81=1,LINEAS!$U$81=3),1,-1)*LINEAS!$AB$81*DATOS!$C$67,DATOS!$C$68)))</f>
        <v/>
      </c>
      <c r="E107" s="51" t="str">
        <f aca="false">IF(LEN($D107)&gt;79,"MÁS DE 79 CARACTERES","")</f>
        <v/>
      </c>
    </row>
    <row r="108" customFormat="false" ht="15" hidden="false" customHeight="true" outlineLevel="0" collapsed="false">
      <c r="B108" s="53" t="str">
        <f aca="false">IF(OR(LINEAS!$D$82="",LINEAS!$U$82=0,ABS(IF(OR(LINEAS!$U$82=1,LINEAS!$U$82=3),1,-1)*LINEAS!$AB$82*DATOS!$C$67)&lt;0.00005),"*",LINEAS!$D$82&amp;" UNI "&amp;IF(LINEAS!$U$82&lt;=2,"GZ","GX")&amp;" "&amp;TEXT(IF(OR(LINEAS!$U$82=1,LINEAS!$U$82=3),1,-1)*LINEAS!$AB$82*DATOS!$C$67,DATOS!$C$68))</f>
        <v>301 UNI GX -0.0050</v>
      </c>
      <c r="C108" s="51" t="str">
        <f aca="false">IF(LEN($B108)&gt;79,"MÁS DE 79 CARACTERES","")</f>
        <v/>
      </c>
      <c r="D108" s="53" t="str">
        <f aca="false">IF(PRESIONES!$C$22="NO","",IF(OR(LINEAS!$D$82="",LINEAS!$U$82=0,ABS(IF(OR(LINEAS!$U$82=1,LINEAS!$U$82=3),1,-1)*LINEAS!$AB$82*DATOS!$C$67)&lt;0.00005),"*",LINEAS!$D$82&amp;" UNI "&amp;IF(LINEAS!$U$82&lt;=2,"GZ","GX")&amp;" "&amp;TEXT(IF(OR(LINEAS!$U$82=1,LINEAS!$U$82=3),1,-1)*LINEAS!$AB$82*DATOS!$C$67,DATOS!$C$68)))</f>
        <v/>
      </c>
      <c r="E108" s="51" t="str">
        <f aca="false">IF(LEN($D108)&gt;79,"MÁS DE 79 CARACTERES","")</f>
        <v/>
      </c>
    </row>
    <row r="109" customFormat="false" ht="15" hidden="false" customHeight="true" outlineLevel="0" collapsed="false">
      <c r="B109" s="53" t="str">
        <f aca="false">IF(OR(LINEAS!$D$83="",LINEAS!$U$83=0,ABS(IF(OR(LINEAS!$U$83=1,LINEAS!$U$83=3),1,-1)*LINEAS!$AB$83*DATOS!$C$67)&lt;0.00005),"*",LINEAS!$D$83&amp;" UNI "&amp;IF(LINEAS!$U$83&lt;=2,"GZ","GX")&amp;" "&amp;TEXT(IF(OR(LINEAS!$U$83=1,LINEAS!$U$83=3),1,-1)*LINEAS!$AB$83*DATOS!$C$67,DATOS!$C$68))</f>
        <v>302 UNI GX -0.0050</v>
      </c>
      <c r="C109" s="51" t="str">
        <f aca="false">IF(LEN($B109)&gt;79,"MÁS DE 79 CARACTERES","")</f>
        <v/>
      </c>
      <c r="D109" s="53" t="str">
        <f aca="false">IF(PRESIONES!$C$22="NO","",IF(OR(LINEAS!$D$83="",LINEAS!$U$83=0,ABS(IF(OR(LINEAS!$U$83=1,LINEAS!$U$83=3),1,-1)*LINEAS!$AB$83*DATOS!$C$67)&lt;0.00005),"*",LINEAS!$D$83&amp;" UNI "&amp;IF(LINEAS!$U$83&lt;=2,"GZ","GX")&amp;" "&amp;TEXT(IF(OR(LINEAS!$U$83=1,LINEAS!$U$83=3),1,-1)*LINEAS!$AB$83*DATOS!$C$67,DATOS!$C$68)))</f>
        <v/>
      </c>
      <c r="E109" s="51" t="str">
        <f aca="false">IF(LEN($D109)&gt;79,"MÁS DE 79 CARACTERES","")</f>
        <v/>
      </c>
    </row>
    <row r="110" customFormat="false" ht="15" hidden="false" customHeight="true" outlineLevel="0" collapsed="false">
      <c r="B110" s="53" t="str">
        <f aca="false">IF(OR(LINEAS!$D$84="",LINEAS!$U$84=0,ABS(IF(OR(LINEAS!$U$84=1,LINEAS!$U$84=3),1,-1)*LINEAS!$AB$84*DATOS!$C$67)&lt;0.00005),"*",LINEAS!$D$84&amp;" UNI "&amp;IF(LINEAS!$U$84&lt;=2,"GZ","GX")&amp;" "&amp;TEXT(IF(OR(LINEAS!$U$84=1,LINEAS!$U$84=3),1,-1)*LINEAS!$AB$84*DATOS!$C$67,DATOS!$C$68))</f>
        <v>307 UNI GX -0.0050</v>
      </c>
      <c r="C110" s="51" t="str">
        <f aca="false">IF(LEN($B110)&gt;79,"MÁS DE 79 CARACTERES","")</f>
        <v/>
      </c>
      <c r="D110" s="53" t="str">
        <f aca="false">IF(PRESIONES!$C$22="NO","",IF(OR(LINEAS!$D$84="",LINEAS!$U$84=0,ABS(IF(OR(LINEAS!$U$84=1,LINEAS!$U$84=3),1,-1)*LINEAS!$AB$84*DATOS!$C$67)&lt;0.00005),"*",LINEAS!$D$84&amp;" UNI "&amp;IF(LINEAS!$U$84&lt;=2,"GZ","GX")&amp;" "&amp;TEXT(IF(OR(LINEAS!$U$84=1,LINEAS!$U$84=3),1,-1)*LINEAS!$AB$84*DATOS!$C$67,DATOS!$C$68)))</f>
        <v/>
      </c>
      <c r="E110" s="51" t="str">
        <f aca="false">IF(LEN($D110)&gt;79,"MÁS DE 79 CARACTERES","")</f>
        <v/>
      </c>
    </row>
    <row r="111" customFormat="false" ht="15" hidden="false" customHeight="true" outlineLevel="0" collapsed="false">
      <c r="B111" s="53" t="str">
        <f aca="false">IF(OR(LINEAS!$D$85="",LINEAS!$U$85=0,ABS(IF(OR(LINEAS!$U$85=1,LINEAS!$U$85=3),1,-1)*LINEAS!$AB$85*DATOS!$C$67)&lt;0.00005),"*",LINEAS!$D$85&amp;" UNI "&amp;IF(LINEAS!$U$85&lt;=2,"GZ","GX")&amp;" "&amp;TEXT(IF(OR(LINEAS!$U$85=1,LINEAS!$U$85=3),1,-1)*LINEAS!$AB$85*DATOS!$C$67,DATOS!$C$68))</f>
        <v>308 UNI GX -0.0050</v>
      </c>
      <c r="C111" s="51" t="str">
        <f aca="false">IF(LEN($B111)&gt;79,"MÁS DE 79 CARACTERES","")</f>
        <v/>
      </c>
      <c r="D111" s="53" t="str">
        <f aca="false">IF(PRESIONES!$C$22="NO","",IF(OR(LINEAS!$D$85="",LINEAS!$U$85=0,ABS(IF(OR(LINEAS!$U$85=1,LINEAS!$U$85=3),1,-1)*LINEAS!$AB$85*DATOS!$C$67)&lt;0.00005),"*",LINEAS!$D$85&amp;" UNI "&amp;IF(LINEAS!$U$85&lt;=2,"GZ","GX")&amp;" "&amp;TEXT(IF(OR(LINEAS!$U$85=1,LINEAS!$U$85=3),1,-1)*LINEAS!$AB$85*DATOS!$C$67,DATOS!$C$68)))</f>
        <v/>
      </c>
      <c r="E111" s="51" t="str">
        <f aca="false">IF(LEN($D111)&gt;79,"MÁS DE 79 CARACTERES","")</f>
        <v/>
      </c>
    </row>
    <row r="112" customFormat="false" ht="15" hidden="false" customHeight="true" outlineLevel="0" collapsed="false">
      <c r="B112" s="53" t="str">
        <f aca="false">IF(OR(LINEAS!$D$86="",LINEAS!$U$86=0,ABS(IF(OR(LINEAS!$U$86=1,LINEAS!$U$86=3),1,-1)*LINEAS!$AB$86*DATOS!$C$67)&lt;0.00005),"*",LINEAS!$D$86&amp;" UNI "&amp;IF(LINEAS!$U$86&lt;=2,"GZ","GX")&amp;" "&amp;TEXT(IF(OR(LINEAS!$U$86=1,LINEAS!$U$86=3),1,-1)*LINEAS!$AB$86*DATOS!$C$67,DATOS!$C$68))</f>
        <v>309 UNI GX -0.0050</v>
      </c>
      <c r="C112" s="51" t="str">
        <f aca="false">IF(LEN($B112)&gt;79,"MÁS DE 79 CARACTERES","")</f>
        <v/>
      </c>
      <c r="D112" s="53" t="str">
        <f aca="false">IF(PRESIONES!$C$22="NO","",IF(OR(LINEAS!$D$86="",LINEAS!$U$86=0,ABS(IF(OR(LINEAS!$U$86=1,LINEAS!$U$86=3),1,-1)*LINEAS!$AB$86*DATOS!$C$67)&lt;0.00005),"*",LINEAS!$D$86&amp;" UNI "&amp;IF(LINEAS!$U$86&lt;=2,"GZ","GX")&amp;" "&amp;TEXT(IF(OR(LINEAS!$U$86=1,LINEAS!$U$86=3),1,-1)*LINEAS!$AB$86*DATOS!$C$67,DATOS!$C$68)))</f>
        <v/>
      </c>
      <c r="E112" s="51" t="str">
        <f aca="false">IF(LEN($D112)&gt;79,"MÁS DE 79 CARACTERES","")</f>
        <v/>
      </c>
    </row>
    <row r="113" customFormat="false" ht="15" hidden="false" customHeight="true" outlineLevel="0" collapsed="false">
      <c r="B113" s="53" t="str">
        <f aca="false">IF(OR(LINEAS!$D$87="",LINEAS!$U$87=0,ABS(IF(OR(LINEAS!$U$87=1,LINEAS!$U$87=3),1,-1)*LINEAS!$AB$87*DATOS!$C$67)&lt;0.00005),"*",LINEAS!$D$87&amp;" UNI "&amp;IF(LINEAS!$U$87&lt;=2,"GZ","GX")&amp;" "&amp;TEXT(IF(OR(LINEAS!$U$87=1,LINEAS!$U$87=3),1,-1)*LINEAS!$AB$87*DATOS!$C$67,DATOS!$C$68))</f>
        <v>318 UNI GX -0.0050</v>
      </c>
      <c r="C113" s="51" t="str">
        <f aca="false">IF(LEN($B113)&gt;79,"MÁS DE 79 CARACTERES","")</f>
        <v/>
      </c>
      <c r="D113" s="53" t="str">
        <f aca="false">IF(PRESIONES!$C$22="NO","",IF(OR(LINEAS!$D$87="",LINEAS!$U$87=0,ABS(IF(OR(LINEAS!$U$87=1,LINEAS!$U$87=3),1,-1)*LINEAS!$AB$87*DATOS!$C$67)&lt;0.00005),"*",LINEAS!$D$87&amp;" UNI "&amp;IF(LINEAS!$U$87&lt;=2,"GZ","GX")&amp;" "&amp;TEXT(IF(OR(LINEAS!$U$87=1,LINEAS!$U$87=3),1,-1)*LINEAS!$AB$87*DATOS!$C$67,DATOS!$C$68)))</f>
        <v/>
      </c>
      <c r="E113" s="51" t="str">
        <f aca="false">IF(LEN($D113)&gt;79,"MÁS DE 79 CARACTERES","")</f>
        <v/>
      </c>
    </row>
    <row r="114" customFormat="false" ht="15" hidden="false" customHeight="true" outlineLevel="0" collapsed="false">
      <c r="B114" s="53" t="str">
        <f aca="false">IF(OR(LINEAS!$D$88="",LINEAS!$U$88=0,ABS(IF(OR(LINEAS!$U$88=1,LINEAS!$U$88=3),1,-1)*LINEAS!$AB$88*DATOS!$C$67)&lt;0.00005),"*",LINEAS!$D$88&amp;" UNI "&amp;IF(LINEAS!$U$88&lt;=2,"GZ","GX")&amp;" "&amp;TEXT(IF(OR(LINEAS!$U$88=1,LINEAS!$U$88=3),1,-1)*LINEAS!$AB$88*DATOS!$C$67,DATOS!$C$68))</f>
        <v>311 UNI GX -0.0050</v>
      </c>
      <c r="C114" s="51" t="str">
        <f aca="false">IF(LEN($B114)&gt;79,"MÁS DE 79 CARACTERES","")</f>
        <v/>
      </c>
      <c r="D114" s="53" t="str">
        <f aca="false">IF(PRESIONES!$C$22="NO","",IF(OR(LINEAS!$D$88="",LINEAS!$U$88=0,ABS(IF(OR(LINEAS!$U$88=1,LINEAS!$U$88=3),1,-1)*LINEAS!$AB$88*DATOS!$C$67)&lt;0.00005),"*",LINEAS!$D$88&amp;" UNI "&amp;IF(LINEAS!$U$88&lt;=2,"GZ","GX")&amp;" "&amp;TEXT(IF(OR(LINEAS!$U$88=1,LINEAS!$U$88=3),1,-1)*LINEAS!$AB$88*DATOS!$C$67,DATOS!$C$68)))</f>
        <v/>
      </c>
      <c r="E114" s="51" t="str">
        <f aca="false">IF(LEN($D114)&gt;79,"MÁS DE 79 CARACTERES","")</f>
        <v/>
      </c>
    </row>
    <row r="115" customFormat="false" ht="15" hidden="false" customHeight="true" outlineLevel="0" collapsed="false">
      <c r="B115" s="53" t="str">
        <f aca="false">IF(OR(LINEAS!$D$89="",LINEAS!$U$89=0,ABS(IF(OR(LINEAS!$U$89=1,LINEAS!$U$89=3),1,-1)*LINEAS!$AB$89*DATOS!$C$67)&lt;0.00005),"*",LINEAS!$D$89&amp;" UNI "&amp;IF(LINEAS!$U$89&lt;=2,"GZ","GX")&amp;" "&amp;TEXT(IF(OR(LINEAS!$U$89=1,LINEAS!$U$89=3),1,-1)*LINEAS!$AB$89*DATOS!$C$67,DATOS!$C$68))</f>
        <v>310 UNI GX -0.0050</v>
      </c>
      <c r="C115" s="51" t="str">
        <f aca="false">IF(LEN($B115)&gt;79,"MÁS DE 79 CARACTERES","")</f>
        <v/>
      </c>
      <c r="D115" s="53" t="str">
        <f aca="false">IF(PRESIONES!$C$22="NO","",IF(OR(LINEAS!$D$89="",LINEAS!$U$89=0,ABS(IF(OR(LINEAS!$U$89=1,LINEAS!$U$89=3),1,-1)*LINEAS!$AB$89*DATOS!$C$67)&lt;0.00005),"*",LINEAS!$D$89&amp;" UNI "&amp;IF(LINEAS!$U$89&lt;=2,"GZ","GX")&amp;" "&amp;TEXT(IF(OR(LINEAS!$U$89=1,LINEAS!$U$89=3),1,-1)*LINEAS!$AB$89*DATOS!$C$67,DATOS!$C$68)))</f>
        <v/>
      </c>
      <c r="E115" s="51" t="str">
        <f aca="false">IF(LEN($D115)&gt;79,"MÁS DE 79 CARACTERES","")</f>
        <v/>
      </c>
    </row>
    <row r="116" customFormat="false" ht="15" hidden="false" customHeight="true" outlineLevel="0" collapsed="false">
      <c r="B116" s="53" t="str">
        <f aca="false">IF(OR(LINEAS!$D$90="",LINEAS!$U$90=0,ABS(IF(OR(LINEAS!$U$90=1,LINEAS!$U$90=3),1,-1)*LINEAS!$AB$90*DATOS!$C$67)&lt;0.00005),"*",LINEAS!$D$90&amp;" UNI "&amp;IF(LINEAS!$U$90&lt;=2,"GZ","GX")&amp;" "&amp;TEXT(IF(OR(LINEAS!$U$90=1,LINEAS!$U$90=3),1,-1)*LINEAS!$AB$90*DATOS!$C$67,DATOS!$C$68))</f>
        <v>321 UNI GX -0.0043</v>
      </c>
      <c r="C116" s="51" t="str">
        <f aca="false">IF(LEN($B116)&gt;79,"MÁS DE 79 CARACTERES","")</f>
        <v/>
      </c>
      <c r="D116" s="53" t="str">
        <f aca="false">IF(PRESIONES!$C$22="NO","",IF(OR(LINEAS!$D$90="",LINEAS!$U$90=0,ABS(IF(OR(LINEAS!$U$90=1,LINEAS!$U$90=3),1,-1)*LINEAS!$AB$90*DATOS!$C$67)&lt;0.00005),"*",LINEAS!$D$90&amp;" UNI "&amp;IF(LINEAS!$U$90&lt;=2,"GZ","GX")&amp;" "&amp;TEXT(IF(OR(LINEAS!$U$90=1,LINEAS!$U$90=3),1,-1)*LINEAS!$AB$90*DATOS!$C$67,DATOS!$C$68)))</f>
        <v/>
      </c>
      <c r="E116" s="51" t="str">
        <f aca="false">IF(LEN($D116)&gt;79,"MÁS DE 79 CARACTERES","")</f>
        <v/>
      </c>
    </row>
    <row r="117" customFormat="false" ht="15" hidden="false" customHeight="true" outlineLevel="0" collapsed="false">
      <c r="B117" s="53" t="str">
        <f aca="false">IF(OR(LINEAS!$D$91="",LINEAS!$U$91=0,ABS(IF(OR(LINEAS!$U$91=1,LINEAS!$U$91=3),1,-1)*LINEAS!$AB$91*DATOS!$C$67)&lt;0.00005),"*",LINEAS!$D$91&amp;" UNI "&amp;IF(LINEAS!$U$91&lt;=2,"GZ","GX")&amp;" "&amp;TEXT(IF(OR(LINEAS!$U$91=1,LINEAS!$U$91=3),1,-1)*LINEAS!$AB$91*DATOS!$C$67,DATOS!$C$68))</f>
        <v>320 UNI GX -0.0036</v>
      </c>
      <c r="C117" s="51" t="str">
        <f aca="false">IF(LEN($B117)&gt;79,"MÁS DE 79 CARACTERES","")</f>
        <v/>
      </c>
      <c r="D117" s="53" t="str">
        <f aca="false">IF(PRESIONES!$C$22="NO","",IF(OR(LINEAS!$D$91="",LINEAS!$U$91=0,ABS(IF(OR(LINEAS!$U$91=1,LINEAS!$U$91=3),1,-1)*LINEAS!$AB$91*DATOS!$C$67)&lt;0.00005),"*",LINEAS!$D$91&amp;" UNI "&amp;IF(LINEAS!$U$91&lt;=2,"GZ","GX")&amp;" "&amp;TEXT(IF(OR(LINEAS!$U$91=1,LINEAS!$U$91=3),1,-1)*LINEAS!$AB$91*DATOS!$C$67,DATOS!$C$68)))</f>
        <v/>
      </c>
      <c r="E117" s="51" t="str">
        <f aca="false">IF(LEN($D117)&gt;79,"MÁS DE 79 CARACTERES","")</f>
        <v/>
      </c>
    </row>
    <row r="118" customFormat="false" ht="15" hidden="false" customHeight="true" outlineLevel="0" collapsed="false">
      <c r="B118" s="53" t="str">
        <f aca="false">IF(OR(LINEAS!$D$92="",LINEAS!$U$92=0,ABS(IF(OR(LINEAS!$U$92=1,LINEAS!$U$92=3),1,-1)*LINEAS!$AB$92*DATOS!$C$67)&lt;0.00005),"*",LINEAS!$D$92&amp;" UNI "&amp;IF(LINEAS!$U$92&lt;=2,"GZ","GX")&amp;" "&amp;TEXT(IF(OR(LINEAS!$U$92=1,LINEAS!$U$92=3),1,-1)*LINEAS!$AB$92*DATOS!$C$67,DATOS!$C$68))</f>
        <v>319 UNI GX -0.0031</v>
      </c>
      <c r="C118" s="51" t="str">
        <f aca="false">IF(LEN($B118)&gt;79,"MÁS DE 79 CARACTERES","")</f>
        <v/>
      </c>
      <c r="D118" s="53" t="str">
        <f aca="false">IF(PRESIONES!$C$22="NO","",IF(OR(LINEAS!$D$92="",LINEAS!$U$92=0,ABS(IF(OR(LINEAS!$U$92=1,LINEAS!$U$92=3),1,-1)*LINEAS!$AB$92*DATOS!$C$67)&lt;0.00005),"*",LINEAS!$D$92&amp;" UNI "&amp;IF(LINEAS!$U$92&lt;=2,"GZ","GX")&amp;" "&amp;TEXT(IF(OR(LINEAS!$U$92=1,LINEAS!$U$92=3),1,-1)*LINEAS!$AB$92*DATOS!$C$67,DATOS!$C$68)))</f>
        <v/>
      </c>
      <c r="E118" s="51" t="str">
        <f aca="false">IF(LEN($D118)&gt;79,"MÁS DE 79 CARACTERES","")</f>
        <v/>
      </c>
    </row>
    <row r="119" customFormat="false" ht="15" hidden="false" customHeight="true" outlineLevel="0" collapsed="false">
      <c r="B119" s="53" t="str">
        <f aca="false">IF(OR(LINEAS!$D$93="",LINEAS!$U$93=0,ABS(IF(OR(LINEAS!$U$93=1,LINEAS!$U$93=3),1,-1)*LINEAS!$AB$93*DATOS!$C$67)&lt;0.00005),"*",LINEAS!$D$93&amp;" UNI "&amp;IF(LINEAS!$U$93&lt;=2,"GZ","GX")&amp;" "&amp;TEXT(IF(OR(LINEAS!$U$93=1,LINEAS!$U$93=3),1,-1)*LINEAS!$AB$93*DATOS!$C$67,DATOS!$C$68))</f>
        <v>60 UNI GX 0.3130</v>
      </c>
      <c r="C119" s="51" t="str">
        <f aca="false">IF(LEN($B119)&gt;79,"MÁS DE 79 CARACTERES","")</f>
        <v/>
      </c>
      <c r="D119" s="53" t="str">
        <f aca="false">IF(PRESIONES!$C$22="NO","",IF(OR(LINEAS!$D$93="",LINEAS!$U$93=0,ABS(IF(OR(LINEAS!$U$93=1,LINEAS!$U$93=3),1,-1)*LINEAS!$AB$93*DATOS!$C$67)&lt;0.00005),"*",LINEAS!$D$93&amp;" UNI "&amp;IF(LINEAS!$U$93&lt;=2,"GZ","GX")&amp;" "&amp;TEXT(IF(OR(LINEAS!$U$93=1,LINEAS!$U$93=3),1,-1)*LINEAS!$AB$93*DATOS!$C$67,DATOS!$C$68)))</f>
        <v/>
      </c>
      <c r="E119" s="51" t="str">
        <f aca="false">IF(LEN($D119)&gt;79,"MÁS DE 79 CARACTERES","")</f>
        <v/>
      </c>
    </row>
    <row r="120" customFormat="false" ht="15" hidden="false" customHeight="true" outlineLevel="0" collapsed="false">
      <c r="B120" s="53" t="str">
        <f aca="false">IF(OR(LINEAS!$D$94="",LINEAS!$U$94=0,ABS(IF(OR(LINEAS!$U$94=1,LINEAS!$U$94=3),1,-1)*LINEAS!$AB$94*DATOS!$C$67)&lt;0.00005),"*",LINEAS!$D$94&amp;" UNI "&amp;IF(LINEAS!$U$94&lt;=2,"GZ","GX")&amp;" "&amp;TEXT(IF(OR(LINEAS!$U$94=1,LINEAS!$U$94=3),1,-1)*LINEAS!$AB$94*DATOS!$C$67,DATOS!$C$68))</f>
        <v>59 UNI GX 0.2913</v>
      </c>
      <c r="C120" s="51" t="str">
        <f aca="false">IF(LEN($B120)&gt;79,"MÁS DE 79 CARACTERES","")</f>
        <v/>
      </c>
      <c r="D120" s="53" t="str">
        <f aca="false">IF(PRESIONES!$C$22="NO","",IF(OR(LINEAS!$D$94="",LINEAS!$U$94=0,ABS(IF(OR(LINEAS!$U$94=1,LINEAS!$U$94=3),1,-1)*LINEAS!$AB$94*DATOS!$C$67)&lt;0.00005),"*",LINEAS!$D$94&amp;" UNI "&amp;IF(LINEAS!$U$94&lt;=2,"GZ","GX")&amp;" "&amp;TEXT(IF(OR(LINEAS!$U$94=1,LINEAS!$U$94=3),1,-1)*LINEAS!$AB$94*DATOS!$C$67,DATOS!$C$68)))</f>
        <v/>
      </c>
      <c r="E120" s="51" t="str">
        <f aca="false">IF(LEN($D120)&gt;79,"MÁS DE 79 CARACTERES","")</f>
        <v/>
      </c>
    </row>
    <row r="121" customFormat="false" ht="15" hidden="false" customHeight="true" outlineLevel="0" collapsed="false">
      <c r="B121" s="53" t="str">
        <f aca="false">IF(OR(LINEAS!$D$95="",LINEAS!$U$95=0,ABS(IF(OR(LINEAS!$U$95=1,LINEAS!$U$95=3),1,-1)*LINEAS!$AB$95*DATOS!$C$67)&lt;0.00005),"*",LINEAS!$D$95&amp;" UNI "&amp;IF(LINEAS!$U$95&lt;=2,"GZ","GX")&amp;" "&amp;TEXT(IF(OR(LINEAS!$U$95=1,LINEAS!$U$95=3),1,-1)*LINEAS!$AB$95*DATOS!$C$67,DATOS!$C$68))</f>
        <v>58 UNI GX 0.2696</v>
      </c>
      <c r="C121" s="51" t="str">
        <f aca="false">IF(LEN($B121)&gt;79,"MÁS DE 79 CARACTERES","")</f>
        <v/>
      </c>
      <c r="D121" s="53" t="str">
        <f aca="false">IF(PRESIONES!$C$22="NO","",IF(OR(LINEAS!$D$95="",LINEAS!$U$95=0,ABS(IF(OR(LINEAS!$U$95=1,LINEAS!$U$95=3),1,-1)*LINEAS!$AB$95*DATOS!$C$67)&lt;0.00005),"*",LINEAS!$D$95&amp;" UNI "&amp;IF(LINEAS!$U$95&lt;=2,"GZ","GX")&amp;" "&amp;TEXT(IF(OR(LINEAS!$U$95=1,LINEAS!$U$95=3),1,-1)*LINEAS!$AB$95*DATOS!$C$67,DATOS!$C$68)))</f>
        <v/>
      </c>
      <c r="E121" s="51" t="str">
        <f aca="false">IF(LEN($D121)&gt;79,"MÁS DE 79 CARACTERES","")</f>
        <v/>
      </c>
    </row>
    <row r="122" customFormat="false" ht="15" hidden="false" customHeight="true" outlineLevel="0" collapsed="false">
      <c r="B122" s="53" t="str">
        <f aca="false">IF(OR(LINEAS!$D$96="",LINEAS!$U$96=0,ABS(IF(OR(LINEAS!$U$96=1,LINEAS!$U$96=3),1,-1)*LINEAS!$AB$96*DATOS!$C$67)&lt;0.00005),"*",LINEAS!$D$96&amp;" UNI "&amp;IF(LINEAS!$U$96&lt;=2,"GZ","GX")&amp;" "&amp;TEXT(IF(OR(LINEAS!$U$96=1,LINEAS!$U$96=3),1,-1)*LINEAS!$AB$96*DATOS!$C$67,DATOS!$C$68))</f>
        <v>57 UNI GX 0.2479</v>
      </c>
      <c r="C122" s="51" t="str">
        <f aca="false">IF(LEN($B122)&gt;79,"MÁS DE 79 CARACTERES","")</f>
        <v/>
      </c>
      <c r="D122" s="53" t="str">
        <f aca="false">IF(PRESIONES!$C$22="NO","",IF(OR(LINEAS!$D$96="",LINEAS!$U$96=0,ABS(IF(OR(LINEAS!$U$96=1,LINEAS!$U$96=3),1,-1)*LINEAS!$AB$96*DATOS!$C$67)&lt;0.00005),"*",LINEAS!$D$96&amp;" UNI "&amp;IF(LINEAS!$U$96&lt;=2,"GZ","GX")&amp;" "&amp;TEXT(IF(OR(LINEAS!$U$96=1,LINEAS!$U$96=3),1,-1)*LINEAS!$AB$96*DATOS!$C$67,DATOS!$C$68)))</f>
        <v/>
      </c>
      <c r="E122" s="51" t="str">
        <f aca="false">IF(LEN($D122)&gt;79,"MÁS DE 79 CARACTERES","")</f>
        <v/>
      </c>
    </row>
    <row r="123" customFormat="false" ht="15" hidden="false" customHeight="true" outlineLevel="0" collapsed="false">
      <c r="B123" s="53" t="str">
        <f aca="false">IF(OR(LINEAS!$D$97="",LINEAS!$U$97=0,ABS(IF(OR(LINEAS!$U$97=1,LINEAS!$U$97=3),1,-1)*LINEAS!$AB$97*DATOS!$C$67)&lt;0.00005),"*",LINEAS!$D$97&amp;" UNI "&amp;IF(LINEAS!$U$97&lt;=2,"GZ","GX")&amp;" "&amp;TEXT(IF(OR(LINEAS!$U$97=1,LINEAS!$U$97=3),1,-1)*LINEAS!$AB$97*DATOS!$C$67,DATOS!$C$68))</f>
        <v>10 UNI GX 0.2263</v>
      </c>
      <c r="C123" s="51" t="str">
        <f aca="false">IF(LEN($B123)&gt;79,"MÁS DE 79 CARACTERES","")</f>
        <v/>
      </c>
      <c r="D123" s="53" t="str">
        <f aca="false">IF(PRESIONES!$C$22="NO","",IF(OR(LINEAS!$D$97="",LINEAS!$U$97=0,ABS(IF(OR(LINEAS!$U$97=1,LINEAS!$U$97=3),1,-1)*LINEAS!$AB$97*DATOS!$C$67)&lt;0.00005),"*",LINEAS!$D$97&amp;" UNI "&amp;IF(LINEAS!$U$97&lt;=2,"GZ","GX")&amp;" "&amp;TEXT(IF(OR(LINEAS!$U$97=1,LINEAS!$U$97=3),1,-1)*LINEAS!$AB$97*DATOS!$C$67,DATOS!$C$68)))</f>
        <v/>
      </c>
      <c r="E123" s="51" t="str">
        <f aca="false">IF(LEN($D123)&gt;79,"MÁS DE 79 CARACTERES","")</f>
        <v/>
      </c>
    </row>
    <row r="124" customFormat="false" ht="15" hidden="false" customHeight="true" outlineLevel="0" collapsed="false">
      <c r="B124" s="53" t="str">
        <f aca="false">IF(OR(LINEAS!$D$98="",LINEAS!$U$98=0,ABS(IF(OR(LINEAS!$U$98=1,LINEAS!$U$98=3),1,-1)*LINEAS!$AB$98*DATOS!$C$67)&lt;0.00005),"*",LINEAS!$D$98&amp;" UNI "&amp;IF(LINEAS!$U$98&lt;=2,"GZ","GX")&amp;" "&amp;TEXT(IF(OR(LINEAS!$U$98=1,LINEAS!$U$98=3),1,-1)*LINEAS!$AB$98*DATOS!$C$67,DATOS!$C$68))</f>
        <v>68 UNI GX 0.2047</v>
      </c>
      <c r="C124" s="51" t="str">
        <f aca="false">IF(LEN($B124)&gt;79,"MÁS DE 79 CARACTERES","")</f>
        <v/>
      </c>
      <c r="D124" s="53" t="str">
        <f aca="false">IF(PRESIONES!$C$22="NO","",IF(OR(LINEAS!$D$98="",LINEAS!$U$98=0,ABS(IF(OR(LINEAS!$U$98=1,LINEAS!$U$98=3),1,-1)*LINEAS!$AB$98*DATOS!$C$67)&lt;0.00005),"*",LINEAS!$D$98&amp;" UNI "&amp;IF(LINEAS!$U$98&lt;=2,"GZ","GX")&amp;" "&amp;TEXT(IF(OR(LINEAS!$U$98=1,LINEAS!$U$98=3),1,-1)*LINEAS!$AB$98*DATOS!$C$67,DATOS!$C$68)))</f>
        <v/>
      </c>
      <c r="E124" s="51" t="str">
        <f aca="false">IF(LEN($D124)&gt;79,"MÁS DE 79 CARACTERES","")</f>
        <v/>
      </c>
    </row>
    <row r="125" customFormat="false" ht="15" hidden="false" customHeight="true" outlineLevel="0" collapsed="false">
      <c r="B125" s="53" t="str">
        <f aca="false">IF(OR(LINEAS!$D$99="",LINEAS!$U$99=0,ABS(IF(OR(LINEAS!$U$99=1,LINEAS!$U$99=3),1,-1)*LINEAS!$AB$99*DATOS!$C$67)&lt;0.00005),"*",LINEAS!$D$99&amp;" UNI "&amp;IF(LINEAS!$U$99&lt;=2,"GZ","GX")&amp;" "&amp;TEXT(IF(OR(LINEAS!$U$99=1,LINEAS!$U$99=3),1,-1)*LINEAS!$AB$99*DATOS!$C$67,DATOS!$C$68))</f>
        <v>67 UNI GX 0.1832</v>
      </c>
      <c r="C125" s="51" t="str">
        <f aca="false">IF(LEN($B125)&gt;79,"MÁS DE 79 CARACTERES","")</f>
        <v/>
      </c>
      <c r="D125" s="53" t="str">
        <f aca="false">IF(PRESIONES!$C$22="NO","",IF(OR(LINEAS!$D$99="",LINEAS!$U$99=0,ABS(IF(OR(LINEAS!$U$99=1,LINEAS!$U$99=3),1,-1)*LINEAS!$AB$99*DATOS!$C$67)&lt;0.00005),"*",LINEAS!$D$99&amp;" UNI "&amp;IF(LINEAS!$U$99&lt;=2,"GZ","GX")&amp;" "&amp;TEXT(IF(OR(LINEAS!$U$99=1,LINEAS!$U$99=3),1,-1)*LINEAS!$AB$99*DATOS!$C$67,DATOS!$C$68)))</f>
        <v/>
      </c>
      <c r="E125" s="51" t="str">
        <f aca="false">IF(LEN($D125)&gt;79,"MÁS DE 79 CARACTERES","")</f>
        <v/>
      </c>
    </row>
    <row r="126" customFormat="false" ht="15" hidden="false" customHeight="true" outlineLevel="0" collapsed="false">
      <c r="B126" s="53" t="str">
        <f aca="false">IF(OR(LINEAS!$D$100="",LINEAS!$U$100=0,ABS(IF(OR(LINEAS!$U$100=1,LINEAS!$U$100=3),1,-1)*LINEAS!$AB$100*DATOS!$C$67)&lt;0.00005),"*",LINEAS!$D$100&amp;" UNI "&amp;IF(LINEAS!$U$100&lt;=2,"GZ","GX")&amp;" "&amp;TEXT(IF(OR(LINEAS!$U$100=1,LINEAS!$U$100=3),1,-1)*LINEAS!$AB$100*DATOS!$C$67,DATOS!$C$68))</f>
        <v>66 UNI GX 0.1618</v>
      </c>
      <c r="C126" s="51" t="str">
        <f aca="false">IF(LEN($B126)&gt;79,"MÁS DE 79 CARACTERES","")</f>
        <v/>
      </c>
      <c r="D126" s="53" t="str">
        <f aca="false">IF(PRESIONES!$C$22="NO","",IF(OR(LINEAS!$D$100="",LINEAS!$U$100=0,ABS(IF(OR(LINEAS!$U$100=1,LINEAS!$U$100=3),1,-1)*LINEAS!$AB$100*DATOS!$C$67)&lt;0.00005),"*",LINEAS!$D$100&amp;" UNI "&amp;IF(LINEAS!$U$100&lt;=2,"GZ","GX")&amp;" "&amp;TEXT(IF(OR(LINEAS!$U$100=1,LINEAS!$U$100=3),1,-1)*LINEAS!$AB$100*DATOS!$C$67,DATOS!$C$68)))</f>
        <v/>
      </c>
      <c r="E126" s="51" t="str">
        <f aca="false">IF(LEN($D126)&gt;79,"MÁS DE 79 CARACTERES","")</f>
        <v/>
      </c>
    </row>
    <row r="127" customFormat="false" ht="15" hidden="false" customHeight="true" outlineLevel="0" collapsed="false">
      <c r="B127" s="53" t="str">
        <f aca="false">IF(OR(LINEAS!$D$101="",LINEAS!$U$101=0,ABS(IF(OR(LINEAS!$U$101=1,LINEAS!$U$101=3),1,-1)*LINEAS!$AB$101*DATOS!$C$67)&lt;0.00005),"*",LINEAS!$D$101&amp;" UNI "&amp;IF(LINEAS!$U$101&lt;=2,"GZ","GX")&amp;" "&amp;TEXT(IF(OR(LINEAS!$U$101=1,LINEAS!$U$101=3),1,-1)*LINEAS!$AB$101*DATOS!$C$67,DATOS!$C$68))</f>
        <v>65 UNI GX 0.1403</v>
      </c>
      <c r="C127" s="51" t="str">
        <f aca="false">IF(LEN($B127)&gt;79,"MÁS DE 79 CARACTERES","")</f>
        <v/>
      </c>
      <c r="D127" s="53" t="str">
        <f aca="false">IF(PRESIONES!$C$22="NO","",IF(OR(LINEAS!$D$101="",LINEAS!$U$101=0,ABS(IF(OR(LINEAS!$U$101=1,LINEAS!$U$101=3),1,-1)*LINEAS!$AB$101*DATOS!$C$67)&lt;0.00005),"*",LINEAS!$D$101&amp;" UNI "&amp;IF(LINEAS!$U$101&lt;=2,"GZ","GX")&amp;" "&amp;TEXT(IF(OR(LINEAS!$U$101=1,LINEAS!$U$101=3),1,-1)*LINEAS!$AB$101*DATOS!$C$67,DATOS!$C$68)))</f>
        <v/>
      </c>
      <c r="E127" s="51" t="str">
        <f aca="false">IF(LEN($D127)&gt;79,"MÁS DE 79 CARACTERES","")</f>
        <v/>
      </c>
    </row>
    <row r="128" customFormat="false" ht="15" hidden="false" customHeight="true" outlineLevel="0" collapsed="false">
      <c r="B128" s="53" t="str">
        <f aca="false">IF(OR(LINEAS!$D$102="",LINEAS!$U$102=0,ABS(IF(OR(LINEAS!$U$102=1,LINEAS!$U$102=3),1,-1)*LINEAS!$AB$102*DATOS!$C$67)&lt;0.00005),"*",LINEAS!$D$102&amp;" UNI "&amp;IF(LINEAS!$U$102&lt;=2,"GZ","GX")&amp;" "&amp;TEXT(IF(OR(LINEAS!$U$102=1,LINEAS!$U$102=3),1,-1)*LINEAS!$AB$102*DATOS!$C$67,DATOS!$C$68))</f>
        <v>43 UNI GX 0.1190</v>
      </c>
      <c r="C128" s="51" t="str">
        <f aca="false">IF(LEN($B128)&gt;79,"MÁS DE 79 CARACTERES","")</f>
        <v/>
      </c>
      <c r="D128" s="53" t="str">
        <f aca="false">IF(PRESIONES!$C$22="NO","",IF(OR(LINEAS!$D$102="",LINEAS!$U$102=0,ABS(IF(OR(LINEAS!$U$102=1,LINEAS!$U$102=3),1,-1)*LINEAS!$AB$102*DATOS!$C$67)&lt;0.00005),"*",LINEAS!$D$102&amp;" UNI "&amp;IF(LINEAS!$U$102&lt;=2,"GZ","GX")&amp;" "&amp;TEXT(IF(OR(LINEAS!$U$102=1,LINEAS!$U$102=3),1,-1)*LINEAS!$AB$102*DATOS!$C$67,DATOS!$C$68)))</f>
        <v/>
      </c>
      <c r="E128" s="51" t="str">
        <f aca="false">IF(LEN($D128)&gt;79,"MÁS DE 79 CARACTERES","")</f>
        <v/>
      </c>
    </row>
    <row r="129" customFormat="false" ht="15" hidden="false" customHeight="true" outlineLevel="0" collapsed="false">
      <c r="B129" s="53" t="str">
        <f aca="false">IF(OR(LINEAS!$D$103="",LINEAS!$U$103=0,ABS(IF(OR(LINEAS!$U$103=1,LINEAS!$U$103=3),1,-1)*LINEAS!$AB$103*DATOS!$C$67)&lt;0.00005),"*",LINEAS!$D$103&amp;" UNI "&amp;IF(LINEAS!$U$103&lt;=2,"GZ","GX")&amp;" "&amp;TEXT(IF(OR(LINEAS!$U$103=1,LINEAS!$U$103=3),1,-1)*LINEAS!$AB$103*DATOS!$C$67,DATOS!$C$68))</f>
        <v>47 UNI GX 0.0985</v>
      </c>
      <c r="C129" s="51" t="str">
        <f aca="false">IF(LEN($B129)&gt;79,"MÁS DE 79 CARACTERES","")</f>
        <v/>
      </c>
      <c r="D129" s="53" t="str">
        <f aca="false">IF(PRESIONES!$C$22="NO","",IF(OR(LINEAS!$D$103="",LINEAS!$U$103=0,ABS(IF(OR(LINEAS!$U$103=1,LINEAS!$U$103=3),1,-1)*LINEAS!$AB$103*DATOS!$C$67)&lt;0.00005),"*",LINEAS!$D$103&amp;" UNI "&amp;IF(LINEAS!$U$103&lt;=2,"GZ","GX")&amp;" "&amp;TEXT(IF(OR(LINEAS!$U$103=1,LINEAS!$U$103=3),1,-1)*LINEAS!$AB$103*DATOS!$C$67,DATOS!$C$68)))</f>
        <v/>
      </c>
      <c r="E129" s="51" t="str">
        <f aca="false">IF(LEN($D129)&gt;79,"MÁS DE 79 CARACTERES","")</f>
        <v/>
      </c>
    </row>
    <row r="130" customFormat="false" ht="15" hidden="false" customHeight="true" outlineLevel="0" collapsed="false">
      <c r="B130" s="53" t="str">
        <f aca="false">IF(OR(LINEAS!$D$104="",LINEAS!$U$104=0,ABS(IF(OR(LINEAS!$U$104=1,LINEAS!$U$104=3),1,-1)*LINEAS!$AB$104*DATOS!$C$67)&lt;0.00005),"*",LINEAS!$D$104&amp;" UNI "&amp;IF(LINEAS!$U$104&lt;=2,"GZ","GX")&amp;" "&amp;TEXT(IF(OR(LINEAS!$U$104=1,LINEAS!$U$104=3),1,-1)*LINEAS!$AB$104*DATOS!$C$67,DATOS!$C$68))</f>
        <v>54 UNI GX 0.0789</v>
      </c>
      <c r="C130" s="51" t="str">
        <f aca="false">IF(LEN($B130)&gt;79,"MÁS DE 79 CARACTERES","")</f>
        <v/>
      </c>
      <c r="D130" s="53" t="str">
        <f aca="false">IF(PRESIONES!$C$22="NO","",IF(OR(LINEAS!$D$104="",LINEAS!$U$104=0,ABS(IF(OR(LINEAS!$U$104=1,LINEAS!$U$104=3),1,-1)*LINEAS!$AB$104*DATOS!$C$67)&lt;0.00005),"*",LINEAS!$D$104&amp;" UNI "&amp;IF(LINEAS!$U$104&lt;=2,"GZ","GX")&amp;" "&amp;TEXT(IF(OR(LINEAS!$U$104=1,LINEAS!$U$104=3),1,-1)*LINEAS!$AB$104*DATOS!$C$67,DATOS!$C$68)))</f>
        <v/>
      </c>
      <c r="E130" s="51" t="str">
        <f aca="false">IF(LEN($D130)&gt;79,"MÁS DE 79 CARACTERES","")</f>
        <v/>
      </c>
    </row>
    <row r="131" customFormat="false" ht="15" hidden="false" customHeight="true" outlineLevel="0" collapsed="false">
      <c r="B131" s="53" t="str">
        <f aca="false">IF(OR(LINEAS!$D$105="",LINEAS!$U$105=0,ABS(IF(OR(LINEAS!$U$105=1,LINEAS!$U$105=3),1,-1)*LINEAS!$AB$105*DATOS!$C$67)&lt;0.00005),"*",LINEAS!$D$105&amp;" UNI "&amp;IF(LINEAS!$U$105&lt;=2,"GZ","GX")&amp;" "&amp;TEXT(IF(OR(LINEAS!$U$105=1,LINEAS!$U$105=3),1,-1)*LINEAS!$AB$105*DATOS!$C$67,DATOS!$C$68))</f>
        <v>64 UNI GX -0.0021</v>
      </c>
      <c r="C131" s="51" t="str">
        <f aca="false">IF(LEN($B131)&gt;79,"MÁS DE 79 CARACTERES","")</f>
        <v/>
      </c>
      <c r="D131" s="53" t="str">
        <f aca="false">IF(PRESIONES!$C$22="NO","",IF(OR(LINEAS!$D$105="",LINEAS!$U$105=0,ABS(IF(OR(LINEAS!$U$105=1,LINEAS!$U$105=3),1,-1)*LINEAS!$AB$105*DATOS!$C$67)&lt;0.00005),"*",LINEAS!$D$105&amp;" UNI "&amp;IF(LINEAS!$U$105&lt;=2,"GZ","GX")&amp;" "&amp;TEXT(IF(OR(LINEAS!$U$105=1,LINEAS!$U$105=3),1,-1)*LINEAS!$AB$105*DATOS!$C$67,DATOS!$C$68)))</f>
        <v/>
      </c>
      <c r="E131" s="51" t="str">
        <f aca="false">IF(LEN($D131)&gt;79,"MÁS DE 79 CARACTERES","")</f>
        <v/>
      </c>
    </row>
    <row r="132" customFormat="false" ht="15" hidden="false" customHeight="true" outlineLevel="0" collapsed="false">
      <c r="B132" s="53" t="str">
        <f aca="false">IF(OR(LINEAS!$D$106="",LINEAS!$U$106=0,ABS(IF(OR(LINEAS!$U$106=1,LINEAS!$U$106=3),1,-1)*LINEAS!$AB$106*DATOS!$C$67)&lt;0.00005),"*",LINEAS!$D$106&amp;" UNI "&amp;IF(LINEAS!$U$106&lt;=2,"GZ","GX")&amp;" "&amp;TEXT(IF(OR(LINEAS!$U$106=1,LINEAS!$U$106=3),1,-1)*LINEAS!$AB$106*DATOS!$C$67,DATOS!$C$68))</f>
        <v>63 UNI GX -0.0019</v>
      </c>
      <c r="C132" s="51" t="str">
        <f aca="false">IF(LEN($B132)&gt;79,"MÁS DE 79 CARACTERES","")</f>
        <v/>
      </c>
      <c r="D132" s="53" t="str">
        <f aca="false">IF(PRESIONES!$C$22="NO","",IF(OR(LINEAS!$D$106="",LINEAS!$U$106=0,ABS(IF(OR(LINEAS!$U$106=1,LINEAS!$U$106=3),1,-1)*LINEAS!$AB$106*DATOS!$C$67)&lt;0.00005),"*",LINEAS!$D$106&amp;" UNI "&amp;IF(LINEAS!$U$106&lt;=2,"GZ","GX")&amp;" "&amp;TEXT(IF(OR(LINEAS!$U$106=1,LINEAS!$U$106=3),1,-1)*LINEAS!$AB$106*DATOS!$C$67,DATOS!$C$68)))</f>
        <v/>
      </c>
      <c r="E132" s="51" t="str">
        <f aca="false">IF(LEN($D132)&gt;79,"MÁS DE 79 CARACTERES","")</f>
        <v/>
      </c>
    </row>
    <row r="133" customFormat="false" ht="15" hidden="false" customHeight="true" outlineLevel="0" collapsed="false">
      <c r="B133" s="53" t="str">
        <f aca="false">IF(OR(LINEAS!$D$107="",LINEAS!$U$107=0,ABS(IF(OR(LINEAS!$U$107=1,LINEAS!$U$107=3),1,-1)*LINEAS!$AB$107*DATOS!$C$67)&lt;0.00005),"*",LINEAS!$D$107&amp;" UNI "&amp;IF(LINEAS!$U$107&lt;=2,"GZ","GX")&amp;" "&amp;TEXT(IF(OR(LINEAS!$U$107=1,LINEAS!$U$107=3),1,-1)*LINEAS!$AB$107*DATOS!$C$67,DATOS!$C$68))</f>
        <v>62 UNI GX -0.0018</v>
      </c>
      <c r="C133" s="51" t="str">
        <f aca="false">IF(LEN($B133)&gt;79,"MÁS DE 79 CARACTERES","")</f>
        <v/>
      </c>
      <c r="D133" s="53" t="str">
        <f aca="false">IF(PRESIONES!$C$22="NO","",IF(OR(LINEAS!$D$107="",LINEAS!$U$107=0,ABS(IF(OR(LINEAS!$U$107=1,LINEAS!$U$107=3),1,-1)*LINEAS!$AB$107*DATOS!$C$67)&lt;0.00005),"*",LINEAS!$D$107&amp;" UNI "&amp;IF(LINEAS!$U$107&lt;=2,"GZ","GX")&amp;" "&amp;TEXT(IF(OR(LINEAS!$U$107=1,LINEAS!$U$107=3),1,-1)*LINEAS!$AB$107*DATOS!$C$67,DATOS!$C$68)))</f>
        <v/>
      </c>
      <c r="E133" s="51" t="str">
        <f aca="false">IF(LEN($D133)&gt;79,"MÁS DE 79 CARACTERES","")</f>
        <v/>
      </c>
    </row>
    <row r="134" customFormat="false" ht="15" hidden="false" customHeight="true" outlineLevel="0" collapsed="false">
      <c r="B134" s="53" t="str">
        <f aca="false">IF(OR(LINEAS!$D$108="",LINEAS!$U$108=0,ABS(IF(OR(LINEAS!$U$108=1,LINEAS!$U$108=3),1,-1)*LINEAS!$AB$108*DATOS!$C$67)&lt;0.00005),"*",LINEAS!$D$108&amp;" UNI "&amp;IF(LINEAS!$U$108&lt;=2,"GZ","GX")&amp;" "&amp;TEXT(IF(OR(LINEAS!$U$108=1,LINEAS!$U$108=3),1,-1)*LINEAS!$AB$108*DATOS!$C$67,DATOS!$C$68))</f>
        <v>61 UNI GX -0.0016</v>
      </c>
      <c r="C134" s="51" t="str">
        <f aca="false">IF(LEN($B134)&gt;79,"MÁS DE 79 CARACTERES","")</f>
        <v/>
      </c>
      <c r="D134" s="53" t="str">
        <f aca="false">IF(PRESIONES!$C$22="NO","",IF(OR(LINEAS!$D$108="",LINEAS!$U$108=0,ABS(IF(OR(LINEAS!$U$108=1,LINEAS!$U$108=3),1,-1)*LINEAS!$AB$108*DATOS!$C$67)&lt;0.00005),"*",LINEAS!$D$108&amp;" UNI "&amp;IF(LINEAS!$U$108&lt;=2,"GZ","GX")&amp;" "&amp;TEXT(IF(OR(LINEAS!$U$108=1,LINEAS!$U$108=3),1,-1)*LINEAS!$AB$108*DATOS!$C$67,DATOS!$C$68)))</f>
        <v/>
      </c>
      <c r="E134" s="51" t="str">
        <f aca="false">IF(LEN($D134)&gt;79,"MÁS DE 79 CARACTERES","")</f>
        <v/>
      </c>
    </row>
    <row r="135" customFormat="false" ht="15" hidden="false" customHeight="true" outlineLevel="0" collapsed="false">
      <c r="B135" s="53" t="str">
        <f aca="false">IF(OR(LINEAS!$D$109="",LINEAS!$U$109=0,ABS(IF(OR(LINEAS!$U$109=1,LINEAS!$U$109=3),1,-1)*LINEAS!$AB$109*DATOS!$C$67)&lt;0.00005),"*",LINEAS!$D$109&amp;" UNI "&amp;IF(LINEAS!$U$109&lt;=2,"GZ","GX")&amp;" "&amp;TEXT(IF(OR(LINEAS!$U$109=1,LINEAS!$U$109=3),1,-1)*LINEAS!$AB$109*DATOS!$C$67,DATOS!$C$68))</f>
        <v>12 UNI GX -0.0015</v>
      </c>
      <c r="C135" s="51" t="str">
        <f aca="false">IF(LEN($B135)&gt;79,"MÁS DE 79 CARACTERES","")</f>
        <v/>
      </c>
      <c r="D135" s="53" t="str">
        <f aca="false">IF(PRESIONES!$C$22="NO","",IF(OR(LINEAS!$D$109="",LINEAS!$U$109=0,ABS(IF(OR(LINEAS!$U$109=1,LINEAS!$U$109=3),1,-1)*LINEAS!$AB$109*DATOS!$C$67)&lt;0.00005),"*",LINEAS!$D$109&amp;" UNI "&amp;IF(LINEAS!$U$109&lt;=2,"GZ","GX")&amp;" "&amp;TEXT(IF(OR(LINEAS!$U$109=1,LINEAS!$U$109=3),1,-1)*LINEAS!$AB$109*DATOS!$C$67,DATOS!$C$68)))</f>
        <v/>
      </c>
      <c r="E135" s="51" t="str">
        <f aca="false">IF(LEN($D135)&gt;79,"MÁS DE 79 CARACTERES","")</f>
        <v/>
      </c>
    </row>
    <row r="136" customFormat="false" ht="15" hidden="false" customHeight="true" outlineLevel="0" collapsed="false">
      <c r="B136" s="53" t="str">
        <f aca="false">IF(OR(LINEAS!$D$110="",LINEAS!$U$110=0,ABS(IF(OR(LINEAS!$U$110=1,LINEAS!$U$110=3),1,-1)*LINEAS!$AB$110*DATOS!$C$67)&lt;0.00005),"*",LINEAS!$D$110&amp;" UNI "&amp;IF(LINEAS!$U$110&lt;=2,"GZ","GX")&amp;" "&amp;TEXT(IF(OR(LINEAS!$U$110=1,LINEAS!$U$110=3),1,-1)*LINEAS!$AB$110*DATOS!$C$67,DATOS!$C$68))</f>
        <v>72 UNI GX -0.0013</v>
      </c>
      <c r="C136" s="51" t="str">
        <f aca="false">IF(LEN($B136)&gt;79,"MÁS DE 79 CARACTERES","")</f>
        <v/>
      </c>
      <c r="D136" s="53" t="str">
        <f aca="false">IF(PRESIONES!$C$22="NO","",IF(OR(LINEAS!$D$110="",LINEAS!$U$110=0,ABS(IF(OR(LINEAS!$U$110=1,LINEAS!$U$110=3),1,-1)*LINEAS!$AB$110*DATOS!$C$67)&lt;0.00005),"*",LINEAS!$D$110&amp;" UNI "&amp;IF(LINEAS!$U$110&lt;=2,"GZ","GX")&amp;" "&amp;TEXT(IF(OR(LINEAS!$U$110=1,LINEAS!$U$110=3),1,-1)*LINEAS!$AB$110*DATOS!$C$67,DATOS!$C$68)))</f>
        <v/>
      </c>
      <c r="E136" s="51" t="str">
        <f aca="false">IF(LEN($D136)&gt;79,"MÁS DE 79 CARACTERES","")</f>
        <v/>
      </c>
    </row>
    <row r="137" customFormat="false" ht="15" hidden="false" customHeight="true" outlineLevel="0" collapsed="false">
      <c r="B137" s="53" t="str">
        <f aca="false">IF(OR(LINEAS!$D$111="",LINEAS!$U$111=0,ABS(IF(OR(LINEAS!$U$111=1,LINEAS!$U$111=3),1,-1)*LINEAS!$AB$111*DATOS!$C$67)&lt;0.00005),"*",LINEAS!$D$111&amp;" UNI "&amp;IF(LINEAS!$U$111&lt;=2,"GZ","GX")&amp;" "&amp;TEXT(IF(OR(LINEAS!$U$111=1,LINEAS!$U$111=3),1,-1)*LINEAS!$AB$111*DATOS!$C$67,DATOS!$C$68))</f>
        <v>71 UNI GX -0.0012</v>
      </c>
      <c r="C137" s="51" t="str">
        <f aca="false">IF(LEN($B137)&gt;79,"MÁS DE 79 CARACTERES","")</f>
        <v/>
      </c>
      <c r="D137" s="53" t="str">
        <f aca="false">IF(PRESIONES!$C$22="NO","",IF(OR(LINEAS!$D$111="",LINEAS!$U$111=0,ABS(IF(OR(LINEAS!$U$111=1,LINEAS!$U$111=3),1,-1)*LINEAS!$AB$111*DATOS!$C$67)&lt;0.00005),"*",LINEAS!$D$111&amp;" UNI "&amp;IF(LINEAS!$U$111&lt;=2,"GZ","GX")&amp;" "&amp;TEXT(IF(OR(LINEAS!$U$111=1,LINEAS!$U$111=3),1,-1)*LINEAS!$AB$111*DATOS!$C$67,DATOS!$C$68)))</f>
        <v/>
      </c>
      <c r="E137" s="51" t="str">
        <f aca="false">IF(LEN($D137)&gt;79,"MÁS DE 79 CARACTERES","")</f>
        <v/>
      </c>
    </row>
    <row r="138" customFormat="false" ht="15" hidden="false" customHeight="true" outlineLevel="0" collapsed="false">
      <c r="B138" s="53" t="str">
        <f aca="false">IF(OR(LINEAS!$D$112="",LINEAS!$U$112=0,ABS(IF(OR(LINEAS!$U$112=1,LINEAS!$U$112=3),1,-1)*LINEAS!$AB$112*DATOS!$C$67)&lt;0.00005),"*",LINEAS!$D$112&amp;" UNI "&amp;IF(LINEAS!$U$112&lt;=2,"GZ","GX")&amp;" "&amp;TEXT(IF(OR(LINEAS!$U$112=1,LINEAS!$U$112=3),1,-1)*LINEAS!$AB$112*DATOS!$C$67,DATOS!$C$68))</f>
        <v>70 UNI GX -0.0011</v>
      </c>
      <c r="C138" s="51" t="str">
        <f aca="false">IF(LEN($B138)&gt;79,"MÁS DE 79 CARACTERES","")</f>
        <v/>
      </c>
      <c r="D138" s="53" t="str">
        <f aca="false">IF(PRESIONES!$C$22="NO","",IF(OR(LINEAS!$D$112="",LINEAS!$U$112=0,ABS(IF(OR(LINEAS!$U$112=1,LINEAS!$U$112=3),1,-1)*LINEAS!$AB$112*DATOS!$C$67)&lt;0.00005),"*",LINEAS!$D$112&amp;" UNI "&amp;IF(LINEAS!$U$112&lt;=2,"GZ","GX")&amp;" "&amp;TEXT(IF(OR(LINEAS!$U$112=1,LINEAS!$U$112=3),1,-1)*LINEAS!$AB$112*DATOS!$C$67,DATOS!$C$68)))</f>
        <v/>
      </c>
      <c r="E138" s="51" t="str">
        <f aca="false">IF(LEN($D138)&gt;79,"MÁS DE 79 CARACTERES","")</f>
        <v/>
      </c>
    </row>
    <row r="139" customFormat="false" ht="15" hidden="false" customHeight="true" outlineLevel="0" collapsed="false">
      <c r="B139" s="53" t="str">
        <f aca="false">IF(OR(LINEAS!$D$113="",LINEAS!$U$113=0,ABS(IF(OR(LINEAS!$U$113=1,LINEAS!$U$113=3),1,-1)*LINEAS!$AB$113*DATOS!$C$67)&lt;0.00005),"*",LINEAS!$D$113&amp;" UNI "&amp;IF(LINEAS!$U$113&lt;=2,"GZ","GX")&amp;" "&amp;TEXT(IF(OR(LINEAS!$U$113=1,LINEAS!$U$113=3),1,-1)*LINEAS!$AB$113*DATOS!$C$67,DATOS!$C$68))</f>
        <v>69 UNI GX -0.0009</v>
      </c>
      <c r="C139" s="51" t="str">
        <f aca="false">IF(LEN($B139)&gt;79,"MÁS DE 79 CARACTERES","")</f>
        <v/>
      </c>
      <c r="D139" s="53" t="str">
        <f aca="false">IF(PRESIONES!$C$22="NO","",IF(OR(LINEAS!$D$113="",LINEAS!$U$113=0,ABS(IF(OR(LINEAS!$U$113=1,LINEAS!$U$113=3),1,-1)*LINEAS!$AB$113*DATOS!$C$67)&lt;0.00005),"*",LINEAS!$D$113&amp;" UNI "&amp;IF(LINEAS!$U$113&lt;=2,"GZ","GX")&amp;" "&amp;TEXT(IF(OR(LINEAS!$U$113=1,LINEAS!$U$113=3),1,-1)*LINEAS!$AB$113*DATOS!$C$67,DATOS!$C$68)))</f>
        <v/>
      </c>
      <c r="E139" s="51" t="str">
        <f aca="false">IF(LEN($D139)&gt;79,"MÁS DE 79 CARACTERES","")</f>
        <v/>
      </c>
    </row>
    <row r="140" customFormat="false" ht="15" hidden="false" customHeight="true" outlineLevel="0" collapsed="false">
      <c r="B140" s="53" t="str">
        <f aca="false">IF(OR(LINEAS!$D$114="",LINEAS!$U$114=0,ABS(IF(OR(LINEAS!$U$114=1,LINEAS!$U$114=3),1,-1)*LINEAS!$AB$114*DATOS!$C$67)&lt;0.00005),"*",LINEAS!$D$114&amp;" UNI "&amp;IF(LINEAS!$U$114&lt;=2,"GZ","GX")&amp;" "&amp;TEXT(IF(OR(LINEAS!$U$114=1,LINEAS!$U$114=3),1,-1)*LINEAS!$AB$114*DATOS!$C$67,DATOS!$C$68))</f>
        <v>50 UNI GX -0.0008</v>
      </c>
      <c r="C140" s="51" t="str">
        <f aca="false">IF(LEN($B140)&gt;79,"MÁS DE 79 CARACTERES","")</f>
        <v/>
      </c>
      <c r="D140" s="53" t="str">
        <f aca="false">IF(PRESIONES!$C$22="NO","",IF(OR(LINEAS!$D$114="",LINEAS!$U$114=0,ABS(IF(OR(LINEAS!$U$114=1,LINEAS!$U$114=3),1,-1)*LINEAS!$AB$114*DATOS!$C$67)&lt;0.00005),"*",LINEAS!$D$114&amp;" UNI "&amp;IF(LINEAS!$U$114&lt;=2,"GZ","GX")&amp;" "&amp;TEXT(IF(OR(LINEAS!$U$114=1,LINEAS!$U$114=3),1,-1)*LINEAS!$AB$114*DATOS!$C$67,DATOS!$C$68)))</f>
        <v/>
      </c>
      <c r="E140" s="51" t="str">
        <f aca="false">IF(LEN($D140)&gt;79,"MÁS DE 79 CARACTERES","")</f>
        <v/>
      </c>
    </row>
    <row r="141" customFormat="false" ht="15" hidden="false" customHeight="true" outlineLevel="0" collapsed="false">
      <c r="B141" s="53" t="str">
        <f aca="false">IF(OR(LINEAS!$D$115="",LINEAS!$U$115=0,ABS(IF(OR(LINEAS!$U$115=1,LINEAS!$U$115=3),1,-1)*LINEAS!$AB$115*DATOS!$C$67)&lt;0.00005),"*",LINEAS!$D$115&amp;" UNI "&amp;IF(LINEAS!$U$115&lt;=2,"GZ","GX")&amp;" "&amp;TEXT(IF(OR(LINEAS!$U$115=1,LINEAS!$U$115=3),1,-1)*LINEAS!$AB$115*DATOS!$C$67,DATOS!$C$68))</f>
        <v>53 UNI GX -0.0007</v>
      </c>
      <c r="C141" s="51" t="str">
        <f aca="false">IF(LEN($B141)&gt;79,"MÁS DE 79 CARACTERES","")</f>
        <v/>
      </c>
      <c r="D141" s="53" t="str">
        <f aca="false">IF(PRESIONES!$C$22="NO","",IF(OR(LINEAS!$D$115="",LINEAS!$U$115=0,ABS(IF(OR(LINEAS!$U$115=1,LINEAS!$U$115=3),1,-1)*LINEAS!$AB$115*DATOS!$C$67)&lt;0.00005),"*",LINEAS!$D$115&amp;" UNI "&amp;IF(LINEAS!$U$115&lt;=2,"GZ","GX")&amp;" "&amp;TEXT(IF(OR(LINEAS!$U$115=1,LINEAS!$U$115=3),1,-1)*LINEAS!$AB$115*DATOS!$C$67,DATOS!$C$68)))</f>
        <v/>
      </c>
      <c r="E141" s="51" t="str">
        <f aca="false">IF(LEN($D141)&gt;79,"MÁS DE 79 CARACTERES","")</f>
        <v/>
      </c>
    </row>
    <row r="142" customFormat="false" ht="15" hidden="false" customHeight="true" outlineLevel="0" collapsed="false">
      <c r="B142" s="53" t="str">
        <f aca="false">IF(OR(LINEAS!$D$116="",LINEAS!$U$116=0,ABS(IF(OR(LINEAS!$U$116=1,LINEAS!$U$116=3),1,-1)*LINEAS!$AB$116*DATOS!$C$67)&lt;0.00005),"*",LINEAS!$D$116&amp;" UNI "&amp;IF(LINEAS!$U$116&lt;=2,"GZ","GX")&amp;" "&amp;TEXT(IF(OR(LINEAS!$U$116=1,LINEAS!$U$116=3),1,-1)*LINEAS!$AB$116*DATOS!$C$67,DATOS!$C$68))</f>
        <v>55 UNI GX -0.0005</v>
      </c>
      <c r="C142" s="51" t="str">
        <f aca="false">IF(LEN($B142)&gt;79,"MÁS DE 79 CARACTERES","")</f>
        <v/>
      </c>
      <c r="D142" s="53" t="str">
        <f aca="false">IF(PRESIONES!$C$22="NO","",IF(OR(LINEAS!$D$116="",LINEAS!$U$116=0,ABS(IF(OR(LINEAS!$U$116=1,LINEAS!$U$116=3),1,-1)*LINEAS!$AB$116*DATOS!$C$67)&lt;0.00005),"*",LINEAS!$D$116&amp;" UNI "&amp;IF(LINEAS!$U$116&lt;=2,"GZ","GX")&amp;" "&amp;TEXT(IF(OR(LINEAS!$U$116=1,LINEAS!$U$116=3),1,-1)*LINEAS!$AB$116*DATOS!$C$67,DATOS!$C$68)))</f>
        <v/>
      </c>
      <c r="E142" s="51" t="str">
        <f aca="false">IF(LEN($D142)&gt;79,"MÁS DE 79 CARACTERES","")</f>
        <v/>
      </c>
    </row>
    <row r="143" customFormat="false" ht="15" hidden="false" customHeight="true" outlineLevel="0" collapsed="false">
      <c r="B143" s="53" t="str">
        <f aca="false">IF(OR(LINEAS!$D$117="",LINEAS!$U$117=0,ABS(IF(OR(LINEAS!$U$117=1,LINEAS!$U$117=3),1,-1)*LINEAS!$AB$117*DATOS!$C$67)&lt;0.00005),"*",LINEAS!$D$117&amp;" UNI "&amp;IF(LINEAS!$U$117&lt;=2,"GZ","GX")&amp;" "&amp;TEXT(IF(OR(LINEAS!$U$117=1,LINEAS!$U$117=3),1,-1)*LINEAS!$AB$117*DATOS!$C$67,DATOS!$C$68))</f>
        <v>262 UNI GZ -0.1102</v>
      </c>
      <c r="C143" s="51" t="str">
        <f aca="false">IF(LEN($B143)&gt;79,"MÁS DE 79 CARACTERES","")</f>
        <v/>
      </c>
      <c r="D143" s="53" t="str">
        <f aca="false">IF(PRESIONES!$C$22="NO","",IF(OR(LINEAS!$D$117="",LINEAS!$U$117=0,ABS(IF(OR(LINEAS!$U$117=1,LINEAS!$U$117=3),1,-1)*LINEAS!$AB$117*DATOS!$C$67)&lt;0.00005),"*",LINEAS!$D$117&amp;" UNI "&amp;IF(LINEAS!$U$117&lt;=2,"GZ","GX")&amp;" "&amp;TEXT(IF(OR(LINEAS!$U$117=1,LINEAS!$U$117=3),1,-1)*LINEAS!$AB$117*DATOS!$C$67,DATOS!$C$68)))</f>
        <v/>
      </c>
      <c r="E143" s="51" t="str">
        <f aca="false">IF(LEN($D143)&gt;79,"MÁS DE 79 CARACTERES","")</f>
        <v/>
      </c>
    </row>
    <row r="144" customFormat="false" ht="15" hidden="false" customHeight="true" outlineLevel="0" collapsed="false">
      <c r="B144" s="53" t="str">
        <f aca="false">IF(OR(LINEAS!$D$118="",LINEAS!$U$118=0,ABS(IF(OR(LINEAS!$U$118=1,LINEAS!$U$118=3),1,-1)*LINEAS!$AB$118*DATOS!$C$67)&lt;0.00005),"*",LINEAS!$D$118&amp;" UNI "&amp;IF(LINEAS!$U$118&lt;=2,"GZ","GX")&amp;" "&amp;TEXT(IF(OR(LINEAS!$U$118=1,LINEAS!$U$118=3),1,-1)*LINEAS!$AB$118*DATOS!$C$67,DATOS!$C$68))</f>
        <v>263 UNI GZ -0.1102</v>
      </c>
      <c r="C144" s="51" t="str">
        <f aca="false">IF(LEN($B144)&gt;79,"MÁS DE 79 CARACTERES","")</f>
        <v/>
      </c>
      <c r="D144" s="53" t="str">
        <f aca="false">IF(PRESIONES!$C$22="NO","",IF(OR(LINEAS!$D$118="",LINEAS!$U$118=0,ABS(IF(OR(LINEAS!$U$118=1,LINEAS!$U$118=3),1,-1)*LINEAS!$AB$118*DATOS!$C$67)&lt;0.00005),"*",LINEAS!$D$118&amp;" UNI "&amp;IF(LINEAS!$U$118&lt;=2,"GZ","GX")&amp;" "&amp;TEXT(IF(OR(LINEAS!$U$118=1,LINEAS!$U$118=3),1,-1)*LINEAS!$AB$118*DATOS!$C$67,DATOS!$C$68)))</f>
        <v/>
      </c>
      <c r="E144" s="51" t="str">
        <f aca="false">IF(LEN($D144)&gt;79,"MÁS DE 79 CARACTERES","")</f>
        <v/>
      </c>
    </row>
    <row r="145" customFormat="false" ht="15" hidden="false" customHeight="true" outlineLevel="0" collapsed="false">
      <c r="B145" s="53" t="str">
        <f aca="false">IF(OR(LINEAS!$D$119="",LINEAS!$U$119=0,ABS(IF(OR(LINEAS!$U$119=1,LINEAS!$U$119=3),1,-1)*LINEAS!$AB$119*DATOS!$C$67)&lt;0.00005),"*",LINEAS!$D$119&amp;" UNI "&amp;IF(LINEAS!$U$119&lt;=2,"GZ","GX")&amp;" "&amp;TEXT(IF(OR(LINEAS!$U$119=1,LINEAS!$U$119=3),1,-1)*LINEAS!$AB$119*DATOS!$C$67,DATOS!$C$68))</f>
        <v>264 UNI GZ -0.1102</v>
      </c>
      <c r="C145" s="51" t="str">
        <f aca="false">IF(LEN($B145)&gt;79,"MÁS DE 79 CARACTERES","")</f>
        <v/>
      </c>
      <c r="D145" s="53" t="str">
        <f aca="false">IF(PRESIONES!$C$22="NO","",IF(OR(LINEAS!$D$119="",LINEAS!$U$119=0,ABS(IF(OR(LINEAS!$U$119=1,LINEAS!$U$119=3),1,-1)*LINEAS!$AB$119*DATOS!$C$67)&lt;0.00005),"*",LINEAS!$D$119&amp;" UNI "&amp;IF(LINEAS!$U$119&lt;=2,"GZ","GX")&amp;" "&amp;TEXT(IF(OR(LINEAS!$U$119=1,LINEAS!$U$119=3),1,-1)*LINEAS!$AB$119*DATOS!$C$67,DATOS!$C$68)))</f>
        <v/>
      </c>
      <c r="E145" s="51" t="str">
        <f aca="false">IF(LEN($D145)&gt;79,"MÁS DE 79 CARACTERES","")</f>
        <v/>
      </c>
    </row>
    <row r="146" customFormat="false" ht="15" hidden="false" customHeight="true" outlineLevel="0" collapsed="false">
      <c r="B146" s="53" t="str">
        <f aca="false">IF(OR(LINEAS!$D$120="",LINEAS!$U$120=0,ABS(IF(OR(LINEAS!$U$120=1,LINEAS!$U$120=3),1,-1)*LINEAS!$AB$120*DATOS!$C$67)&lt;0.00005),"*",LINEAS!$D$120&amp;" UNI "&amp;IF(LINEAS!$U$120&lt;=2,"GZ","GX")&amp;" "&amp;TEXT(IF(OR(LINEAS!$U$120=1,LINEAS!$U$120=3),1,-1)*LINEAS!$AB$120*DATOS!$C$67,DATOS!$C$68))</f>
        <v>271 UNI GZ -0.1102</v>
      </c>
      <c r="C146" s="51" t="str">
        <f aca="false">IF(LEN($B146)&gt;79,"MÁS DE 79 CARACTERES","")</f>
        <v/>
      </c>
      <c r="D146" s="53" t="str">
        <f aca="false">IF(PRESIONES!$C$22="NO","",IF(OR(LINEAS!$D$120="",LINEAS!$U$120=0,ABS(IF(OR(LINEAS!$U$120=1,LINEAS!$U$120=3),1,-1)*LINEAS!$AB$120*DATOS!$C$67)&lt;0.00005),"*",LINEAS!$D$120&amp;" UNI "&amp;IF(LINEAS!$U$120&lt;=2,"GZ","GX")&amp;" "&amp;TEXT(IF(OR(LINEAS!$U$120=1,LINEAS!$U$120=3),1,-1)*LINEAS!$AB$120*DATOS!$C$67,DATOS!$C$68)))</f>
        <v/>
      </c>
      <c r="E146" s="51" t="str">
        <f aca="false">IF(LEN($D146)&gt;79,"MÁS DE 79 CARACTERES","")</f>
        <v/>
      </c>
    </row>
    <row r="147" customFormat="false" ht="15" hidden="false" customHeight="true" outlineLevel="0" collapsed="false">
      <c r="B147" s="53" t="str">
        <f aca="false">IF(OR(LINEAS!$D$121="",LINEAS!$U$121=0,ABS(IF(OR(LINEAS!$U$121=1,LINEAS!$U$121=3),1,-1)*LINEAS!$AB$121*DATOS!$C$67)&lt;0.00005),"*",LINEAS!$D$121&amp;" UNI "&amp;IF(LINEAS!$U$121&lt;=2,"GZ","GX")&amp;" "&amp;TEXT(IF(OR(LINEAS!$U$121=1,LINEAS!$U$121=3),1,-1)*LINEAS!$AB$121*DATOS!$C$67,DATOS!$C$68))</f>
        <v>286 UNI GZ -0.1653</v>
      </c>
      <c r="C147" s="51" t="str">
        <f aca="false">IF(LEN($B147)&gt;79,"MÁS DE 79 CARACTERES","")</f>
        <v/>
      </c>
      <c r="D147" s="53" t="str">
        <f aca="false">IF(PRESIONES!$C$22="NO","",IF(OR(LINEAS!$D$121="",LINEAS!$U$121=0,ABS(IF(OR(LINEAS!$U$121=1,LINEAS!$U$121=3),1,-1)*LINEAS!$AB$121*DATOS!$C$67)&lt;0.00005),"*",LINEAS!$D$121&amp;" UNI "&amp;IF(LINEAS!$U$121&lt;=2,"GZ","GX")&amp;" "&amp;TEXT(IF(OR(LINEAS!$U$121=1,LINEAS!$U$121=3),1,-1)*LINEAS!$AB$121*DATOS!$C$67,DATOS!$C$68)))</f>
        <v/>
      </c>
      <c r="E147" s="51" t="str">
        <f aca="false">IF(LEN($D147)&gt;79,"MÁS DE 79 CARACTERES","")</f>
        <v/>
      </c>
    </row>
    <row r="148" customFormat="false" ht="15" hidden="false" customHeight="true" outlineLevel="0" collapsed="false">
      <c r="B148" s="53" t="str">
        <f aca="false">IF(OR(LINEAS!$D$122="",LINEAS!$U$122=0,ABS(IF(OR(LINEAS!$U$122=1,LINEAS!$U$122=3),1,-1)*LINEAS!$AB$122*DATOS!$C$67)&lt;0.00005),"*",LINEAS!$D$122&amp;" UNI "&amp;IF(LINEAS!$U$122&lt;=2,"GZ","GX")&amp;" "&amp;TEXT(IF(OR(LINEAS!$U$122=1,LINEAS!$U$122=3),1,-1)*LINEAS!$AB$122*DATOS!$C$67,DATOS!$C$68))</f>
        <v>272 UNI GZ -0.1102</v>
      </c>
      <c r="C148" s="51" t="str">
        <f aca="false">IF(LEN($B148)&gt;79,"MÁS DE 79 CARACTERES","")</f>
        <v/>
      </c>
      <c r="D148" s="53" t="str">
        <f aca="false">IF(PRESIONES!$C$22="NO","",IF(OR(LINEAS!$D$122="",LINEAS!$U$122=0,ABS(IF(OR(LINEAS!$U$122=1,LINEAS!$U$122=3),1,-1)*LINEAS!$AB$122*DATOS!$C$67)&lt;0.00005),"*",LINEAS!$D$122&amp;" UNI "&amp;IF(LINEAS!$U$122&lt;=2,"GZ","GX")&amp;" "&amp;TEXT(IF(OR(LINEAS!$U$122=1,LINEAS!$U$122=3),1,-1)*LINEAS!$AB$122*DATOS!$C$67,DATOS!$C$68)))</f>
        <v/>
      </c>
      <c r="E148" s="51" t="str">
        <f aca="false">IF(LEN($D148)&gt;79,"MÁS DE 79 CARACTERES","")</f>
        <v/>
      </c>
    </row>
    <row r="149" customFormat="false" ht="15" hidden="false" customHeight="true" outlineLevel="0" collapsed="false">
      <c r="B149" s="53" t="str">
        <f aca="false">IF(OR(LINEAS!$D$123="",LINEAS!$U$123=0,ABS(IF(OR(LINEAS!$U$123=1,LINEAS!$U$123=3),1,-1)*LINEAS!$AB$123*DATOS!$C$67)&lt;0.00005),"*",LINEAS!$D$123&amp;" UNI "&amp;IF(LINEAS!$U$123&lt;=2,"GZ","GX")&amp;" "&amp;TEXT(IF(OR(LINEAS!$U$123=1,LINEAS!$U$123=3),1,-1)*LINEAS!$AB$123*DATOS!$C$67,DATOS!$C$68))</f>
        <v>273 UNI GZ -0.1102</v>
      </c>
      <c r="C149" s="51" t="str">
        <f aca="false">IF(LEN($B149)&gt;79,"MÁS DE 79 CARACTERES","")</f>
        <v/>
      </c>
      <c r="D149" s="53" t="str">
        <f aca="false">IF(PRESIONES!$C$22="NO","",IF(OR(LINEAS!$D$123="",LINEAS!$U$123=0,ABS(IF(OR(LINEAS!$U$123=1,LINEAS!$U$123=3),1,-1)*LINEAS!$AB$123*DATOS!$C$67)&lt;0.00005),"*",LINEAS!$D$123&amp;" UNI "&amp;IF(LINEAS!$U$123&lt;=2,"GZ","GX")&amp;" "&amp;TEXT(IF(OR(LINEAS!$U$123=1,LINEAS!$U$123=3),1,-1)*LINEAS!$AB$123*DATOS!$C$67,DATOS!$C$68)))</f>
        <v/>
      </c>
      <c r="E149" s="51" t="str">
        <f aca="false">IF(LEN($D149)&gt;79,"MÁS DE 79 CARACTERES","")</f>
        <v/>
      </c>
    </row>
    <row r="150" customFormat="false" ht="15" hidden="false" customHeight="true" outlineLevel="0" collapsed="false">
      <c r="B150" s="53" t="str">
        <f aca="false">IF(OR(LINEAS!$D$124="",LINEAS!$U$124=0,ABS(IF(OR(LINEAS!$U$124=1,LINEAS!$U$124=3),1,-1)*LINEAS!$AB$124*DATOS!$C$67)&lt;0.00005),"*",LINEAS!$D$124&amp;" UNI "&amp;IF(LINEAS!$U$124&lt;=2,"GZ","GX")&amp;" "&amp;TEXT(IF(OR(LINEAS!$U$124=1,LINEAS!$U$124=3),1,-1)*LINEAS!$AB$124*DATOS!$C$67,DATOS!$C$68))</f>
        <v>280 UNI GZ -0.1102</v>
      </c>
      <c r="C150" s="51" t="str">
        <f aca="false">IF(LEN($B150)&gt;79,"MÁS DE 79 CARACTERES","")</f>
        <v/>
      </c>
      <c r="D150" s="53" t="str">
        <f aca="false">IF(PRESIONES!$C$22="NO","",IF(OR(LINEAS!$D$124="",LINEAS!$U$124=0,ABS(IF(OR(LINEAS!$U$124=1,LINEAS!$U$124=3),1,-1)*LINEAS!$AB$124*DATOS!$C$67)&lt;0.00005),"*",LINEAS!$D$124&amp;" UNI "&amp;IF(LINEAS!$U$124&lt;=2,"GZ","GX")&amp;" "&amp;TEXT(IF(OR(LINEAS!$U$124=1,LINEAS!$U$124=3),1,-1)*LINEAS!$AB$124*DATOS!$C$67,DATOS!$C$68)))</f>
        <v/>
      </c>
      <c r="E150" s="51" t="str">
        <f aca="false">IF(LEN($D150)&gt;79,"MÁS DE 79 CARACTERES","")</f>
        <v/>
      </c>
    </row>
    <row r="151" customFormat="false" ht="15" hidden="false" customHeight="true" outlineLevel="0" collapsed="false">
      <c r="B151" s="53" t="str">
        <f aca="false">IF(OR(LINEAS!$D$125="",LINEAS!$U$125=0,ABS(IF(OR(LINEAS!$U$125=1,LINEAS!$U$125=3),1,-1)*LINEAS!$AB$125*DATOS!$C$67)&lt;0.00005),"*",LINEAS!$D$125&amp;" UNI "&amp;IF(LINEAS!$U$125&lt;=2,"GZ","GX")&amp;" "&amp;TEXT(IF(OR(LINEAS!$U$125=1,LINEAS!$U$125=3),1,-1)*LINEAS!$AB$125*DATOS!$C$67,DATOS!$C$68))</f>
        <v>282 UNI GZ -0.1102</v>
      </c>
      <c r="C151" s="51" t="str">
        <f aca="false">IF(LEN($B151)&gt;79,"MÁS DE 79 CARACTERES","")</f>
        <v/>
      </c>
      <c r="D151" s="53" t="str">
        <f aca="false">IF(PRESIONES!$C$22="NO","",IF(OR(LINEAS!$D$125="",LINEAS!$U$125=0,ABS(IF(OR(LINEAS!$U$125=1,LINEAS!$U$125=3),1,-1)*LINEAS!$AB$125*DATOS!$C$67)&lt;0.00005),"*",LINEAS!$D$125&amp;" UNI "&amp;IF(LINEAS!$U$125&lt;=2,"GZ","GX")&amp;" "&amp;TEXT(IF(OR(LINEAS!$U$125=1,LINEAS!$U$125=3),1,-1)*LINEAS!$AB$125*DATOS!$C$67,DATOS!$C$68)))</f>
        <v/>
      </c>
      <c r="E151" s="51" t="str">
        <f aca="false">IF(LEN($D151)&gt;79,"MÁS DE 79 CARACTERES","")</f>
        <v/>
      </c>
    </row>
    <row r="152" customFormat="false" ht="15" hidden="false" customHeight="true" outlineLevel="0" collapsed="false">
      <c r="B152" s="53" t="str">
        <f aca="false">IF(OR(LINEAS!$D$126="",LINEAS!$U$126=0,ABS(IF(OR(LINEAS!$U$126=1,LINEAS!$U$126=3),1,-1)*LINEAS!$AB$126*DATOS!$C$67)&lt;0.00005),"*",LINEAS!$D$126&amp;" UNI "&amp;IF(LINEAS!$U$126&lt;=2,"GZ","GX")&amp;" "&amp;TEXT(IF(OR(LINEAS!$U$126=1,LINEAS!$U$126=3),1,-1)*LINEAS!$AB$126*DATOS!$C$67,DATOS!$C$68))</f>
        <v>290 UNI GZ -0.1102</v>
      </c>
      <c r="C152" s="51" t="str">
        <f aca="false">IF(LEN($B152)&gt;79,"MÁS DE 79 CARACTERES","")</f>
        <v/>
      </c>
      <c r="D152" s="53" t="str">
        <f aca="false">IF(PRESIONES!$C$22="NO","",IF(OR(LINEAS!$D$126="",LINEAS!$U$126=0,ABS(IF(OR(LINEAS!$U$126=1,LINEAS!$U$126=3),1,-1)*LINEAS!$AB$126*DATOS!$C$67)&lt;0.00005),"*",LINEAS!$D$126&amp;" UNI "&amp;IF(LINEAS!$U$126&lt;=2,"GZ","GX")&amp;" "&amp;TEXT(IF(OR(LINEAS!$U$126=1,LINEAS!$U$126=3),1,-1)*LINEAS!$AB$126*DATOS!$C$67,DATOS!$C$68)))</f>
        <v/>
      </c>
      <c r="E152" s="51" t="str">
        <f aca="false">IF(LEN($D152)&gt;79,"MÁS DE 79 CARACTERES","")</f>
        <v/>
      </c>
    </row>
    <row r="153" customFormat="false" ht="15" hidden="false" customHeight="true" outlineLevel="0" collapsed="false">
      <c r="B153" s="53" t="str">
        <f aca="false">IF(OR(LINEAS!$D$127="",LINEAS!$U$127=0,ABS(IF(OR(LINEAS!$U$127=1,LINEAS!$U$127=3),1,-1)*LINEAS!$AB$127*DATOS!$C$67)&lt;0.00005),"*",LINEAS!$D$127&amp;" UNI "&amp;IF(LINEAS!$U$127&lt;=2,"GZ","GX")&amp;" "&amp;TEXT(IF(OR(LINEAS!$U$127=1,LINEAS!$U$127=3),1,-1)*LINEAS!$AB$127*DATOS!$C$67,DATOS!$C$68))</f>
        <v>291 UNI GZ -0.1102</v>
      </c>
      <c r="C153" s="51" t="str">
        <f aca="false">IF(LEN($B153)&gt;79,"MÁS DE 79 CARACTERES","")</f>
        <v/>
      </c>
      <c r="D153" s="53" t="str">
        <f aca="false">IF(PRESIONES!$C$22="NO","",IF(OR(LINEAS!$D$127="",LINEAS!$U$127=0,ABS(IF(OR(LINEAS!$U$127=1,LINEAS!$U$127=3),1,-1)*LINEAS!$AB$127*DATOS!$C$67)&lt;0.00005),"*",LINEAS!$D$127&amp;" UNI "&amp;IF(LINEAS!$U$127&lt;=2,"GZ","GX")&amp;" "&amp;TEXT(IF(OR(LINEAS!$U$127=1,LINEAS!$U$127=3),1,-1)*LINEAS!$AB$127*DATOS!$C$67,DATOS!$C$68)))</f>
        <v/>
      </c>
      <c r="E153" s="51" t="str">
        <f aca="false">IF(LEN($D153)&gt;79,"MÁS DE 79 CARACTERES","")</f>
        <v/>
      </c>
    </row>
    <row r="154" customFormat="false" ht="15" hidden="false" customHeight="true" outlineLevel="0" collapsed="false">
      <c r="B154" s="53" t="str">
        <f aca="false">IF(OR(LINEAS!$D$128="",LINEAS!$U$128=0,ABS(IF(OR(LINEAS!$U$128=1,LINEAS!$U$128=3),1,-1)*LINEAS!$AB$128*DATOS!$C$67)&lt;0.00005),"*",LINEAS!$D$128&amp;" UNI "&amp;IF(LINEAS!$U$128&lt;=2,"GZ","GX")&amp;" "&amp;TEXT(IF(OR(LINEAS!$U$128=1,LINEAS!$U$128=3),1,-1)*LINEAS!$AB$128*DATOS!$C$67,DATOS!$C$68))</f>
        <v>298 UNI GZ -0.0703</v>
      </c>
      <c r="C154" s="51" t="str">
        <f aca="false">IF(LEN($B154)&gt;79,"MÁS DE 79 CARACTERES","")</f>
        <v/>
      </c>
      <c r="D154" s="53" t="str">
        <f aca="false">IF(PRESIONES!$C$22="NO","",IF(OR(LINEAS!$D$128="",LINEAS!$U$128=0,ABS(IF(OR(LINEAS!$U$128=1,LINEAS!$U$128=3),1,-1)*LINEAS!$AB$128*DATOS!$C$67)&lt;0.00005),"*",LINEAS!$D$128&amp;" UNI "&amp;IF(LINEAS!$U$128&lt;=2,"GZ","GX")&amp;" "&amp;TEXT(IF(OR(LINEAS!$U$128=1,LINEAS!$U$128=3),1,-1)*LINEAS!$AB$128*DATOS!$C$67,DATOS!$C$68)))</f>
        <v/>
      </c>
      <c r="E154" s="51" t="str">
        <f aca="false">IF(LEN($D154)&gt;79,"MÁS DE 79 CARACTERES","")</f>
        <v/>
      </c>
    </row>
    <row r="155" customFormat="false" ht="15" hidden="false" customHeight="true" outlineLevel="0" collapsed="false">
      <c r="B155" s="53" t="str">
        <f aca="false">IF(OR(LINEAS!$D$129="",LINEAS!$U$129=0,ABS(IF(OR(LINEAS!$U$129=1,LINEAS!$U$129=3),1,-1)*LINEAS!$AB$129*DATOS!$C$67)&lt;0.00005),"*",LINEAS!$D$129&amp;" UNI "&amp;IF(LINEAS!$U$129&lt;=2,"GZ","GX")&amp;" "&amp;TEXT(IF(OR(LINEAS!$U$129=1,LINEAS!$U$129=3),1,-1)*LINEAS!$AB$129*DATOS!$C$67,DATOS!$C$68))</f>
        <v>299 UNI GZ -0.0703</v>
      </c>
      <c r="C155" s="51" t="str">
        <f aca="false">IF(LEN($B155)&gt;79,"MÁS DE 79 CARACTERES","")</f>
        <v/>
      </c>
      <c r="D155" s="53" t="str">
        <f aca="false">IF(PRESIONES!$C$22="NO","",IF(OR(LINEAS!$D$129="",LINEAS!$U$129=0,ABS(IF(OR(LINEAS!$U$129=1,LINEAS!$U$129=3),1,-1)*LINEAS!$AB$129*DATOS!$C$67)&lt;0.00005),"*",LINEAS!$D$129&amp;" UNI "&amp;IF(LINEAS!$U$129&lt;=2,"GZ","GX")&amp;" "&amp;TEXT(IF(OR(LINEAS!$U$129=1,LINEAS!$U$129=3),1,-1)*LINEAS!$AB$129*DATOS!$C$67,DATOS!$C$68)))</f>
        <v/>
      </c>
      <c r="E155" s="51" t="str">
        <f aca="false">IF(LEN($D155)&gt;79,"MÁS DE 79 CARACTERES","")</f>
        <v/>
      </c>
    </row>
    <row r="156" customFormat="false" ht="15" hidden="false" customHeight="true" outlineLevel="0" collapsed="false">
      <c r="B156" s="53" t="str">
        <f aca="false">IF(OR(LINEAS!$D$130="",LINEAS!$U$130=0,ABS(IF(OR(LINEAS!$U$130=1,LINEAS!$U$130=3),1,-1)*LINEAS!$AB$130*DATOS!$C$67)&lt;0.00005),"*",LINEAS!$D$130&amp;" UNI "&amp;IF(LINEAS!$U$130&lt;=2,"GZ","GX")&amp;" "&amp;TEXT(IF(OR(LINEAS!$U$130=1,LINEAS!$U$130=3),1,-1)*LINEAS!$AB$130*DATOS!$C$67,DATOS!$C$68))</f>
        <v>326 UNI GZ -0.0551</v>
      </c>
      <c r="C156" s="51" t="str">
        <f aca="false">IF(LEN($B156)&gt;79,"MÁS DE 79 CARACTERES","")</f>
        <v/>
      </c>
      <c r="D156" s="53" t="str">
        <f aca="false">IF(PRESIONES!$C$22="NO","",IF(OR(LINEAS!$D$130="",LINEAS!$U$130=0,ABS(IF(OR(LINEAS!$U$130=1,LINEAS!$U$130=3),1,-1)*LINEAS!$AB$130*DATOS!$C$67)&lt;0.00005),"*",LINEAS!$D$130&amp;" UNI "&amp;IF(LINEAS!$U$130&lt;=2,"GZ","GX")&amp;" "&amp;TEXT(IF(OR(LINEAS!$U$130=1,LINEAS!$U$130=3),1,-1)*LINEAS!$AB$130*DATOS!$C$67,DATOS!$C$68)))</f>
        <v/>
      </c>
      <c r="E156" s="51" t="str">
        <f aca="false">IF(LEN($D156)&gt;79,"MÁS DE 79 CARACTERES","")</f>
        <v/>
      </c>
    </row>
    <row r="157" customFormat="false" ht="15" hidden="false" customHeight="true" outlineLevel="0" collapsed="false">
      <c r="B157" s="53" t="str">
        <f aca="false">IF(OR(LINEAS!$D$131="",LINEAS!$U$131=0,ABS(IF(OR(LINEAS!$U$131=1,LINEAS!$U$131=3),1,-1)*LINEAS!$AB$131*DATOS!$C$67)&lt;0.00005),"*",LINEAS!$D$131&amp;" UNI "&amp;IF(LINEAS!$U$131&lt;=2,"GZ","GX")&amp;" "&amp;TEXT(IF(OR(LINEAS!$U$131=1,LINEAS!$U$131=3),1,-1)*LINEAS!$AB$131*DATOS!$C$67,DATOS!$C$68))</f>
        <v>25 UNI GZ -0.0400</v>
      </c>
      <c r="C157" s="51" t="str">
        <f aca="false">IF(LEN($B157)&gt;79,"MÁS DE 79 CARACTERES","")</f>
        <v/>
      </c>
      <c r="D157" s="53" t="str">
        <f aca="false">IF(PRESIONES!$C$22="NO","",IF(OR(LINEAS!$D$131="",LINEAS!$U$131=0,ABS(IF(OR(LINEAS!$U$131=1,LINEAS!$U$131=3),1,-1)*LINEAS!$AB$131*DATOS!$C$67)&lt;0.00005),"*",LINEAS!$D$131&amp;" UNI "&amp;IF(LINEAS!$U$131&lt;=2,"GZ","GX")&amp;" "&amp;TEXT(IF(OR(LINEAS!$U$131=1,LINEAS!$U$131=3),1,-1)*LINEAS!$AB$131*DATOS!$C$67,DATOS!$C$68)))</f>
        <v/>
      </c>
      <c r="E157" s="51" t="str">
        <f aca="false">IF(LEN($D157)&gt;79,"MÁS DE 79 CARACTERES","")</f>
        <v/>
      </c>
    </row>
    <row r="158" customFormat="false" ht="15" hidden="false" customHeight="true" outlineLevel="0" collapsed="false">
      <c r="B158" s="53" t="str">
        <f aca="false">IF(OR(LINEAS!$D$132="",LINEAS!$U$132=0,ABS(IF(OR(LINEAS!$U$132=1,LINEAS!$U$132=3),1,-1)*LINEAS!$AB$132*DATOS!$C$67)&lt;0.00005),"*",LINEAS!$D$132&amp;" UNI "&amp;IF(LINEAS!$U$132&lt;=2,"GZ","GX")&amp;" "&amp;TEXT(IF(OR(LINEAS!$U$132=1,LINEAS!$U$132=3),1,-1)*LINEAS!$AB$132*DATOS!$C$67,DATOS!$C$68))</f>
        <v>327 UNI GZ -0.0551</v>
      </c>
      <c r="C158" s="51" t="str">
        <f aca="false">IF(LEN($B158)&gt;79,"MÁS DE 79 CARACTERES","")</f>
        <v/>
      </c>
      <c r="D158" s="53" t="str">
        <f aca="false">IF(PRESIONES!$C$22="NO","",IF(OR(LINEAS!$D$132="",LINEAS!$U$132=0,ABS(IF(OR(LINEAS!$U$132=1,LINEAS!$U$132=3),1,-1)*LINEAS!$AB$132*DATOS!$C$67)&lt;0.00005),"*",LINEAS!$D$132&amp;" UNI "&amp;IF(LINEAS!$U$132&lt;=2,"GZ","GX")&amp;" "&amp;TEXT(IF(OR(LINEAS!$U$132=1,LINEAS!$U$132=3),1,-1)*LINEAS!$AB$132*DATOS!$C$67,DATOS!$C$68)))</f>
        <v/>
      </c>
      <c r="E158" s="51" t="str">
        <f aca="false">IF(LEN($D158)&gt;79,"MÁS DE 79 CARACTERES","")</f>
        <v/>
      </c>
    </row>
    <row r="159" customFormat="false" ht="15" hidden="false" customHeight="true" outlineLevel="0" collapsed="false">
      <c r="B159" s="53" t="str">
        <f aca="false">IF(OR(LINEAS!$D$133="",LINEAS!$U$133=0,ABS(IF(OR(LINEAS!$U$133=1,LINEAS!$U$133=3),1,-1)*LINEAS!$AB$133*DATOS!$C$67)&lt;0.00005),"*",LINEAS!$D$133&amp;" UNI "&amp;IF(LINEAS!$U$133&lt;=2,"GZ","GX")&amp;" "&amp;TEXT(IF(OR(LINEAS!$U$133=1,LINEAS!$U$133=3),1,-1)*LINEAS!$AB$133*DATOS!$C$67,DATOS!$C$68))</f>
        <v>306 UNI GZ -0.0951</v>
      </c>
      <c r="C159" s="51" t="str">
        <f aca="false">IF(LEN($B159)&gt;79,"MÁS DE 79 CARACTERES","")</f>
        <v/>
      </c>
      <c r="D159" s="53" t="str">
        <f aca="false">IF(PRESIONES!$C$22="NO","",IF(OR(LINEAS!$D$133="",LINEAS!$U$133=0,ABS(IF(OR(LINEAS!$U$133=1,LINEAS!$U$133=3),1,-1)*LINEAS!$AB$133*DATOS!$C$67)&lt;0.00005),"*",LINEAS!$D$133&amp;" UNI "&amp;IF(LINEAS!$U$133&lt;=2,"GZ","GX")&amp;" "&amp;TEXT(IF(OR(LINEAS!$U$133=1,LINEAS!$U$133=3),1,-1)*LINEAS!$AB$133*DATOS!$C$67,DATOS!$C$68)))</f>
        <v/>
      </c>
      <c r="E159" s="51" t="str">
        <f aca="false">IF(LEN($D159)&gt;79,"MÁS DE 79 CARACTERES","")</f>
        <v/>
      </c>
    </row>
    <row r="160" customFormat="false" ht="15" hidden="false" customHeight="true" outlineLevel="0" collapsed="false">
      <c r="B160" s="53" t="str">
        <f aca="false">IF(OR(LINEAS!$D$134="",LINEAS!$U$134=0,ABS(IF(OR(LINEAS!$U$134=1,LINEAS!$U$134=3),1,-1)*LINEAS!$AB$134*DATOS!$C$67)&lt;0.00005),"*",LINEAS!$D$134&amp;" UNI "&amp;IF(LINEAS!$U$134&lt;=2,"GZ","GX")&amp;" "&amp;TEXT(IF(OR(LINEAS!$U$134=1,LINEAS!$U$134=3),1,-1)*LINEAS!$AB$134*DATOS!$C$67,DATOS!$C$68))</f>
        <v>322 UNI GZ -0.1102</v>
      </c>
      <c r="C160" s="51" t="str">
        <f aca="false">IF(LEN($B160)&gt;79,"MÁS DE 79 CARACTERES","")</f>
        <v/>
      </c>
      <c r="D160" s="53" t="str">
        <f aca="false">IF(PRESIONES!$C$22="NO","",IF(OR(LINEAS!$D$134="",LINEAS!$U$134=0,ABS(IF(OR(LINEAS!$U$134=1,LINEAS!$U$134=3),1,-1)*LINEAS!$AB$134*DATOS!$C$67)&lt;0.00005),"*",LINEAS!$D$134&amp;" UNI "&amp;IF(LINEAS!$U$134&lt;=2,"GZ","GX")&amp;" "&amp;TEXT(IF(OR(LINEAS!$U$134=1,LINEAS!$U$134=3),1,-1)*LINEAS!$AB$134*DATOS!$C$67,DATOS!$C$68)))</f>
        <v/>
      </c>
      <c r="E160" s="51" t="str">
        <f aca="false">IF(LEN($D160)&gt;79,"MÁS DE 79 CARACTERES","")</f>
        <v/>
      </c>
    </row>
    <row r="161" customFormat="false" ht="15" hidden="false" customHeight="true" outlineLevel="0" collapsed="false">
      <c r="B161" s="53" t="str">
        <f aca="false">IF(OR(LINEAS!$D$135="",LINEAS!$U$135=0,ABS(IF(OR(LINEAS!$U$135=1,LINEAS!$U$135=3),1,-1)*LINEAS!$AB$135*DATOS!$C$67)&lt;0.00005),"*",LINEAS!$D$135&amp;" UNI "&amp;IF(LINEAS!$U$135&lt;=2,"GZ","GX")&amp;" "&amp;TEXT(IF(OR(LINEAS!$U$135=1,LINEAS!$U$135=3),1,-1)*LINEAS!$AB$135*DATOS!$C$67,DATOS!$C$68))</f>
        <v>323 UNI GZ -0.1019</v>
      </c>
      <c r="C161" s="51" t="str">
        <f aca="false">IF(LEN($B161)&gt;79,"MÁS DE 79 CARACTERES","")</f>
        <v/>
      </c>
      <c r="D161" s="53" t="str">
        <f aca="false">IF(PRESIONES!$C$22="NO","",IF(OR(LINEAS!$D$135="",LINEAS!$U$135=0,ABS(IF(OR(LINEAS!$U$135=1,LINEAS!$U$135=3),1,-1)*LINEAS!$AB$135*DATOS!$C$67)&lt;0.00005),"*",LINEAS!$D$135&amp;" UNI "&amp;IF(LINEAS!$U$135&lt;=2,"GZ","GX")&amp;" "&amp;TEXT(IF(OR(LINEAS!$U$135=1,LINEAS!$U$135=3),1,-1)*LINEAS!$AB$135*DATOS!$C$67,DATOS!$C$68)))</f>
        <v/>
      </c>
      <c r="E161" s="51" t="str">
        <f aca="false">IF(LEN($D161)&gt;79,"MÁS DE 79 CARACTERES","")</f>
        <v/>
      </c>
    </row>
    <row r="162" customFormat="false" ht="15" hidden="false" customHeight="true" outlineLevel="0" collapsed="false">
      <c r="B162" s="53" t="str">
        <f aca="false">IF(OR(LINEAS!$D$136="",LINEAS!$U$136=0,ABS(IF(OR(LINEAS!$U$136=1,LINEAS!$U$136=3),1,-1)*LINEAS!$AB$136*DATOS!$C$67)&lt;0.00005),"*",LINEAS!$D$136&amp;" UNI "&amp;IF(LINEAS!$U$136&lt;=2,"GZ","GX")&amp;" "&amp;TEXT(IF(OR(LINEAS!$U$136=1,LINEAS!$U$136=3),1,-1)*LINEAS!$AB$136*DATOS!$C$67,DATOS!$C$68))</f>
        <v>22 85 TO 88 UNI GZ -0.0468</v>
      </c>
      <c r="C162" s="51" t="str">
        <f aca="false">IF(LEN($B162)&gt;79,"MÁS DE 79 CARACTERES","")</f>
        <v/>
      </c>
      <c r="D162" s="53" t="str">
        <f aca="false">IF(PRESIONES!$C$22="NO","",IF(OR(LINEAS!$D$136="",LINEAS!$U$136=0,ABS(IF(OR(LINEAS!$U$136=1,LINEAS!$U$136=3),1,-1)*LINEAS!$AB$136*DATOS!$C$67)&lt;0.00005),"*",LINEAS!$D$136&amp;" UNI "&amp;IF(LINEAS!$U$136&lt;=2,"GZ","GX")&amp;" "&amp;TEXT(IF(OR(LINEAS!$U$136=1,LINEAS!$U$136=3),1,-1)*LINEAS!$AB$136*DATOS!$C$67,DATOS!$C$68)))</f>
        <v/>
      </c>
      <c r="E162" s="51" t="str">
        <f aca="false">IF(LEN($D162)&gt;79,"MÁS DE 79 CARACTERES","")</f>
        <v/>
      </c>
    </row>
    <row r="163" customFormat="false" ht="15" hidden="false" customHeight="true" outlineLevel="0" collapsed="false">
      <c r="B163" s="53" t="str">
        <f aca="false">IF(OR(LINEAS!$D$137="",LINEAS!$U$137=0,ABS(IF(OR(LINEAS!$U$137=1,LINEAS!$U$137=3),1,-1)*LINEAS!$AB$137*DATOS!$C$67)&lt;0.00005),"*",LINEAS!$D$137&amp;" UNI "&amp;IF(LINEAS!$U$137&lt;=2,"GZ","GX")&amp;" "&amp;TEXT(IF(OR(LINEAS!$U$137=1,LINEAS!$U$137=3),1,-1)*LINEAS!$AB$137*DATOS!$C$67,DATOS!$C$68))</f>
        <v>17 191 203 213 223 233 UNI GZ -0.2343</v>
      </c>
      <c r="C163" s="51" t="str">
        <f aca="false">IF(LEN($B163)&gt;79,"MÁS DE 79 CARACTERES","")</f>
        <v/>
      </c>
      <c r="D163" s="53" t="str">
        <f aca="false">IF(PRESIONES!$C$22="NO","",IF(OR(LINEAS!$D$137="",LINEAS!$U$137=0,ABS(IF(OR(LINEAS!$U$137=1,LINEAS!$U$137=3),1,-1)*LINEAS!$AB$137*DATOS!$C$67)&lt;0.00005),"*",LINEAS!$D$137&amp;" UNI "&amp;IF(LINEAS!$U$137&lt;=2,"GZ","GX")&amp;" "&amp;TEXT(IF(OR(LINEAS!$U$137=1,LINEAS!$U$137=3),1,-1)*LINEAS!$AB$137*DATOS!$C$67,DATOS!$C$68)))</f>
        <v/>
      </c>
      <c r="E163" s="51" t="str">
        <f aca="false">IF(LEN($D163)&gt;79,"MÁS DE 79 CARACTERES","")</f>
        <v/>
      </c>
    </row>
    <row r="164" customFormat="false" ht="15" hidden="false" customHeight="true" outlineLevel="0" collapsed="false">
      <c r="B164" s="53" t="str">
        <f aca="false">IF(OR(LINEAS!$D$138="",LINEAS!$U$138=0,ABS(IF(OR(LINEAS!$U$138=1,LINEAS!$U$138=3),1,-1)*LINEAS!$AB$138*DATOS!$C$67)&lt;0.00005),"*",LINEAS!$D$138&amp;" UNI "&amp;IF(LINEAS!$U$138&lt;=2,"GZ","GX")&amp;" "&amp;TEXT(IF(OR(LINEAS!$U$138=1,LINEAS!$U$138=3),1,-1)*LINEAS!$AB$138*DATOS!$C$67,DATOS!$C$68))</f>
        <v>18 192 204 214 224 234 UNI GZ -0.2343</v>
      </c>
      <c r="C164" s="51" t="str">
        <f aca="false">IF(LEN($B164)&gt;79,"MÁS DE 79 CARACTERES","")</f>
        <v/>
      </c>
      <c r="D164" s="53" t="str">
        <f aca="false">IF(PRESIONES!$C$22="NO","",IF(OR(LINEAS!$D$138="",LINEAS!$U$138=0,ABS(IF(OR(LINEAS!$U$138=1,LINEAS!$U$138=3),1,-1)*LINEAS!$AB$138*DATOS!$C$67)&lt;0.00005),"*",LINEAS!$D$138&amp;" UNI "&amp;IF(LINEAS!$U$138&lt;=2,"GZ","GX")&amp;" "&amp;TEXT(IF(OR(LINEAS!$U$138=1,LINEAS!$U$138=3),1,-1)*LINEAS!$AB$138*DATOS!$C$67,DATOS!$C$68)))</f>
        <v/>
      </c>
      <c r="E164" s="51" t="str">
        <f aca="false">IF(LEN($D164)&gt;79,"MÁS DE 79 CARACTERES","")</f>
        <v/>
      </c>
    </row>
    <row r="165" customFormat="false" ht="15" hidden="false" customHeight="true" outlineLevel="0" collapsed="false">
      <c r="B165" s="53" t="str">
        <f aca="false">IF(OR(LINEAS!$D$139="",LINEAS!$U$139=0,ABS(IF(OR(LINEAS!$U$139=1,LINEAS!$U$139=3),1,-1)*LINEAS!$AB$139*DATOS!$C$67)&lt;0.00005),"*",LINEAS!$D$139&amp;" UNI "&amp;IF(LINEAS!$U$139&lt;=2,"GZ","GX")&amp;" "&amp;TEXT(IF(OR(LINEAS!$U$139=1,LINEAS!$U$139=3),1,-1)*LINEAS!$AB$139*DATOS!$C$67,DATOS!$C$68))</f>
        <v>*</v>
      </c>
      <c r="C165" s="51" t="str">
        <f aca="false">IF(LEN($B165)&gt;79,"MÁS DE 79 CARACTERES","")</f>
        <v/>
      </c>
      <c r="D165" s="53" t="str">
        <f aca="false">IF(PRESIONES!$C$22="NO","",IF(OR(LINEAS!$D$139="",LINEAS!$U$139=0,ABS(IF(OR(LINEAS!$U$139=1,LINEAS!$U$139=3),1,-1)*LINEAS!$AB$139*DATOS!$C$67)&lt;0.00005),"*",LINEAS!$D$139&amp;" UNI "&amp;IF(LINEAS!$U$139&lt;=2,"GZ","GX")&amp;" "&amp;TEXT(IF(OR(LINEAS!$U$139=1,LINEAS!$U$139=3),1,-1)*LINEAS!$AB$139*DATOS!$C$67,DATOS!$C$68)))</f>
        <v/>
      </c>
      <c r="E165" s="51" t="str">
        <f aca="false">IF(LEN($D165)&gt;79,"MÁS DE 79 CARACTERES","")</f>
        <v/>
      </c>
    </row>
    <row r="166" customFormat="false" ht="15" hidden="false" customHeight="true" outlineLevel="0" collapsed="false">
      <c r="B166" s="53" t="str">
        <f aca="false">IF(OR(LINEAS!$D$140="",LINEAS!$U$140=0,ABS(IF(OR(LINEAS!$U$140=1,LINEAS!$U$140=3),1,-1)*LINEAS!$AB$140*DATOS!$C$67)&lt;0.00005),"*",LINEAS!$D$140&amp;" UNI "&amp;IF(LINEAS!$U$140&lt;=2,"GZ","GX")&amp;" "&amp;TEXT(IF(OR(LINEAS!$U$140=1,LINEAS!$U$140=3),1,-1)*LINEAS!$AB$140*DATOS!$C$67,DATOS!$C$68))</f>
        <v>*</v>
      </c>
      <c r="C166" s="51" t="str">
        <f aca="false">IF(LEN($B166)&gt;79,"MÁS DE 79 CARACTERES","")</f>
        <v/>
      </c>
      <c r="D166" s="53" t="str">
        <f aca="false">IF(PRESIONES!$C$22="NO","",IF(OR(LINEAS!$D$140="",LINEAS!$U$140=0,ABS(IF(OR(LINEAS!$U$140=1,LINEAS!$U$140=3),1,-1)*LINEAS!$AB$140*DATOS!$C$67)&lt;0.00005),"*",LINEAS!$D$140&amp;" UNI "&amp;IF(LINEAS!$U$140&lt;=2,"GZ","GX")&amp;" "&amp;TEXT(IF(OR(LINEAS!$U$140=1,LINEAS!$U$140=3),1,-1)*LINEAS!$AB$140*DATOS!$C$67,DATOS!$C$68)))</f>
        <v/>
      </c>
      <c r="E166" s="51" t="str">
        <f aca="false">IF(LEN($D166)&gt;79,"MÁS DE 79 CARACTERES","")</f>
        <v/>
      </c>
    </row>
    <row r="167" customFormat="false" ht="15" hidden="false" customHeight="true" outlineLevel="0" collapsed="false">
      <c r="B167" s="53" t="str">
        <f aca="false">IF(OR(LINEAS!$D$141="",LINEAS!$U$141=0,ABS(IF(OR(LINEAS!$U$141=1,LINEAS!$U$141=3),1,-1)*LINEAS!$AB$141*DATOS!$C$67)&lt;0.00005),"*",LINEAS!$D$141&amp;" UNI "&amp;IF(LINEAS!$U$141&lt;=2,"GZ","GX")&amp;" "&amp;TEXT(IF(OR(LINEAS!$U$141=1,LINEAS!$U$141=3),1,-1)*LINEAS!$AB$141*DATOS!$C$67,DATOS!$C$68))</f>
        <v>*</v>
      </c>
      <c r="C167" s="51" t="str">
        <f aca="false">IF(LEN($B167)&gt;79,"MÁS DE 79 CARACTERES","")</f>
        <v/>
      </c>
      <c r="D167" s="53" t="str">
        <f aca="false">IF(PRESIONES!$C$22="NO","",IF(OR(LINEAS!$D$141="",LINEAS!$U$141=0,ABS(IF(OR(LINEAS!$U$141=1,LINEAS!$U$141=3),1,-1)*LINEAS!$AB$141*DATOS!$C$67)&lt;0.00005),"*",LINEAS!$D$141&amp;" UNI "&amp;IF(LINEAS!$U$141&lt;=2,"GZ","GX")&amp;" "&amp;TEXT(IF(OR(LINEAS!$U$141=1,LINEAS!$U$141=3),1,-1)*LINEAS!$AB$141*DATOS!$C$67,DATOS!$C$68)))</f>
        <v/>
      </c>
      <c r="E167" s="51" t="str">
        <f aca="false">IF(LEN($D167)&gt;79,"MÁS DE 79 CARACTERES","")</f>
        <v/>
      </c>
    </row>
    <row r="168" customFormat="false" ht="15" hidden="false" customHeight="true" outlineLevel="0" collapsed="false">
      <c r="B168" s="53" t="str">
        <f aca="false">IF(OR(LINEAS!$D$142="",LINEAS!$U$142=0,ABS(IF(OR(LINEAS!$U$142=1,LINEAS!$U$142=3),1,-1)*LINEAS!$AB$142*DATOS!$C$67)&lt;0.00005),"*",LINEAS!$D$142&amp;" UNI "&amp;IF(LINEAS!$U$142&lt;=2,"GZ","GX")&amp;" "&amp;TEXT(IF(OR(LINEAS!$U$142=1,LINEAS!$U$142=3),1,-1)*LINEAS!$AB$142*DATOS!$C$67,DATOS!$C$68))</f>
        <v>*</v>
      </c>
      <c r="C168" s="51" t="str">
        <f aca="false">IF(LEN($B168)&gt;79,"MÁS DE 79 CARACTERES","")</f>
        <v/>
      </c>
      <c r="D168" s="53" t="str">
        <f aca="false">IF(PRESIONES!$C$22="NO","",IF(OR(LINEAS!$D$142="",LINEAS!$U$142=0,ABS(IF(OR(LINEAS!$U$142=1,LINEAS!$U$142=3),1,-1)*LINEAS!$AB$142*DATOS!$C$67)&lt;0.00005),"*",LINEAS!$D$142&amp;" UNI "&amp;IF(LINEAS!$U$142&lt;=2,"GZ","GX")&amp;" "&amp;TEXT(IF(OR(LINEAS!$U$142=1,LINEAS!$U$142=3),1,-1)*LINEAS!$AB$142*DATOS!$C$67,DATOS!$C$68)))</f>
        <v/>
      </c>
      <c r="E168" s="51" t="str">
        <f aca="false">IF(LEN($D168)&gt;79,"MÁS DE 79 CARACTERES","")</f>
        <v/>
      </c>
    </row>
    <row r="169" customFormat="false" ht="15" hidden="false" customHeight="true" outlineLevel="0" collapsed="false">
      <c r="B169" s="53" t="str">
        <f aca="false">IF(OR(LINEAS!$D$143="",LINEAS!$U$143=0,ABS(IF(OR(LINEAS!$U$143=1,LINEAS!$U$143=3),1,-1)*LINEAS!$AB$143*DATOS!$C$67)&lt;0.00005),"*",LINEAS!$D$143&amp;" UNI "&amp;IF(LINEAS!$U$143&lt;=2,"GZ","GX")&amp;" "&amp;TEXT(IF(OR(LINEAS!$U$143=1,LINEAS!$U$143=3),1,-1)*LINEAS!$AB$143*DATOS!$C$67,DATOS!$C$68))</f>
        <v>*</v>
      </c>
      <c r="C169" s="51" t="str">
        <f aca="false">IF(LEN($B169)&gt;79,"MÁS DE 79 CARACTERES","")</f>
        <v/>
      </c>
      <c r="D169" s="53" t="str">
        <f aca="false">IF(PRESIONES!$C$22="NO","",IF(OR(LINEAS!$D$143="",LINEAS!$U$143=0,ABS(IF(OR(LINEAS!$U$143=1,LINEAS!$U$143=3),1,-1)*LINEAS!$AB$143*DATOS!$C$67)&lt;0.00005),"*",LINEAS!$D$143&amp;" UNI "&amp;IF(LINEAS!$U$143&lt;=2,"GZ","GX")&amp;" "&amp;TEXT(IF(OR(LINEAS!$U$143=1,LINEAS!$U$143=3),1,-1)*LINEAS!$AB$143*DATOS!$C$67,DATOS!$C$68)))</f>
        <v/>
      </c>
      <c r="E169" s="51" t="str">
        <f aca="false">IF(LEN($D169)&gt;79,"MÁS DE 79 CARACTERES","")</f>
        <v/>
      </c>
    </row>
    <row r="170" customFormat="false" ht="15" hidden="false" customHeight="true" outlineLevel="0" collapsed="false">
      <c r="B170" s="53" t="str">
        <f aca="false">IF(OR(LINEAS!$D$144="",LINEAS!$U$144=0,ABS(IF(OR(LINEAS!$U$144=1,LINEAS!$U$144=3),1,-1)*LINEAS!$AB$144*DATOS!$C$67)&lt;0.00005),"*",LINEAS!$D$144&amp;" UNI "&amp;IF(LINEAS!$U$144&lt;=2,"GZ","GX")&amp;" "&amp;TEXT(IF(OR(LINEAS!$U$144=1,LINEAS!$U$144=3),1,-1)*LINEAS!$AB$144*DATOS!$C$67,DATOS!$C$68))</f>
        <v>*</v>
      </c>
      <c r="C170" s="51" t="str">
        <f aca="false">IF(LEN($B170)&gt;79,"MÁS DE 79 CARACTERES","")</f>
        <v/>
      </c>
      <c r="D170" s="53" t="str">
        <f aca="false">IF(PRESIONES!$C$22="NO","",IF(OR(LINEAS!$D$144="",LINEAS!$U$144=0,ABS(IF(OR(LINEAS!$U$144=1,LINEAS!$U$144=3),1,-1)*LINEAS!$AB$144*DATOS!$C$67)&lt;0.00005),"*",LINEAS!$D$144&amp;" UNI "&amp;IF(LINEAS!$U$144&lt;=2,"GZ","GX")&amp;" "&amp;TEXT(IF(OR(LINEAS!$U$144=1,LINEAS!$U$144=3),1,-1)*LINEAS!$AB$144*DATOS!$C$67,DATOS!$C$68)))</f>
        <v/>
      </c>
      <c r="E170" s="51" t="str">
        <f aca="false">IF(LEN($D170)&gt;79,"MÁS DE 79 CARACTERES","")</f>
        <v/>
      </c>
    </row>
    <row r="171" customFormat="false" ht="15" hidden="false" customHeight="true" outlineLevel="0" collapsed="false">
      <c r="B171" s="53" t="str">
        <f aca="false">IF(OR(LINEAS!$D$145="",LINEAS!$U$145=0,ABS(IF(OR(LINEAS!$U$145=1,LINEAS!$U$145=3),1,-1)*LINEAS!$AB$145*DATOS!$C$67)&lt;0.00005),"*",LINEAS!$D$145&amp;" UNI "&amp;IF(LINEAS!$U$145&lt;=2,"GZ","GX")&amp;" "&amp;TEXT(IF(OR(LINEAS!$U$145=1,LINEAS!$U$145=3),1,-1)*LINEAS!$AB$145*DATOS!$C$67,DATOS!$C$68))</f>
        <v>*</v>
      </c>
      <c r="C171" s="51" t="str">
        <f aca="false">IF(LEN($B171)&gt;79,"MÁS DE 79 CARACTERES","")</f>
        <v/>
      </c>
      <c r="D171" s="53" t="str">
        <f aca="false">IF(PRESIONES!$C$22="NO","",IF(OR(LINEAS!$D$145="",LINEAS!$U$145=0,ABS(IF(OR(LINEAS!$U$145=1,LINEAS!$U$145=3),1,-1)*LINEAS!$AB$145*DATOS!$C$67)&lt;0.00005),"*",LINEAS!$D$145&amp;" UNI "&amp;IF(LINEAS!$U$145&lt;=2,"GZ","GX")&amp;" "&amp;TEXT(IF(OR(LINEAS!$U$145=1,LINEAS!$U$145=3),1,-1)*LINEAS!$AB$145*DATOS!$C$67,DATOS!$C$68)))</f>
        <v/>
      </c>
      <c r="E171" s="51" t="str">
        <f aca="false">IF(LEN($D171)&gt;79,"MÁS DE 79 CARACTERES","")</f>
        <v/>
      </c>
    </row>
    <row r="172" customFormat="false" ht="15" hidden="false" customHeight="true" outlineLevel="0" collapsed="false">
      <c r="B172" s="53" t="str">
        <f aca="false">IF(OR(LINEAS!$D$146="",LINEAS!$U$146=0,ABS(IF(OR(LINEAS!$U$146=1,LINEAS!$U$146=3),1,-1)*LINEAS!$AB$146*DATOS!$C$67)&lt;0.00005),"*",LINEAS!$D$146&amp;" UNI "&amp;IF(LINEAS!$U$146&lt;=2,"GZ","GX")&amp;" "&amp;TEXT(IF(OR(LINEAS!$U$146=1,LINEAS!$U$146=3),1,-1)*LINEAS!$AB$146*DATOS!$C$67,DATOS!$C$68))</f>
        <v>*</v>
      </c>
      <c r="C172" s="51" t="str">
        <f aca="false">IF(LEN($B172)&gt;79,"MÁS DE 79 CARACTERES","")</f>
        <v/>
      </c>
      <c r="D172" s="53" t="str">
        <f aca="false">IF(PRESIONES!$C$22="NO","",IF(OR(LINEAS!$D$146="",LINEAS!$U$146=0,ABS(IF(OR(LINEAS!$U$146=1,LINEAS!$U$146=3),1,-1)*LINEAS!$AB$146*DATOS!$C$67)&lt;0.00005),"*",LINEAS!$D$146&amp;" UNI "&amp;IF(LINEAS!$U$146&lt;=2,"GZ","GX")&amp;" "&amp;TEXT(IF(OR(LINEAS!$U$146=1,LINEAS!$U$146=3),1,-1)*LINEAS!$AB$146*DATOS!$C$67,DATOS!$C$68)))</f>
        <v/>
      </c>
      <c r="E172" s="51" t="str">
        <f aca="false">IF(LEN($D172)&gt;79,"MÁS DE 79 CARACTERES","")</f>
        <v/>
      </c>
    </row>
    <row r="173" customFormat="false" ht="15" hidden="false" customHeight="true" outlineLevel="0" collapsed="false">
      <c r="B173" s="53" t="str">
        <f aca="false">IF(OR(LINEAS!$D$147="",LINEAS!$U$147=0,ABS(IF(OR(LINEAS!$U$147=1,LINEAS!$U$147=3),1,-1)*LINEAS!$AB$147*DATOS!$C$67)&lt;0.00005),"*",LINEAS!$D$147&amp;" UNI "&amp;IF(LINEAS!$U$147&lt;=2,"GZ","GX")&amp;" "&amp;TEXT(IF(OR(LINEAS!$U$147=1,LINEAS!$U$147=3),1,-1)*LINEAS!$AB$147*DATOS!$C$67,DATOS!$C$68))</f>
        <v>*</v>
      </c>
      <c r="C173" s="51" t="str">
        <f aca="false">IF(LEN($B173)&gt;79,"MÁS DE 79 CARACTERES","")</f>
        <v/>
      </c>
      <c r="D173" s="53" t="str">
        <f aca="false">IF(PRESIONES!$C$22="NO","",IF(OR(LINEAS!$D$147="",LINEAS!$U$147=0,ABS(IF(OR(LINEAS!$U$147=1,LINEAS!$U$147=3),1,-1)*LINEAS!$AB$147*DATOS!$C$67)&lt;0.00005),"*",LINEAS!$D$147&amp;" UNI "&amp;IF(LINEAS!$U$147&lt;=2,"GZ","GX")&amp;" "&amp;TEXT(IF(OR(LINEAS!$U$147=1,LINEAS!$U$147=3),1,-1)*LINEAS!$AB$147*DATOS!$C$67,DATOS!$C$68)))</f>
        <v/>
      </c>
      <c r="E173" s="51" t="str">
        <f aca="false">IF(LEN($D173)&gt;79,"MÁS DE 79 CARACTERES","")</f>
        <v/>
      </c>
    </row>
    <row r="174" customFormat="false" ht="15" hidden="false" customHeight="true" outlineLevel="0" collapsed="false">
      <c r="B174" s="53" t="str">
        <f aca="false">IF(OR(LINEAS!$D$148="",LINEAS!$U$148=0,ABS(IF(OR(LINEAS!$U$148=1,LINEAS!$U$148=3),1,-1)*LINEAS!$AB$148*DATOS!$C$67)&lt;0.00005),"*",LINEAS!$D$148&amp;" UNI "&amp;IF(LINEAS!$U$148&lt;=2,"GZ","GX")&amp;" "&amp;TEXT(IF(OR(LINEAS!$U$148=1,LINEAS!$U$148=3),1,-1)*LINEAS!$AB$148*DATOS!$C$67,DATOS!$C$68))</f>
        <v>*</v>
      </c>
      <c r="C174" s="51" t="str">
        <f aca="false">IF(LEN($B174)&gt;79,"MÁS DE 79 CARACTERES","")</f>
        <v/>
      </c>
      <c r="D174" s="53" t="str">
        <f aca="false">IF(PRESIONES!$C$22="NO","",IF(OR(LINEAS!$D$148="",LINEAS!$U$148=0,ABS(IF(OR(LINEAS!$U$148=1,LINEAS!$U$148=3),1,-1)*LINEAS!$AB$148*DATOS!$C$67)&lt;0.00005),"*",LINEAS!$D$148&amp;" UNI "&amp;IF(LINEAS!$U$148&lt;=2,"GZ","GX")&amp;" "&amp;TEXT(IF(OR(LINEAS!$U$148=1,LINEAS!$U$148=3),1,-1)*LINEAS!$AB$148*DATOS!$C$67,DATOS!$C$68)))</f>
        <v/>
      </c>
      <c r="E174" s="51" t="str">
        <f aca="false">IF(LEN($D174)&gt;79,"MÁS DE 79 CARACTERES","")</f>
        <v/>
      </c>
    </row>
    <row r="175" customFormat="false" ht="15" hidden="false" customHeight="true" outlineLevel="0" collapsed="false">
      <c r="B175" s="53" t="str">
        <f aca="false">IF(OR(LINEAS!$D$149="",LINEAS!$U$149=0,ABS(IF(OR(LINEAS!$U$149=1,LINEAS!$U$149=3),1,-1)*LINEAS!$AB$149*DATOS!$C$67)&lt;0.00005),"*",LINEAS!$D$149&amp;" UNI "&amp;IF(LINEAS!$U$149&lt;=2,"GZ","GX")&amp;" "&amp;TEXT(IF(OR(LINEAS!$U$149=1,LINEAS!$U$149=3),1,-1)*LINEAS!$AB$149*DATOS!$C$67,DATOS!$C$68))</f>
        <v>*</v>
      </c>
      <c r="C175" s="51" t="str">
        <f aca="false">IF(LEN($B175)&gt;79,"MÁS DE 79 CARACTERES","")</f>
        <v/>
      </c>
      <c r="D175" s="53" t="str">
        <f aca="false">IF(PRESIONES!$C$22="NO","",IF(OR(LINEAS!$D$149="",LINEAS!$U$149=0,ABS(IF(OR(LINEAS!$U$149=1,LINEAS!$U$149=3),1,-1)*LINEAS!$AB$149*DATOS!$C$67)&lt;0.00005),"*",LINEAS!$D$149&amp;" UNI "&amp;IF(LINEAS!$U$149&lt;=2,"GZ","GX")&amp;" "&amp;TEXT(IF(OR(LINEAS!$U$149=1,LINEAS!$U$149=3),1,-1)*LINEAS!$AB$149*DATOS!$C$67,DATOS!$C$68)))</f>
        <v/>
      </c>
      <c r="E175" s="51" t="str">
        <f aca="false">IF(LEN($D175)&gt;79,"MÁS DE 79 CARACTERES","")</f>
        <v/>
      </c>
    </row>
    <row r="176" customFormat="false" ht="15" hidden="false" customHeight="true" outlineLevel="0" collapsed="false">
      <c r="B176" s="53" t="str">
        <f aca="false">IF(OR(LINEAS!$D$150="",LINEAS!$U$150=0,ABS(IF(OR(LINEAS!$U$150=1,LINEAS!$U$150=3),1,-1)*LINEAS!$AB$150*DATOS!$C$67)&lt;0.00005),"*",LINEAS!$D$150&amp;" UNI "&amp;IF(LINEAS!$U$150&lt;=2,"GZ","GX")&amp;" "&amp;TEXT(IF(OR(LINEAS!$U$150=1,LINEAS!$U$150=3),1,-1)*LINEAS!$AB$150*DATOS!$C$67,DATOS!$C$68))</f>
        <v>*</v>
      </c>
      <c r="C176" s="51" t="str">
        <f aca="false">IF(LEN($B176)&gt;79,"MÁS DE 79 CARACTERES","")</f>
        <v/>
      </c>
      <c r="D176" s="53" t="str">
        <f aca="false">IF(PRESIONES!$C$22="NO","",IF(OR(LINEAS!$D$150="",LINEAS!$U$150=0,ABS(IF(OR(LINEAS!$U$150=1,LINEAS!$U$150=3),1,-1)*LINEAS!$AB$150*DATOS!$C$67)&lt;0.00005),"*",LINEAS!$D$150&amp;" UNI "&amp;IF(LINEAS!$U$150&lt;=2,"GZ","GX")&amp;" "&amp;TEXT(IF(OR(LINEAS!$U$150=1,LINEAS!$U$150=3),1,-1)*LINEAS!$AB$150*DATOS!$C$67,DATOS!$C$68)))</f>
        <v/>
      </c>
      <c r="E176" s="51" t="str">
        <f aca="false">IF(LEN($D176)&gt;79,"MÁS DE 79 CARACTERES","")</f>
        <v/>
      </c>
    </row>
    <row r="177" customFormat="false" ht="15" hidden="false" customHeight="true" outlineLevel="0" collapsed="false">
      <c r="B177" s="53" t="str">
        <f aca="false">IF(OR(LINEAS!$D$151="",LINEAS!$U$151=0,ABS(IF(OR(LINEAS!$U$151=1,LINEAS!$U$151=3),1,-1)*LINEAS!$AB$151*DATOS!$C$67)&lt;0.00005),"*",LINEAS!$D$151&amp;" UNI "&amp;IF(LINEAS!$U$151&lt;=2,"GZ","GX")&amp;" "&amp;TEXT(IF(OR(LINEAS!$U$151=1,LINEAS!$U$151=3),1,-1)*LINEAS!$AB$151*DATOS!$C$67,DATOS!$C$68))</f>
        <v>*</v>
      </c>
      <c r="C177" s="51" t="str">
        <f aca="false">IF(LEN($B177)&gt;79,"MÁS DE 79 CARACTERES","")</f>
        <v/>
      </c>
      <c r="D177" s="53" t="str">
        <f aca="false">IF(PRESIONES!$C$22="NO","",IF(OR(LINEAS!$D$151="",LINEAS!$U$151=0,ABS(IF(OR(LINEAS!$U$151=1,LINEAS!$U$151=3),1,-1)*LINEAS!$AB$151*DATOS!$C$67)&lt;0.00005),"*",LINEAS!$D$151&amp;" UNI "&amp;IF(LINEAS!$U$151&lt;=2,"GZ","GX")&amp;" "&amp;TEXT(IF(OR(LINEAS!$U$151=1,LINEAS!$U$151=3),1,-1)*LINEAS!$AB$151*DATOS!$C$67,DATOS!$C$68)))</f>
        <v/>
      </c>
      <c r="E177" s="51" t="str">
        <f aca="false">IF(LEN($D177)&gt;79,"MÁS DE 79 CARACTERES","")</f>
        <v/>
      </c>
    </row>
    <row r="178" customFormat="false" ht="15" hidden="false" customHeight="true" outlineLevel="0" collapsed="false">
      <c r="B178" s="53" t="str">
        <f aca="false">IF(OR(LINEAS!$D$152="",LINEAS!$U$152=0,ABS(IF(OR(LINEAS!$U$152=1,LINEAS!$U$152=3),1,-1)*LINEAS!$AB$152*DATOS!$C$67)&lt;0.00005),"*",LINEAS!$D$152&amp;" UNI "&amp;IF(LINEAS!$U$152&lt;=2,"GZ","GX")&amp;" "&amp;TEXT(IF(OR(LINEAS!$U$152=1,LINEAS!$U$152=3),1,-1)*LINEAS!$AB$152*DATOS!$C$67,DATOS!$C$68))</f>
        <v>*</v>
      </c>
      <c r="C178" s="51" t="str">
        <f aca="false">IF(LEN($B178)&gt;79,"MÁS DE 79 CARACTERES","")</f>
        <v/>
      </c>
      <c r="D178" s="53" t="str">
        <f aca="false">IF(PRESIONES!$C$22="NO","",IF(OR(LINEAS!$D$152="",LINEAS!$U$152=0,ABS(IF(OR(LINEAS!$U$152=1,LINEAS!$U$152=3),1,-1)*LINEAS!$AB$152*DATOS!$C$67)&lt;0.00005),"*",LINEAS!$D$152&amp;" UNI "&amp;IF(LINEAS!$U$152&lt;=2,"GZ","GX")&amp;" "&amp;TEXT(IF(OR(LINEAS!$U$152=1,LINEAS!$U$152=3),1,-1)*LINEAS!$AB$152*DATOS!$C$67,DATOS!$C$68)))</f>
        <v/>
      </c>
      <c r="E178" s="51" t="str">
        <f aca="false">IF(LEN($D178)&gt;79,"MÁS DE 79 CARACTERES","")</f>
        <v/>
      </c>
    </row>
    <row r="179" customFormat="false" ht="15" hidden="false" customHeight="true" outlineLevel="0" collapsed="false">
      <c r="B179" s="53" t="str">
        <f aca="false">IF(OR(LINEAS!$D$153="",LINEAS!$U$153=0,ABS(IF(OR(LINEAS!$U$153=1,LINEAS!$U$153=3),1,-1)*LINEAS!$AB$153*DATOS!$C$67)&lt;0.00005),"*",LINEAS!$D$153&amp;" UNI "&amp;IF(LINEAS!$U$153&lt;=2,"GZ","GX")&amp;" "&amp;TEXT(IF(OR(LINEAS!$U$153=1,LINEAS!$U$153=3),1,-1)*LINEAS!$AB$153*DATOS!$C$67,DATOS!$C$68))</f>
        <v>*</v>
      </c>
      <c r="C179" s="51" t="str">
        <f aca="false">IF(LEN($B179)&gt;79,"MÁS DE 79 CARACTERES","")</f>
        <v/>
      </c>
      <c r="D179" s="53" t="str">
        <f aca="false">IF(PRESIONES!$C$22="NO","",IF(OR(LINEAS!$D$153="",LINEAS!$U$153=0,ABS(IF(OR(LINEAS!$U$153=1,LINEAS!$U$153=3),1,-1)*LINEAS!$AB$153*DATOS!$C$67)&lt;0.00005),"*",LINEAS!$D$153&amp;" UNI "&amp;IF(LINEAS!$U$153&lt;=2,"GZ","GX")&amp;" "&amp;TEXT(IF(OR(LINEAS!$U$153=1,LINEAS!$U$153=3),1,-1)*LINEAS!$AB$153*DATOS!$C$67,DATOS!$C$68)))</f>
        <v/>
      </c>
      <c r="E179" s="51" t="str">
        <f aca="false">IF(LEN($D179)&gt;79,"MÁS DE 79 CARACTERES","")</f>
        <v/>
      </c>
    </row>
    <row r="180" customFormat="false" ht="15" hidden="false" customHeight="true" outlineLevel="0" collapsed="false">
      <c r="B180" s="53" t="str">
        <f aca="false">IF(OR(LINEAS!$D$154="",LINEAS!$U$154=0,ABS(IF(OR(LINEAS!$U$154=1,LINEAS!$U$154=3),1,-1)*LINEAS!$AB$154*DATOS!$C$67)&lt;0.00005),"*",LINEAS!$D$154&amp;" UNI "&amp;IF(LINEAS!$U$154&lt;=2,"GZ","GX")&amp;" "&amp;TEXT(IF(OR(LINEAS!$U$154=1,LINEAS!$U$154=3),1,-1)*LINEAS!$AB$154*DATOS!$C$67,DATOS!$C$68))</f>
        <v>*</v>
      </c>
      <c r="C180" s="51" t="str">
        <f aca="false">IF(LEN($B180)&gt;79,"MÁS DE 79 CARACTERES","")</f>
        <v/>
      </c>
      <c r="D180" s="53" t="str">
        <f aca="false">IF(PRESIONES!$C$22="NO","",IF(OR(LINEAS!$D$154="",LINEAS!$U$154=0,ABS(IF(OR(LINEAS!$U$154=1,LINEAS!$U$154=3),1,-1)*LINEAS!$AB$154*DATOS!$C$67)&lt;0.00005),"*",LINEAS!$D$154&amp;" UNI "&amp;IF(LINEAS!$U$154&lt;=2,"GZ","GX")&amp;" "&amp;TEXT(IF(OR(LINEAS!$U$154=1,LINEAS!$U$154=3),1,-1)*LINEAS!$AB$154*DATOS!$C$67,DATOS!$C$68)))</f>
        <v/>
      </c>
      <c r="E180" s="51" t="str">
        <f aca="false">IF(LEN($D180)&gt;79,"MÁS DE 79 CARACTERES","")</f>
        <v/>
      </c>
    </row>
    <row r="181" customFormat="false" ht="15" hidden="false" customHeight="true" outlineLevel="0" collapsed="false">
      <c r="B181" s="53" t="str">
        <f aca="false">IF(OR(LINEAS!$D$155="",LINEAS!$U$155=0,ABS(IF(OR(LINEAS!$U$155=1,LINEAS!$U$155=3),1,-1)*LINEAS!$AB$155*DATOS!$C$67)&lt;0.00005),"*",LINEAS!$D$155&amp;" UNI "&amp;IF(LINEAS!$U$155&lt;=2,"GZ","GX")&amp;" "&amp;TEXT(IF(OR(LINEAS!$U$155=1,LINEAS!$U$155=3),1,-1)*LINEAS!$AB$155*DATOS!$C$67,DATOS!$C$68))</f>
        <v>*</v>
      </c>
      <c r="C181" s="51" t="str">
        <f aca="false">IF(LEN($B181)&gt;79,"MÁS DE 79 CARACTERES","")</f>
        <v/>
      </c>
      <c r="D181" s="53" t="str">
        <f aca="false">IF(PRESIONES!$C$22="NO","",IF(OR(LINEAS!$D$155="",LINEAS!$U$155=0,ABS(IF(OR(LINEAS!$U$155=1,LINEAS!$U$155=3),1,-1)*LINEAS!$AB$155*DATOS!$C$67)&lt;0.00005),"*",LINEAS!$D$155&amp;" UNI "&amp;IF(LINEAS!$U$155&lt;=2,"GZ","GX")&amp;" "&amp;TEXT(IF(OR(LINEAS!$U$155=1,LINEAS!$U$155=3),1,-1)*LINEAS!$AB$155*DATOS!$C$67,DATOS!$C$68)))</f>
        <v/>
      </c>
      <c r="E181" s="51" t="str">
        <f aca="false">IF(LEN($D181)&gt;79,"MÁS DE 79 CARACTERES","")</f>
        <v/>
      </c>
    </row>
    <row r="182" customFormat="false" ht="15" hidden="false" customHeight="true" outlineLevel="0" collapsed="false">
      <c r="B182" s="53" t="str">
        <f aca="false">IF(OR(LINEAS!$D$156="",LINEAS!$U$156=0,ABS(IF(OR(LINEAS!$U$156=1,LINEAS!$U$156=3),1,-1)*LINEAS!$AB$156*DATOS!$C$67)&lt;0.00005),"*",LINEAS!$D$156&amp;" UNI "&amp;IF(LINEAS!$U$156&lt;=2,"GZ","GX")&amp;" "&amp;TEXT(IF(OR(LINEAS!$U$156=1,LINEAS!$U$156=3),1,-1)*LINEAS!$AB$156*DATOS!$C$67,DATOS!$C$68))</f>
        <v>*</v>
      </c>
      <c r="C182" s="51" t="str">
        <f aca="false">IF(LEN($B182)&gt;79,"MÁS DE 79 CARACTERES","")</f>
        <v/>
      </c>
      <c r="D182" s="53" t="str">
        <f aca="false">IF(PRESIONES!$C$22="NO","",IF(OR(LINEAS!$D$156="",LINEAS!$U$156=0,ABS(IF(OR(LINEAS!$U$156=1,LINEAS!$U$156=3),1,-1)*LINEAS!$AB$156*DATOS!$C$67)&lt;0.00005),"*",LINEAS!$D$156&amp;" UNI "&amp;IF(LINEAS!$U$156&lt;=2,"GZ","GX")&amp;" "&amp;TEXT(IF(OR(LINEAS!$U$156=1,LINEAS!$U$156=3),1,-1)*LINEAS!$AB$156*DATOS!$C$67,DATOS!$C$68)))</f>
        <v/>
      </c>
      <c r="E182" s="51" t="str">
        <f aca="false">IF(LEN($D182)&gt;79,"MÁS DE 79 CARACTERES","")</f>
        <v/>
      </c>
    </row>
    <row r="183" customFormat="false" ht="15" hidden="false" customHeight="true" outlineLevel="0" collapsed="false">
      <c r="B183" s="53" t="str">
        <f aca="false">IF(OR(LINEAS!$D$157="",LINEAS!$U$157=0,ABS(IF(OR(LINEAS!$U$157=1,LINEAS!$U$157=3),1,-1)*LINEAS!$AB$157*DATOS!$C$67)&lt;0.00005),"*",LINEAS!$D$157&amp;" UNI "&amp;IF(LINEAS!$U$157&lt;=2,"GZ","GX")&amp;" "&amp;TEXT(IF(OR(LINEAS!$U$157=1,LINEAS!$U$157=3),1,-1)*LINEAS!$AB$157*DATOS!$C$67,DATOS!$C$68))</f>
        <v>*</v>
      </c>
      <c r="C183" s="51" t="str">
        <f aca="false">IF(LEN($B183)&gt;79,"MÁS DE 79 CARACTERES","")</f>
        <v/>
      </c>
      <c r="D183" s="53" t="str">
        <f aca="false">IF(PRESIONES!$C$22="NO","",IF(OR(LINEAS!$D$157="",LINEAS!$U$157=0,ABS(IF(OR(LINEAS!$U$157=1,LINEAS!$U$157=3),1,-1)*LINEAS!$AB$157*DATOS!$C$67)&lt;0.00005),"*",LINEAS!$D$157&amp;" UNI "&amp;IF(LINEAS!$U$157&lt;=2,"GZ","GX")&amp;" "&amp;TEXT(IF(OR(LINEAS!$U$157=1,LINEAS!$U$157=3),1,-1)*LINEAS!$AB$157*DATOS!$C$67,DATOS!$C$68)))</f>
        <v/>
      </c>
      <c r="E183" s="51" t="str">
        <f aca="false">IF(LEN($D183)&gt;79,"MÁS DE 79 CARACTERES","")</f>
        <v/>
      </c>
    </row>
    <row r="184" customFormat="false" ht="15" hidden="false" customHeight="true" outlineLevel="0" collapsed="false">
      <c r="B184" s="53" t="str">
        <f aca="false">IF(OR(LINEAS!$D$158="",LINEAS!$U$158=0,ABS(IF(OR(LINEAS!$U$158=1,LINEAS!$U$158=3),1,-1)*LINEAS!$AB$158*DATOS!$C$67)&lt;0.00005),"*",LINEAS!$D$158&amp;" UNI "&amp;IF(LINEAS!$U$158&lt;=2,"GZ","GX")&amp;" "&amp;TEXT(IF(OR(LINEAS!$U$158=1,LINEAS!$U$158=3),1,-1)*LINEAS!$AB$158*DATOS!$C$67,DATOS!$C$68))</f>
        <v>*</v>
      </c>
      <c r="C184" s="51" t="str">
        <f aca="false">IF(LEN($B184)&gt;79,"MÁS DE 79 CARACTERES","")</f>
        <v/>
      </c>
      <c r="D184" s="53" t="str">
        <f aca="false">IF(PRESIONES!$C$22="NO","",IF(OR(LINEAS!$D$158="",LINEAS!$U$158=0,ABS(IF(OR(LINEAS!$U$158=1,LINEAS!$U$158=3),1,-1)*LINEAS!$AB$158*DATOS!$C$67)&lt;0.00005),"*",LINEAS!$D$158&amp;" UNI "&amp;IF(LINEAS!$U$158&lt;=2,"GZ","GX")&amp;" "&amp;TEXT(IF(OR(LINEAS!$U$158=1,LINEAS!$U$158=3),1,-1)*LINEAS!$AB$158*DATOS!$C$67,DATOS!$C$68)))</f>
        <v/>
      </c>
      <c r="E184" s="51" t="str">
        <f aca="false">IF(LEN($D184)&gt;79,"MÁS DE 79 CARACTERES","")</f>
        <v/>
      </c>
    </row>
    <row r="185" customFormat="false" ht="15" hidden="false" customHeight="true" outlineLevel="0" collapsed="false">
      <c r="B185" s="53" t="str">
        <f aca="false">IF(OR(LINEAS!$D$159="",LINEAS!$U$159=0,ABS(IF(OR(LINEAS!$U$159=1,LINEAS!$U$159=3),1,-1)*LINEAS!$AB$159*DATOS!$C$67)&lt;0.00005),"*",LINEAS!$D$159&amp;" UNI "&amp;IF(LINEAS!$U$159&lt;=2,"GZ","GX")&amp;" "&amp;TEXT(IF(OR(LINEAS!$U$159=1,LINEAS!$U$159=3),1,-1)*LINEAS!$AB$159*DATOS!$C$67,DATOS!$C$68))</f>
        <v>*</v>
      </c>
      <c r="C185" s="51" t="str">
        <f aca="false">IF(LEN($B185)&gt;79,"MÁS DE 79 CARACTERES","")</f>
        <v/>
      </c>
      <c r="D185" s="53" t="str">
        <f aca="false">IF(PRESIONES!$C$22="NO","",IF(OR(LINEAS!$D$159="",LINEAS!$U$159=0,ABS(IF(OR(LINEAS!$U$159=1,LINEAS!$U$159=3),1,-1)*LINEAS!$AB$159*DATOS!$C$67)&lt;0.00005),"*",LINEAS!$D$159&amp;" UNI "&amp;IF(LINEAS!$U$159&lt;=2,"GZ","GX")&amp;" "&amp;TEXT(IF(OR(LINEAS!$U$159=1,LINEAS!$U$159=3),1,-1)*LINEAS!$AB$159*DATOS!$C$67,DATOS!$C$68)))</f>
        <v/>
      </c>
      <c r="E185" s="51" t="str">
        <f aca="false">IF(LEN($D185)&gt;79,"MÁS DE 79 CARACTERES","")</f>
        <v/>
      </c>
    </row>
    <row r="186" customFormat="false" ht="15" hidden="false" customHeight="true" outlineLevel="0" collapsed="false">
      <c r="B186" s="53" t="str">
        <f aca="false">IF(OR(LINEAS!$D$160="",LINEAS!$U$160=0,ABS(IF(OR(LINEAS!$U$160=1,LINEAS!$U$160=3),1,-1)*LINEAS!$AB$160*DATOS!$C$67)&lt;0.00005),"*",LINEAS!$D$160&amp;" UNI "&amp;IF(LINEAS!$U$160&lt;=2,"GZ","GX")&amp;" "&amp;TEXT(IF(OR(LINEAS!$U$160=1,LINEAS!$U$160=3),1,-1)*LINEAS!$AB$160*DATOS!$C$67,DATOS!$C$68))</f>
        <v>*</v>
      </c>
      <c r="C186" s="51" t="str">
        <f aca="false">IF(LEN($B186)&gt;79,"MÁS DE 79 CARACTERES","")</f>
        <v/>
      </c>
      <c r="D186" s="53" t="str">
        <f aca="false">IF(PRESIONES!$C$22="NO","",IF(OR(LINEAS!$D$160="",LINEAS!$U$160=0,ABS(IF(OR(LINEAS!$U$160=1,LINEAS!$U$160=3),1,-1)*LINEAS!$AB$160*DATOS!$C$67)&lt;0.00005),"*",LINEAS!$D$160&amp;" UNI "&amp;IF(LINEAS!$U$160&lt;=2,"GZ","GX")&amp;" "&amp;TEXT(IF(OR(LINEAS!$U$160=1,LINEAS!$U$160=3),1,-1)*LINEAS!$AB$160*DATOS!$C$67,DATOS!$C$68)))</f>
        <v/>
      </c>
      <c r="E186" s="51" t="str">
        <f aca="false">IF(LEN($D186)&gt;79,"MÁS DE 79 CARACTERES","")</f>
        <v/>
      </c>
    </row>
    <row r="187" customFormat="false" ht="15" hidden="false" customHeight="true" outlineLevel="0" collapsed="false">
      <c r="B187" s="53" t="str">
        <f aca="false">IF(OR(LINEAS!$D$161="",LINEAS!$U$161=0,ABS(IF(OR(LINEAS!$U$161=1,LINEAS!$U$161=3),1,-1)*LINEAS!$AB$161*DATOS!$C$67)&lt;0.00005),"*",LINEAS!$D$161&amp;" UNI "&amp;IF(LINEAS!$U$161&lt;=2,"GZ","GX")&amp;" "&amp;TEXT(IF(OR(LINEAS!$U$161=1,LINEAS!$U$161=3),1,-1)*LINEAS!$AB$161*DATOS!$C$67,DATOS!$C$68))</f>
        <v>*</v>
      </c>
      <c r="C187" s="51" t="str">
        <f aca="false">IF(LEN($B187)&gt;79,"MÁS DE 79 CARACTERES","")</f>
        <v/>
      </c>
      <c r="D187" s="53" t="str">
        <f aca="false">IF(PRESIONES!$C$22="NO","",IF(OR(LINEAS!$D$161="",LINEAS!$U$161=0,ABS(IF(OR(LINEAS!$U$161=1,LINEAS!$U$161=3),1,-1)*LINEAS!$AB$161*DATOS!$C$67)&lt;0.00005),"*",LINEAS!$D$161&amp;" UNI "&amp;IF(LINEAS!$U$161&lt;=2,"GZ","GX")&amp;" "&amp;TEXT(IF(OR(LINEAS!$U$161=1,LINEAS!$U$161=3),1,-1)*LINEAS!$AB$161*DATOS!$C$67,DATOS!$C$68)))</f>
        <v/>
      </c>
      <c r="E187" s="51" t="str">
        <f aca="false">IF(LEN($D187)&gt;79,"MÁS DE 79 CARACTERES","")</f>
        <v/>
      </c>
    </row>
    <row r="188" customFormat="false" ht="15" hidden="false" customHeight="true" outlineLevel="0" collapsed="false">
      <c r="B188" s="53" t="str">
        <f aca="false">IF(OR(LINEAS!$D$162="",LINEAS!$U$162=0,ABS(IF(OR(LINEAS!$U$162=1,LINEAS!$U$162=3),1,-1)*LINEAS!$AB$162*DATOS!$C$67)&lt;0.00005),"*",LINEAS!$D$162&amp;" UNI "&amp;IF(LINEAS!$U$162&lt;=2,"GZ","GX")&amp;" "&amp;TEXT(IF(OR(LINEAS!$U$162=1,LINEAS!$U$162=3),1,-1)*LINEAS!$AB$162*DATOS!$C$67,DATOS!$C$68))</f>
        <v>*</v>
      </c>
      <c r="C188" s="51" t="str">
        <f aca="false">IF(LEN($B188)&gt;79,"MÁS DE 79 CARACTERES","")</f>
        <v/>
      </c>
      <c r="D188" s="53" t="str">
        <f aca="false">IF(PRESIONES!$C$22="NO","",IF(OR(LINEAS!$D$162="",LINEAS!$U$162=0,ABS(IF(OR(LINEAS!$U$162=1,LINEAS!$U$162=3),1,-1)*LINEAS!$AB$162*DATOS!$C$67)&lt;0.00005),"*",LINEAS!$D$162&amp;" UNI "&amp;IF(LINEAS!$U$162&lt;=2,"GZ","GX")&amp;" "&amp;TEXT(IF(OR(LINEAS!$U$162=1,LINEAS!$U$162=3),1,-1)*LINEAS!$AB$162*DATOS!$C$67,DATOS!$C$68)))</f>
        <v/>
      </c>
      <c r="E188" s="51" t="str">
        <f aca="false">IF(LEN($D188)&gt;79,"MÁS DE 79 CARACTERES","")</f>
        <v/>
      </c>
    </row>
    <row r="189" customFormat="false" ht="15" hidden="false" customHeight="true" outlineLevel="0" collapsed="false">
      <c r="B189" s="53" t="str">
        <f aca="false">IF(OR(LINEAS!$D$163="",LINEAS!$U$163=0,ABS(IF(OR(LINEAS!$U$163=1,LINEAS!$U$163=3),1,-1)*LINEAS!$AB$163*DATOS!$C$67)&lt;0.00005),"*",LINEAS!$D$163&amp;" UNI "&amp;IF(LINEAS!$U$163&lt;=2,"GZ","GX")&amp;" "&amp;TEXT(IF(OR(LINEAS!$U$163=1,LINEAS!$U$163=3),1,-1)*LINEAS!$AB$163*DATOS!$C$67,DATOS!$C$68))</f>
        <v>*</v>
      </c>
      <c r="C189" s="51" t="str">
        <f aca="false">IF(LEN($B189)&gt;79,"MÁS DE 79 CARACTERES","")</f>
        <v/>
      </c>
      <c r="D189" s="53" t="str">
        <f aca="false">IF(PRESIONES!$C$22="NO","",IF(OR(LINEAS!$D$163="",LINEAS!$U$163=0,ABS(IF(OR(LINEAS!$U$163=1,LINEAS!$U$163=3),1,-1)*LINEAS!$AB$163*DATOS!$C$67)&lt;0.00005),"*",LINEAS!$D$163&amp;" UNI "&amp;IF(LINEAS!$U$163&lt;=2,"GZ","GX")&amp;" "&amp;TEXT(IF(OR(LINEAS!$U$163=1,LINEAS!$U$163=3),1,-1)*LINEAS!$AB$163*DATOS!$C$67,DATOS!$C$68)))</f>
        <v/>
      </c>
      <c r="E189" s="51" t="str">
        <f aca="false">IF(LEN($D189)&gt;79,"MÁS DE 79 CARACTERES","")</f>
        <v/>
      </c>
    </row>
    <row r="190" customFormat="false" ht="15" hidden="false" customHeight="true" outlineLevel="0" collapsed="false">
      <c r="B190" s="53" t="str">
        <f aca="false">IF(OR(LINEAS!$D$164="",LINEAS!$U$164=0,ABS(IF(OR(LINEAS!$U$164=1,LINEAS!$U$164=3),1,-1)*LINEAS!$AB$164*DATOS!$C$67)&lt;0.00005),"*",LINEAS!$D$164&amp;" UNI "&amp;IF(LINEAS!$U$164&lt;=2,"GZ","GX")&amp;" "&amp;TEXT(IF(OR(LINEAS!$U$164=1,LINEAS!$U$164=3),1,-1)*LINEAS!$AB$164*DATOS!$C$67,DATOS!$C$68))</f>
        <v>*</v>
      </c>
      <c r="C190" s="51" t="str">
        <f aca="false">IF(LEN($B190)&gt;79,"MÁS DE 79 CARACTERES","")</f>
        <v/>
      </c>
      <c r="D190" s="53" t="str">
        <f aca="false">IF(PRESIONES!$C$22="NO","",IF(OR(LINEAS!$D$164="",LINEAS!$U$164=0,ABS(IF(OR(LINEAS!$U$164=1,LINEAS!$U$164=3),1,-1)*LINEAS!$AB$164*DATOS!$C$67)&lt;0.00005),"*",LINEAS!$D$164&amp;" UNI "&amp;IF(LINEAS!$U$164&lt;=2,"GZ","GX")&amp;" "&amp;TEXT(IF(OR(LINEAS!$U$164=1,LINEAS!$U$164=3),1,-1)*LINEAS!$AB$164*DATOS!$C$67,DATOS!$C$68)))</f>
        <v/>
      </c>
      <c r="E190" s="51" t="str">
        <f aca="false">IF(LEN($D190)&gt;79,"MÁS DE 79 CARACTERES","")</f>
        <v/>
      </c>
    </row>
    <row r="191" customFormat="false" ht="15" hidden="false" customHeight="true" outlineLevel="0" collapsed="false">
      <c r="B191" s="53" t="str">
        <f aca="false">IF(OR(LINEAS!$D$165="",LINEAS!$U$165=0,ABS(IF(OR(LINEAS!$U$165=1,LINEAS!$U$165=3),1,-1)*LINEAS!$AB$165*DATOS!$C$67)&lt;0.00005),"*",LINEAS!$D$165&amp;" UNI "&amp;IF(LINEAS!$U$165&lt;=2,"GZ","GX")&amp;" "&amp;TEXT(IF(OR(LINEAS!$U$165=1,LINEAS!$U$165=3),1,-1)*LINEAS!$AB$165*DATOS!$C$67,DATOS!$C$68))</f>
        <v>*</v>
      </c>
      <c r="C191" s="51" t="str">
        <f aca="false">IF(LEN($B191)&gt;79,"MÁS DE 79 CARACTERES","")</f>
        <v/>
      </c>
      <c r="D191" s="53" t="str">
        <f aca="false">IF(PRESIONES!$C$22="NO","",IF(OR(LINEAS!$D$165="",LINEAS!$U$165=0,ABS(IF(OR(LINEAS!$U$165=1,LINEAS!$U$165=3),1,-1)*LINEAS!$AB$165*DATOS!$C$67)&lt;0.00005),"*",LINEAS!$D$165&amp;" UNI "&amp;IF(LINEAS!$U$165&lt;=2,"GZ","GX")&amp;" "&amp;TEXT(IF(OR(LINEAS!$U$165=1,LINEAS!$U$165=3),1,-1)*LINEAS!$AB$165*DATOS!$C$67,DATOS!$C$68)))</f>
        <v/>
      </c>
      <c r="E191" s="51" t="str">
        <f aca="false">IF(LEN($D191)&gt;79,"MÁS DE 79 CARACTERES","")</f>
        <v/>
      </c>
    </row>
    <row r="192" customFormat="false" ht="15" hidden="false" customHeight="true" outlineLevel="0" collapsed="false">
      <c r="B192" s="53" t="str">
        <f aca="false">IF(OR(LINEAS!$D$166="",LINEAS!$U$166=0,ABS(IF(OR(LINEAS!$U$166=1,LINEAS!$U$166=3),1,-1)*LINEAS!$AB$166*DATOS!$C$67)&lt;0.00005),"*",LINEAS!$D$166&amp;" UNI "&amp;IF(LINEAS!$U$166&lt;=2,"GZ","GX")&amp;" "&amp;TEXT(IF(OR(LINEAS!$U$166=1,LINEAS!$U$166=3),1,-1)*LINEAS!$AB$166*DATOS!$C$67,DATOS!$C$68))</f>
        <v>*</v>
      </c>
      <c r="C192" s="51" t="str">
        <f aca="false">IF(LEN($B192)&gt;79,"MÁS DE 79 CARACTERES","")</f>
        <v/>
      </c>
      <c r="D192" s="53" t="str">
        <f aca="false">IF(PRESIONES!$C$22="NO","",IF(OR(LINEAS!$D$166="",LINEAS!$U$166=0,ABS(IF(OR(LINEAS!$U$166=1,LINEAS!$U$166=3),1,-1)*LINEAS!$AB$166*DATOS!$C$67)&lt;0.00005),"*",LINEAS!$D$166&amp;" UNI "&amp;IF(LINEAS!$U$166&lt;=2,"GZ","GX")&amp;" "&amp;TEXT(IF(OR(LINEAS!$U$166=1,LINEAS!$U$166=3),1,-1)*LINEAS!$AB$166*DATOS!$C$67,DATOS!$C$68)))</f>
        <v/>
      </c>
      <c r="E192" s="51" t="str">
        <f aca="false">IF(LEN($D192)&gt;79,"MÁS DE 79 CARACTERES","")</f>
        <v/>
      </c>
    </row>
    <row r="193" customFormat="false" ht="15" hidden="false" customHeight="true" outlineLevel="0" collapsed="false">
      <c r="B193" s="53" t="str">
        <f aca="false">IF(OR(LINEAS!$D$167="",LINEAS!$U$167=0,ABS(IF(OR(LINEAS!$U$167=1,LINEAS!$U$167=3),1,-1)*LINEAS!$AB$167*DATOS!$C$67)&lt;0.00005),"*",LINEAS!$D$167&amp;" UNI "&amp;IF(LINEAS!$U$167&lt;=2,"GZ","GX")&amp;" "&amp;TEXT(IF(OR(LINEAS!$U$167=1,LINEAS!$U$167=3),1,-1)*LINEAS!$AB$167*DATOS!$C$67,DATOS!$C$68))</f>
        <v>*</v>
      </c>
      <c r="C193" s="51" t="str">
        <f aca="false">IF(LEN($B193)&gt;79,"MÁS DE 79 CARACTERES","")</f>
        <v/>
      </c>
      <c r="D193" s="53" t="str">
        <f aca="false">IF(PRESIONES!$C$22="NO","",IF(OR(LINEAS!$D$167="",LINEAS!$U$167=0,ABS(IF(OR(LINEAS!$U$167=1,LINEAS!$U$167=3),1,-1)*LINEAS!$AB$167*DATOS!$C$67)&lt;0.00005),"*",LINEAS!$D$167&amp;" UNI "&amp;IF(LINEAS!$U$167&lt;=2,"GZ","GX")&amp;" "&amp;TEXT(IF(OR(LINEAS!$U$167=1,LINEAS!$U$167=3),1,-1)*LINEAS!$AB$167*DATOS!$C$67,DATOS!$C$68)))</f>
        <v/>
      </c>
      <c r="E193" s="51" t="str">
        <f aca="false">IF(LEN($D193)&gt;79,"MÁS DE 79 CARACTERES","")</f>
        <v/>
      </c>
    </row>
    <row r="194" customFormat="false" ht="15" hidden="false" customHeight="true" outlineLevel="0" collapsed="false">
      <c r="B194" s="53" t="str">
        <f aca="false">IF(OR(LINEAS!$D$168="",LINEAS!$U$168=0,ABS(IF(OR(LINEAS!$U$168=1,LINEAS!$U$168=3),1,-1)*LINEAS!$AB$168*DATOS!$C$67)&lt;0.00005),"*",LINEAS!$D$168&amp;" UNI "&amp;IF(LINEAS!$U$168&lt;=2,"GZ","GX")&amp;" "&amp;TEXT(IF(OR(LINEAS!$U$168=1,LINEAS!$U$168=3),1,-1)*LINEAS!$AB$168*DATOS!$C$67,DATOS!$C$68))</f>
        <v>*</v>
      </c>
      <c r="C194" s="51" t="str">
        <f aca="false">IF(LEN($B194)&gt;79,"MÁS DE 79 CARACTERES","")</f>
        <v/>
      </c>
      <c r="D194" s="53" t="str">
        <f aca="false">IF(PRESIONES!$C$22="NO","",IF(OR(LINEAS!$D$168="",LINEAS!$U$168=0,ABS(IF(OR(LINEAS!$U$168=1,LINEAS!$U$168=3),1,-1)*LINEAS!$AB$168*DATOS!$C$67)&lt;0.00005),"*",LINEAS!$D$168&amp;" UNI "&amp;IF(LINEAS!$U$168&lt;=2,"GZ","GX")&amp;" "&amp;TEXT(IF(OR(LINEAS!$U$168=1,LINEAS!$U$168=3),1,-1)*LINEAS!$AB$168*DATOS!$C$67,DATOS!$C$68)))</f>
        <v/>
      </c>
      <c r="E194" s="51" t="str">
        <f aca="false">IF(LEN($D194)&gt;79,"MÁS DE 79 CARACTERES","")</f>
        <v/>
      </c>
    </row>
    <row r="195" customFormat="false" ht="15" hidden="false" customHeight="true" outlineLevel="0" collapsed="false">
      <c r="B195" s="53" t="str">
        <f aca="false">IF(OR(LINEAS!$D$169="",LINEAS!$U$169=0,ABS(IF(OR(LINEAS!$U$169=1,LINEAS!$U$169=3),1,-1)*LINEAS!$AB$169*DATOS!$C$67)&lt;0.00005),"*",LINEAS!$D$169&amp;" UNI "&amp;IF(LINEAS!$U$169&lt;=2,"GZ","GX")&amp;" "&amp;TEXT(IF(OR(LINEAS!$U$169=1,LINEAS!$U$169=3),1,-1)*LINEAS!$AB$169*DATOS!$C$67,DATOS!$C$68))</f>
        <v>*</v>
      </c>
      <c r="C195" s="51" t="str">
        <f aca="false">IF(LEN($B195)&gt;79,"MÁS DE 79 CARACTERES","")</f>
        <v/>
      </c>
      <c r="D195" s="53" t="str">
        <f aca="false">IF(PRESIONES!$C$22="NO","",IF(OR(LINEAS!$D$169="",LINEAS!$U$169=0,ABS(IF(OR(LINEAS!$U$169=1,LINEAS!$U$169=3),1,-1)*LINEAS!$AB$169*DATOS!$C$67)&lt;0.00005),"*",LINEAS!$D$169&amp;" UNI "&amp;IF(LINEAS!$U$169&lt;=2,"GZ","GX")&amp;" "&amp;TEXT(IF(OR(LINEAS!$U$169=1,LINEAS!$U$169=3),1,-1)*LINEAS!$AB$169*DATOS!$C$67,DATOS!$C$68)))</f>
        <v/>
      </c>
      <c r="E195" s="51" t="str">
        <f aca="false">IF(LEN($D195)&gt;79,"MÁS DE 79 CARACTERES","")</f>
        <v/>
      </c>
    </row>
    <row r="196" customFormat="false" ht="15" hidden="false" customHeight="true" outlineLevel="0" collapsed="false">
      <c r="B196" s="53" t="str">
        <f aca="false">IF(OR(LINEAS!$D$170="",LINEAS!$U$170=0,ABS(IF(OR(LINEAS!$U$170=1,LINEAS!$U$170=3),1,-1)*LINEAS!$AB$170*DATOS!$C$67)&lt;0.00005),"*",LINEAS!$D$170&amp;" UNI "&amp;IF(LINEAS!$U$170&lt;=2,"GZ","GX")&amp;" "&amp;TEXT(IF(OR(LINEAS!$U$170=1,LINEAS!$U$170=3),1,-1)*LINEAS!$AB$170*DATOS!$C$67,DATOS!$C$68))</f>
        <v>*</v>
      </c>
      <c r="C196" s="51" t="str">
        <f aca="false">IF(LEN($B196)&gt;79,"MÁS DE 79 CARACTERES","")</f>
        <v/>
      </c>
      <c r="D196" s="53" t="str">
        <f aca="false">IF(PRESIONES!$C$22="NO","",IF(OR(LINEAS!$D$170="",LINEAS!$U$170=0,ABS(IF(OR(LINEAS!$U$170=1,LINEAS!$U$170=3),1,-1)*LINEAS!$AB$170*DATOS!$C$67)&lt;0.00005),"*",LINEAS!$D$170&amp;" UNI "&amp;IF(LINEAS!$U$170&lt;=2,"GZ","GX")&amp;" "&amp;TEXT(IF(OR(LINEAS!$U$170=1,LINEAS!$U$170=3),1,-1)*LINEAS!$AB$170*DATOS!$C$67,DATOS!$C$68)))</f>
        <v/>
      </c>
      <c r="E196" s="51" t="str">
        <f aca="false">IF(LEN($D196)&gt;79,"MÁS DE 79 CARACTERES","")</f>
        <v/>
      </c>
    </row>
    <row r="197" customFormat="false" ht="15" hidden="false" customHeight="true" outlineLevel="0" collapsed="false">
      <c r="B197" s="53" t="str">
        <f aca="false">IF(OR(LINEAS!$D$171="",LINEAS!$U$171=0,ABS(IF(OR(LINEAS!$U$171=1,LINEAS!$U$171=3),1,-1)*LINEAS!$AB$171*DATOS!$C$67)&lt;0.00005),"*",LINEAS!$D$171&amp;" UNI "&amp;IF(LINEAS!$U$171&lt;=2,"GZ","GX")&amp;" "&amp;TEXT(IF(OR(LINEAS!$U$171=1,LINEAS!$U$171=3),1,-1)*LINEAS!$AB$171*DATOS!$C$67,DATOS!$C$68))</f>
        <v>*</v>
      </c>
      <c r="C197" s="51" t="str">
        <f aca="false">IF(LEN($B197)&gt;79,"MÁS DE 79 CARACTERES","")</f>
        <v/>
      </c>
      <c r="D197" s="53" t="str">
        <f aca="false">IF(PRESIONES!$C$22="NO","",IF(OR(LINEAS!$D$171="",LINEAS!$U$171=0,ABS(IF(OR(LINEAS!$U$171=1,LINEAS!$U$171=3),1,-1)*LINEAS!$AB$171*DATOS!$C$67)&lt;0.00005),"*",LINEAS!$D$171&amp;" UNI "&amp;IF(LINEAS!$U$171&lt;=2,"GZ","GX")&amp;" "&amp;TEXT(IF(OR(LINEAS!$U$171=1,LINEAS!$U$171=3),1,-1)*LINEAS!$AB$171*DATOS!$C$67,DATOS!$C$68)))</f>
        <v/>
      </c>
      <c r="E197" s="51" t="str">
        <f aca="false">IF(LEN($D197)&gt;79,"MÁS DE 79 CARACTERES","")</f>
        <v/>
      </c>
    </row>
    <row r="198" customFormat="false" ht="15" hidden="false" customHeight="true" outlineLevel="0" collapsed="false">
      <c r="B198" s="53" t="str">
        <f aca="false">IF(OR(LINEAS!$D$172="",LINEAS!$U$172=0,ABS(IF(OR(LINEAS!$U$172=1,LINEAS!$U$172=3),1,-1)*LINEAS!$AB$172*DATOS!$C$67)&lt;0.00005),"*",LINEAS!$D$172&amp;" UNI "&amp;IF(LINEAS!$U$172&lt;=2,"GZ","GX")&amp;" "&amp;TEXT(IF(OR(LINEAS!$U$172=1,LINEAS!$U$172=3),1,-1)*LINEAS!$AB$172*DATOS!$C$67,DATOS!$C$68))</f>
        <v>*</v>
      </c>
      <c r="C198" s="51" t="str">
        <f aca="false">IF(LEN($B198)&gt;79,"MÁS DE 79 CARACTERES","")</f>
        <v/>
      </c>
      <c r="D198" s="53" t="str">
        <f aca="false">IF(PRESIONES!$C$22="NO","",IF(OR(LINEAS!$D$172="",LINEAS!$U$172=0,ABS(IF(OR(LINEAS!$U$172=1,LINEAS!$U$172=3),1,-1)*LINEAS!$AB$172*DATOS!$C$67)&lt;0.00005),"*",LINEAS!$D$172&amp;" UNI "&amp;IF(LINEAS!$U$172&lt;=2,"GZ","GX")&amp;" "&amp;TEXT(IF(OR(LINEAS!$U$172=1,LINEAS!$U$172=3),1,-1)*LINEAS!$AB$172*DATOS!$C$67,DATOS!$C$68)))</f>
        <v/>
      </c>
      <c r="E198" s="51" t="str">
        <f aca="false">IF(LEN($D198)&gt;79,"MÁS DE 79 CARACTERES","")</f>
        <v/>
      </c>
    </row>
    <row r="199" customFormat="false" ht="15" hidden="false" customHeight="true" outlineLevel="0" collapsed="false">
      <c r="B199" s="53" t="str">
        <f aca="false">IF(OR(LINEAS!$D$173="",LINEAS!$U$173=0,ABS(IF(OR(LINEAS!$U$173=1,LINEAS!$U$173=3),1,-1)*LINEAS!$AB$173*DATOS!$C$67)&lt;0.00005),"*",LINEAS!$D$173&amp;" UNI "&amp;IF(LINEAS!$U$173&lt;=2,"GZ","GX")&amp;" "&amp;TEXT(IF(OR(LINEAS!$U$173=1,LINEAS!$U$173=3),1,-1)*LINEAS!$AB$173*DATOS!$C$67,DATOS!$C$68))</f>
        <v>*</v>
      </c>
      <c r="C199" s="51" t="str">
        <f aca="false">IF(LEN($B199)&gt;79,"MÁS DE 79 CARACTERES","")</f>
        <v/>
      </c>
      <c r="D199" s="53" t="str">
        <f aca="false">IF(PRESIONES!$C$22="NO","",IF(OR(LINEAS!$D$173="",LINEAS!$U$173=0,ABS(IF(OR(LINEAS!$U$173=1,LINEAS!$U$173=3),1,-1)*LINEAS!$AB$173*DATOS!$C$67)&lt;0.00005),"*",LINEAS!$D$173&amp;" UNI "&amp;IF(LINEAS!$U$173&lt;=2,"GZ","GX")&amp;" "&amp;TEXT(IF(OR(LINEAS!$U$173=1,LINEAS!$U$173=3),1,-1)*LINEAS!$AB$173*DATOS!$C$67,DATOS!$C$68)))</f>
        <v/>
      </c>
      <c r="E199" s="51" t="str">
        <f aca="false">IF(LEN($D199)&gt;79,"MÁS DE 79 CARACTERES","")</f>
        <v/>
      </c>
    </row>
    <row r="200" customFormat="false" ht="15" hidden="false" customHeight="true" outlineLevel="0" collapsed="false">
      <c r="B200" s="53" t="str">
        <f aca="false">IF(OR(LINEAS!$D$174="",LINEAS!$U$174=0,ABS(IF(OR(LINEAS!$U$174=1,LINEAS!$U$174=3),1,-1)*LINEAS!$AB$174*DATOS!$C$67)&lt;0.00005),"*",LINEAS!$D$174&amp;" UNI "&amp;IF(LINEAS!$U$174&lt;=2,"GZ","GX")&amp;" "&amp;TEXT(IF(OR(LINEAS!$U$174=1,LINEAS!$U$174=3),1,-1)*LINEAS!$AB$174*DATOS!$C$67,DATOS!$C$68))</f>
        <v>*</v>
      </c>
      <c r="C200" s="51" t="str">
        <f aca="false">IF(LEN($B200)&gt;79,"MÁS DE 79 CARACTERES","")</f>
        <v/>
      </c>
      <c r="D200" s="53" t="str">
        <f aca="false">IF(PRESIONES!$C$22="NO","",IF(OR(LINEAS!$D$174="",LINEAS!$U$174=0,ABS(IF(OR(LINEAS!$U$174=1,LINEAS!$U$174=3),1,-1)*LINEAS!$AB$174*DATOS!$C$67)&lt;0.00005),"*",LINEAS!$D$174&amp;" UNI "&amp;IF(LINEAS!$U$174&lt;=2,"GZ","GX")&amp;" "&amp;TEXT(IF(OR(LINEAS!$U$174=1,LINEAS!$U$174=3),1,-1)*LINEAS!$AB$174*DATOS!$C$67,DATOS!$C$68)))</f>
        <v/>
      </c>
      <c r="E200" s="51" t="str">
        <f aca="false">IF(LEN($D200)&gt;79,"MÁS DE 79 CARACTERES","")</f>
        <v/>
      </c>
    </row>
    <row r="201" customFormat="false" ht="15" hidden="false" customHeight="true" outlineLevel="0" collapsed="false">
      <c r="B201" s="53" t="str">
        <f aca="false">IF(OR(LINEAS!$D$175="",LINEAS!$U$175=0,ABS(IF(OR(LINEAS!$U$175=1,LINEAS!$U$175=3),1,-1)*LINEAS!$AB$175*DATOS!$C$67)&lt;0.00005),"*",LINEAS!$D$175&amp;" UNI "&amp;IF(LINEAS!$U$175&lt;=2,"GZ","GX")&amp;" "&amp;TEXT(IF(OR(LINEAS!$U$175=1,LINEAS!$U$175=3),1,-1)*LINEAS!$AB$175*DATOS!$C$67,DATOS!$C$68))</f>
        <v>*</v>
      </c>
      <c r="C201" s="51" t="str">
        <f aca="false">IF(LEN($B201)&gt;79,"MÁS DE 79 CARACTERES","")</f>
        <v/>
      </c>
      <c r="D201" s="53" t="str">
        <f aca="false">IF(PRESIONES!$C$22="NO","",IF(OR(LINEAS!$D$175="",LINEAS!$U$175=0,ABS(IF(OR(LINEAS!$U$175=1,LINEAS!$U$175=3),1,-1)*LINEAS!$AB$175*DATOS!$C$67)&lt;0.00005),"*",LINEAS!$D$175&amp;" UNI "&amp;IF(LINEAS!$U$175&lt;=2,"GZ","GX")&amp;" "&amp;TEXT(IF(OR(LINEAS!$U$175=1,LINEAS!$U$175=3),1,-1)*LINEAS!$AB$175*DATOS!$C$67,DATOS!$C$68)))</f>
        <v/>
      </c>
      <c r="E201" s="51" t="str">
        <f aca="false">IF(LEN($D201)&gt;79,"MÁS DE 79 CARACTERES","")</f>
        <v/>
      </c>
    </row>
    <row r="202" customFormat="false" ht="15" hidden="false" customHeight="true" outlineLevel="0" collapsed="false">
      <c r="B202" s="53" t="str">
        <f aca="false">IF(OR(LINEAS!$D$176="",LINEAS!$U$176=0,ABS(IF(OR(LINEAS!$U$176=1,LINEAS!$U$176=3),1,-1)*LINEAS!$AB$176*DATOS!$C$67)&lt;0.00005),"*",LINEAS!$D$176&amp;" UNI "&amp;IF(LINEAS!$U$176&lt;=2,"GZ","GX")&amp;" "&amp;TEXT(IF(OR(LINEAS!$U$176=1,LINEAS!$U$176=3),1,-1)*LINEAS!$AB$176*DATOS!$C$67,DATOS!$C$68))</f>
        <v>*</v>
      </c>
      <c r="C202" s="51" t="str">
        <f aca="false">IF(LEN($B202)&gt;79,"MÁS DE 79 CARACTERES","")</f>
        <v/>
      </c>
      <c r="D202" s="53" t="str">
        <f aca="false">IF(PRESIONES!$C$22="NO","",IF(OR(LINEAS!$D$176="",LINEAS!$U$176=0,ABS(IF(OR(LINEAS!$U$176=1,LINEAS!$U$176=3),1,-1)*LINEAS!$AB$176*DATOS!$C$67)&lt;0.00005),"*",LINEAS!$D$176&amp;" UNI "&amp;IF(LINEAS!$U$176&lt;=2,"GZ","GX")&amp;" "&amp;TEXT(IF(OR(LINEAS!$U$176=1,LINEAS!$U$176=3),1,-1)*LINEAS!$AB$176*DATOS!$C$67,DATOS!$C$68)))</f>
        <v/>
      </c>
      <c r="E202" s="51" t="str">
        <f aca="false">IF(LEN($D202)&gt;79,"MÁS DE 79 CARACTERES","")</f>
        <v/>
      </c>
    </row>
    <row r="203" customFormat="false" ht="15" hidden="false" customHeight="true" outlineLevel="0" collapsed="false">
      <c r="B203" s="53" t="str">
        <f aca="false">IF(OR(LINEAS!$D$177="",LINEAS!$U$177=0,ABS(IF(OR(LINEAS!$U$177=1,LINEAS!$U$177=3),1,-1)*LINEAS!$AB$177*DATOS!$C$67)&lt;0.00005),"*",LINEAS!$D$177&amp;" UNI "&amp;IF(LINEAS!$U$177&lt;=2,"GZ","GX")&amp;" "&amp;TEXT(IF(OR(LINEAS!$U$177=1,LINEAS!$U$177=3),1,-1)*LINEAS!$AB$177*DATOS!$C$67,DATOS!$C$68))</f>
        <v>*</v>
      </c>
      <c r="C203" s="51" t="str">
        <f aca="false">IF(LEN($B203)&gt;79,"MÁS DE 79 CARACTERES","")</f>
        <v/>
      </c>
      <c r="D203" s="53" t="str">
        <f aca="false">IF(PRESIONES!$C$22="NO","",IF(OR(LINEAS!$D$177="",LINEAS!$U$177=0,ABS(IF(OR(LINEAS!$U$177=1,LINEAS!$U$177=3),1,-1)*LINEAS!$AB$177*DATOS!$C$67)&lt;0.00005),"*",LINEAS!$D$177&amp;" UNI "&amp;IF(LINEAS!$U$177&lt;=2,"GZ","GX")&amp;" "&amp;TEXT(IF(OR(LINEAS!$U$177=1,LINEAS!$U$177=3),1,-1)*LINEAS!$AB$177*DATOS!$C$67,DATOS!$C$68)))</f>
        <v/>
      </c>
      <c r="E203" s="51" t="str">
        <f aca="false">IF(LEN($D203)&gt;79,"MÁS DE 79 CARACTERES","")</f>
        <v/>
      </c>
    </row>
    <row r="204" customFormat="false" ht="15" hidden="false" customHeight="true" outlineLevel="0" collapsed="false">
      <c r="B204" s="53" t="str">
        <f aca="false">IF(OR(LINEAS!$D$178="",LINEAS!$U$178=0,ABS(IF(OR(LINEAS!$U$178=1,LINEAS!$U$178=3),1,-1)*LINEAS!$AB$178*DATOS!$C$67)&lt;0.00005),"*",LINEAS!$D$178&amp;" UNI "&amp;IF(LINEAS!$U$178&lt;=2,"GZ","GX")&amp;" "&amp;TEXT(IF(OR(LINEAS!$U$178=1,LINEAS!$U$178=3),1,-1)*LINEAS!$AB$178*DATOS!$C$67,DATOS!$C$68))</f>
        <v>*</v>
      </c>
      <c r="C204" s="51" t="str">
        <f aca="false">IF(LEN($B204)&gt;79,"MÁS DE 79 CARACTERES","")</f>
        <v/>
      </c>
      <c r="D204" s="53" t="str">
        <f aca="false">IF(PRESIONES!$C$22="NO","",IF(OR(LINEAS!$D$178="",LINEAS!$U$178=0,ABS(IF(OR(LINEAS!$U$178=1,LINEAS!$U$178=3),1,-1)*LINEAS!$AB$178*DATOS!$C$67)&lt;0.00005),"*",LINEAS!$D$178&amp;" UNI "&amp;IF(LINEAS!$U$178&lt;=2,"GZ","GX")&amp;" "&amp;TEXT(IF(OR(LINEAS!$U$178=1,LINEAS!$U$178=3),1,-1)*LINEAS!$AB$178*DATOS!$C$67,DATOS!$C$68)))</f>
        <v/>
      </c>
      <c r="E204" s="51" t="str">
        <f aca="false">IF(LEN($D204)&gt;79,"MÁS DE 79 CARACTERES","")</f>
        <v/>
      </c>
    </row>
    <row r="205" customFormat="false" ht="15" hidden="false" customHeight="true" outlineLevel="0" collapsed="false">
      <c r="B205" s="53" t="str">
        <f aca="false">IF(OR(LINEAS!$D$179="",LINEAS!$U$179=0,ABS(IF(OR(LINEAS!$U$179=1,LINEAS!$U$179=3),1,-1)*LINEAS!$AB$179*DATOS!$C$67)&lt;0.00005),"*",LINEAS!$D$179&amp;" UNI "&amp;IF(LINEAS!$U$179&lt;=2,"GZ","GX")&amp;" "&amp;TEXT(IF(OR(LINEAS!$U$179=1,LINEAS!$U$179=3),1,-1)*LINEAS!$AB$179*DATOS!$C$67,DATOS!$C$68))</f>
        <v>*</v>
      </c>
      <c r="C205" s="51" t="str">
        <f aca="false">IF(LEN($B205)&gt;79,"MÁS DE 79 CARACTERES","")</f>
        <v/>
      </c>
      <c r="D205" s="53" t="str">
        <f aca="false">IF(PRESIONES!$C$22="NO","",IF(OR(LINEAS!$D$179="",LINEAS!$U$179=0,ABS(IF(OR(LINEAS!$U$179=1,LINEAS!$U$179=3),1,-1)*LINEAS!$AB$179*DATOS!$C$67)&lt;0.00005),"*",LINEAS!$D$179&amp;" UNI "&amp;IF(LINEAS!$U$179&lt;=2,"GZ","GX")&amp;" "&amp;TEXT(IF(OR(LINEAS!$U$179=1,LINEAS!$U$179=3),1,-1)*LINEAS!$AB$179*DATOS!$C$67,DATOS!$C$68)))</f>
        <v/>
      </c>
      <c r="E205" s="51" t="str">
        <f aca="false">IF(LEN($D205)&gt;79,"MÁS DE 79 CARACTERES","")</f>
        <v/>
      </c>
    </row>
    <row r="206" customFormat="false" ht="15" hidden="false" customHeight="true" outlineLevel="0" collapsed="false">
      <c r="B206" s="53" t="str">
        <f aca="false">IF(OR(LINEAS!$D$180="",LINEAS!$U$180=0,ABS(IF(OR(LINEAS!$U$180=1,LINEAS!$U$180=3),1,-1)*LINEAS!$AB$180*DATOS!$C$67)&lt;0.00005),"*",LINEAS!$D$180&amp;" UNI "&amp;IF(LINEAS!$U$180&lt;=2,"GZ","GX")&amp;" "&amp;TEXT(IF(OR(LINEAS!$U$180=1,LINEAS!$U$180=3),1,-1)*LINEAS!$AB$180*DATOS!$C$67,DATOS!$C$68))</f>
        <v>*</v>
      </c>
      <c r="C206" s="51" t="str">
        <f aca="false">IF(LEN($B206)&gt;79,"MÁS DE 79 CARACTERES","")</f>
        <v/>
      </c>
      <c r="D206" s="53" t="str">
        <f aca="false">IF(PRESIONES!$C$22="NO","",IF(OR(LINEAS!$D$180="",LINEAS!$U$180=0,ABS(IF(OR(LINEAS!$U$180=1,LINEAS!$U$180=3),1,-1)*LINEAS!$AB$180*DATOS!$C$67)&lt;0.00005),"*",LINEAS!$D$180&amp;" UNI "&amp;IF(LINEAS!$U$180&lt;=2,"GZ","GX")&amp;" "&amp;TEXT(IF(OR(LINEAS!$U$180=1,LINEAS!$U$180=3),1,-1)*LINEAS!$AB$180*DATOS!$C$67,DATOS!$C$68)))</f>
        <v/>
      </c>
      <c r="E206" s="51" t="str">
        <f aca="false">IF(LEN($D206)&gt;79,"MÁS DE 79 CARACTERES","")</f>
        <v/>
      </c>
    </row>
    <row r="207" customFormat="false" ht="15" hidden="false" customHeight="true" outlineLevel="0" collapsed="false">
      <c r="B207" s="53" t="str">
        <f aca="false">IF(OR(LINEAS!$D$181="",LINEAS!$U$181=0,ABS(IF(OR(LINEAS!$U$181=1,LINEAS!$U$181=3),1,-1)*LINEAS!$AB$181*DATOS!$C$67)&lt;0.00005),"*",LINEAS!$D$181&amp;" UNI "&amp;IF(LINEAS!$U$181&lt;=2,"GZ","GX")&amp;" "&amp;TEXT(IF(OR(LINEAS!$U$181=1,LINEAS!$U$181=3),1,-1)*LINEAS!$AB$181*DATOS!$C$67,DATOS!$C$68))</f>
        <v>*</v>
      </c>
      <c r="C207" s="51" t="str">
        <f aca="false">IF(LEN($B207)&gt;79,"MÁS DE 79 CARACTERES","")</f>
        <v/>
      </c>
      <c r="D207" s="53" t="str">
        <f aca="false">IF(PRESIONES!$C$22="NO","",IF(OR(LINEAS!$D$181="",LINEAS!$U$181=0,ABS(IF(OR(LINEAS!$U$181=1,LINEAS!$U$181=3),1,-1)*LINEAS!$AB$181*DATOS!$C$67)&lt;0.00005),"*",LINEAS!$D$181&amp;" UNI "&amp;IF(LINEAS!$U$181&lt;=2,"GZ","GX")&amp;" "&amp;TEXT(IF(OR(LINEAS!$U$181=1,LINEAS!$U$181=3),1,-1)*LINEAS!$AB$181*DATOS!$C$67,DATOS!$C$68)))</f>
        <v/>
      </c>
      <c r="E207" s="51" t="str">
        <f aca="false">IF(LEN($D207)&gt;79,"MÁS DE 79 CARACTERES","")</f>
        <v/>
      </c>
    </row>
    <row r="208" customFormat="false" ht="15" hidden="false" customHeight="true" outlineLevel="0" collapsed="false">
      <c r="B208" s="53" t="str">
        <f aca="false">IF(OR(LINEAS!$D$182="",LINEAS!$U$182=0,ABS(IF(OR(LINEAS!$U$182=1,LINEAS!$U$182=3),1,-1)*LINEAS!$AB$182*DATOS!$C$67)&lt;0.00005),"*",LINEAS!$D$182&amp;" UNI "&amp;IF(LINEAS!$U$182&lt;=2,"GZ","GX")&amp;" "&amp;TEXT(IF(OR(LINEAS!$U$182=1,LINEAS!$U$182=3),1,-1)*LINEAS!$AB$182*DATOS!$C$67,DATOS!$C$68))</f>
        <v>*</v>
      </c>
      <c r="C208" s="51" t="str">
        <f aca="false">IF(LEN($B208)&gt;79,"MÁS DE 79 CARACTERES","")</f>
        <v/>
      </c>
      <c r="D208" s="53" t="str">
        <f aca="false">IF(PRESIONES!$C$22="NO","",IF(OR(LINEAS!$D$182="",LINEAS!$U$182=0,ABS(IF(OR(LINEAS!$U$182=1,LINEAS!$U$182=3),1,-1)*LINEAS!$AB$182*DATOS!$C$67)&lt;0.00005),"*",LINEAS!$D$182&amp;" UNI "&amp;IF(LINEAS!$U$182&lt;=2,"GZ","GX")&amp;" "&amp;TEXT(IF(OR(LINEAS!$U$182=1,LINEAS!$U$182=3),1,-1)*LINEAS!$AB$182*DATOS!$C$67,DATOS!$C$68)))</f>
        <v/>
      </c>
      <c r="E208" s="51" t="str">
        <f aca="false">IF(LEN($D208)&gt;79,"MÁS DE 79 CARACTERES","")</f>
        <v/>
      </c>
    </row>
    <row r="209" customFormat="false" ht="15" hidden="false" customHeight="true" outlineLevel="0" collapsed="false">
      <c r="B209" s="53" t="str">
        <f aca="false">IF(OR(LINEAS!$D$183="",LINEAS!$U$183=0,ABS(IF(OR(LINEAS!$U$183=1,LINEAS!$U$183=3),1,-1)*LINEAS!$AB$183*DATOS!$C$67)&lt;0.00005),"*",LINEAS!$D$183&amp;" UNI "&amp;IF(LINEAS!$U$183&lt;=2,"GZ","GX")&amp;" "&amp;TEXT(IF(OR(LINEAS!$U$183=1,LINEAS!$U$183=3),1,-1)*LINEAS!$AB$183*DATOS!$C$67,DATOS!$C$68))</f>
        <v>*</v>
      </c>
      <c r="C209" s="51" t="str">
        <f aca="false">IF(LEN($B209)&gt;79,"MÁS DE 79 CARACTERES","")</f>
        <v/>
      </c>
      <c r="D209" s="53" t="str">
        <f aca="false">IF(PRESIONES!$C$22="NO","",IF(OR(LINEAS!$D$183="",LINEAS!$U$183=0,ABS(IF(OR(LINEAS!$U$183=1,LINEAS!$U$183=3),1,-1)*LINEAS!$AB$183*DATOS!$C$67)&lt;0.00005),"*",LINEAS!$D$183&amp;" UNI "&amp;IF(LINEAS!$U$183&lt;=2,"GZ","GX")&amp;" "&amp;TEXT(IF(OR(LINEAS!$U$183=1,LINEAS!$U$183=3),1,-1)*LINEAS!$AB$183*DATOS!$C$67,DATOS!$C$68)))</f>
        <v/>
      </c>
      <c r="E209" s="51" t="str">
        <f aca="false">IF(LEN($D209)&gt;79,"MÁS DE 79 CARACTERES","")</f>
        <v/>
      </c>
    </row>
    <row r="210" customFormat="false" ht="15" hidden="false" customHeight="true" outlineLevel="0" collapsed="false">
      <c r="B210" s="53" t="str">
        <f aca="false">IF(OR(LINEAS!$D$184="",LINEAS!$U$184=0,ABS(IF(OR(LINEAS!$U$184=1,LINEAS!$U$184=3),1,-1)*LINEAS!$AB$184*DATOS!$C$67)&lt;0.00005),"*",LINEAS!$D$184&amp;" UNI "&amp;IF(LINEAS!$U$184&lt;=2,"GZ","GX")&amp;" "&amp;TEXT(IF(OR(LINEAS!$U$184=1,LINEAS!$U$184=3),1,-1)*LINEAS!$AB$184*DATOS!$C$67,DATOS!$C$68))</f>
        <v>*</v>
      </c>
      <c r="C210" s="51" t="str">
        <f aca="false">IF(LEN($B210)&gt;79,"MÁS DE 79 CARACTERES","")</f>
        <v/>
      </c>
      <c r="D210" s="53" t="str">
        <f aca="false">IF(PRESIONES!$C$22="NO","",IF(OR(LINEAS!$D$184="",LINEAS!$U$184=0,ABS(IF(OR(LINEAS!$U$184=1,LINEAS!$U$184=3),1,-1)*LINEAS!$AB$184*DATOS!$C$67)&lt;0.00005),"*",LINEAS!$D$184&amp;" UNI "&amp;IF(LINEAS!$U$184&lt;=2,"GZ","GX")&amp;" "&amp;TEXT(IF(OR(LINEAS!$U$184=1,LINEAS!$U$184=3),1,-1)*LINEAS!$AB$184*DATOS!$C$67,DATOS!$C$68)))</f>
        <v/>
      </c>
      <c r="E210" s="51" t="str">
        <f aca="false">IF(LEN($D210)&gt;79,"MÁS DE 79 CARACTERES","")</f>
        <v/>
      </c>
    </row>
    <row r="211" customFormat="false" ht="15" hidden="false" customHeight="true" outlineLevel="0" collapsed="false">
      <c r="B211" s="53" t="str">
        <f aca="false">IF(OR(LINEAS!$D$185="",LINEAS!$U$185=0,ABS(IF(OR(LINEAS!$U$185=1,LINEAS!$U$185=3),1,-1)*LINEAS!$AB$185*DATOS!$C$67)&lt;0.00005),"*",LINEAS!$D$185&amp;" UNI "&amp;IF(LINEAS!$U$185&lt;=2,"GZ","GX")&amp;" "&amp;TEXT(IF(OR(LINEAS!$U$185=1,LINEAS!$U$185=3),1,-1)*LINEAS!$AB$185*DATOS!$C$67,DATOS!$C$68))</f>
        <v>*</v>
      </c>
      <c r="C211" s="51" t="str">
        <f aca="false">IF(LEN($B211)&gt;79,"MÁS DE 79 CARACTERES","")</f>
        <v/>
      </c>
      <c r="D211" s="53" t="str">
        <f aca="false">IF(PRESIONES!$C$22="NO","",IF(OR(LINEAS!$D$185="",LINEAS!$U$185=0,ABS(IF(OR(LINEAS!$U$185=1,LINEAS!$U$185=3),1,-1)*LINEAS!$AB$185*DATOS!$C$67)&lt;0.00005),"*",LINEAS!$D$185&amp;" UNI "&amp;IF(LINEAS!$U$185&lt;=2,"GZ","GX")&amp;" "&amp;TEXT(IF(OR(LINEAS!$U$185=1,LINEAS!$U$185=3),1,-1)*LINEAS!$AB$185*DATOS!$C$67,DATOS!$C$68)))</f>
        <v/>
      </c>
      <c r="E211" s="51" t="str">
        <f aca="false">IF(LEN($D211)&gt;79,"MÁS DE 79 CARACTERES","")</f>
        <v/>
      </c>
    </row>
    <row r="212" customFormat="false" ht="15" hidden="false" customHeight="true" outlineLevel="0" collapsed="false">
      <c r="B212" s="53" t="str">
        <f aca="false">IF(OR(LINEAS!$D$186="",LINEAS!$U$186=0,ABS(IF(OR(LINEAS!$U$186=1,LINEAS!$U$186=3),1,-1)*LINEAS!$AB$186*DATOS!$C$67)&lt;0.00005),"*",LINEAS!$D$186&amp;" UNI "&amp;IF(LINEAS!$U$186&lt;=2,"GZ","GX")&amp;" "&amp;TEXT(IF(OR(LINEAS!$U$186=1,LINEAS!$U$186=3),1,-1)*LINEAS!$AB$186*DATOS!$C$67,DATOS!$C$68))</f>
        <v>*</v>
      </c>
      <c r="C212" s="51" t="str">
        <f aca="false">IF(LEN($B212)&gt;79,"MÁS DE 79 CARACTERES","")</f>
        <v/>
      </c>
      <c r="D212" s="53" t="str">
        <f aca="false">IF(PRESIONES!$C$22="NO","",IF(OR(LINEAS!$D$186="",LINEAS!$U$186=0,ABS(IF(OR(LINEAS!$U$186=1,LINEAS!$U$186=3),1,-1)*LINEAS!$AB$186*DATOS!$C$67)&lt;0.00005),"*",LINEAS!$D$186&amp;" UNI "&amp;IF(LINEAS!$U$186&lt;=2,"GZ","GX")&amp;" "&amp;TEXT(IF(OR(LINEAS!$U$186=1,LINEAS!$U$186=3),1,-1)*LINEAS!$AB$186*DATOS!$C$67,DATOS!$C$68)))</f>
        <v/>
      </c>
      <c r="E212" s="51" t="str">
        <f aca="false">IF(LEN($D212)&gt;79,"MÁS DE 79 CARACTERES","")</f>
        <v/>
      </c>
    </row>
    <row r="213" customFormat="false" ht="15" hidden="false" customHeight="true" outlineLevel="0" collapsed="false">
      <c r="B213" s="53" t="str">
        <f aca="false">IF(OR(LINEAS!$D$187="",LINEAS!$U$187=0,ABS(IF(OR(LINEAS!$U$187=1,LINEAS!$U$187=3),1,-1)*LINEAS!$AB$187*DATOS!$C$67)&lt;0.00005),"*",LINEAS!$D$187&amp;" UNI "&amp;IF(LINEAS!$U$187&lt;=2,"GZ","GX")&amp;" "&amp;TEXT(IF(OR(LINEAS!$U$187=1,LINEAS!$U$187=3),1,-1)*LINEAS!$AB$187*DATOS!$C$67,DATOS!$C$68))</f>
        <v>*</v>
      </c>
      <c r="C213" s="51" t="str">
        <f aca="false">IF(LEN($B213)&gt;79,"MÁS DE 79 CARACTERES","")</f>
        <v/>
      </c>
      <c r="D213" s="53" t="str">
        <f aca="false">IF(PRESIONES!$C$22="NO","",IF(OR(LINEAS!$D$187="",LINEAS!$U$187=0,ABS(IF(OR(LINEAS!$U$187=1,LINEAS!$U$187=3),1,-1)*LINEAS!$AB$187*DATOS!$C$67)&lt;0.00005),"*",LINEAS!$D$187&amp;" UNI "&amp;IF(LINEAS!$U$187&lt;=2,"GZ","GX")&amp;" "&amp;TEXT(IF(OR(LINEAS!$U$187=1,LINEAS!$U$187=3),1,-1)*LINEAS!$AB$187*DATOS!$C$67,DATOS!$C$68)))</f>
        <v/>
      </c>
      <c r="E213" s="51" t="str">
        <f aca="false">IF(LEN($D213)&gt;79,"MÁS DE 79 CARACTERES","")</f>
        <v/>
      </c>
    </row>
    <row r="214" customFormat="false" ht="15" hidden="false" customHeight="true" outlineLevel="0" collapsed="false">
      <c r="B214" s="53" t="str">
        <f aca="false">IF(OR(LINEAS!$D$188="",LINEAS!$U$188=0,ABS(IF(OR(LINEAS!$U$188=1,LINEAS!$U$188=3),1,-1)*LINEAS!$AB$188*DATOS!$C$67)&lt;0.00005),"*",LINEAS!$D$188&amp;" UNI "&amp;IF(LINEAS!$U$188&lt;=2,"GZ","GX")&amp;" "&amp;TEXT(IF(OR(LINEAS!$U$188=1,LINEAS!$U$188=3),1,-1)*LINEAS!$AB$188*DATOS!$C$67,DATOS!$C$68))</f>
        <v>*</v>
      </c>
      <c r="C214" s="51" t="str">
        <f aca="false">IF(LEN($B214)&gt;79,"MÁS DE 79 CARACTERES","")</f>
        <v/>
      </c>
      <c r="D214" s="53" t="str">
        <f aca="false">IF(PRESIONES!$C$22="NO","",IF(OR(LINEAS!$D$188="",LINEAS!$U$188=0,ABS(IF(OR(LINEAS!$U$188=1,LINEAS!$U$188=3),1,-1)*LINEAS!$AB$188*DATOS!$C$67)&lt;0.00005),"*",LINEAS!$D$188&amp;" UNI "&amp;IF(LINEAS!$U$188&lt;=2,"GZ","GX")&amp;" "&amp;TEXT(IF(OR(LINEAS!$U$188=1,LINEAS!$U$188=3),1,-1)*LINEAS!$AB$188*DATOS!$C$67,DATOS!$C$68)))</f>
        <v/>
      </c>
      <c r="E214" s="51" t="str">
        <f aca="false">IF(LEN($D214)&gt;79,"MÁS DE 79 CARACTERES","")</f>
        <v/>
      </c>
    </row>
    <row r="215" customFormat="false" ht="15" hidden="false" customHeight="true" outlineLevel="0" collapsed="false">
      <c r="B215" s="53" t="str">
        <f aca="false">IF(OR(LINEAS!$D$189="",LINEAS!$U$189=0,ABS(IF(OR(LINEAS!$U$189=1,LINEAS!$U$189=3),1,-1)*LINEAS!$AB$189*DATOS!$C$67)&lt;0.00005),"*",LINEAS!$D$189&amp;" UNI "&amp;IF(LINEAS!$U$189&lt;=2,"GZ","GX")&amp;" "&amp;TEXT(IF(OR(LINEAS!$U$189=1,LINEAS!$U$189=3),1,-1)*LINEAS!$AB$189*DATOS!$C$67,DATOS!$C$68))</f>
        <v>*</v>
      </c>
      <c r="C215" s="51" t="str">
        <f aca="false">IF(LEN($B215)&gt;79,"MÁS DE 79 CARACTERES","")</f>
        <v/>
      </c>
      <c r="D215" s="53" t="str">
        <f aca="false">IF(PRESIONES!$C$22="NO","",IF(OR(LINEAS!$D$189="",LINEAS!$U$189=0,ABS(IF(OR(LINEAS!$U$189=1,LINEAS!$U$189=3),1,-1)*LINEAS!$AB$189*DATOS!$C$67)&lt;0.00005),"*",LINEAS!$D$189&amp;" UNI "&amp;IF(LINEAS!$U$189&lt;=2,"GZ","GX")&amp;" "&amp;TEXT(IF(OR(LINEAS!$U$189=1,LINEAS!$U$189=3),1,-1)*LINEAS!$AB$189*DATOS!$C$67,DATOS!$C$68)))</f>
        <v/>
      </c>
      <c r="E215" s="51" t="str">
        <f aca="false">IF(LEN($D215)&gt;79,"MÁS DE 79 CARACTERES","")</f>
        <v/>
      </c>
    </row>
    <row r="216" customFormat="false" ht="15" hidden="false" customHeight="true" outlineLevel="0" collapsed="false">
      <c r="B216" s="53" t="str">
        <f aca="false">IF(OR(LINEAS!$D$190="",LINEAS!$U$190=0,ABS(IF(OR(LINEAS!$U$190=1,LINEAS!$U$190=3),1,-1)*LINEAS!$AB$190*DATOS!$C$67)&lt;0.00005),"*",LINEAS!$D$190&amp;" UNI "&amp;IF(LINEAS!$U$190&lt;=2,"GZ","GX")&amp;" "&amp;TEXT(IF(OR(LINEAS!$U$190=1,LINEAS!$U$190=3),1,-1)*LINEAS!$AB$190*DATOS!$C$67,DATOS!$C$68))</f>
        <v>*</v>
      </c>
      <c r="C216" s="51" t="str">
        <f aca="false">IF(LEN($B216)&gt;79,"MÁS DE 79 CARACTERES","")</f>
        <v/>
      </c>
      <c r="D216" s="53" t="str">
        <f aca="false">IF(PRESIONES!$C$22="NO","",IF(OR(LINEAS!$D$190="",LINEAS!$U$190=0,ABS(IF(OR(LINEAS!$U$190=1,LINEAS!$U$190=3),1,-1)*LINEAS!$AB$190*DATOS!$C$67)&lt;0.00005),"*",LINEAS!$D$190&amp;" UNI "&amp;IF(LINEAS!$U$190&lt;=2,"GZ","GX")&amp;" "&amp;TEXT(IF(OR(LINEAS!$U$190=1,LINEAS!$U$190=3),1,-1)*LINEAS!$AB$190*DATOS!$C$67,DATOS!$C$68)))</f>
        <v/>
      </c>
      <c r="E216" s="51" t="str">
        <f aca="false">IF(LEN($D216)&gt;79,"MÁS DE 79 CARACTERES","")</f>
        <v/>
      </c>
    </row>
    <row r="217" customFormat="false" ht="15" hidden="false" customHeight="true" outlineLevel="0" collapsed="false">
      <c r="B217" s="53" t="str">
        <f aca="false">IF(OR(LINEAS!$D$191="",LINEAS!$U$191=0,ABS(IF(OR(LINEAS!$U$191=1,LINEAS!$U$191=3),1,-1)*LINEAS!$AB$191*DATOS!$C$67)&lt;0.00005),"*",LINEAS!$D$191&amp;" UNI "&amp;IF(LINEAS!$U$191&lt;=2,"GZ","GX")&amp;" "&amp;TEXT(IF(OR(LINEAS!$U$191=1,LINEAS!$U$191=3),1,-1)*LINEAS!$AB$191*DATOS!$C$67,DATOS!$C$68))</f>
        <v>*</v>
      </c>
      <c r="C217" s="51" t="str">
        <f aca="false">IF(LEN($B217)&gt;79,"MÁS DE 79 CARACTERES","")</f>
        <v/>
      </c>
      <c r="D217" s="53" t="str">
        <f aca="false">IF(PRESIONES!$C$22="NO","",IF(OR(LINEAS!$D$191="",LINEAS!$U$191=0,ABS(IF(OR(LINEAS!$U$191=1,LINEAS!$U$191=3),1,-1)*LINEAS!$AB$191*DATOS!$C$67)&lt;0.00005),"*",LINEAS!$D$191&amp;" UNI "&amp;IF(LINEAS!$U$191&lt;=2,"GZ","GX")&amp;" "&amp;TEXT(IF(OR(LINEAS!$U$191=1,LINEAS!$U$191=3),1,-1)*LINEAS!$AB$191*DATOS!$C$67,DATOS!$C$68)))</f>
        <v/>
      </c>
      <c r="E217" s="51" t="str">
        <f aca="false">IF(LEN($D217)&gt;79,"MÁS DE 79 CARACTERES","")</f>
        <v/>
      </c>
    </row>
    <row r="218" customFormat="false" ht="15" hidden="false" customHeight="true" outlineLevel="0" collapsed="false">
      <c r="B218" s="53" t="str">
        <f aca="false">IF(OR(LINEAS!$D$192="",LINEAS!$U$192=0,ABS(IF(OR(LINEAS!$U$192=1,LINEAS!$U$192=3),1,-1)*LINEAS!$AB$192*DATOS!$C$67)&lt;0.00005),"*",LINEAS!$D$192&amp;" UNI "&amp;IF(LINEAS!$U$192&lt;=2,"GZ","GX")&amp;" "&amp;TEXT(IF(OR(LINEAS!$U$192=1,LINEAS!$U$192=3),1,-1)*LINEAS!$AB$192*DATOS!$C$67,DATOS!$C$68))</f>
        <v>*</v>
      </c>
      <c r="C218" s="51" t="str">
        <f aca="false">IF(LEN($B218)&gt;79,"MÁS DE 79 CARACTERES","")</f>
        <v/>
      </c>
      <c r="D218" s="53" t="str">
        <f aca="false">IF(PRESIONES!$C$22="NO","",IF(OR(LINEAS!$D$192="",LINEAS!$U$192=0,ABS(IF(OR(LINEAS!$U$192=1,LINEAS!$U$192=3),1,-1)*LINEAS!$AB$192*DATOS!$C$67)&lt;0.00005),"*",LINEAS!$D$192&amp;" UNI "&amp;IF(LINEAS!$U$192&lt;=2,"GZ","GX")&amp;" "&amp;TEXT(IF(OR(LINEAS!$U$192=1,LINEAS!$U$192=3),1,-1)*LINEAS!$AB$192*DATOS!$C$67,DATOS!$C$68)))</f>
        <v/>
      </c>
      <c r="E218" s="51" t="str">
        <f aca="false">IF(LEN($D218)&gt;79,"MÁS DE 79 CARACTERES","")</f>
        <v/>
      </c>
    </row>
    <row r="219" customFormat="false" ht="15" hidden="false" customHeight="true" outlineLevel="0" collapsed="false">
      <c r="B219" s="53" t="str">
        <f aca="false">IF(OR(LINEAS!$D$193="",LINEAS!$U$193=0,ABS(IF(OR(LINEAS!$U$193=1,LINEAS!$U$193=3),1,-1)*LINEAS!$AB$193*DATOS!$C$67)&lt;0.00005),"*",LINEAS!$D$193&amp;" UNI "&amp;IF(LINEAS!$U$193&lt;=2,"GZ","GX")&amp;" "&amp;TEXT(IF(OR(LINEAS!$U$193=1,LINEAS!$U$193=3),1,-1)*LINEAS!$AB$193*DATOS!$C$67,DATOS!$C$68))</f>
        <v>*</v>
      </c>
      <c r="C219" s="51" t="str">
        <f aca="false">IF(LEN($B219)&gt;79,"MÁS DE 79 CARACTERES","")</f>
        <v/>
      </c>
      <c r="D219" s="53" t="str">
        <f aca="false">IF(PRESIONES!$C$22="NO","",IF(OR(LINEAS!$D$193="",LINEAS!$U$193=0,ABS(IF(OR(LINEAS!$U$193=1,LINEAS!$U$193=3),1,-1)*LINEAS!$AB$193*DATOS!$C$67)&lt;0.00005),"*",LINEAS!$D$193&amp;" UNI "&amp;IF(LINEAS!$U$193&lt;=2,"GZ","GX")&amp;" "&amp;TEXT(IF(OR(LINEAS!$U$193=1,LINEAS!$U$193=3),1,-1)*LINEAS!$AB$193*DATOS!$C$67,DATOS!$C$68)))</f>
        <v/>
      </c>
      <c r="E219" s="51" t="str">
        <f aca="false">IF(LEN($D219)&gt;79,"MÁS DE 79 CARACTERES","")</f>
        <v/>
      </c>
    </row>
    <row r="220" customFormat="false" ht="15" hidden="false" customHeight="true" outlineLevel="0" collapsed="false">
      <c r="B220" s="53" t="str">
        <f aca="false">IF(OR(LINEAS!$D$194="",LINEAS!$U$194=0,ABS(IF(OR(LINEAS!$U$194=1,LINEAS!$U$194=3),1,-1)*LINEAS!$AB$194*DATOS!$C$67)&lt;0.00005),"*",LINEAS!$D$194&amp;" UNI "&amp;IF(LINEAS!$U$194&lt;=2,"GZ","GX")&amp;" "&amp;TEXT(IF(OR(LINEAS!$U$194=1,LINEAS!$U$194=3),1,-1)*LINEAS!$AB$194*DATOS!$C$67,DATOS!$C$68))</f>
        <v>*</v>
      </c>
      <c r="C220" s="51" t="str">
        <f aca="false">IF(LEN($B220)&gt;79,"MÁS DE 79 CARACTERES","")</f>
        <v/>
      </c>
      <c r="D220" s="53" t="str">
        <f aca="false">IF(PRESIONES!$C$22="NO","",IF(OR(LINEAS!$D$194="",LINEAS!$U$194=0,ABS(IF(OR(LINEAS!$U$194=1,LINEAS!$U$194=3),1,-1)*LINEAS!$AB$194*DATOS!$C$67)&lt;0.00005),"*",LINEAS!$D$194&amp;" UNI "&amp;IF(LINEAS!$U$194&lt;=2,"GZ","GX")&amp;" "&amp;TEXT(IF(OR(LINEAS!$U$194=1,LINEAS!$U$194=3),1,-1)*LINEAS!$AB$194*DATOS!$C$67,DATOS!$C$68)))</f>
        <v/>
      </c>
      <c r="E220" s="51" t="str">
        <f aca="false">IF(LEN($D220)&gt;79,"MÁS DE 79 CARACTERES","")</f>
        <v/>
      </c>
    </row>
    <row r="221" customFormat="false" ht="15" hidden="false" customHeight="true" outlineLevel="0" collapsed="false">
      <c r="B221" s="52" t="str">
        <f aca="false">"LOAD "&amp;(DATOS!$C$66+1)&amp;" LOADTYPE Wind  TITLE "&amp;DATOS!$E$73</f>
        <v>LOAD 9 LOADTYPE Wind  TITLE VIENTO -X</v>
      </c>
      <c r="C221" s="51" t="str">
        <f aca="false">IF(LEN($B221)&gt;79,"MÁS DE 79 CARACTERES","")</f>
        <v/>
      </c>
      <c r="D221" s="53" t="str">
        <f aca="false">IF(PRESIONES!$C$22="NO",IF(2=1,"* CASOS B = CASOS A (SIN ±0.4 NI +0.3 EN EL TECHO): NO HACE FALTA",""),"LOAD "&amp;(DATOS!$C$69+1)&amp;" LOADTYPE Wind  TITLE "&amp;DATOS!$E$73&amp;" B")</f>
        <v/>
      </c>
      <c r="E221" s="51" t="str">
        <f aca="false">IF(LEN($D221)&gt;79,"MÁS DE 79 CARACTERES","")</f>
        <v/>
      </c>
    </row>
    <row r="222" customFormat="false" ht="15" hidden="false" customHeight="true" outlineLevel="0" collapsed="false">
      <c r="B222" s="53" t="s">
        <v>634</v>
      </c>
      <c r="C222" s="51" t="str">
        <f aca="false">IF(LEN($B222)&gt;79,"MÁS DE 79 CARACTERES","")</f>
        <v/>
      </c>
      <c r="D222" s="53" t="str">
        <f aca="false">IF(PRESIONES!$C$22="NO","","MEMBER LOAD")</f>
        <v/>
      </c>
      <c r="E222" s="51" t="str">
        <f aca="false">IF(LEN($D222)&gt;79,"MÁS DE 79 CARACTERES","")</f>
        <v/>
      </c>
    </row>
    <row r="223" customFormat="false" ht="15" hidden="false" customHeight="true" outlineLevel="0" collapsed="false">
      <c r="B223" s="53" t="str">
        <f aca="false">IF(OR(LINEAS!$D$9="",ABS(-LINEAS!$AC$9*DATOS!$C$67)&lt;0.00005),"*",LINEAS!$D$9&amp;" UNI GY "&amp;TEXT(-LINEAS!$AC$9*DATOS!$C$67,DATOS!$C$68))</f>
        <v>22 85 TO 88 UNI GY 0.0659</v>
      </c>
      <c r="C223" s="51" t="str">
        <f aca="false">IF(LEN($B223)&gt;79,"MÁS DE 79 CARACTERES","")</f>
        <v/>
      </c>
      <c r="D223" s="53" t="str">
        <f aca="false">IF(PRESIONES!$C$22="NO","",IF(OR(LINEAS!$D$9="",ABS(-LINEAS!$AS$9*DATOS!$C$67)&lt;0.00005),"*",LINEAS!$D$9&amp;" UNI GY "&amp;TEXT(-LINEAS!$AS$9*DATOS!$C$67,DATOS!$C$68)))</f>
        <v/>
      </c>
      <c r="E223" s="51" t="str">
        <f aca="false">IF(LEN($D223)&gt;79,"MÁS DE 79 CARACTERES","")</f>
        <v/>
      </c>
    </row>
    <row r="224" customFormat="false" ht="15" hidden="false" customHeight="true" outlineLevel="0" collapsed="false">
      <c r="B224" s="53" t="str">
        <f aca="false">IF(OR(LINEAS!$D$9="",DATOS!$C$22="—",ABS(LINEAS!$AK$9*DATOS!$C$67)&lt;0.00005),"*",LINEAS!$D$9&amp;" UNI G"&amp;DATOS!$C$22&amp;" "&amp;TEXT(LINEAS!$AK$9*DATOS!$C$67,DATOS!$C$68))</f>
        <v>22 85 TO 88 UNI GZ 0.0033</v>
      </c>
      <c r="C224" s="51" t="str">
        <f aca="false">IF(LEN($B224)&gt;79,"MÁS DE 79 CARACTERES","")</f>
        <v/>
      </c>
      <c r="D224" s="53" t="str">
        <f aca="false">IF(PRESIONES!$C$22="NO","",IF(OR(LINEAS!$D$9="",DATOS!$C$22="—",ABS(LINEAS!$BA$9*DATOS!$C$67)&lt;0.00005),"*",LINEAS!$D$9&amp;" UNI G"&amp;DATOS!$C$22&amp;" "&amp;TEXT(LINEAS!$BA$9*DATOS!$C$67,DATOS!$C$68)))</f>
        <v/>
      </c>
      <c r="E224" s="51" t="str">
        <f aca="false">IF(LEN($D224)&gt;79,"MÁS DE 79 CARACTERES","")</f>
        <v/>
      </c>
    </row>
    <row r="225" customFormat="false" ht="15" hidden="false" customHeight="true" outlineLevel="0" collapsed="false">
      <c r="B225" s="53" t="str">
        <f aca="false">IF(OR(LINEAS!$D$10="",ABS(-LINEAS!$AC$10*DATOS!$C$67)&lt;0.00005),"*",LINEAS!$D$10&amp;" UNI GY "&amp;TEXT(-LINEAS!$AC$10*DATOS!$C$67,DATOS!$C$68))</f>
        <v>80 129 TO 132 UNI GY 0.1318</v>
      </c>
      <c r="C225" s="51" t="str">
        <f aca="false">IF(LEN($B225)&gt;79,"MÁS DE 79 CARACTERES","")</f>
        <v/>
      </c>
      <c r="D225" s="53" t="str">
        <f aca="false">IF(PRESIONES!$C$22="NO","",IF(OR(LINEAS!$D$10="",ABS(-LINEAS!$AS$10*DATOS!$C$67)&lt;0.00005),"*",LINEAS!$D$10&amp;" UNI GY "&amp;TEXT(-LINEAS!$AS$10*DATOS!$C$67,DATOS!$C$68)))</f>
        <v/>
      </c>
      <c r="E225" s="51" t="str">
        <f aca="false">IF(LEN($D225)&gt;79,"MÁS DE 79 CARACTERES","")</f>
        <v/>
      </c>
    </row>
    <row r="226" customFormat="false" ht="15" hidden="false" customHeight="true" outlineLevel="0" collapsed="false">
      <c r="B226" s="53" t="str">
        <f aca="false">IF(OR(LINEAS!$D$10="",DATOS!$C$22="—",ABS(LINEAS!$AK$10*DATOS!$C$67)&lt;0.00005),"*",LINEAS!$D$10&amp;" UNI G"&amp;DATOS!$C$22&amp;" "&amp;TEXT(LINEAS!$AK$10*DATOS!$C$67,DATOS!$C$68))</f>
        <v>80 129 TO 132 UNI GZ 0.0066</v>
      </c>
      <c r="C226" s="51" t="str">
        <f aca="false">IF(LEN($B226)&gt;79,"MÁS DE 79 CARACTERES","")</f>
        <v/>
      </c>
      <c r="D226" s="53" t="str">
        <f aca="false">IF(PRESIONES!$C$22="NO","",IF(OR(LINEAS!$D$10="",DATOS!$C$22="—",ABS(LINEAS!$BA$10*DATOS!$C$67)&lt;0.00005),"*",LINEAS!$D$10&amp;" UNI G"&amp;DATOS!$C$22&amp;" "&amp;TEXT(LINEAS!$BA$10*DATOS!$C$67,DATOS!$C$68)))</f>
        <v/>
      </c>
      <c r="E226" s="51" t="str">
        <f aca="false">IF(LEN($D226)&gt;79,"MÁS DE 79 CARACTERES","")</f>
        <v/>
      </c>
    </row>
    <row r="227" customFormat="false" ht="15" hidden="false" customHeight="true" outlineLevel="0" collapsed="false">
      <c r="B227" s="53" t="str">
        <f aca="false">IF(OR(LINEAS!$D$11="",ABS(-LINEAS!$AC$11*DATOS!$C$67)&lt;0.00005),"*",LINEAS!$D$11&amp;" UNI GY "&amp;TEXT(-LINEAS!$AC$11*DATOS!$C$67,DATOS!$C$68))</f>
        <v>79 125 TO 128 UNI GY 0.1318</v>
      </c>
      <c r="C227" s="51" t="str">
        <f aca="false">IF(LEN($B227)&gt;79,"MÁS DE 79 CARACTERES","")</f>
        <v/>
      </c>
      <c r="D227" s="53" t="str">
        <f aca="false">IF(PRESIONES!$C$22="NO","",IF(OR(LINEAS!$D$11="",ABS(-LINEAS!$AS$11*DATOS!$C$67)&lt;0.00005),"*",LINEAS!$D$11&amp;" UNI GY "&amp;TEXT(-LINEAS!$AS$11*DATOS!$C$67,DATOS!$C$68)))</f>
        <v/>
      </c>
      <c r="E227" s="51" t="str">
        <f aca="false">IF(LEN($D227)&gt;79,"MÁS DE 79 CARACTERES","")</f>
        <v/>
      </c>
    </row>
    <row r="228" customFormat="false" ht="15" hidden="false" customHeight="true" outlineLevel="0" collapsed="false">
      <c r="B228" s="53" t="str">
        <f aca="false">IF(OR(LINEAS!$D$11="",DATOS!$C$22="—",ABS(LINEAS!$AK$11*DATOS!$C$67)&lt;0.00005),"*",LINEAS!$D$11&amp;" UNI G"&amp;DATOS!$C$22&amp;" "&amp;TEXT(LINEAS!$AK$11*DATOS!$C$67,DATOS!$C$68))</f>
        <v>79 125 TO 128 UNI GZ 0.0066</v>
      </c>
      <c r="C228" s="51" t="str">
        <f aca="false">IF(LEN($B228)&gt;79,"MÁS DE 79 CARACTERES","")</f>
        <v/>
      </c>
      <c r="D228" s="53" t="str">
        <f aca="false">IF(PRESIONES!$C$22="NO","",IF(OR(LINEAS!$D$11="",DATOS!$C$22="—",ABS(LINEAS!$BA$11*DATOS!$C$67)&lt;0.00005),"*",LINEAS!$D$11&amp;" UNI G"&amp;DATOS!$C$22&amp;" "&amp;TEXT(LINEAS!$BA$11*DATOS!$C$67,DATOS!$C$68)))</f>
        <v/>
      </c>
      <c r="E228" s="51" t="str">
        <f aca="false">IF(LEN($D228)&gt;79,"MÁS DE 79 CARACTERES","")</f>
        <v/>
      </c>
    </row>
    <row r="229" customFormat="false" ht="15" hidden="false" customHeight="true" outlineLevel="0" collapsed="false">
      <c r="B229" s="53" t="str">
        <f aca="false">IF(OR(LINEAS!$D$12="",ABS(-LINEAS!$AC$12*DATOS!$C$67)&lt;0.00005),"*",LINEAS!$D$12&amp;" UNI GY "&amp;TEXT(-LINEAS!$AC$12*DATOS!$C$67,DATOS!$C$68))</f>
        <v>78 121 TO 124 UNI GY 0.1318</v>
      </c>
      <c r="C229" s="51" t="str">
        <f aca="false">IF(LEN($B229)&gt;79,"MÁS DE 79 CARACTERES","")</f>
        <v/>
      </c>
      <c r="D229" s="53" t="str">
        <f aca="false">IF(PRESIONES!$C$22="NO","",IF(OR(LINEAS!$D$12="",ABS(-LINEAS!$AS$12*DATOS!$C$67)&lt;0.00005),"*",LINEAS!$D$12&amp;" UNI GY "&amp;TEXT(-LINEAS!$AS$12*DATOS!$C$67,DATOS!$C$68)))</f>
        <v/>
      </c>
      <c r="E229" s="51" t="str">
        <f aca="false">IF(LEN($D229)&gt;79,"MÁS DE 79 CARACTERES","")</f>
        <v/>
      </c>
    </row>
    <row r="230" customFormat="false" ht="15" hidden="false" customHeight="true" outlineLevel="0" collapsed="false">
      <c r="B230" s="53" t="str">
        <f aca="false">IF(OR(LINEAS!$D$12="",DATOS!$C$22="—",ABS(LINEAS!$AK$12*DATOS!$C$67)&lt;0.00005),"*",LINEAS!$D$12&amp;" UNI G"&amp;DATOS!$C$22&amp;" "&amp;TEXT(LINEAS!$AK$12*DATOS!$C$67,DATOS!$C$68))</f>
        <v>78 121 TO 124 UNI GZ 0.0066</v>
      </c>
      <c r="C230" s="51" t="str">
        <f aca="false">IF(LEN($B230)&gt;79,"MÁS DE 79 CARACTERES","")</f>
        <v/>
      </c>
      <c r="D230" s="53" t="str">
        <f aca="false">IF(PRESIONES!$C$22="NO","",IF(OR(LINEAS!$D$12="",DATOS!$C$22="—",ABS(LINEAS!$BA$12*DATOS!$C$67)&lt;0.00005),"*",LINEAS!$D$12&amp;" UNI G"&amp;DATOS!$C$22&amp;" "&amp;TEXT(LINEAS!$BA$12*DATOS!$C$67,DATOS!$C$68)))</f>
        <v/>
      </c>
      <c r="E230" s="51" t="str">
        <f aca="false">IF(LEN($D230)&gt;79,"MÁS DE 79 CARACTERES","")</f>
        <v/>
      </c>
    </row>
    <row r="231" customFormat="false" ht="15" hidden="false" customHeight="true" outlineLevel="0" collapsed="false">
      <c r="B231" s="53" t="str">
        <f aca="false">IF(OR(LINEAS!$D$13="",ABS(-LINEAS!$AC$13*DATOS!$C$67)&lt;0.00005),"*",LINEAS!$D$13&amp;" UNI GY "&amp;TEXT(-LINEAS!$AC$13*DATOS!$C$67,DATOS!$C$68))</f>
        <v>77 117 TO 120 UNI GY 0.1318</v>
      </c>
      <c r="C231" s="51" t="str">
        <f aca="false">IF(LEN($B231)&gt;79,"MÁS DE 79 CARACTERES","")</f>
        <v/>
      </c>
      <c r="D231" s="53" t="str">
        <f aca="false">IF(PRESIONES!$C$22="NO","",IF(OR(LINEAS!$D$13="",ABS(-LINEAS!$AS$13*DATOS!$C$67)&lt;0.00005),"*",LINEAS!$D$13&amp;" UNI GY "&amp;TEXT(-LINEAS!$AS$13*DATOS!$C$67,DATOS!$C$68)))</f>
        <v/>
      </c>
      <c r="E231" s="51" t="str">
        <f aca="false">IF(LEN($D231)&gt;79,"MÁS DE 79 CARACTERES","")</f>
        <v/>
      </c>
    </row>
    <row r="232" customFormat="false" ht="15" hidden="false" customHeight="true" outlineLevel="0" collapsed="false">
      <c r="B232" s="53" t="str">
        <f aca="false">IF(OR(LINEAS!$D$13="",DATOS!$C$22="—",ABS(LINEAS!$AK$13*DATOS!$C$67)&lt;0.00005),"*",LINEAS!$D$13&amp;" UNI G"&amp;DATOS!$C$22&amp;" "&amp;TEXT(LINEAS!$AK$13*DATOS!$C$67,DATOS!$C$68))</f>
        <v>77 117 TO 120 UNI GZ 0.0066</v>
      </c>
      <c r="C232" s="51" t="str">
        <f aca="false">IF(LEN($B232)&gt;79,"MÁS DE 79 CARACTERES","")</f>
        <v/>
      </c>
      <c r="D232" s="53" t="str">
        <f aca="false">IF(PRESIONES!$C$22="NO","",IF(OR(LINEAS!$D$13="",DATOS!$C$22="—",ABS(LINEAS!$BA$13*DATOS!$C$67)&lt;0.00005),"*",LINEAS!$D$13&amp;" UNI G"&amp;DATOS!$C$22&amp;" "&amp;TEXT(LINEAS!$BA$13*DATOS!$C$67,DATOS!$C$68)))</f>
        <v/>
      </c>
      <c r="E232" s="51" t="str">
        <f aca="false">IF(LEN($D232)&gt;79,"MÁS DE 79 CARACTERES","")</f>
        <v/>
      </c>
    </row>
    <row r="233" customFormat="false" ht="15" hidden="false" customHeight="true" outlineLevel="0" collapsed="false">
      <c r="B233" s="53" t="str">
        <f aca="false">IF(OR(LINEAS!$D$14="",ABS(-LINEAS!$AC$14*DATOS!$C$67)&lt;0.00005),"*",LINEAS!$D$14&amp;" UNI GY "&amp;TEXT(-LINEAS!$AC$14*DATOS!$C$67,DATOS!$C$68))</f>
        <v>9 93 TO 96 UNI GY 0.1318</v>
      </c>
      <c r="C233" s="51" t="str">
        <f aca="false">IF(LEN($B233)&gt;79,"MÁS DE 79 CARACTERES","")</f>
        <v/>
      </c>
      <c r="D233" s="53" t="str">
        <f aca="false">IF(PRESIONES!$C$22="NO","",IF(OR(LINEAS!$D$14="",ABS(-LINEAS!$AS$14*DATOS!$C$67)&lt;0.00005),"*",LINEAS!$D$14&amp;" UNI GY "&amp;TEXT(-LINEAS!$AS$14*DATOS!$C$67,DATOS!$C$68)))</f>
        <v/>
      </c>
      <c r="E233" s="51" t="str">
        <f aca="false">IF(LEN($D233)&gt;79,"MÁS DE 79 CARACTERES","")</f>
        <v/>
      </c>
    </row>
    <row r="234" customFormat="false" ht="15" hidden="false" customHeight="true" outlineLevel="0" collapsed="false">
      <c r="B234" s="53" t="str">
        <f aca="false">IF(OR(LINEAS!$D$14="",DATOS!$C$22="—",ABS(LINEAS!$AK$14*DATOS!$C$67)&lt;0.00005),"*",LINEAS!$D$14&amp;" UNI G"&amp;DATOS!$C$22&amp;" "&amp;TEXT(LINEAS!$AK$14*DATOS!$C$67,DATOS!$C$68))</f>
        <v>9 93 TO 96 UNI GZ 0.0066</v>
      </c>
      <c r="C234" s="51" t="str">
        <f aca="false">IF(LEN($B234)&gt;79,"MÁS DE 79 CARACTERES","")</f>
        <v/>
      </c>
      <c r="D234" s="53" t="str">
        <f aca="false">IF(PRESIONES!$C$22="NO","",IF(OR(LINEAS!$D$14="",DATOS!$C$22="—",ABS(LINEAS!$BA$14*DATOS!$C$67)&lt;0.00005),"*",LINEAS!$D$14&amp;" UNI G"&amp;DATOS!$C$22&amp;" "&amp;TEXT(LINEAS!$BA$14*DATOS!$C$67,DATOS!$C$68)))</f>
        <v/>
      </c>
      <c r="E234" s="51" t="str">
        <f aca="false">IF(LEN($D234)&gt;79,"MÁS DE 79 CARACTERES","")</f>
        <v/>
      </c>
    </row>
    <row r="235" customFormat="false" ht="15" hidden="false" customHeight="true" outlineLevel="0" collapsed="false">
      <c r="B235" s="53" t="str">
        <f aca="false">IF(OR(LINEAS!$D$15="",ABS(-LINEAS!$AC$15*DATOS!$C$67)&lt;0.00005),"*",LINEAS!$D$15&amp;" UNI GY "&amp;TEXT(-LINEAS!$AC$15*DATOS!$C$67,DATOS!$C$68))</f>
        <v>76 113 TO 116 UNI GY 0.1318</v>
      </c>
      <c r="C235" s="51" t="str">
        <f aca="false">IF(LEN($B235)&gt;79,"MÁS DE 79 CARACTERES","")</f>
        <v/>
      </c>
      <c r="D235" s="53" t="str">
        <f aca="false">IF(PRESIONES!$C$22="NO","",IF(OR(LINEAS!$D$15="",ABS(-LINEAS!$AS$15*DATOS!$C$67)&lt;0.00005),"*",LINEAS!$D$15&amp;" UNI GY "&amp;TEXT(-LINEAS!$AS$15*DATOS!$C$67,DATOS!$C$68)))</f>
        <v/>
      </c>
      <c r="E235" s="51" t="str">
        <f aca="false">IF(LEN($D235)&gt;79,"MÁS DE 79 CARACTERES","")</f>
        <v/>
      </c>
    </row>
    <row r="236" customFormat="false" ht="15" hidden="false" customHeight="true" outlineLevel="0" collapsed="false">
      <c r="B236" s="53" t="str">
        <f aca="false">IF(OR(LINEAS!$D$15="",DATOS!$C$22="—",ABS(LINEAS!$AK$15*DATOS!$C$67)&lt;0.00005),"*",LINEAS!$D$15&amp;" UNI G"&amp;DATOS!$C$22&amp;" "&amp;TEXT(LINEAS!$AK$15*DATOS!$C$67,DATOS!$C$68))</f>
        <v>76 113 TO 116 UNI GZ 0.0066</v>
      </c>
      <c r="C236" s="51" t="str">
        <f aca="false">IF(LEN($B236)&gt;79,"MÁS DE 79 CARACTERES","")</f>
        <v/>
      </c>
      <c r="D236" s="53" t="str">
        <f aca="false">IF(PRESIONES!$C$22="NO","",IF(OR(LINEAS!$D$15="",DATOS!$C$22="—",ABS(LINEAS!$BA$15*DATOS!$C$67)&lt;0.00005),"*",LINEAS!$D$15&amp;" UNI G"&amp;DATOS!$C$22&amp;" "&amp;TEXT(LINEAS!$BA$15*DATOS!$C$67,DATOS!$C$68)))</f>
        <v/>
      </c>
      <c r="E236" s="51" t="str">
        <f aca="false">IF(LEN($D236)&gt;79,"MÁS DE 79 CARACTERES","")</f>
        <v/>
      </c>
    </row>
    <row r="237" customFormat="false" ht="15" hidden="false" customHeight="true" outlineLevel="0" collapsed="false">
      <c r="B237" s="53" t="str">
        <f aca="false">IF(OR(LINEAS!$D$16="",ABS(-LINEAS!$AC$16*DATOS!$C$67)&lt;0.00005),"*",LINEAS!$D$16&amp;" UNI GY "&amp;TEXT(-LINEAS!$AC$16*DATOS!$C$67,DATOS!$C$68))</f>
        <v>75 109 TO 112 UNI GY 0.1318</v>
      </c>
      <c r="C237" s="51" t="str">
        <f aca="false">IF(LEN($B237)&gt;79,"MÁS DE 79 CARACTERES","")</f>
        <v/>
      </c>
      <c r="D237" s="53" t="str">
        <f aca="false">IF(PRESIONES!$C$22="NO","",IF(OR(LINEAS!$D$16="",ABS(-LINEAS!$AS$16*DATOS!$C$67)&lt;0.00005),"*",LINEAS!$D$16&amp;" UNI GY "&amp;TEXT(-LINEAS!$AS$16*DATOS!$C$67,DATOS!$C$68)))</f>
        <v/>
      </c>
      <c r="E237" s="51" t="str">
        <f aca="false">IF(LEN($D237)&gt;79,"MÁS DE 79 CARACTERES","")</f>
        <v/>
      </c>
    </row>
    <row r="238" customFormat="false" ht="15" hidden="false" customHeight="true" outlineLevel="0" collapsed="false">
      <c r="B238" s="53" t="str">
        <f aca="false">IF(OR(LINEAS!$D$16="",DATOS!$C$22="—",ABS(LINEAS!$AK$16*DATOS!$C$67)&lt;0.00005),"*",LINEAS!$D$16&amp;" UNI G"&amp;DATOS!$C$22&amp;" "&amp;TEXT(LINEAS!$AK$16*DATOS!$C$67,DATOS!$C$68))</f>
        <v>75 109 TO 112 UNI GZ 0.0066</v>
      </c>
      <c r="C238" s="51" t="str">
        <f aca="false">IF(LEN($B238)&gt;79,"MÁS DE 79 CARACTERES","")</f>
        <v/>
      </c>
      <c r="D238" s="53" t="str">
        <f aca="false">IF(PRESIONES!$C$22="NO","",IF(OR(LINEAS!$D$16="",DATOS!$C$22="—",ABS(LINEAS!$BA$16*DATOS!$C$67)&lt;0.00005),"*",LINEAS!$D$16&amp;" UNI G"&amp;DATOS!$C$22&amp;" "&amp;TEXT(LINEAS!$BA$16*DATOS!$C$67,DATOS!$C$68)))</f>
        <v/>
      </c>
      <c r="E238" s="51" t="str">
        <f aca="false">IF(LEN($D238)&gt;79,"MÁS DE 79 CARACTERES","")</f>
        <v/>
      </c>
    </row>
    <row r="239" customFormat="false" ht="15" hidden="false" customHeight="true" outlineLevel="0" collapsed="false">
      <c r="B239" s="53" t="str">
        <f aca="false">IF(OR(LINEAS!$D$17="",ABS(-LINEAS!$AC$17*DATOS!$C$67)&lt;0.00005),"*",LINEAS!$D$17&amp;" UNI GY "&amp;TEXT(-LINEAS!$AC$17*DATOS!$C$67,DATOS!$C$68))</f>
        <v>74 105 TO 108 UNI GY 0.1318</v>
      </c>
      <c r="C239" s="51" t="str">
        <f aca="false">IF(LEN($B239)&gt;79,"MÁS DE 79 CARACTERES","")</f>
        <v/>
      </c>
      <c r="D239" s="53" t="str">
        <f aca="false">IF(PRESIONES!$C$22="NO","",IF(OR(LINEAS!$D$17="",ABS(-LINEAS!$AS$17*DATOS!$C$67)&lt;0.00005),"*",LINEAS!$D$17&amp;" UNI GY "&amp;TEXT(-LINEAS!$AS$17*DATOS!$C$67,DATOS!$C$68)))</f>
        <v/>
      </c>
      <c r="E239" s="51" t="str">
        <f aca="false">IF(LEN($D239)&gt;79,"MÁS DE 79 CARACTERES","")</f>
        <v/>
      </c>
    </row>
    <row r="240" customFormat="false" ht="15" hidden="false" customHeight="true" outlineLevel="0" collapsed="false">
      <c r="B240" s="53" t="str">
        <f aca="false">IF(OR(LINEAS!$D$17="",DATOS!$C$22="—",ABS(LINEAS!$AK$17*DATOS!$C$67)&lt;0.00005),"*",LINEAS!$D$17&amp;" UNI G"&amp;DATOS!$C$22&amp;" "&amp;TEXT(LINEAS!$AK$17*DATOS!$C$67,DATOS!$C$68))</f>
        <v>74 105 TO 108 UNI GZ 0.0066</v>
      </c>
      <c r="C240" s="51" t="str">
        <f aca="false">IF(LEN($B240)&gt;79,"MÁS DE 79 CARACTERES","")</f>
        <v/>
      </c>
      <c r="D240" s="53" t="str">
        <f aca="false">IF(PRESIONES!$C$22="NO","",IF(OR(LINEAS!$D$17="",DATOS!$C$22="—",ABS(LINEAS!$BA$17*DATOS!$C$67)&lt;0.00005),"*",LINEAS!$D$17&amp;" UNI G"&amp;DATOS!$C$22&amp;" "&amp;TEXT(LINEAS!$BA$17*DATOS!$C$67,DATOS!$C$68)))</f>
        <v/>
      </c>
      <c r="E240" s="51" t="str">
        <f aca="false">IF(LEN($D240)&gt;79,"MÁS DE 79 CARACTERES","")</f>
        <v/>
      </c>
    </row>
    <row r="241" customFormat="false" ht="15" hidden="false" customHeight="true" outlineLevel="0" collapsed="false">
      <c r="B241" s="53" t="str">
        <f aca="false">IF(OR(LINEAS!$D$18="",ABS(-LINEAS!$AC$18*DATOS!$C$67)&lt;0.00005),"*",LINEAS!$D$18&amp;" UNI GY "&amp;TEXT(-LINEAS!$AC$18*DATOS!$C$67,DATOS!$C$68))</f>
        <v>73 101 TO 104 UNI GY 0.1318</v>
      </c>
      <c r="C241" s="51" t="str">
        <f aca="false">IF(LEN($B241)&gt;79,"MÁS DE 79 CARACTERES","")</f>
        <v/>
      </c>
      <c r="D241" s="53" t="str">
        <f aca="false">IF(PRESIONES!$C$22="NO","",IF(OR(LINEAS!$D$18="",ABS(-LINEAS!$AS$18*DATOS!$C$67)&lt;0.00005),"*",LINEAS!$D$18&amp;" UNI GY "&amp;TEXT(-LINEAS!$AS$18*DATOS!$C$67,DATOS!$C$68)))</f>
        <v/>
      </c>
      <c r="E241" s="51" t="str">
        <f aca="false">IF(LEN($D241)&gt;79,"MÁS DE 79 CARACTERES","")</f>
        <v/>
      </c>
    </row>
    <row r="242" customFormat="false" ht="15" hidden="false" customHeight="true" outlineLevel="0" collapsed="false">
      <c r="B242" s="53" t="str">
        <f aca="false">IF(OR(LINEAS!$D$18="",DATOS!$C$22="—",ABS(LINEAS!$AK$18*DATOS!$C$67)&lt;0.00005),"*",LINEAS!$D$18&amp;" UNI G"&amp;DATOS!$C$22&amp;" "&amp;TEXT(LINEAS!$AK$18*DATOS!$C$67,DATOS!$C$68))</f>
        <v>73 101 TO 104 UNI GZ 0.0066</v>
      </c>
      <c r="C242" s="51" t="str">
        <f aca="false">IF(LEN($B242)&gt;79,"MÁS DE 79 CARACTERES","")</f>
        <v/>
      </c>
      <c r="D242" s="53" t="str">
        <f aca="false">IF(PRESIONES!$C$22="NO","",IF(OR(LINEAS!$D$18="",DATOS!$C$22="—",ABS(LINEAS!$BA$18*DATOS!$C$67)&lt;0.00005),"*",LINEAS!$D$18&amp;" UNI G"&amp;DATOS!$C$22&amp;" "&amp;TEXT(LINEAS!$BA$18*DATOS!$C$67,DATOS!$C$68)))</f>
        <v/>
      </c>
      <c r="E242" s="51" t="str">
        <f aca="false">IF(LEN($D242)&gt;79,"MÁS DE 79 CARACTERES","")</f>
        <v/>
      </c>
    </row>
    <row r="243" customFormat="false" ht="15" hidden="false" customHeight="true" outlineLevel="0" collapsed="false">
      <c r="B243" s="53" t="str">
        <f aca="false">IF(OR(LINEAS!$D$19="",ABS(-LINEAS!$AC$19*DATOS!$C$67)&lt;0.00005),"*",LINEAS!$D$19&amp;" UNI GY "&amp;TEXT(-LINEAS!$AC$19*DATOS!$C$67,DATOS!$C$68))</f>
        <v>8 89 TO 92 UNI GY 0.1270</v>
      </c>
      <c r="C243" s="51" t="str">
        <f aca="false">IF(LEN($B243)&gt;79,"MÁS DE 79 CARACTERES","")</f>
        <v/>
      </c>
      <c r="D243" s="53" t="str">
        <f aca="false">IF(PRESIONES!$C$22="NO","",IF(OR(LINEAS!$D$19="",ABS(-LINEAS!$AS$19*DATOS!$C$67)&lt;0.00005),"*",LINEAS!$D$19&amp;" UNI GY "&amp;TEXT(-LINEAS!$AS$19*DATOS!$C$67,DATOS!$C$68)))</f>
        <v/>
      </c>
      <c r="E243" s="51" t="str">
        <f aca="false">IF(LEN($D243)&gt;79,"MÁS DE 79 CARACTERES","")</f>
        <v/>
      </c>
    </row>
    <row r="244" customFormat="false" ht="15" hidden="false" customHeight="true" outlineLevel="0" collapsed="false">
      <c r="B244" s="53" t="str">
        <f aca="false">IF(OR(LINEAS!$D$19="",DATOS!$C$22="—",ABS(LINEAS!$AK$19*DATOS!$C$67)&lt;0.00005),"*",LINEAS!$D$19&amp;" UNI G"&amp;DATOS!$C$22&amp;" "&amp;TEXT(LINEAS!$AK$19*DATOS!$C$67,DATOS!$C$68))</f>
        <v>8 89 TO 92 UNI GZ 0.0063</v>
      </c>
      <c r="C244" s="51" t="str">
        <f aca="false">IF(LEN($B244)&gt;79,"MÁS DE 79 CARACTERES","")</f>
        <v/>
      </c>
      <c r="D244" s="53" t="str">
        <f aca="false">IF(PRESIONES!$C$22="NO","",IF(OR(LINEAS!$D$19="",DATOS!$C$22="—",ABS(LINEAS!$BA$19*DATOS!$C$67)&lt;0.00005),"*",LINEAS!$D$19&amp;" UNI G"&amp;DATOS!$C$22&amp;" "&amp;TEXT(LINEAS!$BA$19*DATOS!$C$67,DATOS!$C$68)))</f>
        <v/>
      </c>
      <c r="E244" s="51" t="str">
        <f aca="false">IF(LEN($D244)&gt;79,"MÁS DE 79 CARACTERES","")</f>
        <v/>
      </c>
    </row>
    <row r="245" customFormat="false" ht="15" hidden="false" customHeight="true" outlineLevel="0" collapsed="false">
      <c r="B245" s="53" t="str">
        <f aca="false">IF(OR(LINEAS!$D$20="",ABS(-LINEAS!$AC$20*DATOS!$C$67)&lt;0.00005),"*",LINEAS!$D$20&amp;" UNI GY "&amp;TEXT(-LINEAS!$AC$20*DATOS!$C$67,DATOS!$C$68))</f>
        <v>56 97 TO 100 UNI GY 0.1221</v>
      </c>
      <c r="C245" s="51" t="str">
        <f aca="false">IF(LEN($B245)&gt;79,"MÁS DE 79 CARACTERES","")</f>
        <v/>
      </c>
      <c r="D245" s="53" t="str">
        <f aca="false">IF(PRESIONES!$C$22="NO","",IF(OR(LINEAS!$D$20="",ABS(-LINEAS!$AS$20*DATOS!$C$67)&lt;0.00005),"*",LINEAS!$D$20&amp;" UNI GY "&amp;TEXT(-LINEAS!$AS$20*DATOS!$C$67,DATOS!$C$68)))</f>
        <v/>
      </c>
      <c r="E245" s="51" t="str">
        <f aca="false">IF(LEN($D245)&gt;79,"MÁS DE 79 CARACTERES","")</f>
        <v/>
      </c>
    </row>
    <row r="246" customFormat="false" ht="15" hidden="false" customHeight="true" outlineLevel="0" collapsed="false">
      <c r="B246" s="53" t="str">
        <f aca="false">IF(OR(LINEAS!$D$20="",DATOS!$C$22="—",ABS(LINEAS!$AK$20*DATOS!$C$67)&lt;0.00005),"*",LINEAS!$D$20&amp;" UNI G"&amp;DATOS!$C$22&amp;" "&amp;TEXT(LINEAS!$AK$20*DATOS!$C$67,DATOS!$C$68))</f>
        <v>56 97 TO 100 UNI GZ 0.0061</v>
      </c>
      <c r="C246" s="51" t="str">
        <f aca="false">IF(LEN($B246)&gt;79,"MÁS DE 79 CARACTERES","")</f>
        <v/>
      </c>
      <c r="D246" s="53" t="str">
        <f aca="false">IF(PRESIONES!$C$22="NO","",IF(OR(LINEAS!$D$20="",DATOS!$C$22="—",ABS(LINEAS!$BA$20*DATOS!$C$67)&lt;0.00005),"*",LINEAS!$D$20&amp;" UNI G"&amp;DATOS!$C$22&amp;" "&amp;TEXT(LINEAS!$BA$20*DATOS!$C$67,DATOS!$C$68)))</f>
        <v/>
      </c>
      <c r="E246" s="51" t="str">
        <f aca="false">IF(LEN($D246)&gt;79,"MÁS DE 79 CARACTERES","")</f>
        <v/>
      </c>
    </row>
    <row r="247" customFormat="false" ht="15" hidden="false" customHeight="true" outlineLevel="0" collapsed="false">
      <c r="B247" s="53" t="str">
        <f aca="false">IF(OR(LINEAS!$D$21="",ABS(-LINEAS!$AC$21*DATOS!$C$67)&lt;0.00005),"*",LINEAS!$D$21&amp;" UNI GY "&amp;TEXT(-LINEAS!$AC$21*DATOS!$C$67,DATOS!$C$68))</f>
        <v>7 81 TO 84 UNI GY 0.0610</v>
      </c>
      <c r="C247" s="51" t="str">
        <f aca="false">IF(LEN($B247)&gt;79,"MÁS DE 79 CARACTERES","")</f>
        <v/>
      </c>
      <c r="D247" s="53" t="str">
        <f aca="false">IF(PRESIONES!$C$22="NO","",IF(OR(LINEAS!$D$21="",ABS(-LINEAS!$AS$21*DATOS!$C$67)&lt;0.00005),"*",LINEAS!$D$21&amp;" UNI GY "&amp;TEXT(-LINEAS!$AS$21*DATOS!$C$67,DATOS!$C$68)))</f>
        <v/>
      </c>
      <c r="E247" s="51" t="str">
        <f aca="false">IF(LEN($D247)&gt;79,"MÁS DE 79 CARACTERES","")</f>
        <v/>
      </c>
    </row>
    <row r="248" customFormat="false" ht="15" hidden="false" customHeight="true" outlineLevel="0" collapsed="false">
      <c r="B248" s="53" t="str">
        <f aca="false">IF(OR(LINEAS!$D$21="",DATOS!$C$22="—",ABS(LINEAS!$AK$21*DATOS!$C$67)&lt;0.00005),"*",LINEAS!$D$21&amp;" UNI G"&amp;DATOS!$C$22&amp;" "&amp;TEXT(LINEAS!$AK$21*DATOS!$C$67,DATOS!$C$68))</f>
        <v>7 81 TO 84 UNI GZ 0.0031</v>
      </c>
      <c r="C248" s="51" t="str">
        <f aca="false">IF(LEN($B248)&gt;79,"MÁS DE 79 CARACTERES","")</f>
        <v/>
      </c>
      <c r="D248" s="53" t="str">
        <f aca="false">IF(PRESIONES!$C$22="NO","",IF(OR(LINEAS!$D$21="",DATOS!$C$22="—",ABS(LINEAS!$BA$21*DATOS!$C$67)&lt;0.00005),"*",LINEAS!$D$21&amp;" UNI G"&amp;DATOS!$C$22&amp;" "&amp;TEXT(LINEAS!$BA$21*DATOS!$C$67,DATOS!$C$68)))</f>
        <v/>
      </c>
      <c r="E248" s="51" t="str">
        <f aca="false">IF(LEN($D248)&gt;79,"MÁS DE 79 CARACTERES","")</f>
        <v/>
      </c>
    </row>
    <row r="249" customFormat="false" ht="15" hidden="false" customHeight="true" outlineLevel="0" collapsed="false">
      <c r="B249" s="53" t="str">
        <f aca="false">IF(OR(LINEAS!$D$22="",ABS(-LINEAS!$AC$22*DATOS!$C$67)&lt;0.00005),"*",LINEAS!$D$22&amp;" UNI GY "&amp;TEXT(-LINEAS!$AC$22*DATOS!$C$67,DATOS!$C$68))</f>
        <v>*</v>
      </c>
      <c r="C249" s="51" t="str">
        <f aca="false">IF(LEN($B249)&gt;79,"MÁS DE 79 CARACTERES","")</f>
        <v/>
      </c>
      <c r="D249" s="53" t="str">
        <f aca="false">IF(PRESIONES!$C$22="NO","",IF(OR(LINEAS!$D$22="",ABS(-LINEAS!$AS$22*DATOS!$C$67)&lt;0.00005),"*",LINEAS!$D$22&amp;" UNI GY "&amp;TEXT(-LINEAS!$AS$22*DATOS!$C$67,DATOS!$C$68)))</f>
        <v/>
      </c>
      <c r="E249" s="51" t="str">
        <f aca="false">IF(LEN($D249)&gt;79,"MÁS DE 79 CARACTERES","")</f>
        <v/>
      </c>
    </row>
    <row r="250" customFormat="false" ht="15" hidden="false" customHeight="true" outlineLevel="0" collapsed="false">
      <c r="B250" s="53" t="str">
        <f aca="false">IF(OR(LINEAS!$D$22="",DATOS!$C$22="—",ABS(LINEAS!$AK$22*DATOS!$C$67)&lt;0.00005),"*",LINEAS!$D$22&amp;" UNI G"&amp;DATOS!$C$22&amp;" "&amp;TEXT(LINEAS!$AK$22*DATOS!$C$67,DATOS!$C$68))</f>
        <v>*</v>
      </c>
      <c r="C250" s="51" t="str">
        <f aca="false">IF(LEN($B250)&gt;79,"MÁS DE 79 CARACTERES","")</f>
        <v/>
      </c>
      <c r="D250" s="53" t="str">
        <f aca="false">IF(PRESIONES!$C$22="NO","",IF(OR(LINEAS!$D$22="",DATOS!$C$22="—",ABS(LINEAS!$BA$22*DATOS!$C$67)&lt;0.00005),"*",LINEAS!$D$22&amp;" UNI G"&amp;DATOS!$C$22&amp;" "&amp;TEXT(LINEAS!$BA$22*DATOS!$C$67,DATOS!$C$68)))</f>
        <v/>
      </c>
      <c r="E250" s="51" t="str">
        <f aca="false">IF(LEN($D250)&gt;79,"MÁS DE 79 CARACTERES","")</f>
        <v/>
      </c>
    </row>
    <row r="251" customFormat="false" ht="15" hidden="false" customHeight="true" outlineLevel="0" collapsed="false">
      <c r="B251" s="53" t="str">
        <f aca="false">IF(OR(LINEAS!$D$23="",ABS(-LINEAS!$AC$23*DATOS!$C$67)&lt;0.00005),"*",LINEAS!$D$23&amp;" UNI GY "&amp;TEXT(-LINEAS!$AC$23*DATOS!$C$67,DATOS!$C$68))</f>
        <v>*</v>
      </c>
      <c r="C251" s="51" t="str">
        <f aca="false">IF(LEN($B251)&gt;79,"MÁS DE 79 CARACTERES","")</f>
        <v/>
      </c>
      <c r="D251" s="53" t="str">
        <f aca="false">IF(PRESIONES!$C$22="NO","",IF(OR(LINEAS!$D$23="",ABS(-LINEAS!$AS$23*DATOS!$C$67)&lt;0.00005),"*",LINEAS!$D$23&amp;" UNI GY "&amp;TEXT(-LINEAS!$AS$23*DATOS!$C$67,DATOS!$C$68)))</f>
        <v/>
      </c>
      <c r="E251" s="51" t="str">
        <f aca="false">IF(LEN($D251)&gt;79,"MÁS DE 79 CARACTERES","")</f>
        <v/>
      </c>
    </row>
    <row r="252" customFormat="false" ht="15" hidden="false" customHeight="true" outlineLevel="0" collapsed="false">
      <c r="B252" s="53" t="str">
        <f aca="false">IF(OR(LINEAS!$D$23="",DATOS!$C$22="—",ABS(LINEAS!$AK$23*DATOS!$C$67)&lt;0.00005),"*",LINEAS!$D$23&amp;" UNI G"&amp;DATOS!$C$22&amp;" "&amp;TEXT(LINEAS!$AK$23*DATOS!$C$67,DATOS!$C$68))</f>
        <v>*</v>
      </c>
      <c r="C252" s="51" t="str">
        <f aca="false">IF(LEN($B252)&gt;79,"MÁS DE 79 CARACTERES","")</f>
        <v/>
      </c>
      <c r="D252" s="53" t="str">
        <f aca="false">IF(PRESIONES!$C$22="NO","",IF(OR(LINEAS!$D$23="",DATOS!$C$22="—",ABS(LINEAS!$BA$23*DATOS!$C$67)&lt;0.00005),"*",LINEAS!$D$23&amp;" UNI G"&amp;DATOS!$C$22&amp;" "&amp;TEXT(LINEAS!$BA$23*DATOS!$C$67,DATOS!$C$68)))</f>
        <v/>
      </c>
      <c r="E252" s="51" t="str">
        <f aca="false">IF(LEN($D252)&gt;79,"MÁS DE 79 CARACTERES","")</f>
        <v/>
      </c>
    </row>
    <row r="253" customFormat="false" ht="15" hidden="false" customHeight="true" outlineLevel="0" collapsed="false">
      <c r="B253" s="53" t="str">
        <f aca="false">IF(OR(LINEAS!$D$24="",ABS(-LINEAS!$AC$24*DATOS!$C$67)&lt;0.00005),"*",LINEAS!$D$24&amp;" UNI GY "&amp;TEXT(-LINEAS!$AC$24*DATOS!$C$67,DATOS!$C$68))</f>
        <v>*</v>
      </c>
      <c r="C253" s="51" t="str">
        <f aca="false">IF(LEN($B253)&gt;79,"MÁS DE 79 CARACTERES","")</f>
        <v/>
      </c>
      <c r="D253" s="53" t="str">
        <f aca="false">IF(PRESIONES!$C$22="NO","",IF(OR(LINEAS!$D$24="",ABS(-LINEAS!$AS$24*DATOS!$C$67)&lt;0.00005),"*",LINEAS!$D$24&amp;" UNI GY "&amp;TEXT(-LINEAS!$AS$24*DATOS!$C$67,DATOS!$C$68)))</f>
        <v/>
      </c>
      <c r="E253" s="51" t="str">
        <f aca="false">IF(LEN($D253)&gt;79,"MÁS DE 79 CARACTERES","")</f>
        <v/>
      </c>
    </row>
    <row r="254" customFormat="false" ht="15" hidden="false" customHeight="true" outlineLevel="0" collapsed="false">
      <c r="B254" s="53" t="str">
        <f aca="false">IF(OR(LINEAS!$D$24="",DATOS!$C$22="—",ABS(LINEAS!$AK$24*DATOS!$C$67)&lt;0.00005),"*",LINEAS!$D$24&amp;" UNI G"&amp;DATOS!$C$22&amp;" "&amp;TEXT(LINEAS!$AK$24*DATOS!$C$67,DATOS!$C$68))</f>
        <v>*</v>
      </c>
      <c r="C254" s="51" t="str">
        <f aca="false">IF(LEN($B254)&gt;79,"MÁS DE 79 CARACTERES","")</f>
        <v/>
      </c>
      <c r="D254" s="53" t="str">
        <f aca="false">IF(PRESIONES!$C$22="NO","",IF(OR(LINEAS!$D$24="",DATOS!$C$22="—",ABS(LINEAS!$BA$24*DATOS!$C$67)&lt;0.00005),"*",LINEAS!$D$24&amp;" UNI G"&amp;DATOS!$C$22&amp;" "&amp;TEXT(LINEAS!$BA$24*DATOS!$C$67,DATOS!$C$68)))</f>
        <v/>
      </c>
      <c r="E254" s="51" t="str">
        <f aca="false">IF(LEN($D254)&gt;79,"MÁS DE 79 CARACTERES","")</f>
        <v/>
      </c>
    </row>
    <row r="255" customFormat="false" ht="15" hidden="false" customHeight="true" outlineLevel="0" collapsed="false">
      <c r="B255" s="53" t="str">
        <f aca="false">IF(OR(LINEAS!$D$25="",ABS(-LINEAS!$AC$25*DATOS!$C$67)&lt;0.00005),"*",LINEAS!$D$25&amp;" UNI GY "&amp;TEXT(-LINEAS!$AC$25*DATOS!$C$67,DATOS!$C$68))</f>
        <v>*</v>
      </c>
      <c r="C255" s="51" t="str">
        <f aca="false">IF(LEN($B255)&gt;79,"MÁS DE 79 CARACTERES","")</f>
        <v/>
      </c>
      <c r="D255" s="53" t="str">
        <f aca="false">IF(PRESIONES!$C$22="NO","",IF(OR(LINEAS!$D$25="",ABS(-LINEAS!$AS$25*DATOS!$C$67)&lt;0.00005),"*",LINEAS!$D$25&amp;" UNI GY "&amp;TEXT(-LINEAS!$AS$25*DATOS!$C$67,DATOS!$C$68)))</f>
        <v/>
      </c>
      <c r="E255" s="51" t="str">
        <f aca="false">IF(LEN($D255)&gt;79,"MÁS DE 79 CARACTERES","")</f>
        <v/>
      </c>
    </row>
    <row r="256" customFormat="false" ht="15" hidden="false" customHeight="true" outlineLevel="0" collapsed="false">
      <c r="B256" s="53" t="str">
        <f aca="false">IF(OR(LINEAS!$D$25="",DATOS!$C$22="—",ABS(LINEAS!$AK$25*DATOS!$C$67)&lt;0.00005),"*",LINEAS!$D$25&amp;" UNI G"&amp;DATOS!$C$22&amp;" "&amp;TEXT(LINEAS!$AK$25*DATOS!$C$67,DATOS!$C$68))</f>
        <v>*</v>
      </c>
      <c r="C256" s="51" t="str">
        <f aca="false">IF(LEN($B256)&gt;79,"MÁS DE 79 CARACTERES","")</f>
        <v/>
      </c>
      <c r="D256" s="53" t="str">
        <f aca="false">IF(PRESIONES!$C$22="NO","",IF(OR(LINEAS!$D$25="",DATOS!$C$22="—",ABS(LINEAS!$BA$25*DATOS!$C$67)&lt;0.00005),"*",LINEAS!$D$25&amp;" UNI G"&amp;DATOS!$C$22&amp;" "&amp;TEXT(LINEAS!$BA$25*DATOS!$C$67,DATOS!$C$68)))</f>
        <v/>
      </c>
      <c r="E256" s="51" t="str">
        <f aca="false">IF(LEN($D256)&gt;79,"MÁS DE 79 CARACTERES","")</f>
        <v/>
      </c>
    </row>
    <row r="257" customFormat="false" ht="15" hidden="false" customHeight="true" outlineLevel="0" collapsed="false">
      <c r="B257" s="53" t="str">
        <f aca="false">IF(OR(LINEAS!$D$26="",ABS(-LINEAS!$AC$26*DATOS!$C$67)&lt;0.00005),"*",LINEAS!$D$26&amp;" UNI GY "&amp;TEXT(-LINEAS!$AC$26*DATOS!$C$67,DATOS!$C$68))</f>
        <v>*</v>
      </c>
      <c r="C257" s="51" t="str">
        <f aca="false">IF(LEN($B257)&gt;79,"MÁS DE 79 CARACTERES","")</f>
        <v/>
      </c>
      <c r="D257" s="53" t="str">
        <f aca="false">IF(PRESIONES!$C$22="NO","",IF(OR(LINEAS!$D$26="",ABS(-LINEAS!$AS$26*DATOS!$C$67)&lt;0.00005),"*",LINEAS!$D$26&amp;" UNI GY "&amp;TEXT(-LINEAS!$AS$26*DATOS!$C$67,DATOS!$C$68)))</f>
        <v/>
      </c>
      <c r="E257" s="51" t="str">
        <f aca="false">IF(LEN($D257)&gt;79,"MÁS DE 79 CARACTERES","")</f>
        <v/>
      </c>
    </row>
    <row r="258" customFormat="false" ht="15" hidden="false" customHeight="true" outlineLevel="0" collapsed="false">
      <c r="B258" s="53" t="str">
        <f aca="false">IF(OR(LINEAS!$D$26="",DATOS!$C$22="—",ABS(LINEAS!$AK$26*DATOS!$C$67)&lt;0.00005),"*",LINEAS!$D$26&amp;" UNI G"&amp;DATOS!$C$22&amp;" "&amp;TEXT(LINEAS!$AK$26*DATOS!$C$67,DATOS!$C$68))</f>
        <v>*</v>
      </c>
      <c r="C258" s="51" t="str">
        <f aca="false">IF(LEN($B258)&gt;79,"MÁS DE 79 CARACTERES","")</f>
        <v/>
      </c>
      <c r="D258" s="53" t="str">
        <f aca="false">IF(PRESIONES!$C$22="NO","",IF(OR(LINEAS!$D$26="",DATOS!$C$22="—",ABS(LINEAS!$BA$26*DATOS!$C$67)&lt;0.00005),"*",LINEAS!$D$26&amp;" UNI G"&amp;DATOS!$C$22&amp;" "&amp;TEXT(LINEAS!$BA$26*DATOS!$C$67,DATOS!$C$68)))</f>
        <v/>
      </c>
      <c r="E258" s="51" t="str">
        <f aca="false">IF(LEN($D258)&gt;79,"MÁS DE 79 CARACTERES","")</f>
        <v/>
      </c>
    </row>
    <row r="259" customFormat="false" ht="15" hidden="false" customHeight="true" outlineLevel="0" collapsed="false">
      <c r="B259" s="53" t="str">
        <f aca="false">IF(OR(LINEAS!$D$27="",ABS(-LINEAS!$AC$27*DATOS!$C$67)&lt;0.00005),"*",LINEAS!$D$27&amp;" UNI GY "&amp;TEXT(-LINEAS!$AC$27*DATOS!$C$67,DATOS!$C$68))</f>
        <v>*</v>
      </c>
      <c r="C259" s="51" t="str">
        <f aca="false">IF(LEN($B259)&gt;79,"MÁS DE 79 CARACTERES","")</f>
        <v/>
      </c>
      <c r="D259" s="53" t="str">
        <f aca="false">IF(PRESIONES!$C$22="NO","",IF(OR(LINEAS!$D$27="",ABS(-LINEAS!$AS$27*DATOS!$C$67)&lt;0.00005),"*",LINEAS!$D$27&amp;" UNI GY "&amp;TEXT(-LINEAS!$AS$27*DATOS!$C$67,DATOS!$C$68)))</f>
        <v/>
      </c>
      <c r="E259" s="51" t="str">
        <f aca="false">IF(LEN($D259)&gt;79,"MÁS DE 79 CARACTERES","")</f>
        <v/>
      </c>
    </row>
    <row r="260" customFormat="false" ht="15" hidden="false" customHeight="true" outlineLevel="0" collapsed="false">
      <c r="B260" s="53" t="str">
        <f aca="false">IF(OR(LINEAS!$D$27="",DATOS!$C$22="—",ABS(LINEAS!$AK$27*DATOS!$C$67)&lt;0.00005),"*",LINEAS!$D$27&amp;" UNI G"&amp;DATOS!$C$22&amp;" "&amp;TEXT(LINEAS!$AK$27*DATOS!$C$67,DATOS!$C$68))</f>
        <v>*</v>
      </c>
      <c r="C260" s="51" t="str">
        <f aca="false">IF(LEN($B260)&gt;79,"MÁS DE 79 CARACTERES","")</f>
        <v/>
      </c>
      <c r="D260" s="53" t="str">
        <f aca="false">IF(PRESIONES!$C$22="NO","",IF(OR(LINEAS!$D$27="",DATOS!$C$22="—",ABS(LINEAS!$BA$27*DATOS!$C$67)&lt;0.00005),"*",LINEAS!$D$27&amp;" UNI G"&amp;DATOS!$C$22&amp;" "&amp;TEXT(LINEAS!$BA$27*DATOS!$C$67,DATOS!$C$68)))</f>
        <v/>
      </c>
      <c r="E260" s="51" t="str">
        <f aca="false">IF(LEN($D260)&gt;79,"MÁS DE 79 CARACTERES","")</f>
        <v/>
      </c>
    </row>
    <row r="261" customFormat="false" ht="15" hidden="false" customHeight="true" outlineLevel="0" collapsed="false">
      <c r="B261" s="53" t="str">
        <f aca="false">IF(OR(LINEAS!$D$28="",ABS(-LINEAS!$AC$28*DATOS!$C$67)&lt;0.00005),"*",LINEAS!$D$28&amp;" UNI GY "&amp;TEXT(-LINEAS!$AC$28*DATOS!$C$67,DATOS!$C$68))</f>
        <v>*</v>
      </c>
      <c r="C261" s="51" t="str">
        <f aca="false">IF(LEN($B261)&gt;79,"MÁS DE 79 CARACTERES","")</f>
        <v/>
      </c>
      <c r="D261" s="53" t="str">
        <f aca="false">IF(PRESIONES!$C$22="NO","",IF(OR(LINEAS!$D$28="",ABS(-LINEAS!$AS$28*DATOS!$C$67)&lt;0.00005),"*",LINEAS!$D$28&amp;" UNI GY "&amp;TEXT(-LINEAS!$AS$28*DATOS!$C$67,DATOS!$C$68)))</f>
        <v/>
      </c>
      <c r="E261" s="51" t="str">
        <f aca="false">IF(LEN($D261)&gt;79,"MÁS DE 79 CARACTERES","")</f>
        <v/>
      </c>
    </row>
    <row r="262" customFormat="false" ht="15" hidden="false" customHeight="true" outlineLevel="0" collapsed="false">
      <c r="B262" s="53" t="str">
        <f aca="false">IF(OR(LINEAS!$D$28="",DATOS!$C$22="—",ABS(LINEAS!$AK$28*DATOS!$C$67)&lt;0.00005),"*",LINEAS!$D$28&amp;" UNI G"&amp;DATOS!$C$22&amp;" "&amp;TEXT(LINEAS!$AK$28*DATOS!$C$67,DATOS!$C$68))</f>
        <v>*</v>
      </c>
      <c r="C262" s="51" t="str">
        <f aca="false">IF(LEN($B262)&gt;79,"MÁS DE 79 CARACTERES","")</f>
        <v/>
      </c>
      <c r="D262" s="53" t="str">
        <f aca="false">IF(PRESIONES!$C$22="NO","",IF(OR(LINEAS!$D$28="",DATOS!$C$22="—",ABS(LINEAS!$BA$28*DATOS!$C$67)&lt;0.00005),"*",LINEAS!$D$28&amp;" UNI G"&amp;DATOS!$C$22&amp;" "&amp;TEXT(LINEAS!$BA$28*DATOS!$C$67,DATOS!$C$68)))</f>
        <v/>
      </c>
      <c r="E262" s="51" t="str">
        <f aca="false">IF(LEN($D262)&gt;79,"MÁS DE 79 CARACTERES","")</f>
        <v/>
      </c>
    </row>
    <row r="263" customFormat="false" ht="15" hidden="false" customHeight="true" outlineLevel="0" collapsed="false">
      <c r="B263" s="53" t="str">
        <f aca="false">IF(OR(LINEAS!$D$29="",ABS(-LINEAS!$AC$29*DATOS!$C$67)&lt;0.00005),"*",LINEAS!$D$29&amp;" UNI GY "&amp;TEXT(-LINEAS!$AC$29*DATOS!$C$67,DATOS!$C$68))</f>
        <v>*</v>
      </c>
      <c r="C263" s="51" t="str">
        <f aca="false">IF(LEN($B263)&gt;79,"MÁS DE 79 CARACTERES","")</f>
        <v/>
      </c>
      <c r="D263" s="53" t="str">
        <f aca="false">IF(PRESIONES!$C$22="NO","",IF(OR(LINEAS!$D$29="",ABS(-LINEAS!$AS$29*DATOS!$C$67)&lt;0.00005),"*",LINEAS!$D$29&amp;" UNI GY "&amp;TEXT(-LINEAS!$AS$29*DATOS!$C$67,DATOS!$C$68)))</f>
        <v/>
      </c>
      <c r="E263" s="51" t="str">
        <f aca="false">IF(LEN($D263)&gt;79,"MÁS DE 79 CARACTERES","")</f>
        <v/>
      </c>
    </row>
    <row r="264" customFormat="false" ht="15" hidden="false" customHeight="true" outlineLevel="0" collapsed="false">
      <c r="B264" s="53" t="str">
        <f aca="false">IF(OR(LINEAS!$D$29="",DATOS!$C$22="—",ABS(LINEAS!$AK$29*DATOS!$C$67)&lt;0.00005),"*",LINEAS!$D$29&amp;" UNI G"&amp;DATOS!$C$22&amp;" "&amp;TEXT(LINEAS!$AK$29*DATOS!$C$67,DATOS!$C$68))</f>
        <v>*</v>
      </c>
      <c r="C264" s="51" t="str">
        <f aca="false">IF(LEN($B264)&gt;79,"MÁS DE 79 CARACTERES","")</f>
        <v/>
      </c>
      <c r="D264" s="53" t="str">
        <f aca="false">IF(PRESIONES!$C$22="NO","",IF(OR(LINEAS!$D$29="",DATOS!$C$22="—",ABS(LINEAS!$BA$29*DATOS!$C$67)&lt;0.00005),"*",LINEAS!$D$29&amp;" UNI G"&amp;DATOS!$C$22&amp;" "&amp;TEXT(LINEAS!$BA$29*DATOS!$C$67,DATOS!$C$68)))</f>
        <v/>
      </c>
      <c r="E264" s="51" t="str">
        <f aca="false">IF(LEN($D264)&gt;79,"MÁS DE 79 CARACTERES","")</f>
        <v/>
      </c>
    </row>
    <row r="265" customFormat="false" ht="15" hidden="false" customHeight="true" outlineLevel="0" collapsed="false">
      <c r="B265" s="53" t="str">
        <f aca="false">IF(OR(LINEAS!$D$30="",ABS(-LINEAS!$AC$30*DATOS!$C$67)&lt;0.00005),"*",LINEAS!$D$30&amp;" UNI GY "&amp;TEXT(-LINEAS!$AC$30*DATOS!$C$67,DATOS!$C$68))</f>
        <v>*</v>
      </c>
      <c r="C265" s="51" t="str">
        <f aca="false">IF(LEN($B265)&gt;79,"MÁS DE 79 CARACTERES","")</f>
        <v/>
      </c>
      <c r="D265" s="53" t="str">
        <f aca="false">IF(PRESIONES!$C$22="NO","",IF(OR(LINEAS!$D$30="",ABS(-LINEAS!$AS$30*DATOS!$C$67)&lt;0.00005),"*",LINEAS!$D$30&amp;" UNI GY "&amp;TEXT(-LINEAS!$AS$30*DATOS!$C$67,DATOS!$C$68)))</f>
        <v/>
      </c>
      <c r="E265" s="51" t="str">
        <f aca="false">IF(LEN($D265)&gt;79,"MÁS DE 79 CARACTERES","")</f>
        <v/>
      </c>
    </row>
    <row r="266" customFormat="false" ht="15" hidden="false" customHeight="true" outlineLevel="0" collapsed="false">
      <c r="B266" s="53" t="str">
        <f aca="false">IF(OR(LINEAS!$D$30="",DATOS!$C$22="—",ABS(LINEAS!$AK$30*DATOS!$C$67)&lt;0.00005),"*",LINEAS!$D$30&amp;" UNI G"&amp;DATOS!$C$22&amp;" "&amp;TEXT(LINEAS!$AK$30*DATOS!$C$67,DATOS!$C$68))</f>
        <v>*</v>
      </c>
      <c r="C266" s="51" t="str">
        <f aca="false">IF(LEN($B266)&gt;79,"MÁS DE 79 CARACTERES","")</f>
        <v/>
      </c>
      <c r="D266" s="53" t="str">
        <f aca="false">IF(PRESIONES!$C$22="NO","",IF(OR(LINEAS!$D$30="",DATOS!$C$22="—",ABS(LINEAS!$BA$30*DATOS!$C$67)&lt;0.00005),"*",LINEAS!$D$30&amp;" UNI G"&amp;DATOS!$C$22&amp;" "&amp;TEXT(LINEAS!$BA$30*DATOS!$C$67,DATOS!$C$68)))</f>
        <v/>
      </c>
      <c r="E266" s="51" t="str">
        <f aca="false">IF(LEN($D266)&gt;79,"MÁS DE 79 CARACTERES","")</f>
        <v/>
      </c>
    </row>
    <row r="267" customFormat="false" ht="15" hidden="false" customHeight="true" outlineLevel="0" collapsed="false">
      <c r="B267" s="53" t="str">
        <f aca="false">IF(OR(LINEAS!$D$31="",ABS(-LINEAS!$AC$31*DATOS!$C$67)&lt;0.00005),"*",LINEAS!$D$31&amp;" UNI GY "&amp;TEXT(-LINEAS!$AC$31*DATOS!$C$67,DATOS!$C$68))</f>
        <v>*</v>
      </c>
      <c r="C267" s="51" t="str">
        <f aca="false">IF(LEN($B267)&gt;79,"MÁS DE 79 CARACTERES","")</f>
        <v/>
      </c>
      <c r="D267" s="53" t="str">
        <f aca="false">IF(PRESIONES!$C$22="NO","",IF(OR(LINEAS!$D$31="",ABS(-LINEAS!$AS$31*DATOS!$C$67)&lt;0.00005),"*",LINEAS!$D$31&amp;" UNI GY "&amp;TEXT(-LINEAS!$AS$31*DATOS!$C$67,DATOS!$C$68)))</f>
        <v/>
      </c>
      <c r="E267" s="51" t="str">
        <f aca="false">IF(LEN($D267)&gt;79,"MÁS DE 79 CARACTERES","")</f>
        <v/>
      </c>
    </row>
    <row r="268" customFormat="false" ht="15" hidden="false" customHeight="true" outlineLevel="0" collapsed="false">
      <c r="B268" s="53" t="str">
        <f aca="false">IF(OR(LINEAS!$D$31="",DATOS!$C$22="—",ABS(LINEAS!$AK$31*DATOS!$C$67)&lt;0.00005),"*",LINEAS!$D$31&amp;" UNI G"&amp;DATOS!$C$22&amp;" "&amp;TEXT(LINEAS!$AK$31*DATOS!$C$67,DATOS!$C$68))</f>
        <v>*</v>
      </c>
      <c r="C268" s="51" t="str">
        <f aca="false">IF(LEN($B268)&gt;79,"MÁS DE 79 CARACTERES","")</f>
        <v/>
      </c>
      <c r="D268" s="53" t="str">
        <f aca="false">IF(PRESIONES!$C$22="NO","",IF(OR(LINEAS!$D$31="",DATOS!$C$22="—",ABS(LINEAS!$BA$31*DATOS!$C$67)&lt;0.00005),"*",LINEAS!$D$31&amp;" UNI G"&amp;DATOS!$C$22&amp;" "&amp;TEXT(LINEAS!$BA$31*DATOS!$C$67,DATOS!$C$68)))</f>
        <v/>
      </c>
      <c r="E268" s="51" t="str">
        <f aca="false">IF(LEN($D268)&gt;79,"MÁS DE 79 CARACTERES","")</f>
        <v/>
      </c>
    </row>
    <row r="269" customFormat="false" ht="15" hidden="false" customHeight="true" outlineLevel="0" collapsed="false">
      <c r="B269" s="53" t="str">
        <f aca="false">IF(OR(LINEAS!$D$32="",ABS(-LINEAS!$AC$32*DATOS!$C$67)&lt;0.00005),"*",LINEAS!$D$32&amp;" UNI GY "&amp;TEXT(-LINEAS!$AC$32*DATOS!$C$67,DATOS!$C$68))</f>
        <v>*</v>
      </c>
      <c r="C269" s="51" t="str">
        <f aca="false">IF(LEN($B269)&gt;79,"MÁS DE 79 CARACTERES","")</f>
        <v/>
      </c>
      <c r="D269" s="53" t="str">
        <f aca="false">IF(PRESIONES!$C$22="NO","",IF(OR(LINEAS!$D$32="",ABS(-LINEAS!$AS$32*DATOS!$C$67)&lt;0.00005),"*",LINEAS!$D$32&amp;" UNI GY "&amp;TEXT(-LINEAS!$AS$32*DATOS!$C$67,DATOS!$C$68)))</f>
        <v/>
      </c>
      <c r="E269" s="51" t="str">
        <f aca="false">IF(LEN($D269)&gt;79,"MÁS DE 79 CARACTERES","")</f>
        <v/>
      </c>
    </row>
    <row r="270" customFormat="false" ht="15" hidden="false" customHeight="true" outlineLevel="0" collapsed="false">
      <c r="B270" s="53" t="str">
        <f aca="false">IF(OR(LINEAS!$D$32="",DATOS!$C$22="—",ABS(LINEAS!$AK$32*DATOS!$C$67)&lt;0.00005),"*",LINEAS!$D$32&amp;" UNI G"&amp;DATOS!$C$22&amp;" "&amp;TEXT(LINEAS!$AK$32*DATOS!$C$67,DATOS!$C$68))</f>
        <v>*</v>
      </c>
      <c r="C270" s="51" t="str">
        <f aca="false">IF(LEN($B270)&gt;79,"MÁS DE 79 CARACTERES","")</f>
        <v/>
      </c>
      <c r="D270" s="53" t="str">
        <f aca="false">IF(PRESIONES!$C$22="NO","",IF(OR(LINEAS!$D$32="",DATOS!$C$22="—",ABS(LINEAS!$BA$32*DATOS!$C$67)&lt;0.00005),"*",LINEAS!$D$32&amp;" UNI G"&amp;DATOS!$C$22&amp;" "&amp;TEXT(LINEAS!$BA$32*DATOS!$C$67,DATOS!$C$68)))</f>
        <v/>
      </c>
      <c r="E270" s="51" t="str">
        <f aca="false">IF(LEN($D270)&gt;79,"MÁS DE 79 CARACTERES","")</f>
        <v/>
      </c>
    </row>
    <row r="271" customFormat="false" ht="15" hidden="false" customHeight="true" outlineLevel="0" collapsed="false">
      <c r="B271" s="53" t="str">
        <f aca="false">IF(OR(LINEAS!$D$33="",ABS(-LINEAS!$AC$33*DATOS!$C$67)&lt;0.00005),"*",LINEAS!$D$33&amp;" UNI GY "&amp;TEXT(-LINEAS!$AC$33*DATOS!$C$67,DATOS!$C$68))</f>
        <v>*</v>
      </c>
      <c r="C271" s="51" t="str">
        <f aca="false">IF(LEN($B271)&gt;79,"MÁS DE 79 CARACTERES","")</f>
        <v/>
      </c>
      <c r="D271" s="53" t="str">
        <f aca="false">IF(PRESIONES!$C$22="NO","",IF(OR(LINEAS!$D$33="",ABS(-LINEAS!$AS$33*DATOS!$C$67)&lt;0.00005),"*",LINEAS!$D$33&amp;" UNI GY "&amp;TEXT(-LINEAS!$AS$33*DATOS!$C$67,DATOS!$C$68)))</f>
        <v/>
      </c>
      <c r="E271" s="51" t="str">
        <f aca="false">IF(LEN($D271)&gt;79,"MÁS DE 79 CARACTERES","")</f>
        <v/>
      </c>
    </row>
    <row r="272" customFormat="false" ht="15" hidden="false" customHeight="true" outlineLevel="0" collapsed="false">
      <c r="B272" s="53" t="str">
        <f aca="false">IF(OR(LINEAS!$D$33="",DATOS!$C$22="—",ABS(LINEAS!$AK$33*DATOS!$C$67)&lt;0.00005),"*",LINEAS!$D$33&amp;" UNI G"&amp;DATOS!$C$22&amp;" "&amp;TEXT(LINEAS!$AK$33*DATOS!$C$67,DATOS!$C$68))</f>
        <v>*</v>
      </c>
      <c r="C272" s="51" t="str">
        <f aca="false">IF(LEN($B272)&gt;79,"MÁS DE 79 CARACTERES","")</f>
        <v/>
      </c>
      <c r="D272" s="53" t="str">
        <f aca="false">IF(PRESIONES!$C$22="NO","",IF(OR(LINEAS!$D$33="",DATOS!$C$22="—",ABS(LINEAS!$BA$33*DATOS!$C$67)&lt;0.00005),"*",LINEAS!$D$33&amp;" UNI G"&amp;DATOS!$C$22&amp;" "&amp;TEXT(LINEAS!$BA$33*DATOS!$C$67,DATOS!$C$68)))</f>
        <v/>
      </c>
      <c r="E272" s="51" t="str">
        <f aca="false">IF(LEN($D272)&gt;79,"MÁS DE 79 CARACTERES","")</f>
        <v/>
      </c>
    </row>
    <row r="273" customFormat="false" ht="15" hidden="false" customHeight="true" outlineLevel="0" collapsed="false">
      <c r="B273" s="53" t="str">
        <f aca="false">IF(OR(LINEAS!$D$34="",ABS(-LINEAS!$AC$34*DATOS!$C$67)&lt;0.00005),"*",LINEAS!$D$34&amp;" UNI GY "&amp;TEXT(-LINEAS!$AC$34*DATOS!$C$67,DATOS!$C$68))</f>
        <v>*</v>
      </c>
      <c r="C273" s="51" t="str">
        <f aca="false">IF(LEN($B273)&gt;79,"MÁS DE 79 CARACTERES","")</f>
        <v/>
      </c>
      <c r="D273" s="53" t="str">
        <f aca="false">IF(PRESIONES!$C$22="NO","",IF(OR(LINEAS!$D$34="",ABS(-LINEAS!$AS$34*DATOS!$C$67)&lt;0.00005),"*",LINEAS!$D$34&amp;" UNI GY "&amp;TEXT(-LINEAS!$AS$34*DATOS!$C$67,DATOS!$C$68)))</f>
        <v/>
      </c>
      <c r="E273" s="51" t="str">
        <f aca="false">IF(LEN($D273)&gt;79,"MÁS DE 79 CARACTERES","")</f>
        <v/>
      </c>
    </row>
    <row r="274" customFormat="false" ht="15" hidden="false" customHeight="true" outlineLevel="0" collapsed="false">
      <c r="B274" s="53" t="str">
        <f aca="false">IF(OR(LINEAS!$D$34="",DATOS!$C$22="—",ABS(LINEAS!$AK$34*DATOS!$C$67)&lt;0.00005),"*",LINEAS!$D$34&amp;" UNI G"&amp;DATOS!$C$22&amp;" "&amp;TEXT(LINEAS!$AK$34*DATOS!$C$67,DATOS!$C$68))</f>
        <v>*</v>
      </c>
      <c r="C274" s="51" t="str">
        <f aca="false">IF(LEN($B274)&gt;79,"MÁS DE 79 CARACTERES","")</f>
        <v/>
      </c>
      <c r="D274" s="53" t="str">
        <f aca="false">IF(PRESIONES!$C$22="NO","",IF(OR(LINEAS!$D$34="",DATOS!$C$22="—",ABS(LINEAS!$BA$34*DATOS!$C$67)&lt;0.00005),"*",LINEAS!$D$34&amp;" UNI G"&amp;DATOS!$C$22&amp;" "&amp;TEXT(LINEAS!$BA$34*DATOS!$C$67,DATOS!$C$68)))</f>
        <v/>
      </c>
      <c r="E274" s="51" t="str">
        <f aca="false">IF(LEN($D274)&gt;79,"MÁS DE 79 CARACTERES","")</f>
        <v/>
      </c>
    </row>
    <row r="275" customFormat="false" ht="15" hidden="false" customHeight="true" outlineLevel="0" collapsed="false">
      <c r="B275" s="53" t="str">
        <f aca="false">IF(OR(LINEAS!$D$35="",ABS(-LINEAS!$AC$35*DATOS!$C$67)&lt;0.00005),"*",LINEAS!$D$35&amp;" UNI GY "&amp;TEXT(-LINEAS!$AC$35*DATOS!$C$67,DATOS!$C$68))</f>
        <v>*</v>
      </c>
      <c r="C275" s="51" t="str">
        <f aca="false">IF(LEN($B275)&gt;79,"MÁS DE 79 CARACTERES","")</f>
        <v/>
      </c>
      <c r="D275" s="53" t="str">
        <f aca="false">IF(PRESIONES!$C$22="NO","",IF(OR(LINEAS!$D$35="",ABS(-LINEAS!$AS$35*DATOS!$C$67)&lt;0.00005),"*",LINEAS!$D$35&amp;" UNI GY "&amp;TEXT(-LINEAS!$AS$35*DATOS!$C$67,DATOS!$C$68)))</f>
        <v/>
      </c>
      <c r="E275" s="51" t="str">
        <f aca="false">IF(LEN($D275)&gt;79,"MÁS DE 79 CARACTERES","")</f>
        <v/>
      </c>
    </row>
    <row r="276" customFormat="false" ht="15" hidden="false" customHeight="true" outlineLevel="0" collapsed="false">
      <c r="B276" s="53" t="str">
        <f aca="false">IF(OR(LINEAS!$D$35="",DATOS!$C$22="—",ABS(LINEAS!$AK$35*DATOS!$C$67)&lt;0.00005),"*",LINEAS!$D$35&amp;" UNI G"&amp;DATOS!$C$22&amp;" "&amp;TEXT(LINEAS!$AK$35*DATOS!$C$67,DATOS!$C$68))</f>
        <v>*</v>
      </c>
      <c r="C276" s="51" t="str">
        <f aca="false">IF(LEN($B276)&gt;79,"MÁS DE 79 CARACTERES","")</f>
        <v/>
      </c>
      <c r="D276" s="53" t="str">
        <f aca="false">IF(PRESIONES!$C$22="NO","",IF(OR(LINEAS!$D$35="",DATOS!$C$22="—",ABS(LINEAS!$BA$35*DATOS!$C$67)&lt;0.00005),"*",LINEAS!$D$35&amp;" UNI G"&amp;DATOS!$C$22&amp;" "&amp;TEXT(LINEAS!$BA$35*DATOS!$C$67,DATOS!$C$68)))</f>
        <v/>
      </c>
      <c r="E276" s="51" t="str">
        <f aca="false">IF(LEN($D276)&gt;79,"MÁS DE 79 CARACTERES","")</f>
        <v/>
      </c>
    </row>
    <row r="277" customFormat="false" ht="15" hidden="false" customHeight="true" outlineLevel="0" collapsed="false">
      <c r="B277" s="53" t="str">
        <f aca="false">IF(OR(LINEAS!$D$36="",ABS(-LINEAS!$AC$36*DATOS!$C$67)&lt;0.00005),"*",LINEAS!$D$36&amp;" UNI GY "&amp;TEXT(-LINEAS!$AC$36*DATOS!$C$67,DATOS!$C$68))</f>
        <v>*</v>
      </c>
      <c r="C277" s="51" t="str">
        <f aca="false">IF(LEN($B277)&gt;79,"MÁS DE 79 CARACTERES","")</f>
        <v/>
      </c>
      <c r="D277" s="53" t="str">
        <f aca="false">IF(PRESIONES!$C$22="NO","",IF(OR(LINEAS!$D$36="",ABS(-LINEAS!$AS$36*DATOS!$C$67)&lt;0.00005),"*",LINEAS!$D$36&amp;" UNI GY "&amp;TEXT(-LINEAS!$AS$36*DATOS!$C$67,DATOS!$C$68)))</f>
        <v/>
      </c>
      <c r="E277" s="51" t="str">
        <f aca="false">IF(LEN($D277)&gt;79,"MÁS DE 79 CARACTERES","")</f>
        <v/>
      </c>
    </row>
    <row r="278" customFormat="false" ht="15" hidden="false" customHeight="true" outlineLevel="0" collapsed="false">
      <c r="B278" s="53" t="str">
        <f aca="false">IF(OR(LINEAS!$D$36="",DATOS!$C$22="—",ABS(LINEAS!$AK$36*DATOS!$C$67)&lt;0.00005),"*",LINEAS!$D$36&amp;" UNI G"&amp;DATOS!$C$22&amp;" "&amp;TEXT(LINEAS!$AK$36*DATOS!$C$67,DATOS!$C$68))</f>
        <v>*</v>
      </c>
      <c r="C278" s="51" t="str">
        <f aca="false">IF(LEN($B278)&gt;79,"MÁS DE 79 CARACTERES","")</f>
        <v/>
      </c>
      <c r="D278" s="53" t="str">
        <f aca="false">IF(PRESIONES!$C$22="NO","",IF(OR(LINEAS!$D$36="",DATOS!$C$22="—",ABS(LINEAS!$BA$36*DATOS!$C$67)&lt;0.00005),"*",LINEAS!$D$36&amp;" UNI G"&amp;DATOS!$C$22&amp;" "&amp;TEXT(LINEAS!$BA$36*DATOS!$C$67,DATOS!$C$68)))</f>
        <v/>
      </c>
      <c r="E278" s="51" t="str">
        <f aca="false">IF(LEN($D278)&gt;79,"MÁS DE 79 CARACTERES","")</f>
        <v/>
      </c>
    </row>
    <row r="279" customFormat="false" ht="15" hidden="false" customHeight="true" outlineLevel="0" collapsed="false">
      <c r="B279" s="53" t="str">
        <f aca="false">IF(OR(LINEAS!$D$37="",ABS(-LINEAS!$AC$37*DATOS!$C$67)&lt;0.00005),"*",LINEAS!$D$37&amp;" UNI GY "&amp;TEXT(-LINEAS!$AC$37*DATOS!$C$67,DATOS!$C$68))</f>
        <v>*</v>
      </c>
      <c r="C279" s="51" t="str">
        <f aca="false">IF(LEN($B279)&gt;79,"MÁS DE 79 CARACTERES","")</f>
        <v/>
      </c>
      <c r="D279" s="53" t="str">
        <f aca="false">IF(PRESIONES!$C$22="NO","",IF(OR(LINEAS!$D$37="",ABS(-LINEAS!$AS$37*DATOS!$C$67)&lt;0.00005),"*",LINEAS!$D$37&amp;" UNI GY "&amp;TEXT(-LINEAS!$AS$37*DATOS!$C$67,DATOS!$C$68)))</f>
        <v/>
      </c>
      <c r="E279" s="51" t="str">
        <f aca="false">IF(LEN($D279)&gt;79,"MÁS DE 79 CARACTERES","")</f>
        <v/>
      </c>
    </row>
    <row r="280" customFormat="false" ht="15" hidden="false" customHeight="true" outlineLevel="0" collapsed="false">
      <c r="B280" s="53" t="str">
        <f aca="false">IF(OR(LINEAS!$D$37="",DATOS!$C$22="—",ABS(LINEAS!$AK$37*DATOS!$C$67)&lt;0.00005),"*",LINEAS!$D$37&amp;" UNI G"&amp;DATOS!$C$22&amp;" "&amp;TEXT(LINEAS!$AK$37*DATOS!$C$67,DATOS!$C$68))</f>
        <v>*</v>
      </c>
      <c r="C280" s="51" t="str">
        <f aca="false">IF(LEN($B280)&gt;79,"MÁS DE 79 CARACTERES","")</f>
        <v/>
      </c>
      <c r="D280" s="53" t="str">
        <f aca="false">IF(PRESIONES!$C$22="NO","",IF(OR(LINEAS!$D$37="",DATOS!$C$22="—",ABS(LINEAS!$BA$37*DATOS!$C$67)&lt;0.00005),"*",LINEAS!$D$37&amp;" UNI G"&amp;DATOS!$C$22&amp;" "&amp;TEXT(LINEAS!$BA$37*DATOS!$C$67,DATOS!$C$68)))</f>
        <v/>
      </c>
      <c r="E280" s="51" t="str">
        <f aca="false">IF(LEN($D280)&gt;79,"MÁS DE 79 CARACTERES","")</f>
        <v/>
      </c>
    </row>
    <row r="281" customFormat="false" ht="15" hidden="false" customHeight="true" outlineLevel="0" collapsed="false">
      <c r="B281" s="53" t="str">
        <f aca="false">IF(OR(LINEAS!$D$38="",ABS(-LINEAS!$AC$38*DATOS!$C$67)&lt;0.00005),"*",LINEAS!$D$38&amp;" UNI GY "&amp;TEXT(-LINEAS!$AC$38*DATOS!$C$67,DATOS!$C$68))</f>
        <v>*</v>
      </c>
      <c r="C281" s="51" t="str">
        <f aca="false">IF(LEN($B281)&gt;79,"MÁS DE 79 CARACTERES","")</f>
        <v/>
      </c>
      <c r="D281" s="53" t="str">
        <f aca="false">IF(PRESIONES!$C$22="NO","",IF(OR(LINEAS!$D$38="",ABS(-LINEAS!$AS$38*DATOS!$C$67)&lt;0.00005),"*",LINEAS!$D$38&amp;" UNI GY "&amp;TEXT(-LINEAS!$AS$38*DATOS!$C$67,DATOS!$C$68)))</f>
        <v/>
      </c>
      <c r="E281" s="51" t="str">
        <f aca="false">IF(LEN($D281)&gt;79,"MÁS DE 79 CARACTERES","")</f>
        <v/>
      </c>
    </row>
    <row r="282" customFormat="false" ht="15" hidden="false" customHeight="true" outlineLevel="0" collapsed="false">
      <c r="B282" s="53" t="str">
        <f aca="false">IF(OR(LINEAS!$D$38="",DATOS!$C$22="—",ABS(LINEAS!$AK$38*DATOS!$C$67)&lt;0.00005),"*",LINEAS!$D$38&amp;" UNI G"&amp;DATOS!$C$22&amp;" "&amp;TEXT(LINEAS!$AK$38*DATOS!$C$67,DATOS!$C$68))</f>
        <v>*</v>
      </c>
      <c r="C282" s="51" t="str">
        <f aca="false">IF(LEN($B282)&gt;79,"MÁS DE 79 CARACTERES","")</f>
        <v/>
      </c>
      <c r="D282" s="53" t="str">
        <f aca="false">IF(PRESIONES!$C$22="NO","",IF(OR(LINEAS!$D$38="",DATOS!$C$22="—",ABS(LINEAS!$BA$38*DATOS!$C$67)&lt;0.00005),"*",LINEAS!$D$38&amp;" UNI G"&amp;DATOS!$C$22&amp;" "&amp;TEXT(LINEAS!$BA$38*DATOS!$C$67,DATOS!$C$68)))</f>
        <v/>
      </c>
      <c r="E282" s="51" t="str">
        <f aca="false">IF(LEN($D282)&gt;79,"MÁS DE 79 CARACTERES","")</f>
        <v/>
      </c>
    </row>
    <row r="283" customFormat="false" ht="15" hidden="false" customHeight="true" outlineLevel="0" collapsed="false">
      <c r="B283" s="53" t="str">
        <f aca="false">IF(OR(LINEAS!$D$45="",LINEAS!$U$45=0,ABS(IF(OR(LINEAS!$U$45=1,LINEAS!$U$45=3),1,-1)*LINEAS!$AC$45*DATOS!$C$67)&lt;0.00005),"*",LINEAS!$D$45&amp;" UNI "&amp;IF(LINEAS!$U$45&lt;=2,"GZ","GX")&amp;" "&amp;TEXT(IF(OR(LINEAS!$U$45=1,LINEAS!$U$45=3),1,-1)*LINEAS!$AC$45*DATOS!$C$67,DATOS!$C$68))</f>
        <v>261 UNI GX 0.0050</v>
      </c>
      <c r="C283" s="51" t="str">
        <f aca="false">IF(LEN($B283)&gt;79,"MÁS DE 79 CARACTERES","")</f>
        <v/>
      </c>
      <c r="D283" s="53" t="str">
        <f aca="false">IF(PRESIONES!$C$22="NO","",IF(OR(LINEAS!$D$45="",LINEAS!$U$45=0,ABS(IF(OR(LINEAS!$U$45=1,LINEAS!$U$45=3),1,-1)*LINEAS!$AC$45*DATOS!$C$67)&lt;0.00005),"*",LINEAS!$D$45&amp;" UNI "&amp;IF(LINEAS!$U$45&lt;=2,"GZ","GX")&amp;" "&amp;TEXT(IF(OR(LINEAS!$U$45=1,LINEAS!$U$45=3),1,-1)*LINEAS!$AC$45*DATOS!$C$67,DATOS!$C$68)))</f>
        <v/>
      </c>
      <c r="E283" s="51" t="str">
        <f aca="false">IF(LEN($D283)&gt;79,"MÁS DE 79 CARACTERES","")</f>
        <v/>
      </c>
    </row>
    <row r="284" customFormat="false" ht="15" hidden="false" customHeight="true" outlineLevel="0" collapsed="false">
      <c r="B284" s="53" t="str">
        <f aca="false">IF(OR(LINEAS!$D$46="",LINEAS!$U$46=0,ABS(IF(OR(LINEAS!$U$46=1,LINEAS!$U$46=3),1,-1)*LINEAS!$AC$46*DATOS!$C$67)&lt;0.00005),"*",LINEAS!$D$46&amp;" UNI "&amp;IF(LINEAS!$U$46&lt;=2,"GZ","GX")&amp;" "&amp;TEXT(IF(OR(LINEAS!$U$46=1,LINEAS!$U$46=3),1,-1)*LINEAS!$AC$46*DATOS!$C$67,DATOS!$C$68))</f>
        <v>260 UNI GX 0.0050</v>
      </c>
      <c r="C284" s="51" t="str">
        <f aca="false">IF(LEN($B284)&gt;79,"MÁS DE 79 CARACTERES","")</f>
        <v/>
      </c>
      <c r="D284" s="53" t="str">
        <f aca="false">IF(PRESIONES!$C$22="NO","",IF(OR(LINEAS!$D$46="",LINEAS!$U$46=0,ABS(IF(OR(LINEAS!$U$46=1,LINEAS!$U$46=3),1,-1)*LINEAS!$AC$46*DATOS!$C$67)&lt;0.00005),"*",LINEAS!$D$46&amp;" UNI "&amp;IF(LINEAS!$U$46&lt;=2,"GZ","GX")&amp;" "&amp;TEXT(IF(OR(LINEAS!$U$46=1,LINEAS!$U$46=3),1,-1)*LINEAS!$AC$46*DATOS!$C$67,DATOS!$C$68)))</f>
        <v/>
      </c>
      <c r="E284" s="51" t="str">
        <f aca="false">IF(LEN($D284)&gt;79,"MÁS DE 79 CARACTERES","")</f>
        <v/>
      </c>
    </row>
    <row r="285" customFormat="false" ht="15" hidden="false" customHeight="true" outlineLevel="0" collapsed="false">
      <c r="B285" s="53" t="str">
        <f aca="false">IF(OR(LINEAS!$D$47="",LINEAS!$U$47=0,ABS(IF(OR(LINEAS!$U$47=1,LINEAS!$U$47=3),1,-1)*LINEAS!$AC$47*DATOS!$C$67)&lt;0.00005),"*",LINEAS!$D$47&amp;" UNI "&amp;IF(LINEAS!$U$47&lt;=2,"GZ","GX")&amp;" "&amp;TEXT(IF(OR(LINEAS!$U$47=1,LINEAS!$U$47=3),1,-1)*LINEAS!$AC$47*DATOS!$C$67,DATOS!$C$68))</f>
        <v>259 UNI GX 0.0050</v>
      </c>
      <c r="C285" s="51" t="str">
        <f aca="false">IF(LEN($B285)&gt;79,"MÁS DE 79 CARACTERES","")</f>
        <v/>
      </c>
      <c r="D285" s="53" t="str">
        <f aca="false">IF(PRESIONES!$C$22="NO","",IF(OR(LINEAS!$D$47="",LINEAS!$U$47=0,ABS(IF(OR(LINEAS!$U$47=1,LINEAS!$U$47=3),1,-1)*LINEAS!$AC$47*DATOS!$C$67)&lt;0.00005),"*",LINEAS!$D$47&amp;" UNI "&amp;IF(LINEAS!$U$47&lt;=2,"GZ","GX")&amp;" "&amp;TEXT(IF(OR(LINEAS!$U$47=1,LINEAS!$U$47=3),1,-1)*LINEAS!$AC$47*DATOS!$C$67,DATOS!$C$68)))</f>
        <v/>
      </c>
      <c r="E285" s="51" t="str">
        <f aca="false">IF(LEN($D285)&gt;79,"MÁS DE 79 CARACTERES","")</f>
        <v/>
      </c>
    </row>
    <row r="286" customFormat="false" ht="15" hidden="false" customHeight="true" outlineLevel="0" collapsed="false">
      <c r="B286" s="53" t="str">
        <f aca="false">IF(OR(LINEAS!$D$48="",LINEAS!$U$48=0,ABS(IF(OR(LINEAS!$U$48=1,LINEAS!$U$48=3),1,-1)*LINEAS!$AC$48*DATOS!$C$67)&lt;0.00005),"*",LINEAS!$D$48&amp;" UNI "&amp;IF(LINEAS!$U$48&lt;=2,"GZ","GX")&amp;" "&amp;TEXT(IF(OR(LINEAS!$U$48=1,LINEAS!$U$48=3),1,-1)*LINEAS!$AC$48*DATOS!$C$67,DATOS!$C$68))</f>
        <v>270 UNI GX 0.0050</v>
      </c>
      <c r="C286" s="51" t="str">
        <f aca="false">IF(LEN($B286)&gt;79,"MÁS DE 79 CARACTERES","")</f>
        <v/>
      </c>
      <c r="D286" s="53" t="str">
        <f aca="false">IF(PRESIONES!$C$22="NO","",IF(OR(LINEAS!$D$48="",LINEAS!$U$48=0,ABS(IF(OR(LINEAS!$U$48=1,LINEAS!$U$48=3),1,-1)*LINEAS!$AC$48*DATOS!$C$67)&lt;0.00005),"*",LINEAS!$D$48&amp;" UNI "&amp;IF(LINEAS!$U$48&lt;=2,"GZ","GX")&amp;" "&amp;TEXT(IF(OR(LINEAS!$U$48=1,LINEAS!$U$48=3),1,-1)*LINEAS!$AC$48*DATOS!$C$67,DATOS!$C$68)))</f>
        <v/>
      </c>
      <c r="E286" s="51" t="str">
        <f aca="false">IF(LEN($D286)&gt;79,"MÁS DE 79 CARACTERES","")</f>
        <v/>
      </c>
    </row>
    <row r="287" customFormat="false" ht="15" hidden="false" customHeight="true" outlineLevel="0" collapsed="false">
      <c r="B287" s="53" t="str">
        <f aca="false">IF(OR(LINEAS!$D$49="",LINEAS!$U$49=0,ABS(IF(OR(LINEAS!$U$49=1,LINEAS!$U$49=3),1,-1)*LINEAS!$AC$49*DATOS!$C$67)&lt;0.00005),"*",LINEAS!$D$49&amp;" UNI "&amp;IF(LINEAS!$U$49&lt;=2,"GZ","GX")&amp;" "&amp;TEXT(IF(OR(LINEAS!$U$49=1,LINEAS!$U$49=3),1,-1)*LINEAS!$AC$49*DATOS!$C$67,DATOS!$C$68))</f>
        <v>269 UNI GX 0.0050</v>
      </c>
      <c r="C287" s="51" t="str">
        <f aca="false">IF(LEN($B287)&gt;79,"MÁS DE 79 CARACTERES","")</f>
        <v/>
      </c>
      <c r="D287" s="53" t="str">
        <f aca="false">IF(PRESIONES!$C$22="NO","",IF(OR(LINEAS!$D$49="",LINEAS!$U$49=0,ABS(IF(OR(LINEAS!$U$49=1,LINEAS!$U$49=3),1,-1)*LINEAS!$AC$49*DATOS!$C$67)&lt;0.00005),"*",LINEAS!$D$49&amp;" UNI "&amp;IF(LINEAS!$U$49&lt;=2,"GZ","GX")&amp;" "&amp;TEXT(IF(OR(LINEAS!$U$49=1,LINEAS!$U$49=3),1,-1)*LINEAS!$AC$49*DATOS!$C$67,DATOS!$C$68)))</f>
        <v/>
      </c>
      <c r="E287" s="51" t="str">
        <f aca="false">IF(LEN($D287)&gt;79,"MÁS DE 79 CARACTERES","")</f>
        <v/>
      </c>
    </row>
    <row r="288" customFormat="false" ht="15" hidden="false" customHeight="true" outlineLevel="0" collapsed="false">
      <c r="B288" s="53" t="str">
        <f aca="false">IF(OR(LINEAS!$D$50="",LINEAS!$U$50=0,ABS(IF(OR(LINEAS!$U$50=1,LINEAS!$U$50=3),1,-1)*LINEAS!$AC$50*DATOS!$C$67)&lt;0.00005),"*",LINEAS!$D$50&amp;" UNI "&amp;IF(LINEAS!$U$50&lt;=2,"GZ","GX")&amp;" "&amp;TEXT(IF(OR(LINEAS!$U$50=1,LINEAS!$U$50=3),1,-1)*LINEAS!$AC$50*DATOS!$C$67,DATOS!$C$68))</f>
        <v>268 UNI GX 0.0050</v>
      </c>
      <c r="C288" s="51" t="str">
        <f aca="false">IF(LEN($B288)&gt;79,"MÁS DE 79 CARACTERES","")</f>
        <v/>
      </c>
      <c r="D288" s="53" t="str">
        <f aca="false">IF(PRESIONES!$C$22="NO","",IF(OR(LINEAS!$D$50="",LINEAS!$U$50=0,ABS(IF(OR(LINEAS!$U$50=1,LINEAS!$U$50=3),1,-1)*LINEAS!$AC$50*DATOS!$C$67)&lt;0.00005),"*",LINEAS!$D$50&amp;" UNI "&amp;IF(LINEAS!$U$50&lt;=2,"GZ","GX")&amp;" "&amp;TEXT(IF(OR(LINEAS!$U$50=1,LINEAS!$U$50=3),1,-1)*LINEAS!$AC$50*DATOS!$C$67,DATOS!$C$68)))</f>
        <v/>
      </c>
      <c r="E288" s="51" t="str">
        <f aca="false">IF(LEN($D288)&gt;79,"MÁS DE 79 CARACTERES","")</f>
        <v/>
      </c>
    </row>
    <row r="289" customFormat="false" ht="15" hidden="false" customHeight="true" outlineLevel="0" collapsed="false">
      <c r="B289" s="53" t="str">
        <f aca="false">IF(OR(LINEAS!$D$51="",LINEAS!$U$51=0,ABS(IF(OR(LINEAS!$U$51=1,LINEAS!$U$51=3),1,-1)*LINEAS!$AC$51*DATOS!$C$67)&lt;0.00005),"*",LINEAS!$D$51&amp;" UNI "&amp;IF(LINEAS!$U$51&lt;=2,"GZ","GX")&amp;" "&amp;TEXT(IF(OR(LINEAS!$U$51=1,LINEAS!$U$51=3),1,-1)*LINEAS!$AC$51*DATOS!$C$67,DATOS!$C$68))</f>
        <v>279 UNI GX 0.0050</v>
      </c>
      <c r="C289" s="51" t="str">
        <f aca="false">IF(LEN($B289)&gt;79,"MÁS DE 79 CARACTERES","")</f>
        <v/>
      </c>
      <c r="D289" s="53" t="str">
        <f aca="false">IF(PRESIONES!$C$22="NO","",IF(OR(LINEAS!$D$51="",LINEAS!$U$51=0,ABS(IF(OR(LINEAS!$U$51=1,LINEAS!$U$51=3),1,-1)*LINEAS!$AC$51*DATOS!$C$67)&lt;0.00005),"*",LINEAS!$D$51&amp;" UNI "&amp;IF(LINEAS!$U$51&lt;=2,"GZ","GX")&amp;" "&amp;TEXT(IF(OR(LINEAS!$U$51=1,LINEAS!$U$51=3),1,-1)*LINEAS!$AC$51*DATOS!$C$67,DATOS!$C$68)))</f>
        <v/>
      </c>
      <c r="E289" s="51" t="str">
        <f aca="false">IF(LEN($D289)&gt;79,"MÁS DE 79 CARACTERES","")</f>
        <v/>
      </c>
    </row>
    <row r="290" customFormat="false" ht="15" hidden="false" customHeight="true" outlineLevel="0" collapsed="false">
      <c r="B290" s="53" t="str">
        <f aca="false">IF(OR(LINEAS!$D$52="",LINEAS!$U$52=0,ABS(IF(OR(LINEAS!$U$52=1,LINEAS!$U$52=3),1,-1)*LINEAS!$AC$52*DATOS!$C$67)&lt;0.00005),"*",LINEAS!$D$52&amp;" UNI "&amp;IF(LINEAS!$U$52&lt;=2,"GZ","GX")&amp;" "&amp;TEXT(IF(OR(LINEAS!$U$52=1,LINEAS!$U$52=3),1,-1)*LINEAS!$AC$52*DATOS!$C$67,DATOS!$C$68))</f>
        <v>278 UNI GX 0.0050</v>
      </c>
      <c r="C290" s="51" t="str">
        <f aca="false">IF(LEN($B290)&gt;79,"MÁS DE 79 CARACTERES","")</f>
        <v/>
      </c>
      <c r="D290" s="53" t="str">
        <f aca="false">IF(PRESIONES!$C$22="NO","",IF(OR(LINEAS!$D$52="",LINEAS!$U$52=0,ABS(IF(OR(LINEAS!$U$52=1,LINEAS!$U$52=3),1,-1)*LINEAS!$AC$52*DATOS!$C$67)&lt;0.00005),"*",LINEAS!$D$52&amp;" UNI "&amp;IF(LINEAS!$U$52&lt;=2,"GZ","GX")&amp;" "&amp;TEXT(IF(OR(LINEAS!$U$52=1,LINEAS!$U$52=3),1,-1)*LINEAS!$AC$52*DATOS!$C$67,DATOS!$C$68)))</f>
        <v/>
      </c>
      <c r="E290" s="51" t="str">
        <f aca="false">IF(LEN($D290)&gt;79,"MÁS DE 79 CARACTERES","")</f>
        <v/>
      </c>
    </row>
    <row r="291" customFormat="false" ht="15" hidden="false" customHeight="true" outlineLevel="0" collapsed="false">
      <c r="B291" s="53" t="str">
        <f aca="false">IF(OR(LINEAS!$D$53="",LINEAS!$U$53=0,ABS(IF(OR(LINEAS!$U$53=1,LINEAS!$U$53=3),1,-1)*LINEAS!$AC$53*DATOS!$C$67)&lt;0.00005),"*",LINEAS!$D$53&amp;" UNI "&amp;IF(LINEAS!$U$53&lt;=2,"GZ","GX")&amp;" "&amp;TEXT(IF(OR(LINEAS!$U$53=1,LINEAS!$U$53=3),1,-1)*LINEAS!$AC$53*DATOS!$C$67,DATOS!$C$68))</f>
        <v>277 UNI GX 0.0050</v>
      </c>
      <c r="C291" s="51" t="str">
        <f aca="false">IF(LEN($B291)&gt;79,"MÁS DE 79 CARACTERES","")</f>
        <v/>
      </c>
      <c r="D291" s="53" t="str">
        <f aca="false">IF(PRESIONES!$C$22="NO","",IF(OR(LINEAS!$D$53="",LINEAS!$U$53=0,ABS(IF(OR(LINEAS!$U$53=1,LINEAS!$U$53=3),1,-1)*LINEAS!$AC$53*DATOS!$C$67)&lt;0.00005),"*",LINEAS!$D$53&amp;" UNI "&amp;IF(LINEAS!$U$53&lt;=2,"GZ","GX")&amp;" "&amp;TEXT(IF(OR(LINEAS!$U$53=1,LINEAS!$U$53=3),1,-1)*LINEAS!$AC$53*DATOS!$C$67,DATOS!$C$68)))</f>
        <v/>
      </c>
      <c r="E291" s="51" t="str">
        <f aca="false">IF(LEN($D291)&gt;79,"MÁS DE 79 CARACTERES","")</f>
        <v/>
      </c>
    </row>
    <row r="292" customFormat="false" ht="15" hidden="false" customHeight="true" outlineLevel="0" collapsed="false">
      <c r="B292" s="53" t="str">
        <f aca="false">IF(OR(LINEAS!$D$54="",LINEAS!$U$54=0,ABS(IF(OR(LINEAS!$U$54=1,LINEAS!$U$54=3),1,-1)*LINEAS!$AC$54*DATOS!$C$67)&lt;0.00005),"*",LINEAS!$D$54&amp;" UNI "&amp;IF(LINEAS!$U$54&lt;=2,"GZ","GX")&amp;" "&amp;TEXT(IF(OR(LINEAS!$U$54=1,LINEAS!$U$54=3),1,-1)*LINEAS!$AC$54*DATOS!$C$67,DATOS!$C$68))</f>
        <v>289 UNI GX 0.0050</v>
      </c>
      <c r="C292" s="51" t="str">
        <f aca="false">IF(LEN($B292)&gt;79,"MÁS DE 79 CARACTERES","")</f>
        <v/>
      </c>
      <c r="D292" s="53" t="str">
        <f aca="false">IF(PRESIONES!$C$22="NO","",IF(OR(LINEAS!$D$54="",LINEAS!$U$54=0,ABS(IF(OR(LINEAS!$U$54=1,LINEAS!$U$54=3),1,-1)*LINEAS!$AC$54*DATOS!$C$67)&lt;0.00005),"*",LINEAS!$D$54&amp;" UNI "&amp;IF(LINEAS!$U$54&lt;=2,"GZ","GX")&amp;" "&amp;TEXT(IF(OR(LINEAS!$U$54=1,LINEAS!$U$54=3),1,-1)*LINEAS!$AC$54*DATOS!$C$67,DATOS!$C$68)))</f>
        <v/>
      </c>
      <c r="E292" s="51" t="str">
        <f aca="false">IF(LEN($D292)&gt;79,"MÁS DE 79 CARACTERES","")</f>
        <v/>
      </c>
    </row>
    <row r="293" customFormat="false" ht="15" hidden="false" customHeight="true" outlineLevel="0" collapsed="false">
      <c r="B293" s="53" t="str">
        <f aca="false">IF(OR(LINEAS!$D$55="",LINEAS!$U$55=0,ABS(IF(OR(LINEAS!$U$55=1,LINEAS!$U$55=3),1,-1)*LINEAS!$AC$55*DATOS!$C$67)&lt;0.00005),"*",LINEAS!$D$55&amp;" UNI "&amp;IF(LINEAS!$U$55&lt;=2,"GZ","GX")&amp;" "&amp;TEXT(IF(OR(LINEAS!$U$55=1,LINEAS!$U$55=3),1,-1)*LINEAS!$AC$55*DATOS!$C$67,DATOS!$C$68))</f>
        <v>288 UNI GX 0.0050</v>
      </c>
      <c r="C293" s="51" t="str">
        <f aca="false">IF(LEN($B293)&gt;79,"MÁS DE 79 CARACTERES","")</f>
        <v/>
      </c>
      <c r="D293" s="53" t="str">
        <f aca="false">IF(PRESIONES!$C$22="NO","",IF(OR(LINEAS!$D$55="",LINEAS!$U$55=0,ABS(IF(OR(LINEAS!$U$55=1,LINEAS!$U$55=3),1,-1)*LINEAS!$AC$55*DATOS!$C$67)&lt;0.00005),"*",LINEAS!$D$55&amp;" UNI "&amp;IF(LINEAS!$U$55&lt;=2,"GZ","GX")&amp;" "&amp;TEXT(IF(OR(LINEAS!$U$55=1,LINEAS!$U$55=3),1,-1)*LINEAS!$AC$55*DATOS!$C$67,DATOS!$C$68)))</f>
        <v/>
      </c>
      <c r="E293" s="51" t="str">
        <f aca="false">IF(LEN($D293)&gt;79,"MÁS DE 79 CARACTERES","")</f>
        <v/>
      </c>
    </row>
    <row r="294" customFormat="false" ht="15" hidden="false" customHeight="true" outlineLevel="0" collapsed="false">
      <c r="B294" s="53" t="str">
        <f aca="false">IF(OR(LINEAS!$D$56="",LINEAS!$U$56=0,ABS(IF(OR(LINEAS!$U$56=1,LINEAS!$U$56=3),1,-1)*LINEAS!$AC$56*DATOS!$C$67)&lt;0.00005),"*",LINEAS!$D$56&amp;" UNI "&amp;IF(LINEAS!$U$56&lt;=2,"GZ","GX")&amp;" "&amp;TEXT(IF(OR(LINEAS!$U$56=1,LINEAS!$U$56=3),1,-1)*LINEAS!$AC$56*DATOS!$C$67,DATOS!$C$68))</f>
        <v>287 UNI GX 0.0050</v>
      </c>
      <c r="C294" s="51" t="str">
        <f aca="false">IF(LEN($B294)&gt;79,"MÁS DE 79 CARACTERES","")</f>
        <v/>
      </c>
      <c r="D294" s="53" t="str">
        <f aca="false">IF(PRESIONES!$C$22="NO","",IF(OR(LINEAS!$D$56="",LINEAS!$U$56=0,ABS(IF(OR(LINEAS!$U$56=1,LINEAS!$U$56=3),1,-1)*LINEAS!$AC$56*DATOS!$C$67)&lt;0.00005),"*",LINEAS!$D$56&amp;" UNI "&amp;IF(LINEAS!$U$56&lt;=2,"GZ","GX")&amp;" "&amp;TEXT(IF(OR(LINEAS!$U$56=1,LINEAS!$U$56=3),1,-1)*LINEAS!$AC$56*DATOS!$C$67,DATOS!$C$68)))</f>
        <v/>
      </c>
      <c r="E294" s="51" t="str">
        <f aca="false">IF(LEN($D294)&gt;79,"MÁS DE 79 CARACTERES","")</f>
        <v/>
      </c>
    </row>
    <row r="295" customFormat="false" ht="15" hidden="false" customHeight="true" outlineLevel="0" collapsed="false">
      <c r="B295" s="53" t="str">
        <f aca="false">IF(OR(LINEAS!$D$57="",LINEAS!$U$57=0,ABS(IF(OR(LINEAS!$U$57=1,LINEAS!$U$57=3),1,-1)*LINEAS!$AC$57*DATOS!$C$67)&lt;0.00005),"*",LINEAS!$D$57&amp;" UNI "&amp;IF(LINEAS!$U$57&lt;=2,"GZ","GX")&amp;" "&amp;TEXT(IF(OR(LINEAS!$U$57=1,LINEAS!$U$57=3),1,-1)*LINEAS!$AC$57*DATOS!$C$67,DATOS!$C$68))</f>
        <v>297 UNI GX 0.0050</v>
      </c>
      <c r="C295" s="51" t="str">
        <f aca="false">IF(LEN($B295)&gt;79,"MÁS DE 79 CARACTERES","")</f>
        <v/>
      </c>
      <c r="D295" s="53" t="str">
        <f aca="false">IF(PRESIONES!$C$22="NO","",IF(OR(LINEAS!$D$57="",LINEAS!$U$57=0,ABS(IF(OR(LINEAS!$U$57=1,LINEAS!$U$57=3),1,-1)*LINEAS!$AC$57*DATOS!$C$67)&lt;0.00005),"*",LINEAS!$D$57&amp;" UNI "&amp;IF(LINEAS!$U$57&lt;=2,"GZ","GX")&amp;" "&amp;TEXT(IF(OR(LINEAS!$U$57=1,LINEAS!$U$57=3),1,-1)*LINEAS!$AC$57*DATOS!$C$67,DATOS!$C$68)))</f>
        <v/>
      </c>
      <c r="E295" s="51" t="str">
        <f aca="false">IF(LEN($D295)&gt;79,"MÁS DE 79 CARACTERES","")</f>
        <v/>
      </c>
    </row>
    <row r="296" customFormat="false" ht="15" hidden="false" customHeight="true" outlineLevel="0" collapsed="false">
      <c r="B296" s="53" t="str">
        <f aca="false">IF(OR(LINEAS!$D$58="",LINEAS!$U$58=0,ABS(IF(OR(LINEAS!$U$58=1,LINEAS!$U$58=3),1,-1)*LINEAS!$AC$58*DATOS!$C$67)&lt;0.00005),"*",LINEAS!$D$58&amp;" UNI "&amp;IF(LINEAS!$U$58&lt;=2,"GZ","GX")&amp;" "&amp;TEXT(IF(OR(LINEAS!$U$58=1,LINEAS!$U$58=3),1,-1)*LINEAS!$AC$58*DATOS!$C$67,DATOS!$C$68))</f>
        <v>296 UNI GX 0.0050</v>
      </c>
      <c r="C296" s="51" t="str">
        <f aca="false">IF(LEN($B296)&gt;79,"MÁS DE 79 CARACTERES","")</f>
        <v/>
      </c>
      <c r="D296" s="53" t="str">
        <f aca="false">IF(PRESIONES!$C$22="NO","",IF(OR(LINEAS!$D$58="",LINEAS!$U$58=0,ABS(IF(OR(LINEAS!$U$58=1,LINEAS!$U$58=3),1,-1)*LINEAS!$AC$58*DATOS!$C$67)&lt;0.00005),"*",LINEAS!$D$58&amp;" UNI "&amp;IF(LINEAS!$U$58&lt;=2,"GZ","GX")&amp;" "&amp;TEXT(IF(OR(LINEAS!$U$58=1,LINEAS!$U$58=3),1,-1)*LINEAS!$AC$58*DATOS!$C$67,DATOS!$C$68)))</f>
        <v/>
      </c>
      <c r="E296" s="51" t="str">
        <f aca="false">IF(LEN($D296)&gt;79,"MÁS DE 79 CARACTERES","")</f>
        <v/>
      </c>
    </row>
    <row r="297" customFormat="false" ht="15" hidden="false" customHeight="true" outlineLevel="0" collapsed="false">
      <c r="B297" s="53" t="str">
        <f aca="false">IF(OR(LINEAS!$D$59="",LINEAS!$U$59=0,ABS(IF(OR(LINEAS!$U$59=1,LINEAS!$U$59=3),1,-1)*LINEAS!$AC$59*DATOS!$C$67)&lt;0.00005),"*",LINEAS!$D$59&amp;" UNI "&amp;IF(LINEAS!$U$59&lt;=2,"GZ","GX")&amp;" "&amp;TEXT(IF(OR(LINEAS!$U$59=1,LINEAS!$U$59=3),1,-1)*LINEAS!$AC$59*DATOS!$C$67,DATOS!$C$68))</f>
        <v>295 UNI GX 0.0050</v>
      </c>
      <c r="C297" s="51" t="str">
        <f aca="false">IF(LEN($B297)&gt;79,"MÁS DE 79 CARACTERES","")</f>
        <v/>
      </c>
      <c r="D297" s="53" t="str">
        <f aca="false">IF(PRESIONES!$C$22="NO","",IF(OR(LINEAS!$D$59="",LINEAS!$U$59=0,ABS(IF(OR(LINEAS!$U$59=1,LINEAS!$U$59=3),1,-1)*LINEAS!$AC$59*DATOS!$C$67)&lt;0.00005),"*",LINEAS!$D$59&amp;" UNI "&amp;IF(LINEAS!$U$59&lt;=2,"GZ","GX")&amp;" "&amp;TEXT(IF(OR(LINEAS!$U$59=1,LINEAS!$U$59=3),1,-1)*LINEAS!$AC$59*DATOS!$C$67,DATOS!$C$68)))</f>
        <v/>
      </c>
      <c r="E297" s="51" t="str">
        <f aca="false">IF(LEN($D297)&gt;79,"MÁS DE 79 CARACTERES","")</f>
        <v/>
      </c>
    </row>
    <row r="298" customFormat="false" ht="15" hidden="false" customHeight="true" outlineLevel="0" collapsed="false">
      <c r="B298" s="53" t="str">
        <f aca="false">IF(OR(LINEAS!$D$60="",LINEAS!$U$60=0,ABS(IF(OR(LINEAS!$U$60=1,LINEAS!$U$60=3),1,-1)*LINEAS!$AC$60*DATOS!$C$67)&lt;0.00005),"*",LINEAS!$D$60&amp;" UNI "&amp;IF(LINEAS!$U$60&lt;=2,"GZ","GX")&amp;" "&amp;TEXT(IF(OR(LINEAS!$U$60=1,LINEAS!$U$60=3),1,-1)*LINEAS!$AC$60*DATOS!$C$67,DATOS!$C$68))</f>
        <v>305 UNI GX 0.0050</v>
      </c>
      <c r="C298" s="51" t="str">
        <f aca="false">IF(LEN($B298)&gt;79,"MÁS DE 79 CARACTERES","")</f>
        <v/>
      </c>
      <c r="D298" s="53" t="str">
        <f aca="false">IF(PRESIONES!$C$22="NO","",IF(OR(LINEAS!$D$60="",LINEAS!$U$60=0,ABS(IF(OR(LINEAS!$U$60=1,LINEAS!$U$60=3),1,-1)*LINEAS!$AC$60*DATOS!$C$67)&lt;0.00005),"*",LINEAS!$D$60&amp;" UNI "&amp;IF(LINEAS!$U$60&lt;=2,"GZ","GX")&amp;" "&amp;TEXT(IF(OR(LINEAS!$U$60=1,LINEAS!$U$60=3),1,-1)*LINEAS!$AC$60*DATOS!$C$67,DATOS!$C$68)))</f>
        <v/>
      </c>
      <c r="E298" s="51" t="str">
        <f aca="false">IF(LEN($D298)&gt;79,"MÁS DE 79 CARACTERES","")</f>
        <v/>
      </c>
    </row>
    <row r="299" customFormat="false" ht="15" hidden="false" customHeight="true" outlineLevel="0" collapsed="false">
      <c r="B299" s="53" t="str">
        <f aca="false">IF(OR(LINEAS!$D$61="",LINEAS!$U$61=0,ABS(IF(OR(LINEAS!$U$61=1,LINEAS!$U$61=3),1,-1)*LINEAS!$AC$61*DATOS!$C$67)&lt;0.00005),"*",LINEAS!$D$61&amp;" UNI "&amp;IF(LINEAS!$U$61&lt;=2,"GZ","GX")&amp;" "&amp;TEXT(IF(OR(LINEAS!$U$61=1,LINEAS!$U$61=3),1,-1)*LINEAS!$AC$61*DATOS!$C$67,DATOS!$C$68))</f>
        <v>304 UNI GX 0.0050</v>
      </c>
      <c r="C299" s="51" t="str">
        <f aca="false">IF(LEN($B299)&gt;79,"MÁS DE 79 CARACTERES","")</f>
        <v/>
      </c>
      <c r="D299" s="53" t="str">
        <f aca="false">IF(PRESIONES!$C$22="NO","",IF(OR(LINEAS!$D$61="",LINEAS!$U$61=0,ABS(IF(OR(LINEAS!$U$61=1,LINEAS!$U$61=3),1,-1)*LINEAS!$AC$61*DATOS!$C$67)&lt;0.00005),"*",LINEAS!$D$61&amp;" UNI "&amp;IF(LINEAS!$U$61&lt;=2,"GZ","GX")&amp;" "&amp;TEXT(IF(OR(LINEAS!$U$61=1,LINEAS!$U$61=3),1,-1)*LINEAS!$AC$61*DATOS!$C$67,DATOS!$C$68)))</f>
        <v/>
      </c>
      <c r="E299" s="51" t="str">
        <f aca="false">IF(LEN($D299)&gt;79,"MÁS DE 79 CARACTERES","")</f>
        <v/>
      </c>
    </row>
    <row r="300" customFormat="false" ht="15" hidden="false" customHeight="true" outlineLevel="0" collapsed="false">
      <c r="B300" s="53" t="str">
        <f aca="false">IF(OR(LINEAS!$D$62="",LINEAS!$U$62=0,ABS(IF(OR(LINEAS!$U$62=1,LINEAS!$U$62=3),1,-1)*LINEAS!$AC$62*DATOS!$C$67)&lt;0.00005),"*",LINEAS!$D$62&amp;" UNI "&amp;IF(LINEAS!$U$62&lt;=2,"GZ","GX")&amp;" "&amp;TEXT(IF(OR(LINEAS!$U$62=1,LINEAS!$U$62=3),1,-1)*LINEAS!$AC$62*DATOS!$C$67,DATOS!$C$68))</f>
        <v>303 UNI GX 0.0050</v>
      </c>
      <c r="C300" s="51" t="str">
        <f aca="false">IF(LEN($B300)&gt;79,"MÁS DE 79 CARACTERES","")</f>
        <v/>
      </c>
      <c r="D300" s="53" t="str">
        <f aca="false">IF(PRESIONES!$C$22="NO","",IF(OR(LINEAS!$D$62="",LINEAS!$U$62=0,ABS(IF(OR(LINEAS!$U$62=1,LINEAS!$U$62=3),1,-1)*LINEAS!$AC$62*DATOS!$C$67)&lt;0.00005),"*",LINEAS!$D$62&amp;" UNI "&amp;IF(LINEAS!$U$62&lt;=2,"GZ","GX")&amp;" "&amp;TEXT(IF(OR(LINEAS!$U$62=1,LINEAS!$U$62=3),1,-1)*LINEAS!$AC$62*DATOS!$C$67,DATOS!$C$68)))</f>
        <v/>
      </c>
      <c r="E300" s="51" t="str">
        <f aca="false">IF(LEN($D300)&gt;79,"MÁS DE 79 CARACTERES","")</f>
        <v/>
      </c>
    </row>
    <row r="301" customFormat="false" ht="15" hidden="false" customHeight="true" outlineLevel="0" collapsed="false">
      <c r="B301" s="53" t="str">
        <f aca="false">IF(OR(LINEAS!$D$63="",LINEAS!$U$63=0,ABS(IF(OR(LINEAS!$U$63=1,LINEAS!$U$63=3),1,-1)*LINEAS!$AC$63*DATOS!$C$67)&lt;0.00005),"*",LINEAS!$D$63&amp;" UNI "&amp;IF(LINEAS!$U$63&lt;=2,"GZ","GX")&amp;" "&amp;TEXT(IF(OR(LINEAS!$U$63=1,LINEAS!$U$63=3),1,-1)*LINEAS!$AC$63*DATOS!$C$67,DATOS!$C$68))</f>
        <v>314 UNI GX 0.0050</v>
      </c>
      <c r="C301" s="51" t="str">
        <f aca="false">IF(LEN($B301)&gt;79,"MÁS DE 79 CARACTERES","")</f>
        <v/>
      </c>
      <c r="D301" s="53" t="str">
        <f aca="false">IF(PRESIONES!$C$22="NO","",IF(OR(LINEAS!$D$63="",LINEAS!$U$63=0,ABS(IF(OR(LINEAS!$U$63=1,LINEAS!$U$63=3),1,-1)*LINEAS!$AC$63*DATOS!$C$67)&lt;0.00005),"*",LINEAS!$D$63&amp;" UNI "&amp;IF(LINEAS!$U$63&lt;=2,"GZ","GX")&amp;" "&amp;TEXT(IF(OR(LINEAS!$U$63=1,LINEAS!$U$63=3),1,-1)*LINEAS!$AC$63*DATOS!$C$67,DATOS!$C$68)))</f>
        <v/>
      </c>
      <c r="E301" s="51" t="str">
        <f aca="false">IF(LEN($D301)&gt;79,"MÁS DE 79 CARACTERES","")</f>
        <v/>
      </c>
    </row>
    <row r="302" customFormat="false" ht="15" hidden="false" customHeight="true" outlineLevel="0" collapsed="false">
      <c r="B302" s="53" t="str">
        <f aca="false">IF(OR(LINEAS!$D$64="",LINEAS!$U$64=0,ABS(IF(OR(LINEAS!$U$64=1,LINEAS!$U$64=3),1,-1)*LINEAS!$AC$64*DATOS!$C$67)&lt;0.00005),"*",LINEAS!$D$64&amp;" UNI "&amp;IF(LINEAS!$U$64&lt;=2,"GZ","GX")&amp;" "&amp;TEXT(IF(OR(LINEAS!$U$64=1,LINEAS!$U$64=3),1,-1)*LINEAS!$AC$64*DATOS!$C$67,DATOS!$C$68))</f>
        <v>313 UNI GX 0.0050</v>
      </c>
      <c r="C302" s="51" t="str">
        <f aca="false">IF(LEN($B302)&gt;79,"MÁS DE 79 CARACTERES","")</f>
        <v/>
      </c>
      <c r="D302" s="53" t="str">
        <f aca="false">IF(PRESIONES!$C$22="NO","",IF(OR(LINEAS!$D$64="",LINEAS!$U$64=0,ABS(IF(OR(LINEAS!$U$64=1,LINEAS!$U$64=3),1,-1)*LINEAS!$AC$64*DATOS!$C$67)&lt;0.00005),"*",LINEAS!$D$64&amp;" UNI "&amp;IF(LINEAS!$U$64&lt;=2,"GZ","GX")&amp;" "&amp;TEXT(IF(OR(LINEAS!$U$64=1,LINEAS!$U$64=3),1,-1)*LINEAS!$AC$64*DATOS!$C$67,DATOS!$C$68)))</f>
        <v/>
      </c>
      <c r="E302" s="51" t="str">
        <f aca="false">IF(LEN($D302)&gt;79,"MÁS DE 79 CARACTERES","")</f>
        <v/>
      </c>
    </row>
    <row r="303" customFormat="false" ht="15" hidden="false" customHeight="true" outlineLevel="0" collapsed="false">
      <c r="B303" s="53" t="str">
        <f aca="false">IF(OR(LINEAS!$D$65="",LINEAS!$U$65=0,ABS(IF(OR(LINEAS!$U$65=1,LINEAS!$U$65=3),1,-1)*LINEAS!$AC$65*DATOS!$C$67)&lt;0.00005),"*",LINEAS!$D$65&amp;" UNI "&amp;IF(LINEAS!$U$65&lt;=2,"GZ","GX")&amp;" "&amp;TEXT(IF(OR(LINEAS!$U$65=1,LINEAS!$U$65=3),1,-1)*LINEAS!$AC$65*DATOS!$C$67,DATOS!$C$68))</f>
        <v>312 UNI GX 0.0050</v>
      </c>
      <c r="C303" s="51" t="str">
        <f aca="false">IF(LEN($B303)&gt;79,"MÁS DE 79 CARACTERES","")</f>
        <v/>
      </c>
      <c r="D303" s="53" t="str">
        <f aca="false">IF(PRESIONES!$C$22="NO","",IF(OR(LINEAS!$D$65="",LINEAS!$U$65=0,ABS(IF(OR(LINEAS!$U$65=1,LINEAS!$U$65=3),1,-1)*LINEAS!$AC$65*DATOS!$C$67)&lt;0.00005),"*",LINEAS!$D$65&amp;" UNI "&amp;IF(LINEAS!$U$65&lt;=2,"GZ","GX")&amp;" "&amp;TEXT(IF(OR(LINEAS!$U$65=1,LINEAS!$U$65=3),1,-1)*LINEAS!$AC$65*DATOS!$C$67,DATOS!$C$68)))</f>
        <v/>
      </c>
      <c r="E303" s="51" t="str">
        <f aca="false">IF(LEN($D303)&gt;79,"MÁS DE 79 CARACTERES","")</f>
        <v/>
      </c>
    </row>
    <row r="304" customFormat="false" ht="15" hidden="false" customHeight="true" outlineLevel="0" collapsed="false">
      <c r="B304" s="53" t="str">
        <f aca="false">IF(OR(LINEAS!$D$66="",LINEAS!$U$66=0,ABS(IF(OR(LINEAS!$U$66=1,LINEAS!$U$66=3),1,-1)*LINEAS!$AC$66*DATOS!$C$67)&lt;0.00005),"*",LINEAS!$D$66&amp;" UNI "&amp;IF(LINEAS!$U$66&lt;=2,"GZ","GX")&amp;" "&amp;TEXT(IF(OR(LINEAS!$U$66=1,LINEAS!$U$66=3),1,-1)*LINEAS!$AC$66*DATOS!$C$67,DATOS!$C$68))</f>
        <v>317 UNI GX 0.0043</v>
      </c>
      <c r="C304" s="51" t="str">
        <f aca="false">IF(LEN($B304)&gt;79,"MÁS DE 79 CARACTERES","")</f>
        <v/>
      </c>
      <c r="D304" s="53" t="str">
        <f aca="false">IF(PRESIONES!$C$22="NO","",IF(OR(LINEAS!$D$66="",LINEAS!$U$66=0,ABS(IF(OR(LINEAS!$U$66=1,LINEAS!$U$66=3),1,-1)*LINEAS!$AC$66*DATOS!$C$67)&lt;0.00005),"*",LINEAS!$D$66&amp;" UNI "&amp;IF(LINEAS!$U$66&lt;=2,"GZ","GX")&amp;" "&amp;TEXT(IF(OR(LINEAS!$U$66=1,LINEAS!$U$66=3),1,-1)*LINEAS!$AC$66*DATOS!$C$67,DATOS!$C$68)))</f>
        <v/>
      </c>
      <c r="E304" s="51" t="str">
        <f aca="false">IF(LEN($D304)&gt;79,"MÁS DE 79 CARACTERES","")</f>
        <v/>
      </c>
    </row>
    <row r="305" customFormat="false" ht="15" hidden="false" customHeight="true" outlineLevel="0" collapsed="false">
      <c r="B305" s="53" t="str">
        <f aca="false">IF(OR(LINEAS!$D$67="",LINEAS!$U$67=0,ABS(IF(OR(LINEAS!$U$67=1,LINEAS!$U$67=3),1,-1)*LINEAS!$AC$67*DATOS!$C$67)&lt;0.00005),"*",LINEAS!$D$67&amp;" UNI "&amp;IF(LINEAS!$U$67&lt;=2,"GZ","GX")&amp;" "&amp;TEXT(IF(OR(LINEAS!$U$67=1,LINEAS!$U$67=3),1,-1)*LINEAS!$AC$67*DATOS!$C$67,DATOS!$C$68))</f>
        <v>316 UNI GX 0.0036</v>
      </c>
      <c r="C305" s="51" t="str">
        <f aca="false">IF(LEN($B305)&gt;79,"MÁS DE 79 CARACTERES","")</f>
        <v/>
      </c>
      <c r="D305" s="53" t="str">
        <f aca="false">IF(PRESIONES!$C$22="NO","",IF(OR(LINEAS!$D$67="",LINEAS!$U$67=0,ABS(IF(OR(LINEAS!$U$67=1,LINEAS!$U$67=3),1,-1)*LINEAS!$AC$67*DATOS!$C$67)&lt;0.00005),"*",LINEAS!$D$67&amp;" UNI "&amp;IF(LINEAS!$U$67&lt;=2,"GZ","GX")&amp;" "&amp;TEXT(IF(OR(LINEAS!$U$67=1,LINEAS!$U$67=3),1,-1)*LINEAS!$AC$67*DATOS!$C$67,DATOS!$C$68)))</f>
        <v/>
      </c>
      <c r="E305" s="51" t="str">
        <f aca="false">IF(LEN($D305)&gt;79,"MÁS DE 79 CARACTERES","")</f>
        <v/>
      </c>
    </row>
    <row r="306" customFormat="false" ht="15" hidden="false" customHeight="true" outlineLevel="0" collapsed="false">
      <c r="B306" s="53" t="str">
        <f aca="false">IF(OR(LINEAS!$D$68="",LINEAS!$U$68=0,ABS(IF(OR(LINEAS!$U$68=1,LINEAS!$U$68=3),1,-1)*LINEAS!$AC$68*DATOS!$C$67)&lt;0.00005),"*",LINEAS!$D$68&amp;" UNI "&amp;IF(LINEAS!$U$68&lt;=2,"GZ","GX")&amp;" "&amp;TEXT(IF(OR(LINEAS!$U$68=1,LINEAS!$U$68=3),1,-1)*LINEAS!$AC$68*DATOS!$C$67,DATOS!$C$68))</f>
        <v>315 UNI GX 0.0031</v>
      </c>
      <c r="C306" s="51" t="str">
        <f aca="false">IF(LEN($B306)&gt;79,"MÁS DE 79 CARACTERES","")</f>
        <v/>
      </c>
      <c r="D306" s="53" t="str">
        <f aca="false">IF(PRESIONES!$C$22="NO","",IF(OR(LINEAS!$D$68="",LINEAS!$U$68=0,ABS(IF(OR(LINEAS!$U$68=1,LINEAS!$U$68=3),1,-1)*LINEAS!$AC$68*DATOS!$C$67)&lt;0.00005),"*",LINEAS!$D$68&amp;" UNI "&amp;IF(LINEAS!$U$68&lt;=2,"GZ","GX")&amp;" "&amp;TEXT(IF(OR(LINEAS!$U$68=1,LINEAS!$U$68=3),1,-1)*LINEAS!$AC$68*DATOS!$C$67,DATOS!$C$68)))</f>
        <v/>
      </c>
      <c r="E306" s="51" t="str">
        <f aca="false">IF(LEN($D306)&gt;79,"MÁS DE 79 CARACTERES","")</f>
        <v/>
      </c>
    </row>
    <row r="307" customFormat="false" ht="15" hidden="false" customHeight="true" outlineLevel="0" collapsed="false">
      <c r="B307" s="53" t="str">
        <f aca="false">IF(OR(LINEAS!$D$69="",LINEAS!$U$69=0,ABS(IF(OR(LINEAS!$U$69=1,LINEAS!$U$69=3),1,-1)*LINEAS!$AC$69*DATOS!$C$67)&lt;0.00005),"*",LINEAS!$D$69&amp;" UNI "&amp;IF(LINEAS!$U$69&lt;=2,"GZ","GX")&amp;" "&amp;TEXT(IF(OR(LINEAS!$U$69=1,LINEAS!$U$69=3),1,-1)*LINEAS!$AC$69*DATOS!$C$67,DATOS!$C$68))</f>
        <v>265 UNI GX -0.7538</v>
      </c>
      <c r="C307" s="51" t="str">
        <f aca="false">IF(LEN($B307)&gt;79,"MÁS DE 79 CARACTERES","")</f>
        <v/>
      </c>
      <c r="D307" s="53" t="str">
        <f aca="false">IF(PRESIONES!$C$22="NO","",IF(OR(LINEAS!$D$69="",LINEAS!$U$69=0,ABS(IF(OR(LINEAS!$U$69=1,LINEAS!$U$69=3),1,-1)*LINEAS!$AC$69*DATOS!$C$67)&lt;0.00005),"*",LINEAS!$D$69&amp;" UNI "&amp;IF(LINEAS!$U$69&lt;=2,"GZ","GX")&amp;" "&amp;TEXT(IF(OR(LINEAS!$U$69=1,LINEAS!$U$69=3),1,-1)*LINEAS!$AC$69*DATOS!$C$67,DATOS!$C$68)))</f>
        <v/>
      </c>
      <c r="E307" s="51" t="str">
        <f aca="false">IF(LEN($D307)&gt;79,"MÁS DE 79 CARACTERES","")</f>
        <v/>
      </c>
    </row>
    <row r="308" customFormat="false" ht="15" hidden="false" customHeight="true" outlineLevel="0" collapsed="false">
      <c r="B308" s="53" t="str">
        <f aca="false">IF(OR(LINEAS!$D$70="",LINEAS!$U$70=0,ABS(IF(OR(LINEAS!$U$70=1,LINEAS!$U$70=3),1,-1)*LINEAS!$AC$70*DATOS!$C$67)&lt;0.00005),"*",LINEAS!$D$70&amp;" UNI "&amp;IF(LINEAS!$U$70&lt;=2,"GZ","GX")&amp;" "&amp;TEXT(IF(OR(LINEAS!$U$70=1,LINEAS!$U$70=3),1,-1)*LINEAS!$AC$70*DATOS!$C$67,DATOS!$C$68))</f>
        <v>266 UNI GX -0.7538</v>
      </c>
      <c r="C308" s="51" t="str">
        <f aca="false">IF(LEN($B308)&gt;79,"MÁS DE 79 CARACTERES","")</f>
        <v/>
      </c>
      <c r="D308" s="53" t="str">
        <f aca="false">IF(PRESIONES!$C$22="NO","",IF(OR(LINEAS!$D$70="",LINEAS!$U$70=0,ABS(IF(OR(LINEAS!$U$70=1,LINEAS!$U$70=3),1,-1)*LINEAS!$AC$70*DATOS!$C$67)&lt;0.00005),"*",LINEAS!$D$70&amp;" UNI "&amp;IF(LINEAS!$U$70&lt;=2,"GZ","GX")&amp;" "&amp;TEXT(IF(OR(LINEAS!$U$70=1,LINEAS!$U$70=3),1,-1)*LINEAS!$AC$70*DATOS!$C$67,DATOS!$C$68)))</f>
        <v/>
      </c>
      <c r="E308" s="51" t="str">
        <f aca="false">IF(LEN($D308)&gt;79,"MÁS DE 79 CARACTERES","")</f>
        <v/>
      </c>
    </row>
    <row r="309" customFormat="false" ht="15" hidden="false" customHeight="true" outlineLevel="0" collapsed="false">
      <c r="B309" s="53" t="str">
        <f aca="false">IF(OR(LINEAS!$D$71="",LINEAS!$U$71=0,ABS(IF(OR(LINEAS!$U$71=1,LINEAS!$U$71=3),1,-1)*LINEAS!$AC$71*DATOS!$C$67)&lt;0.00005),"*",LINEAS!$D$71&amp;" UNI "&amp;IF(LINEAS!$U$71&lt;=2,"GZ","GX")&amp;" "&amp;TEXT(IF(OR(LINEAS!$U$71=1,LINEAS!$U$71=3),1,-1)*LINEAS!$AC$71*DATOS!$C$67,DATOS!$C$68))</f>
        <v>267 UNI GX -0.7538</v>
      </c>
      <c r="C309" s="51" t="str">
        <f aca="false">IF(LEN($B309)&gt;79,"MÁS DE 79 CARACTERES","")</f>
        <v/>
      </c>
      <c r="D309" s="53" t="str">
        <f aca="false">IF(PRESIONES!$C$22="NO","",IF(OR(LINEAS!$D$71="",LINEAS!$U$71=0,ABS(IF(OR(LINEAS!$U$71=1,LINEAS!$U$71=3),1,-1)*LINEAS!$AC$71*DATOS!$C$67)&lt;0.00005),"*",LINEAS!$D$71&amp;" UNI "&amp;IF(LINEAS!$U$71&lt;=2,"GZ","GX")&amp;" "&amp;TEXT(IF(OR(LINEAS!$U$71=1,LINEAS!$U$71=3),1,-1)*LINEAS!$AC$71*DATOS!$C$67,DATOS!$C$68)))</f>
        <v/>
      </c>
      <c r="E309" s="51" t="str">
        <f aca="false">IF(LEN($D309)&gt;79,"MÁS DE 79 CARACTERES","")</f>
        <v/>
      </c>
    </row>
    <row r="310" customFormat="false" ht="15" hidden="false" customHeight="true" outlineLevel="0" collapsed="false">
      <c r="B310" s="53" t="str">
        <f aca="false">IF(OR(LINEAS!$D$72="",LINEAS!$U$72=0,ABS(IF(OR(LINEAS!$U$72=1,LINEAS!$U$72=3),1,-1)*LINEAS!$AC$72*DATOS!$C$67)&lt;0.00005),"*",LINEAS!$D$72&amp;" UNI "&amp;IF(LINEAS!$U$72&lt;=2,"GZ","GX")&amp;" "&amp;TEXT(IF(OR(LINEAS!$U$72=1,LINEAS!$U$72=3),1,-1)*LINEAS!$AC$72*DATOS!$C$67,DATOS!$C$68))</f>
        <v>274 UNI GX -0.7538</v>
      </c>
      <c r="C310" s="51" t="str">
        <f aca="false">IF(LEN($B310)&gt;79,"MÁS DE 79 CARACTERES","")</f>
        <v/>
      </c>
      <c r="D310" s="53" t="str">
        <f aca="false">IF(PRESIONES!$C$22="NO","",IF(OR(LINEAS!$D$72="",LINEAS!$U$72=0,ABS(IF(OR(LINEAS!$U$72=1,LINEAS!$U$72=3),1,-1)*LINEAS!$AC$72*DATOS!$C$67)&lt;0.00005),"*",LINEAS!$D$72&amp;" UNI "&amp;IF(LINEAS!$U$72&lt;=2,"GZ","GX")&amp;" "&amp;TEXT(IF(OR(LINEAS!$U$72=1,LINEAS!$U$72=3),1,-1)*LINEAS!$AC$72*DATOS!$C$67,DATOS!$C$68)))</f>
        <v/>
      </c>
      <c r="E310" s="51" t="str">
        <f aca="false">IF(LEN($D310)&gt;79,"MÁS DE 79 CARACTERES","")</f>
        <v/>
      </c>
    </row>
    <row r="311" customFormat="false" ht="15" hidden="false" customHeight="true" outlineLevel="0" collapsed="false">
      <c r="B311" s="53" t="str">
        <f aca="false">IF(OR(LINEAS!$D$73="",LINEAS!$U$73=0,ABS(IF(OR(LINEAS!$U$73=1,LINEAS!$U$73=3),1,-1)*LINEAS!$AC$73*DATOS!$C$67)&lt;0.00005),"*",LINEAS!$D$73&amp;" UNI "&amp;IF(LINEAS!$U$73&lt;=2,"GZ","GX")&amp;" "&amp;TEXT(IF(OR(LINEAS!$U$73=1,LINEAS!$U$73=3),1,-1)*LINEAS!$AC$73*DATOS!$C$67,DATOS!$C$68))</f>
        <v>275 UNI GX -0.7538</v>
      </c>
      <c r="C311" s="51" t="str">
        <f aca="false">IF(LEN($B311)&gt;79,"MÁS DE 79 CARACTERES","")</f>
        <v/>
      </c>
      <c r="D311" s="53" t="str">
        <f aca="false">IF(PRESIONES!$C$22="NO","",IF(OR(LINEAS!$D$73="",LINEAS!$U$73=0,ABS(IF(OR(LINEAS!$U$73=1,LINEAS!$U$73=3),1,-1)*LINEAS!$AC$73*DATOS!$C$67)&lt;0.00005),"*",LINEAS!$D$73&amp;" UNI "&amp;IF(LINEAS!$U$73&lt;=2,"GZ","GX")&amp;" "&amp;TEXT(IF(OR(LINEAS!$U$73=1,LINEAS!$U$73=3),1,-1)*LINEAS!$AC$73*DATOS!$C$67,DATOS!$C$68)))</f>
        <v/>
      </c>
      <c r="E311" s="51" t="str">
        <f aca="false">IF(LEN($D311)&gt;79,"MÁS DE 79 CARACTERES","")</f>
        <v/>
      </c>
    </row>
    <row r="312" customFormat="false" ht="15" hidden="false" customHeight="true" outlineLevel="0" collapsed="false">
      <c r="B312" s="53" t="str">
        <f aca="false">IF(OR(LINEAS!$D$74="",LINEAS!$U$74=0,ABS(IF(OR(LINEAS!$U$74=1,LINEAS!$U$74=3),1,-1)*LINEAS!$AC$74*DATOS!$C$67)&lt;0.00005),"*",LINEAS!$D$74&amp;" UNI "&amp;IF(LINEAS!$U$74&lt;=2,"GZ","GX")&amp;" "&amp;TEXT(IF(OR(LINEAS!$U$74=1,LINEAS!$U$74=3),1,-1)*LINEAS!$AC$74*DATOS!$C$67,DATOS!$C$68))</f>
        <v>276 UNI GX -0.7538</v>
      </c>
      <c r="C312" s="51" t="str">
        <f aca="false">IF(LEN($B312)&gt;79,"MÁS DE 79 CARACTERES","")</f>
        <v/>
      </c>
      <c r="D312" s="53" t="str">
        <f aca="false">IF(PRESIONES!$C$22="NO","",IF(OR(LINEAS!$D$74="",LINEAS!$U$74=0,ABS(IF(OR(LINEAS!$U$74=1,LINEAS!$U$74=3),1,-1)*LINEAS!$AC$74*DATOS!$C$67)&lt;0.00005),"*",LINEAS!$D$74&amp;" UNI "&amp;IF(LINEAS!$U$74&lt;=2,"GZ","GX")&amp;" "&amp;TEXT(IF(OR(LINEAS!$U$74=1,LINEAS!$U$74=3),1,-1)*LINEAS!$AC$74*DATOS!$C$67,DATOS!$C$68)))</f>
        <v/>
      </c>
      <c r="E312" s="51" t="str">
        <f aca="false">IF(LEN($D312)&gt;79,"MÁS DE 79 CARACTERES","")</f>
        <v/>
      </c>
    </row>
    <row r="313" customFormat="false" ht="15" hidden="false" customHeight="true" outlineLevel="0" collapsed="false">
      <c r="B313" s="53" t="str">
        <f aca="false">IF(OR(LINEAS!$D$75="",LINEAS!$U$75=0,ABS(IF(OR(LINEAS!$U$75=1,LINEAS!$U$75=3),1,-1)*LINEAS!$AC$75*DATOS!$C$67)&lt;0.00005),"*",LINEAS!$D$75&amp;" UNI "&amp;IF(LINEAS!$U$75&lt;=2,"GZ","GX")&amp;" "&amp;TEXT(IF(OR(LINEAS!$U$75=1,LINEAS!$U$75=3),1,-1)*LINEAS!$AC$75*DATOS!$C$67,DATOS!$C$68))</f>
        <v>283 UNI GX -0.7538</v>
      </c>
      <c r="C313" s="51" t="str">
        <f aca="false">IF(LEN($B313)&gt;79,"MÁS DE 79 CARACTERES","")</f>
        <v/>
      </c>
      <c r="D313" s="53" t="str">
        <f aca="false">IF(PRESIONES!$C$22="NO","",IF(OR(LINEAS!$D$75="",LINEAS!$U$75=0,ABS(IF(OR(LINEAS!$U$75=1,LINEAS!$U$75=3),1,-1)*LINEAS!$AC$75*DATOS!$C$67)&lt;0.00005),"*",LINEAS!$D$75&amp;" UNI "&amp;IF(LINEAS!$U$75&lt;=2,"GZ","GX")&amp;" "&amp;TEXT(IF(OR(LINEAS!$U$75=1,LINEAS!$U$75=3),1,-1)*LINEAS!$AC$75*DATOS!$C$67,DATOS!$C$68)))</f>
        <v/>
      </c>
      <c r="E313" s="51" t="str">
        <f aca="false">IF(LEN($D313)&gt;79,"MÁS DE 79 CARACTERES","")</f>
        <v/>
      </c>
    </row>
    <row r="314" customFormat="false" ht="15" hidden="false" customHeight="true" outlineLevel="0" collapsed="false">
      <c r="B314" s="53" t="str">
        <f aca="false">IF(OR(LINEAS!$D$76="",LINEAS!$U$76=0,ABS(IF(OR(LINEAS!$U$76=1,LINEAS!$U$76=3),1,-1)*LINEAS!$AC$76*DATOS!$C$67)&lt;0.00005),"*",LINEAS!$D$76&amp;" UNI "&amp;IF(LINEAS!$U$76&lt;=2,"GZ","GX")&amp;" "&amp;TEXT(IF(OR(LINEAS!$U$76=1,LINEAS!$U$76=3),1,-1)*LINEAS!$AC$76*DATOS!$C$67,DATOS!$C$68))</f>
        <v>284 UNI GX -0.7538</v>
      </c>
      <c r="C314" s="51" t="str">
        <f aca="false">IF(LEN($B314)&gt;79,"MÁS DE 79 CARACTERES","")</f>
        <v/>
      </c>
      <c r="D314" s="53" t="str">
        <f aca="false">IF(PRESIONES!$C$22="NO","",IF(OR(LINEAS!$D$76="",LINEAS!$U$76=0,ABS(IF(OR(LINEAS!$U$76=1,LINEAS!$U$76=3),1,-1)*LINEAS!$AC$76*DATOS!$C$67)&lt;0.00005),"*",LINEAS!$D$76&amp;" UNI "&amp;IF(LINEAS!$U$76&lt;=2,"GZ","GX")&amp;" "&amp;TEXT(IF(OR(LINEAS!$U$76=1,LINEAS!$U$76=3),1,-1)*LINEAS!$AC$76*DATOS!$C$67,DATOS!$C$68)))</f>
        <v/>
      </c>
      <c r="E314" s="51" t="str">
        <f aca="false">IF(LEN($D314)&gt;79,"MÁS DE 79 CARACTERES","")</f>
        <v/>
      </c>
    </row>
    <row r="315" customFormat="false" ht="15" hidden="false" customHeight="true" outlineLevel="0" collapsed="false">
      <c r="B315" s="53" t="str">
        <f aca="false">IF(OR(LINEAS!$D$77="",LINEAS!$U$77=0,ABS(IF(OR(LINEAS!$U$77=1,LINEAS!$U$77=3),1,-1)*LINEAS!$AC$77*DATOS!$C$67)&lt;0.00005),"*",LINEAS!$D$77&amp;" UNI "&amp;IF(LINEAS!$U$77&lt;=2,"GZ","GX")&amp;" "&amp;TEXT(IF(OR(LINEAS!$U$77=1,LINEAS!$U$77=3),1,-1)*LINEAS!$AC$77*DATOS!$C$67,DATOS!$C$68))</f>
        <v>285 UNI GX -0.7538</v>
      </c>
      <c r="C315" s="51" t="str">
        <f aca="false">IF(LEN($B315)&gt;79,"MÁS DE 79 CARACTERES","")</f>
        <v/>
      </c>
      <c r="D315" s="53" t="str">
        <f aca="false">IF(PRESIONES!$C$22="NO","",IF(OR(LINEAS!$D$77="",LINEAS!$U$77=0,ABS(IF(OR(LINEAS!$U$77=1,LINEAS!$U$77=3),1,-1)*LINEAS!$AC$77*DATOS!$C$67)&lt;0.00005),"*",LINEAS!$D$77&amp;" UNI "&amp;IF(LINEAS!$U$77&lt;=2,"GZ","GX")&amp;" "&amp;TEXT(IF(OR(LINEAS!$U$77=1,LINEAS!$U$77=3),1,-1)*LINEAS!$AC$77*DATOS!$C$67,DATOS!$C$68)))</f>
        <v/>
      </c>
      <c r="E315" s="51" t="str">
        <f aca="false">IF(LEN($D315)&gt;79,"MÁS DE 79 CARACTERES","")</f>
        <v/>
      </c>
    </row>
    <row r="316" customFormat="false" ht="15" hidden="false" customHeight="true" outlineLevel="0" collapsed="false">
      <c r="B316" s="53" t="str">
        <f aca="false">IF(OR(LINEAS!$D$78="",LINEAS!$U$78=0,ABS(IF(OR(LINEAS!$U$78=1,LINEAS!$U$78=3),1,-1)*LINEAS!$AC$78*DATOS!$C$67)&lt;0.00005),"*",LINEAS!$D$78&amp;" UNI "&amp;IF(LINEAS!$U$78&lt;=2,"GZ","GX")&amp;" "&amp;TEXT(IF(OR(LINEAS!$U$78=1,LINEAS!$U$78=3),1,-1)*LINEAS!$AC$78*DATOS!$C$67,DATOS!$C$68))</f>
        <v>292 UNI GX -0.7538</v>
      </c>
      <c r="C316" s="51" t="str">
        <f aca="false">IF(LEN($B316)&gt;79,"MÁS DE 79 CARACTERES","")</f>
        <v/>
      </c>
      <c r="D316" s="53" t="str">
        <f aca="false">IF(PRESIONES!$C$22="NO","",IF(OR(LINEAS!$D$78="",LINEAS!$U$78=0,ABS(IF(OR(LINEAS!$U$78=1,LINEAS!$U$78=3),1,-1)*LINEAS!$AC$78*DATOS!$C$67)&lt;0.00005),"*",LINEAS!$D$78&amp;" UNI "&amp;IF(LINEAS!$U$78&lt;=2,"GZ","GX")&amp;" "&amp;TEXT(IF(OR(LINEAS!$U$78=1,LINEAS!$U$78=3),1,-1)*LINEAS!$AC$78*DATOS!$C$67,DATOS!$C$68)))</f>
        <v/>
      </c>
      <c r="E316" s="51" t="str">
        <f aca="false">IF(LEN($D316)&gt;79,"MÁS DE 79 CARACTERES","")</f>
        <v/>
      </c>
    </row>
    <row r="317" customFormat="false" ht="15" hidden="false" customHeight="true" outlineLevel="0" collapsed="false">
      <c r="B317" s="53" t="str">
        <f aca="false">IF(OR(LINEAS!$D$79="",LINEAS!$U$79=0,ABS(IF(OR(LINEAS!$U$79=1,LINEAS!$U$79=3),1,-1)*LINEAS!$AC$79*DATOS!$C$67)&lt;0.00005),"*",LINEAS!$D$79&amp;" UNI "&amp;IF(LINEAS!$U$79&lt;=2,"GZ","GX")&amp;" "&amp;TEXT(IF(OR(LINEAS!$U$79=1,LINEAS!$U$79=3),1,-1)*LINEAS!$AC$79*DATOS!$C$67,DATOS!$C$68))</f>
        <v>293 UNI GX -0.7538</v>
      </c>
      <c r="C317" s="51" t="str">
        <f aca="false">IF(LEN($B317)&gt;79,"MÁS DE 79 CARACTERES","")</f>
        <v/>
      </c>
      <c r="D317" s="53" t="str">
        <f aca="false">IF(PRESIONES!$C$22="NO","",IF(OR(LINEAS!$D$79="",LINEAS!$U$79=0,ABS(IF(OR(LINEAS!$U$79=1,LINEAS!$U$79=3),1,-1)*LINEAS!$AC$79*DATOS!$C$67)&lt;0.00005),"*",LINEAS!$D$79&amp;" UNI "&amp;IF(LINEAS!$U$79&lt;=2,"GZ","GX")&amp;" "&amp;TEXT(IF(OR(LINEAS!$U$79=1,LINEAS!$U$79=3),1,-1)*LINEAS!$AC$79*DATOS!$C$67,DATOS!$C$68)))</f>
        <v/>
      </c>
      <c r="E317" s="51" t="str">
        <f aca="false">IF(LEN($D317)&gt;79,"MÁS DE 79 CARACTERES","")</f>
        <v/>
      </c>
    </row>
    <row r="318" customFormat="false" ht="15" hidden="false" customHeight="true" outlineLevel="0" collapsed="false">
      <c r="B318" s="53" t="str">
        <f aca="false">IF(OR(LINEAS!$D$80="",LINEAS!$U$80=0,ABS(IF(OR(LINEAS!$U$80=1,LINEAS!$U$80=3),1,-1)*LINEAS!$AC$80*DATOS!$C$67)&lt;0.00005),"*",LINEAS!$D$80&amp;" UNI "&amp;IF(LINEAS!$U$80&lt;=2,"GZ","GX")&amp;" "&amp;TEXT(IF(OR(LINEAS!$U$80=1,LINEAS!$U$80=3),1,-1)*LINEAS!$AC$80*DATOS!$C$67,DATOS!$C$68))</f>
        <v>294 UNI GX -0.7538</v>
      </c>
      <c r="C318" s="51" t="str">
        <f aca="false">IF(LEN($B318)&gt;79,"MÁS DE 79 CARACTERES","")</f>
        <v/>
      </c>
      <c r="D318" s="53" t="str">
        <f aca="false">IF(PRESIONES!$C$22="NO","",IF(OR(LINEAS!$D$80="",LINEAS!$U$80=0,ABS(IF(OR(LINEAS!$U$80=1,LINEAS!$U$80=3),1,-1)*LINEAS!$AC$80*DATOS!$C$67)&lt;0.00005),"*",LINEAS!$D$80&amp;" UNI "&amp;IF(LINEAS!$U$80&lt;=2,"GZ","GX")&amp;" "&amp;TEXT(IF(OR(LINEAS!$U$80=1,LINEAS!$U$80=3),1,-1)*LINEAS!$AC$80*DATOS!$C$67,DATOS!$C$68)))</f>
        <v/>
      </c>
      <c r="E318" s="51" t="str">
        <f aca="false">IF(LEN($D318)&gt;79,"MÁS DE 79 CARACTERES","")</f>
        <v/>
      </c>
    </row>
    <row r="319" customFormat="false" ht="15" hidden="false" customHeight="true" outlineLevel="0" collapsed="false">
      <c r="B319" s="53" t="str">
        <f aca="false">IF(OR(LINEAS!$D$81="",LINEAS!$U$81=0,ABS(IF(OR(LINEAS!$U$81=1,LINEAS!$U$81=3),1,-1)*LINEAS!$AC$81*DATOS!$C$67)&lt;0.00005),"*",LINEAS!$D$81&amp;" UNI "&amp;IF(LINEAS!$U$81&lt;=2,"GZ","GX")&amp;" "&amp;TEXT(IF(OR(LINEAS!$U$81=1,LINEAS!$U$81=3),1,-1)*LINEAS!$AC$81*DATOS!$C$67,DATOS!$C$68))</f>
        <v>300 UNI GX -0.7538</v>
      </c>
      <c r="C319" s="51" t="str">
        <f aca="false">IF(LEN($B319)&gt;79,"MÁS DE 79 CARACTERES","")</f>
        <v/>
      </c>
      <c r="D319" s="53" t="str">
        <f aca="false">IF(PRESIONES!$C$22="NO","",IF(OR(LINEAS!$D$81="",LINEAS!$U$81=0,ABS(IF(OR(LINEAS!$U$81=1,LINEAS!$U$81=3),1,-1)*LINEAS!$AC$81*DATOS!$C$67)&lt;0.00005),"*",LINEAS!$D$81&amp;" UNI "&amp;IF(LINEAS!$U$81&lt;=2,"GZ","GX")&amp;" "&amp;TEXT(IF(OR(LINEAS!$U$81=1,LINEAS!$U$81=3),1,-1)*LINEAS!$AC$81*DATOS!$C$67,DATOS!$C$68)))</f>
        <v/>
      </c>
      <c r="E319" s="51" t="str">
        <f aca="false">IF(LEN($D319)&gt;79,"MÁS DE 79 CARACTERES","")</f>
        <v/>
      </c>
    </row>
    <row r="320" customFormat="false" ht="15" hidden="false" customHeight="true" outlineLevel="0" collapsed="false">
      <c r="B320" s="53" t="str">
        <f aca="false">IF(OR(LINEAS!$D$82="",LINEAS!$U$82=0,ABS(IF(OR(LINEAS!$U$82=1,LINEAS!$U$82=3),1,-1)*LINEAS!$AC$82*DATOS!$C$67)&lt;0.00005),"*",LINEAS!$D$82&amp;" UNI "&amp;IF(LINEAS!$U$82&lt;=2,"GZ","GX")&amp;" "&amp;TEXT(IF(OR(LINEAS!$U$82=1,LINEAS!$U$82=3),1,-1)*LINEAS!$AC$82*DATOS!$C$67,DATOS!$C$68))</f>
        <v>301 UNI GX -0.7538</v>
      </c>
      <c r="C320" s="51" t="str">
        <f aca="false">IF(LEN($B320)&gt;79,"MÁS DE 79 CARACTERES","")</f>
        <v/>
      </c>
      <c r="D320" s="53" t="str">
        <f aca="false">IF(PRESIONES!$C$22="NO","",IF(OR(LINEAS!$D$82="",LINEAS!$U$82=0,ABS(IF(OR(LINEAS!$U$82=1,LINEAS!$U$82=3),1,-1)*LINEAS!$AC$82*DATOS!$C$67)&lt;0.00005),"*",LINEAS!$D$82&amp;" UNI "&amp;IF(LINEAS!$U$82&lt;=2,"GZ","GX")&amp;" "&amp;TEXT(IF(OR(LINEAS!$U$82=1,LINEAS!$U$82=3),1,-1)*LINEAS!$AC$82*DATOS!$C$67,DATOS!$C$68)))</f>
        <v/>
      </c>
      <c r="E320" s="51" t="str">
        <f aca="false">IF(LEN($D320)&gt;79,"MÁS DE 79 CARACTERES","")</f>
        <v/>
      </c>
    </row>
    <row r="321" customFormat="false" ht="15" hidden="false" customHeight="true" outlineLevel="0" collapsed="false">
      <c r="B321" s="53" t="str">
        <f aca="false">IF(OR(LINEAS!$D$83="",LINEAS!$U$83=0,ABS(IF(OR(LINEAS!$U$83=1,LINEAS!$U$83=3),1,-1)*LINEAS!$AC$83*DATOS!$C$67)&lt;0.00005),"*",LINEAS!$D$83&amp;" UNI "&amp;IF(LINEAS!$U$83&lt;=2,"GZ","GX")&amp;" "&amp;TEXT(IF(OR(LINEAS!$U$83=1,LINEAS!$U$83=3),1,-1)*LINEAS!$AC$83*DATOS!$C$67,DATOS!$C$68))</f>
        <v>302 UNI GX -0.7538</v>
      </c>
      <c r="C321" s="51" t="str">
        <f aca="false">IF(LEN($B321)&gt;79,"MÁS DE 79 CARACTERES","")</f>
        <v/>
      </c>
      <c r="D321" s="53" t="str">
        <f aca="false">IF(PRESIONES!$C$22="NO","",IF(OR(LINEAS!$D$83="",LINEAS!$U$83=0,ABS(IF(OR(LINEAS!$U$83=1,LINEAS!$U$83=3),1,-1)*LINEAS!$AC$83*DATOS!$C$67)&lt;0.00005),"*",LINEAS!$D$83&amp;" UNI "&amp;IF(LINEAS!$U$83&lt;=2,"GZ","GX")&amp;" "&amp;TEXT(IF(OR(LINEAS!$U$83=1,LINEAS!$U$83=3),1,-1)*LINEAS!$AC$83*DATOS!$C$67,DATOS!$C$68)))</f>
        <v/>
      </c>
      <c r="E321" s="51" t="str">
        <f aca="false">IF(LEN($D321)&gt;79,"MÁS DE 79 CARACTERES","")</f>
        <v/>
      </c>
    </row>
    <row r="322" customFormat="false" ht="15" hidden="false" customHeight="true" outlineLevel="0" collapsed="false">
      <c r="B322" s="53" t="str">
        <f aca="false">IF(OR(LINEAS!$D$84="",LINEAS!$U$84=0,ABS(IF(OR(LINEAS!$U$84=1,LINEAS!$U$84=3),1,-1)*LINEAS!$AC$84*DATOS!$C$67)&lt;0.00005),"*",LINEAS!$D$84&amp;" UNI "&amp;IF(LINEAS!$U$84&lt;=2,"GZ","GX")&amp;" "&amp;TEXT(IF(OR(LINEAS!$U$84=1,LINEAS!$U$84=3),1,-1)*LINEAS!$AC$84*DATOS!$C$67,DATOS!$C$68))</f>
        <v>307 UNI GX -0.7538</v>
      </c>
      <c r="C322" s="51" t="str">
        <f aca="false">IF(LEN($B322)&gt;79,"MÁS DE 79 CARACTERES","")</f>
        <v/>
      </c>
      <c r="D322" s="53" t="str">
        <f aca="false">IF(PRESIONES!$C$22="NO","",IF(OR(LINEAS!$D$84="",LINEAS!$U$84=0,ABS(IF(OR(LINEAS!$U$84=1,LINEAS!$U$84=3),1,-1)*LINEAS!$AC$84*DATOS!$C$67)&lt;0.00005),"*",LINEAS!$D$84&amp;" UNI "&amp;IF(LINEAS!$U$84&lt;=2,"GZ","GX")&amp;" "&amp;TEXT(IF(OR(LINEAS!$U$84=1,LINEAS!$U$84=3),1,-1)*LINEAS!$AC$84*DATOS!$C$67,DATOS!$C$68)))</f>
        <v/>
      </c>
      <c r="E322" s="51" t="str">
        <f aca="false">IF(LEN($D322)&gt;79,"MÁS DE 79 CARACTERES","")</f>
        <v/>
      </c>
    </row>
    <row r="323" customFormat="false" ht="15" hidden="false" customHeight="true" outlineLevel="0" collapsed="false">
      <c r="B323" s="53" t="str">
        <f aca="false">IF(OR(LINEAS!$D$85="",LINEAS!$U$85=0,ABS(IF(OR(LINEAS!$U$85=1,LINEAS!$U$85=3),1,-1)*LINEAS!$AC$85*DATOS!$C$67)&lt;0.00005),"*",LINEAS!$D$85&amp;" UNI "&amp;IF(LINEAS!$U$85&lt;=2,"GZ","GX")&amp;" "&amp;TEXT(IF(OR(LINEAS!$U$85=1,LINEAS!$U$85=3),1,-1)*LINEAS!$AC$85*DATOS!$C$67,DATOS!$C$68))</f>
        <v>308 UNI GX -0.7538</v>
      </c>
      <c r="C323" s="51" t="str">
        <f aca="false">IF(LEN($B323)&gt;79,"MÁS DE 79 CARACTERES","")</f>
        <v/>
      </c>
      <c r="D323" s="53" t="str">
        <f aca="false">IF(PRESIONES!$C$22="NO","",IF(OR(LINEAS!$D$85="",LINEAS!$U$85=0,ABS(IF(OR(LINEAS!$U$85=1,LINEAS!$U$85=3),1,-1)*LINEAS!$AC$85*DATOS!$C$67)&lt;0.00005),"*",LINEAS!$D$85&amp;" UNI "&amp;IF(LINEAS!$U$85&lt;=2,"GZ","GX")&amp;" "&amp;TEXT(IF(OR(LINEAS!$U$85=1,LINEAS!$U$85=3),1,-1)*LINEAS!$AC$85*DATOS!$C$67,DATOS!$C$68)))</f>
        <v/>
      </c>
      <c r="E323" s="51" t="str">
        <f aca="false">IF(LEN($D323)&gt;79,"MÁS DE 79 CARACTERES","")</f>
        <v/>
      </c>
    </row>
    <row r="324" customFormat="false" ht="15" hidden="false" customHeight="true" outlineLevel="0" collapsed="false">
      <c r="B324" s="53" t="str">
        <f aca="false">IF(OR(LINEAS!$D$86="",LINEAS!$U$86=0,ABS(IF(OR(LINEAS!$U$86=1,LINEAS!$U$86=3),1,-1)*LINEAS!$AC$86*DATOS!$C$67)&lt;0.00005),"*",LINEAS!$D$86&amp;" UNI "&amp;IF(LINEAS!$U$86&lt;=2,"GZ","GX")&amp;" "&amp;TEXT(IF(OR(LINEAS!$U$86=1,LINEAS!$U$86=3),1,-1)*LINEAS!$AC$86*DATOS!$C$67,DATOS!$C$68))</f>
        <v>309 UNI GX -0.7538</v>
      </c>
      <c r="C324" s="51" t="str">
        <f aca="false">IF(LEN($B324)&gt;79,"MÁS DE 79 CARACTERES","")</f>
        <v/>
      </c>
      <c r="D324" s="53" t="str">
        <f aca="false">IF(PRESIONES!$C$22="NO","",IF(OR(LINEAS!$D$86="",LINEAS!$U$86=0,ABS(IF(OR(LINEAS!$U$86=1,LINEAS!$U$86=3),1,-1)*LINEAS!$AC$86*DATOS!$C$67)&lt;0.00005),"*",LINEAS!$D$86&amp;" UNI "&amp;IF(LINEAS!$U$86&lt;=2,"GZ","GX")&amp;" "&amp;TEXT(IF(OR(LINEAS!$U$86=1,LINEAS!$U$86=3),1,-1)*LINEAS!$AC$86*DATOS!$C$67,DATOS!$C$68)))</f>
        <v/>
      </c>
      <c r="E324" s="51" t="str">
        <f aca="false">IF(LEN($D324)&gt;79,"MÁS DE 79 CARACTERES","")</f>
        <v/>
      </c>
    </row>
    <row r="325" customFormat="false" ht="15" hidden="false" customHeight="true" outlineLevel="0" collapsed="false">
      <c r="B325" s="53" t="str">
        <f aca="false">IF(OR(LINEAS!$D$87="",LINEAS!$U$87=0,ABS(IF(OR(LINEAS!$U$87=1,LINEAS!$U$87=3),1,-1)*LINEAS!$AC$87*DATOS!$C$67)&lt;0.00005),"*",LINEAS!$D$87&amp;" UNI "&amp;IF(LINEAS!$U$87&lt;=2,"GZ","GX")&amp;" "&amp;TEXT(IF(OR(LINEAS!$U$87=1,LINEAS!$U$87=3),1,-1)*LINEAS!$AC$87*DATOS!$C$67,DATOS!$C$68))</f>
        <v>318 UNI GX -0.7538</v>
      </c>
      <c r="C325" s="51" t="str">
        <f aca="false">IF(LEN($B325)&gt;79,"MÁS DE 79 CARACTERES","")</f>
        <v/>
      </c>
      <c r="D325" s="53" t="str">
        <f aca="false">IF(PRESIONES!$C$22="NO","",IF(OR(LINEAS!$D$87="",LINEAS!$U$87=0,ABS(IF(OR(LINEAS!$U$87=1,LINEAS!$U$87=3),1,-1)*LINEAS!$AC$87*DATOS!$C$67)&lt;0.00005),"*",LINEAS!$D$87&amp;" UNI "&amp;IF(LINEAS!$U$87&lt;=2,"GZ","GX")&amp;" "&amp;TEXT(IF(OR(LINEAS!$U$87=1,LINEAS!$U$87=3),1,-1)*LINEAS!$AC$87*DATOS!$C$67,DATOS!$C$68)))</f>
        <v/>
      </c>
      <c r="E325" s="51" t="str">
        <f aca="false">IF(LEN($D325)&gt;79,"MÁS DE 79 CARACTERES","")</f>
        <v/>
      </c>
    </row>
    <row r="326" customFormat="false" ht="15" hidden="false" customHeight="true" outlineLevel="0" collapsed="false">
      <c r="B326" s="53" t="str">
        <f aca="false">IF(OR(LINEAS!$D$88="",LINEAS!$U$88=0,ABS(IF(OR(LINEAS!$U$88=1,LINEAS!$U$88=3),1,-1)*LINEAS!$AC$88*DATOS!$C$67)&lt;0.00005),"*",LINEAS!$D$88&amp;" UNI "&amp;IF(LINEAS!$U$88&lt;=2,"GZ","GX")&amp;" "&amp;TEXT(IF(OR(LINEAS!$U$88=1,LINEAS!$U$88=3),1,-1)*LINEAS!$AC$88*DATOS!$C$67,DATOS!$C$68))</f>
        <v>311 UNI GX -0.7538</v>
      </c>
      <c r="C326" s="51" t="str">
        <f aca="false">IF(LEN($B326)&gt;79,"MÁS DE 79 CARACTERES","")</f>
        <v/>
      </c>
      <c r="D326" s="53" t="str">
        <f aca="false">IF(PRESIONES!$C$22="NO","",IF(OR(LINEAS!$D$88="",LINEAS!$U$88=0,ABS(IF(OR(LINEAS!$U$88=1,LINEAS!$U$88=3),1,-1)*LINEAS!$AC$88*DATOS!$C$67)&lt;0.00005),"*",LINEAS!$D$88&amp;" UNI "&amp;IF(LINEAS!$U$88&lt;=2,"GZ","GX")&amp;" "&amp;TEXT(IF(OR(LINEAS!$U$88=1,LINEAS!$U$88=3),1,-1)*LINEAS!$AC$88*DATOS!$C$67,DATOS!$C$68)))</f>
        <v/>
      </c>
      <c r="E326" s="51" t="str">
        <f aca="false">IF(LEN($D326)&gt;79,"MÁS DE 79 CARACTERES","")</f>
        <v/>
      </c>
    </row>
    <row r="327" customFormat="false" ht="15" hidden="false" customHeight="true" outlineLevel="0" collapsed="false">
      <c r="B327" s="53" t="str">
        <f aca="false">IF(OR(LINEAS!$D$89="",LINEAS!$U$89=0,ABS(IF(OR(LINEAS!$U$89=1,LINEAS!$U$89=3),1,-1)*LINEAS!$AC$89*DATOS!$C$67)&lt;0.00005),"*",LINEAS!$D$89&amp;" UNI "&amp;IF(LINEAS!$U$89&lt;=2,"GZ","GX")&amp;" "&amp;TEXT(IF(OR(LINEAS!$U$89=1,LINEAS!$U$89=3),1,-1)*LINEAS!$AC$89*DATOS!$C$67,DATOS!$C$68))</f>
        <v>310 UNI GX -0.7538</v>
      </c>
      <c r="C327" s="51" t="str">
        <f aca="false">IF(LEN($B327)&gt;79,"MÁS DE 79 CARACTERES","")</f>
        <v/>
      </c>
      <c r="D327" s="53" t="str">
        <f aca="false">IF(PRESIONES!$C$22="NO","",IF(OR(LINEAS!$D$89="",LINEAS!$U$89=0,ABS(IF(OR(LINEAS!$U$89=1,LINEAS!$U$89=3),1,-1)*LINEAS!$AC$89*DATOS!$C$67)&lt;0.00005),"*",LINEAS!$D$89&amp;" UNI "&amp;IF(LINEAS!$U$89&lt;=2,"GZ","GX")&amp;" "&amp;TEXT(IF(OR(LINEAS!$U$89=1,LINEAS!$U$89=3),1,-1)*LINEAS!$AC$89*DATOS!$C$67,DATOS!$C$68)))</f>
        <v/>
      </c>
      <c r="E327" s="51" t="str">
        <f aca="false">IF(LEN($D327)&gt;79,"MÁS DE 79 CARACTERES","")</f>
        <v/>
      </c>
    </row>
    <row r="328" customFormat="false" ht="15" hidden="false" customHeight="true" outlineLevel="0" collapsed="false">
      <c r="B328" s="53" t="str">
        <f aca="false">IF(OR(LINEAS!$D$90="",LINEAS!$U$90=0,ABS(IF(OR(LINEAS!$U$90=1,LINEAS!$U$90=3),1,-1)*LINEAS!$AC$90*DATOS!$C$67)&lt;0.00005),"*",LINEAS!$D$90&amp;" UNI "&amp;IF(LINEAS!$U$90&lt;=2,"GZ","GX")&amp;" "&amp;TEXT(IF(OR(LINEAS!$U$90=1,LINEAS!$U$90=3),1,-1)*LINEAS!$AC$90*DATOS!$C$67,DATOS!$C$68))</f>
        <v>321 UNI GX -0.6451</v>
      </c>
      <c r="C328" s="51" t="str">
        <f aca="false">IF(LEN($B328)&gt;79,"MÁS DE 79 CARACTERES","")</f>
        <v/>
      </c>
      <c r="D328" s="53" t="str">
        <f aca="false">IF(PRESIONES!$C$22="NO","",IF(OR(LINEAS!$D$90="",LINEAS!$U$90=0,ABS(IF(OR(LINEAS!$U$90=1,LINEAS!$U$90=3),1,-1)*LINEAS!$AC$90*DATOS!$C$67)&lt;0.00005),"*",LINEAS!$D$90&amp;" UNI "&amp;IF(LINEAS!$U$90&lt;=2,"GZ","GX")&amp;" "&amp;TEXT(IF(OR(LINEAS!$U$90=1,LINEAS!$U$90=3),1,-1)*LINEAS!$AC$90*DATOS!$C$67,DATOS!$C$68)))</f>
        <v/>
      </c>
      <c r="E328" s="51" t="str">
        <f aca="false">IF(LEN($D328)&gt;79,"MÁS DE 79 CARACTERES","")</f>
        <v/>
      </c>
    </row>
    <row r="329" customFormat="false" ht="15" hidden="false" customHeight="true" outlineLevel="0" collapsed="false">
      <c r="B329" s="53" t="str">
        <f aca="false">IF(OR(LINEAS!$D$91="",LINEAS!$U$91=0,ABS(IF(OR(LINEAS!$U$91=1,LINEAS!$U$91=3),1,-1)*LINEAS!$AC$91*DATOS!$C$67)&lt;0.00005),"*",LINEAS!$D$91&amp;" UNI "&amp;IF(LINEAS!$U$91&lt;=2,"GZ","GX")&amp;" "&amp;TEXT(IF(OR(LINEAS!$U$91=1,LINEAS!$U$91=3),1,-1)*LINEAS!$AC$91*DATOS!$C$67,DATOS!$C$68))</f>
        <v>320 UNI GX -0.5371</v>
      </c>
      <c r="C329" s="51" t="str">
        <f aca="false">IF(LEN($B329)&gt;79,"MÁS DE 79 CARACTERES","")</f>
        <v/>
      </c>
      <c r="D329" s="53" t="str">
        <f aca="false">IF(PRESIONES!$C$22="NO","",IF(OR(LINEAS!$D$91="",LINEAS!$U$91=0,ABS(IF(OR(LINEAS!$U$91=1,LINEAS!$U$91=3),1,-1)*LINEAS!$AC$91*DATOS!$C$67)&lt;0.00005),"*",LINEAS!$D$91&amp;" UNI "&amp;IF(LINEAS!$U$91&lt;=2,"GZ","GX")&amp;" "&amp;TEXT(IF(OR(LINEAS!$U$91=1,LINEAS!$U$91=3),1,-1)*LINEAS!$AC$91*DATOS!$C$67,DATOS!$C$68)))</f>
        <v/>
      </c>
      <c r="E329" s="51" t="str">
        <f aca="false">IF(LEN($D329)&gt;79,"MÁS DE 79 CARACTERES","")</f>
        <v/>
      </c>
    </row>
    <row r="330" customFormat="false" ht="15" hidden="false" customHeight="true" outlineLevel="0" collapsed="false">
      <c r="B330" s="53" t="str">
        <f aca="false">IF(OR(LINEAS!$D$92="",LINEAS!$U$92=0,ABS(IF(OR(LINEAS!$U$92=1,LINEAS!$U$92=3),1,-1)*LINEAS!$AC$92*DATOS!$C$67)&lt;0.00005),"*",LINEAS!$D$92&amp;" UNI "&amp;IF(LINEAS!$U$92&lt;=2,"GZ","GX")&amp;" "&amp;TEXT(IF(OR(LINEAS!$U$92=1,LINEAS!$U$92=3),1,-1)*LINEAS!$AC$92*DATOS!$C$67,DATOS!$C$68))</f>
        <v>319 UNI GX -0.4648</v>
      </c>
      <c r="C330" s="51" t="str">
        <f aca="false">IF(LEN($B330)&gt;79,"MÁS DE 79 CARACTERES","")</f>
        <v/>
      </c>
      <c r="D330" s="53" t="str">
        <f aca="false">IF(PRESIONES!$C$22="NO","",IF(OR(LINEAS!$D$92="",LINEAS!$U$92=0,ABS(IF(OR(LINEAS!$U$92=1,LINEAS!$U$92=3),1,-1)*LINEAS!$AC$92*DATOS!$C$67)&lt;0.00005),"*",LINEAS!$D$92&amp;" UNI "&amp;IF(LINEAS!$U$92&lt;=2,"GZ","GX")&amp;" "&amp;TEXT(IF(OR(LINEAS!$U$92=1,LINEAS!$U$92=3),1,-1)*LINEAS!$AC$92*DATOS!$C$67,DATOS!$C$68)))</f>
        <v/>
      </c>
      <c r="E330" s="51" t="str">
        <f aca="false">IF(LEN($D330)&gt;79,"MÁS DE 79 CARACTERES","")</f>
        <v/>
      </c>
    </row>
    <row r="331" customFormat="false" ht="15" hidden="false" customHeight="true" outlineLevel="0" collapsed="false">
      <c r="B331" s="53" t="str">
        <f aca="false">IF(OR(LINEAS!$D$93="",LINEAS!$U$93=0,ABS(IF(OR(LINEAS!$U$93=1,LINEAS!$U$93=3),1,-1)*LINEAS!$AC$93*DATOS!$C$67)&lt;0.00005),"*",LINEAS!$D$93&amp;" UNI "&amp;IF(LINEAS!$U$93&lt;=2,"GZ","GX")&amp;" "&amp;TEXT(IF(OR(LINEAS!$U$93=1,LINEAS!$U$93=3),1,-1)*LINEAS!$AC$93*DATOS!$C$67,DATOS!$C$68))</f>
        <v>60 UNI GX 0.0021</v>
      </c>
      <c r="C331" s="51" t="str">
        <f aca="false">IF(LEN($B331)&gt;79,"MÁS DE 79 CARACTERES","")</f>
        <v/>
      </c>
      <c r="D331" s="53" t="str">
        <f aca="false">IF(PRESIONES!$C$22="NO","",IF(OR(LINEAS!$D$93="",LINEAS!$U$93=0,ABS(IF(OR(LINEAS!$U$93=1,LINEAS!$U$93=3),1,-1)*LINEAS!$AC$93*DATOS!$C$67)&lt;0.00005),"*",LINEAS!$D$93&amp;" UNI "&amp;IF(LINEAS!$U$93&lt;=2,"GZ","GX")&amp;" "&amp;TEXT(IF(OR(LINEAS!$U$93=1,LINEAS!$U$93=3),1,-1)*LINEAS!$AC$93*DATOS!$C$67,DATOS!$C$68)))</f>
        <v/>
      </c>
      <c r="E331" s="51" t="str">
        <f aca="false">IF(LEN($D331)&gt;79,"MÁS DE 79 CARACTERES","")</f>
        <v/>
      </c>
    </row>
    <row r="332" customFormat="false" ht="15" hidden="false" customHeight="true" outlineLevel="0" collapsed="false">
      <c r="B332" s="53" t="str">
        <f aca="false">IF(OR(LINEAS!$D$94="",LINEAS!$U$94=0,ABS(IF(OR(LINEAS!$U$94=1,LINEAS!$U$94=3),1,-1)*LINEAS!$AC$94*DATOS!$C$67)&lt;0.00005),"*",LINEAS!$D$94&amp;" UNI "&amp;IF(LINEAS!$U$94&lt;=2,"GZ","GX")&amp;" "&amp;TEXT(IF(OR(LINEAS!$U$94=1,LINEAS!$U$94=3),1,-1)*LINEAS!$AC$94*DATOS!$C$67,DATOS!$C$68))</f>
        <v>59 UNI GX 0.0019</v>
      </c>
      <c r="C332" s="51" t="str">
        <f aca="false">IF(LEN($B332)&gt;79,"MÁS DE 79 CARACTERES","")</f>
        <v/>
      </c>
      <c r="D332" s="53" t="str">
        <f aca="false">IF(PRESIONES!$C$22="NO","",IF(OR(LINEAS!$D$94="",LINEAS!$U$94=0,ABS(IF(OR(LINEAS!$U$94=1,LINEAS!$U$94=3),1,-1)*LINEAS!$AC$94*DATOS!$C$67)&lt;0.00005),"*",LINEAS!$D$94&amp;" UNI "&amp;IF(LINEAS!$U$94&lt;=2,"GZ","GX")&amp;" "&amp;TEXT(IF(OR(LINEAS!$U$94=1,LINEAS!$U$94=3),1,-1)*LINEAS!$AC$94*DATOS!$C$67,DATOS!$C$68)))</f>
        <v/>
      </c>
      <c r="E332" s="51" t="str">
        <f aca="false">IF(LEN($D332)&gt;79,"MÁS DE 79 CARACTERES","")</f>
        <v/>
      </c>
    </row>
    <row r="333" customFormat="false" ht="15" hidden="false" customHeight="true" outlineLevel="0" collapsed="false">
      <c r="B333" s="53" t="str">
        <f aca="false">IF(OR(LINEAS!$D$95="",LINEAS!$U$95=0,ABS(IF(OR(LINEAS!$U$95=1,LINEAS!$U$95=3),1,-1)*LINEAS!$AC$95*DATOS!$C$67)&lt;0.00005),"*",LINEAS!$D$95&amp;" UNI "&amp;IF(LINEAS!$U$95&lt;=2,"GZ","GX")&amp;" "&amp;TEXT(IF(OR(LINEAS!$U$95=1,LINEAS!$U$95=3),1,-1)*LINEAS!$AC$95*DATOS!$C$67,DATOS!$C$68))</f>
        <v>58 UNI GX 0.0018</v>
      </c>
      <c r="C333" s="51" t="str">
        <f aca="false">IF(LEN($B333)&gt;79,"MÁS DE 79 CARACTERES","")</f>
        <v/>
      </c>
      <c r="D333" s="53" t="str">
        <f aca="false">IF(PRESIONES!$C$22="NO","",IF(OR(LINEAS!$D$95="",LINEAS!$U$95=0,ABS(IF(OR(LINEAS!$U$95=1,LINEAS!$U$95=3),1,-1)*LINEAS!$AC$95*DATOS!$C$67)&lt;0.00005),"*",LINEAS!$D$95&amp;" UNI "&amp;IF(LINEAS!$U$95&lt;=2,"GZ","GX")&amp;" "&amp;TEXT(IF(OR(LINEAS!$U$95=1,LINEAS!$U$95=3),1,-1)*LINEAS!$AC$95*DATOS!$C$67,DATOS!$C$68)))</f>
        <v/>
      </c>
      <c r="E333" s="51" t="str">
        <f aca="false">IF(LEN($D333)&gt;79,"MÁS DE 79 CARACTERES","")</f>
        <v/>
      </c>
    </row>
    <row r="334" customFormat="false" ht="15" hidden="false" customHeight="true" outlineLevel="0" collapsed="false">
      <c r="B334" s="53" t="str">
        <f aca="false">IF(OR(LINEAS!$D$96="",LINEAS!$U$96=0,ABS(IF(OR(LINEAS!$U$96=1,LINEAS!$U$96=3),1,-1)*LINEAS!$AC$96*DATOS!$C$67)&lt;0.00005),"*",LINEAS!$D$96&amp;" UNI "&amp;IF(LINEAS!$U$96&lt;=2,"GZ","GX")&amp;" "&amp;TEXT(IF(OR(LINEAS!$U$96=1,LINEAS!$U$96=3),1,-1)*LINEAS!$AC$96*DATOS!$C$67,DATOS!$C$68))</f>
        <v>57 UNI GX 0.0016</v>
      </c>
      <c r="C334" s="51" t="str">
        <f aca="false">IF(LEN($B334)&gt;79,"MÁS DE 79 CARACTERES","")</f>
        <v/>
      </c>
      <c r="D334" s="53" t="str">
        <f aca="false">IF(PRESIONES!$C$22="NO","",IF(OR(LINEAS!$D$96="",LINEAS!$U$96=0,ABS(IF(OR(LINEAS!$U$96=1,LINEAS!$U$96=3),1,-1)*LINEAS!$AC$96*DATOS!$C$67)&lt;0.00005),"*",LINEAS!$D$96&amp;" UNI "&amp;IF(LINEAS!$U$96&lt;=2,"GZ","GX")&amp;" "&amp;TEXT(IF(OR(LINEAS!$U$96=1,LINEAS!$U$96=3),1,-1)*LINEAS!$AC$96*DATOS!$C$67,DATOS!$C$68)))</f>
        <v/>
      </c>
      <c r="E334" s="51" t="str">
        <f aca="false">IF(LEN($D334)&gt;79,"MÁS DE 79 CARACTERES","")</f>
        <v/>
      </c>
    </row>
    <row r="335" customFormat="false" ht="15" hidden="false" customHeight="true" outlineLevel="0" collapsed="false">
      <c r="B335" s="53" t="str">
        <f aca="false">IF(OR(LINEAS!$D$97="",LINEAS!$U$97=0,ABS(IF(OR(LINEAS!$U$97=1,LINEAS!$U$97=3),1,-1)*LINEAS!$AC$97*DATOS!$C$67)&lt;0.00005),"*",LINEAS!$D$97&amp;" UNI "&amp;IF(LINEAS!$U$97&lt;=2,"GZ","GX")&amp;" "&amp;TEXT(IF(OR(LINEAS!$U$97=1,LINEAS!$U$97=3),1,-1)*LINEAS!$AC$97*DATOS!$C$67,DATOS!$C$68))</f>
        <v>10 UNI GX 0.0015</v>
      </c>
      <c r="C335" s="51" t="str">
        <f aca="false">IF(LEN($B335)&gt;79,"MÁS DE 79 CARACTERES","")</f>
        <v/>
      </c>
      <c r="D335" s="53" t="str">
        <f aca="false">IF(PRESIONES!$C$22="NO","",IF(OR(LINEAS!$D$97="",LINEAS!$U$97=0,ABS(IF(OR(LINEAS!$U$97=1,LINEAS!$U$97=3),1,-1)*LINEAS!$AC$97*DATOS!$C$67)&lt;0.00005),"*",LINEAS!$D$97&amp;" UNI "&amp;IF(LINEAS!$U$97&lt;=2,"GZ","GX")&amp;" "&amp;TEXT(IF(OR(LINEAS!$U$97=1,LINEAS!$U$97=3),1,-1)*LINEAS!$AC$97*DATOS!$C$67,DATOS!$C$68)))</f>
        <v/>
      </c>
      <c r="E335" s="51" t="str">
        <f aca="false">IF(LEN($D335)&gt;79,"MÁS DE 79 CARACTERES","")</f>
        <v/>
      </c>
    </row>
    <row r="336" customFormat="false" ht="15" hidden="false" customHeight="true" outlineLevel="0" collapsed="false">
      <c r="B336" s="53" t="str">
        <f aca="false">IF(OR(LINEAS!$D$98="",LINEAS!$U$98=0,ABS(IF(OR(LINEAS!$U$98=1,LINEAS!$U$98=3),1,-1)*LINEAS!$AC$98*DATOS!$C$67)&lt;0.00005),"*",LINEAS!$D$98&amp;" UNI "&amp;IF(LINEAS!$U$98&lt;=2,"GZ","GX")&amp;" "&amp;TEXT(IF(OR(LINEAS!$U$98=1,LINEAS!$U$98=3),1,-1)*LINEAS!$AC$98*DATOS!$C$67,DATOS!$C$68))</f>
        <v>68 UNI GX 0.0013</v>
      </c>
      <c r="C336" s="51" t="str">
        <f aca="false">IF(LEN($B336)&gt;79,"MÁS DE 79 CARACTERES","")</f>
        <v/>
      </c>
      <c r="D336" s="53" t="str">
        <f aca="false">IF(PRESIONES!$C$22="NO","",IF(OR(LINEAS!$D$98="",LINEAS!$U$98=0,ABS(IF(OR(LINEAS!$U$98=1,LINEAS!$U$98=3),1,-1)*LINEAS!$AC$98*DATOS!$C$67)&lt;0.00005),"*",LINEAS!$D$98&amp;" UNI "&amp;IF(LINEAS!$U$98&lt;=2,"GZ","GX")&amp;" "&amp;TEXT(IF(OR(LINEAS!$U$98=1,LINEAS!$U$98=3),1,-1)*LINEAS!$AC$98*DATOS!$C$67,DATOS!$C$68)))</f>
        <v/>
      </c>
      <c r="E336" s="51" t="str">
        <f aca="false">IF(LEN($D336)&gt;79,"MÁS DE 79 CARACTERES","")</f>
        <v/>
      </c>
    </row>
    <row r="337" customFormat="false" ht="15" hidden="false" customHeight="true" outlineLevel="0" collapsed="false">
      <c r="B337" s="53" t="str">
        <f aca="false">IF(OR(LINEAS!$D$99="",LINEAS!$U$99=0,ABS(IF(OR(LINEAS!$U$99=1,LINEAS!$U$99=3),1,-1)*LINEAS!$AC$99*DATOS!$C$67)&lt;0.00005),"*",LINEAS!$D$99&amp;" UNI "&amp;IF(LINEAS!$U$99&lt;=2,"GZ","GX")&amp;" "&amp;TEXT(IF(OR(LINEAS!$U$99=1,LINEAS!$U$99=3),1,-1)*LINEAS!$AC$99*DATOS!$C$67,DATOS!$C$68))</f>
        <v>67 UNI GX 0.0012</v>
      </c>
      <c r="C337" s="51" t="str">
        <f aca="false">IF(LEN($B337)&gt;79,"MÁS DE 79 CARACTERES","")</f>
        <v/>
      </c>
      <c r="D337" s="53" t="str">
        <f aca="false">IF(PRESIONES!$C$22="NO","",IF(OR(LINEAS!$D$99="",LINEAS!$U$99=0,ABS(IF(OR(LINEAS!$U$99=1,LINEAS!$U$99=3),1,-1)*LINEAS!$AC$99*DATOS!$C$67)&lt;0.00005),"*",LINEAS!$D$99&amp;" UNI "&amp;IF(LINEAS!$U$99&lt;=2,"GZ","GX")&amp;" "&amp;TEXT(IF(OR(LINEAS!$U$99=1,LINEAS!$U$99=3),1,-1)*LINEAS!$AC$99*DATOS!$C$67,DATOS!$C$68)))</f>
        <v/>
      </c>
      <c r="E337" s="51" t="str">
        <f aca="false">IF(LEN($D337)&gt;79,"MÁS DE 79 CARACTERES","")</f>
        <v/>
      </c>
    </row>
    <row r="338" customFormat="false" ht="15" hidden="false" customHeight="true" outlineLevel="0" collapsed="false">
      <c r="B338" s="53" t="str">
        <f aca="false">IF(OR(LINEAS!$D$100="",LINEAS!$U$100=0,ABS(IF(OR(LINEAS!$U$100=1,LINEAS!$U$100=3),1,-1)*LINEAS!$AC$100*DATOS!$C$67)&lt;0.00005),"*",LINEAS!$D$100&amp;" UNI "&amp;IF(LINEAS!$U$100&lt;=2,"GZ","GX")&amp;" "&amp;TEXT(IF(OR(LINEAS!$U$100=1,LINEAS!$U$100=3),1,-1)*LINEAS!$AC$100*DATOS!$C$67,DATOS!$C$68))</f>
        <v>66 UNI GX 0.0011</v>
      </c>
      <c r="C338" s="51" t="str">
        <f aca="false">IF(LEN($B338)&gt;79,"MÁS DE 79 CARACTERES","")</f>
        <v/>
      </c>
      <c r="D338" s="53" t="str">
        <f aca="false">IF(PRESIONES!$C$22="NO","",IF(OR(LINEAS!$D$100="",LINEAS!$U$100=0,ABS(IF(OR(LINEAS!$U$100=1,LINEAS!$U$100=3),1,-1)*LINEAS!$AC$100*DATOS!$C$67)&lt;0.00005),"*",LINEAS!$D$100&amp;" UNI "&amp;IF(LINEAS!$U$100&lt;=2,"GZ","GX")&amp;" "&amp;TEXT(IF(OR(LINEAS!$U$100=1,LINEAS!$U$100=3),1,-1)*LINEAS!$AC$100*DATOS!$C$67,DATOS!$C$68)))</f>
        <v/>
      </c>
      <c r="E338" s="51" t="str">
        <f aca="false">IF(LEN($D338)&gt;79,"MÁS DE 79 CARACTERES","")</f>
        <v/>
      </c>
    </row>
    <row r="339" customFormat="false" ht="15" hidden="false" customHeight="true" outlineLevel="0" collapsed="false">
      <c r="B339" s="53" t="str">
        <f aca="false">IF(OR(LINEAS!$D$101="",LINEAS!$U$101=0,ABS(IF(OR(LINEAS!$U$101=1,LINEAS!$U$101=3),1,-1)*LINEAS!$AC$101*DATOS!$C$67)&lt;0.00005),"*",LINEAS!$D$101&amp;" UNI "&amp;IF(LINEAS!$U$101&lt;=2,"GZ","GX")&amp;" "&amp;TEXT(IF(OR(LINEAS!$U$101=1,LINEAS!$U$101=3),1,-1)*LINEAS!$AC$101*DATOS!$C$67,DATOS!$C$68))</f>
        <v>65 UNI GX 0.0009</v>
      </c>
      <c r="C339" s="51" t="str">
        <f aca="false">IF(LEN($B339)&gt;79,"MÁS DE 79 CARACTERES","")</f>
        <v/>
      </c>
      <c r="D339" s="53" t="str">
        <f aca="false">IF(PRESIONES!$C$22="NO","",IF(OR(LINEAS!$D$101="",LINEAS!$U$101=0,ABS(IF(OR(LINEAS!$U$101=1,LINEAS!$U$101=3),1,-1)*LINEAS!$AC$101*DATOS!$C$67)&lt;0.00005),"*",LINEAS!$D$101&amp;" UNI "&amp;IF(LINEAS!$U$101&lt;=2,"GZ","GX")&amp;" "&amp;TEXT(IF(OR(LINEAS!$U$101=1,LINEAS!$U$101=3),1,-1)*LINEAS!$AC$101*DATOS!$C$67,DATOS!$C$68)))</f>
        <v/>
      </c>
      <c r="E339" s="51" t="str">
        <f aca="false">IF(LEN($D339)&gt;79,"MÁS DE 79 CARACTERES","")</f>
        <v/>
      </c>
    </row>
    <row r="340" customFormat="false" ht="15" hidden="false" customHeight="true" outlineLevel="0" collapsed="false">
      <c r="B340" s="53" t="str">
        <f aca="false">IF(OR(LINEAS!$D$102="",LINEAS!$U$102=0,ABS(IF(OR(LINEAS!$U$102=1,LINEAS!$U$102=3),1,-1)*LINEAS!$AC$102*DATOS!$C$67)&lt;0.00005),"*",LINEAS!$D$102&amp;" UNI "&amp;IF(LINEAS!$U$102&lt;=2,"GZ","GX")&amp;" "&amp;TEXT(IF(OR(LINEAS!$U$102=1,LINEAS!$U$102=3),1,-1)*LINEAS!$AC$102*DATOS!$C$67,DATOS!$C$68))</f>
        <v>43 UNI GX 0.0008</v>
      </c>
      <c r="C340" s="51" t="str">
        <f aca="false">IF(LEN($B340)&gt;79,"MÁS DE 79 CARACTERES","")</f>
        <v/>
      </c>
      <c r="D340" s="53" t="str">
        <f aca="false">IF(PRESIONES!$C$22="NO","",IF(OR(LINEAS!$D$102="",LINEAS!$U$102=0,ABS(IF(OR(LINEAS!$U$102=1,LINEAS!$U$102=3),1,-1)*LINEAS!$AC$102*DATOS!$C$67)&lt;0.00005),"*",LINEAS!$D$102&amp;" UNI "&amp;IF(LINEAS!$U$102&lt;=2,"GZ","GX")&amp;" "&amp;TEXT(IF(OR(LINEAS!$U$102=1,LINEAS!$U$102=3),1,-1)*LINEAS!$AC$102*DATOS!$C$67,DATOS!$C$68)))</f>
        <v/>
      </c>
      <c r="E340" s="51" t="str">
        <f aca="false">IF(LEN($D340)&gt;79,"MÁS DE 79 CARACTERES","")</f>
        <v/>
      </c>
    </row>
    <row r="341" customFormat="false" ht="15" hidden="false" customHeight="true" outlineLevel="0" collapsed="false">
      <c r="B341" s="53" t="str">
        <f aca="false">IF(OR(LINEAS!$D$103="",LINEAS!$U$103=0,ABS(IF(OR(LINEAS!$U$103=1,LINEAS!$U$103=3),1,-1)*LINEAS!$AC$103*DATOS!$C$67)&lt;0.00005),"*",LINEAS!$D$103&amp;" UNI "&amp;IF(LINEAS!$U$103&lt;=2,"GZ","GX")&amp;" "&amp;TEXT(IF(OR(LINEAS!$U$103=1,LINEAS!$U$103=3),1,-1)*LINEAS!$AC$103*DATOS!$C$67,DATOS!$C$68))</f>
        <v>47 UNI GX 0.0007</v>
      </c>
      <c r="C341" s="51" t="str">
        <f aca="false">IF(LEN($B341)&gt;79,"MÁS DE 79 CARACTERES","")</f>
        <v/>
      </c>
      <c r="D341" s="53" t="str">
        <f aca="false">IF(PRESIONES!$C$22="NO","",IF(OR(LINEAS!$D$103="",LINEAS!$U$103=0,ABS(IF(OR(LINEAS!$U$103=1,LINEAS!$U$103=3),1,-1)*LINEAS!$AC$103*DATOS!$C$67)&lt;0.00005),"*",LINEAS!$D$103&amp;" UNI "&amp;IF(LINEAS!$U$103&lt;=2,"GZ","GX")&amp;" "&amp;TEXT(IF(OR(LINEAS!$U$103=1,LINEAS!$U$103=3),1,-1)*LINEAS!$AC$103*DATOS!$C$67,DATOS!$C$68)))</f>
        <v/>
      </c>
      <c r="E341" s="51" t="str">
        <f aca="false">IF(LEN($D341)&gt;79,"MÁS DE 79 CARACTERES","")</f>
        <v/>
      </c>
    </row>
    <row r="342" customFormat="false" ht="15" hidden="false" customHeight="true" outlineLevel="0" collapsed="false">
      <c r="B342" s="53" t="str">
        <f aca="false">IF(OR(LINEAS!$D$104="",LINEAS!$U$104=0,ABS(IF(OR(LINEAS!$U$104=1,LINEAS!$U$104=3),1,-1)*LINEAS!$AC$104*DATOS!$C$67)&lt;0.00005),"*",LINEAS!$D$104&amp;" UNI "&amp;IF(LINEAS!$U$104&lt;=2,"GZ","GX")&amp;" "&amp;TEXT(IF(OR(LINEAS!$U$104=1,LINEAS!$U$104=3),1,-1)*LINEAS!$AC$104*DATOS!$C$67,DATOS!$C$68))</f>
        <v>54 UNI GX 0.0005</v>
      </c>
      <c r="C342" s="51" t="str">
        <f aca="false">IF(LEN($B342)&gt;79,"MÁS DE 79 CARACTERES","")</f>
        <v/>
      </c>
      <c r="D342" s="53" t="str">
        <f aca="false">IF(PRESIONES!$C$22="NO","",IF(OR(LINEAS!$D$104="",LINEAS!$U$104=0,ABS(IF(OR(LINEAS!$U$104=1,LINEAS!$U$104=3),1,-1)*LINEAS!$AC$104*DATOS!$C$67)&lt;0.00005),"*",LINEAS!$D$104&amp;" UNI "&amp;IF(LINEAS!$U$104&lt;=2,"GZ","GX")&amp;" "&amp;TEXT(IF(OR(LINEAS!$U$104=1,LINEAS!$U$104=3),1,-1)*LINEAS!$AC$104*DATOS!$C$67,DATOS!$C$68)))</f>
        <v/>
      </c>
      <c r="E342" s="51" t="str">
        <f aca="false">IF(LEN($D342)&gt;79,"MÁS DE 79 CARACTERES","")</f>
        <v/>
      </c>
    </row>
    <row r="343" customFormat="false" ht="15" hidden="false" customHeight="true" outlineLevel="0" collapsed="false">
      <c r="B343" s="53" t="str">
        <f aca="false">IF(OR(LINEAS!$D$105="",LINEAS!$U$105=0,ABS(IF(OR(LINEAS!$U$105=1,LINEAS!$U$105=3),1,-1)*LINEAS!$AC$105*DATOS!$C$67)&lt;0.00005),"*",LINEAS!$D$105&amp;" UNI "&amp;IF(LINEAS!$U$105&lt;=2,"GZ","GX")&amp;" "&amp;TEXT(IF(OR(LINEAS!$U$105=1,LINEAS!$U$105=3),1,-1)*LINEAS!$AC$105*DATOS!$C$67,DATOS!$C$68))</f>
        <v>64 UNI GX -0.3130</v>
      </c>
      <c r="C343" s="51" t="str">
        <f aca="false">IF(LEN($B343)&gt;79,"MÁS DE 79 CARACTERES","")</f>
        <v/>
      </c>
      <c r="D343" s="53" t="str">
        <f aca="false">IF(PRESIONES!$C$22="NO","",IF(OR(LINEAS!$D$105="",LINEAS!$U$105=0,ABS(IF(OR(LINEAS!$U$105=1,LINEAS!$U$105=3),1,-1)*LINEAS!$AC$105*DATOS!$C$67)&lt;0.00005),"*",LINEAS!$D$105&amp;" UNI "&amp;IF(LINEAS!$U$105&lt;=2,"GZ","GX")&amp;" "&amp;TEXT(IF(OR(LINEAS!$U$105=1,LINEAS!$U$105=3),1,-1)*LINEAS!$AC$105*DATOS!$C$67,DATOS!$C$68)))</f>
        <v/>
      </c>
      <c r="E343" s="51" t="str">
        <f aca="false">IF(LEN($D343)&gt;79,"MÁS DE 79 CARACTERES","")</f>
        <v/>
      </c>
    </row>
    <row r="344" customFormat="false" ht="15" hidden="false" customHeight="true" outlineLevel="0" collapsed="false">
      <c r="B344" s="53" t="str">
        <f aca="false">IF(OR(LINEAS!$D$106="",LINEAS!$U$106=0,ABS(IF(OR(LINEAS!$U$106=1,LINEAS!$U$106=3),1,-1)*LINEAS!$AC$106*DATOS!$C$67)&lt;0.00005),"*",LINEAS!$D$106&amp;" UNI "&amp;IF(LINEAS!$U$106&lt;=2,"GZ","GX")&amp;" "&amp;TEXT(IF(OR(LINEAS!$U$106=1,LINEAS!$U$106=3),1,-1)*LINEAS!$AC$106*DATOS!$C$67,DATOS!$C$68))</f>
        <v>63 UNI GX -0.2913</v>
      </c>
      <c r="C344" s="51" t="str">
        <f aca="false">IF(LEN($B344)&gt;79,"MÁS DE 79 CARACTERES","")</f>
        <v/>
      </c>
      <c r="D344" s="53" t="str">
        <f aca="false">IF(PRESIONES!$C$22="NO","",IF(OR(LINEAS!$D$106="",LINEAS!$U$106=0,ABS(IF(OR(LINEAS!$U$106=1,LINEAS!$U$106=3),1,-1)*LINEAS!$AC$106*DATOS!$C$67)&lt;0.00005),"*",LINEAS!$D$106&amp;" UNI "&amp;IF(LINEAS!$U$106&lt;=2,"GZ","GX")&amp;" "&amp;TEXT(IF(OR(LINEAS!$U$106=1,LINEAS!$U$106=3),1,-1)*LINEAS!$AC$106*DATOS!$C$67,DATOS!$C$68)))</f>
        <v/>
      </c>
      <c r="E344" s="51" t="str">
        <f aca="false">IF(LEN($D344)&gt;79,"MÁS DE 79 CARACTERES","")</f>
        <v/>
      </c>
    </row>
    <row r="345" customFormat="false" ht="15" hidden="false" customHeight="true" outlineLevel="0" collapsed="false">
      <c r="B345" s="53" t="str">
        <f aca="false">IF(OR(LINEAS!$D$107="",LINEAS!$U$107=0,ABS(IF(OR(LINEAS!$U$107=1,LINEAS!$U$107=3),1,-1)*LINEAS!$AC$107*DATOS!$C$67)&lt;0.00005),"*",LINEAS!$D$107&amp;" UNI "&amp;IF(LINEAS!$U$107&lt;=2,"GZ","GX")&amp;" "&amp;TEXT(IF(OR(LINEAS!$U$107=1,LINEAS!$U$107=3),1,-1)*LINEAS!$AC$107*DATOS!$C$67,DATOS!$C$68))</f>
        <v>62 UNI GX -0.2696</v>
      </c>
      <c r="C345" s="51" t="str">
        <f aca="false">IF(LEN($B345)&gt;79,"MÁS DE 79 CARACTERES","")</f>
        <v/>
      </c>
      <c r="D345" s="53" t="str">
        <f aca="false">IF(PRESIONES!$C$22="NO","",IF(OR(LINEAS!$D$107="",LINEAS!$U$107=0,ABS(IF(OR(LINEAS!$U$107=1,LINEAS!$U$107=3),1,-1)*LINEAS!$AC$107*DATOS!$C$67)&lt;0.00005),"*",LINEAS!$D$107&amp;" UNI "&amp;IF(LINEAS!$U$107&lt;=2,"GZ","GX")&amp;" "&amp;TEXT(IF(OR(LINEAS!$U$107=1,LINEAS!$U$107=3),1,-1)*LINEAS!$AC$107*DATOS!$C$67,DATOS!$C$68)))</f>
        <v/>
      </c>
      <c r="E345" s="51" t="str">
        <f aca="false">IF(LEN($D345)&gt;79,"MÁS DE 79 CARACTERES","")</f>
        <v/>
      </c>
    </row>
    <row r="346" customFormat="false" ht="15" hidden="false" customHeight="true" outlineLevel="0" collapsed="false">
      <c r="B346" s="53" t="str">
        <f aca="false">IF(OR(LINEAS!$D$108="",LINEAS!$U$108=0,ABS(IF(OR(LINEAS!$U$108=1,LINEAS!$U$108=3),1,-1)*LINEAS!$AC$108*DATOS!$C$67)&lt;0.00005),"*",LINEAS!$D$108&amp;" UNI "&amp;IF(LINEAS!$U$108&lt;=2,"GZ","GX")&amp;" "&amp;TEXT(IF(OR(LINEAS!$U$108=1,LINEAS!$U$108=3),1,-1)*LINEAS!$AC$108*DATOS!$C$67,DATOS!$C$68))</f>
        <v>61 UNI GX -0.2479</v>
      </c>
      <c r="C346" s="51" t="str">
        <f aca="false">IF(LEN($B346)&gt;79,"MÁS DE 79 CARACTERES","")</f>
        <v/>
      </c>
      <c r="D346" s="53" t="str">
        <f aca="false">IF(PRESIONES!$C$22="NO","",IF(OR(LINEAS!$D$108="",LINEAS!$U$108=0,ABS(IF(OR(LINEAS!$U$108=1,LINEAS!$U$108=3),1,-1)*LINEAS!$AC$108*DATOS!$C$67)&lt;0.00005),"*",LINEAS!$D$108&amp;" UNI "&amp;IF(LINEAS!$U$108&lt;=2,"GZ","GX")&amp;" "&amp;TEXT(IF(OR(LINEAS!$U$108=1,LINEAS!$U$108=3),1,-1)*LINEAS!$AC$108*DATOS!$C$67,DATOS!$C$68)))</f>
        <v/>
      </c>
      <c r="E346" s="51" t="str">
        <f aca="false">IF(LEN($D346)&gt;79,"MÁS DE 79 CARACTERES","")</f>
        <v/>
      </c>
    </row>
    <row r="347" customFormat="false" ht="15" hidden="false" customHeight="true" outlineLevel="0" collapsed="false">
      <c r="B347" s="53" t="str">
        <f aca="false">IF(OR(LINEAS!$D$109="",LINEAS!$U$109=0,ABS(IF(OR(LINEAS!$U$109=1,LINEAS!$U$109=3),1,-1)*LINEAS!$AC$109*DATOS!$C$67)&lt;0.00005),"*",LINEAS!$D$109&amp;" UNI "&amp;IF(LINEAS!$U$109&lt;=2,"GZ","GX")&amp;" "&amp;TEXT(IF(OR(LINEAS!$U$109=1,LINEAS!$U$109=3),1,-1)*LINEAS!$AC$109*DATOS!$C$67,DATOS!$C$68))</f>
        <v>12 UNI GX -0.2263</v>
      </c>
      <c r="C347" s="51" t="str">
        <f aca="false">IF(LEN($B347)&gt;79,"MÁS DE 79 CARACTERES","")</f>
        <v/>
      </c>
      <c r="D347" s="53" t="str">
        <f aca="false">IF(PRESIONES!$C$22="NO","",IF(OR(LINEAS!$D$109="",LINEAS!$U$109=0,ABS(IF(OR(LINEAS!$U$109=1,LINEAS!$U$109=3),1,-1)*LINEAS!$AC$109*DATOS!$C$67)&lt;0.00005),"*",LINEAS!$D$109&amp;" UNI "&amp;IF(LINEAS!$U$109&lt;=2,"GZ","GX")&amp;" "&amp;TEXT(IF(OR(LINEAS!$U$109=1,LINEAS!$U$109=3),1,-1)*LINEAS!$AC$109*DATOS!$C$67,DATOS!$C$68)))</f>
        <v/>
      </c>
      <c r="E347" s="51" t="str">
        <f aca="false">IF(LEN($D347)&gt;79,"MÁS DE 79 CARACTERES","")</f>
        <v/>
      </c>
    </row>
    <row r="348" customFormat="false" ht="15" hidden="false" customHeight="true" outlineLevel="0" collapsed="false">
      <c r="B348" s="53" t="str">
        <f aca="false">IF(OR(LINEAS!$D$110="",LINEAS!$U$110=0,ABS(IF(OR(LINEAS!$U$110=1,LINEAS!$U$110=3),1,-1)*LINEAS!$AC$110*DATOS!$C$67)&lt;0.00005),"*",LINEAS!$D$110&amp;" UNI "&amp;IF(LINEAS!$U$110&lt;=2,"GZ","GX")&amp;" "&amp;TEXT(IF(OR(LINEAS!$U$110=1,LINEAS!$U$110=3),1,-1)*LINEAS!$AC$110*DATOS!$C$67,DATOS!$C$68))</f>
        <v>72 UNI GX -0.2047</v>
      </c>
      <c r="C348" s="51" t="str">
        <f aca="false">IF(LEN($B348)&gt;79,"MÁS DE 79 CARACTERES","")</f>
        <v/>
      </c>
      <c r="D348" s="53" t="str">
        <f aca="false">IF(PRESIONES!$C$22="NO","",IF(OR(LINEAS!$D$110="",LINEAS!$U$110=0,ABS(IF(OR(LINEAS!$U$110=1,LINEAS!$U$110=3),1,-1)*LINEAS!$AC$110*DATOS!$C$67)&lt;0.00005),"*",LINEAS!$D$110&amp;" UNI "&amp;IF(LINEAS!$U$110&lt;=2,"GZ","GX")&amp;" "&amp;TEXT(IF(OR(LINEAS!$U$110=1,LINEAS!$U$110=3),1,-1)*LINEAS!$AC$110*DATOS!$C$67,DATOS!$C$68)))</f>
        <v/>
      </c>
      <c r="E348" s="51" t="str">
        <f aca="false">IF(LEN($D348)&gt;79,"MÁS DE 79 CARACTERES","")</f>
        <v/>
      </c>
    </row>
    <row r="349" customFormat="false" ht="15" hidden="false" customHeight="true" outlineLevel="0" collapsed="false">
      <c r="B349" s="53" t="str">
        <f aca="false">IF(OR(LINEAS!$D$111="",LINEAS!$U$111=0,ABS(IF(OR(LINEAS!$U$111=1,LINEAS!$U$111=3),1,-1)*LINEAS!$AC$111*DATOS!$C$67)&lt;0.00005),"*",LINEAS!$D$111&amp;" UNI "&amp;IF(LINEAS!$U$111&lt;=2,"GZ","GX")&amp;" "&amp;TEXT(IF(OR(LINEAS!$U$111=1,LINEAS!$U$111=3),1,-1)*LINEAS!$AC$111*DATOS!$C$67,DATOS!$C$68))</f>
        <v>71 UNI GX -0.1832</v>
      </c>
      <c r="C349" s="51" t="str">
        <f aca="false">IF(LEN($B349)&gt;79,"MÁS DE 79 CARACTERES","")</f>
        <v/>
      </c>
      <c r="D349" s="53" t="str">
        <f aca="false">IF(PRESIONES!$C$22="NO","",IF(OR(LINEAS!$D$111="",LINEAS!$U$111=0,ABS(IF(OR(LINEAS!$U$111=1,LINEAS!$U$111=3),1,-1)*LINEAS!$AC$111*DATOS!$C$67)&lt;0.00005),"*",LINEAS!$D$111&amp;" UNI "&amp;IF(LINEAS!$U$111&lt;=2,"GZ","GX")&amp;" "&amp;TEXT(IF(OR(LINEAS!$U$111=1,LINEAS!$U$111=3),1,-1)*LINEAS!$AC$111*DATOS!$C$67,DATOS!$C$68)))</f>
        <v/>
      </c>
      <c r="E349" s="51" t="str">
        <f aca="false">IF(LEN($D349)&gt;79,"MÁS DE 79 CARACTERES","")</f>
        <v/>
      </c>
    </row>
    <row r="350" customFormat="false" ht="15" hidden="false" customHeight="true" outlineLevel="0" collapsed="false">
      <c r="B350" s="53" t="str">
        <f aca="false">IF(OR(LINEAS!$D$112="",LINEAS!$U$112=0,ABS(IF(OR(LINEAS!$U$112=1,LINEAS!$U$112=3),1,-1)*LINEAS!$AC$112*DATOS!$C$67)&lt;0.00005),"*",LINEAS!$D$112&amp;" UNI "&amp;IF(LINEAS!$U$112&lt;=2,"GZ","GX")&amp;" "&amp;TEXT(IF(OR(LINEAS!$U$112=1,LINEAS!$U$112=3),1,-1)*LINEAS!$AC$112*DATOS!$C$67,DATOS!$C$68))</f>
        <v>70 UNI GX -0.1618</v>
      </c>
      <c r="C350" s="51" t="str">
        <f aca="false">IF(LEN($B350)&gt;79,"MÁS DE 79 CARACTERES","")</f>
        <v/>
      </c>
      <c r="D350" s="53" t="str">
        <f aca="false">IF(PRESIONES!$C$22="NO","",IF(OR(LINEAS!$D$112="",LINEAS!$U$112=0,ABS(IF(OR(LINEAS!$U$112=1,LINEAS!$U$112=3),1,-1)*LINEAS!$AC$112*DATOS!$C$67)&lt;0.00005),"*",LINEAS!$D$112&amp;" UNI "&amp;IF(LINEAS!$U$112&lt;=2,"GZ","GX")&amp;" "&amp;TEXT(IF(OR(LINEAS!$U$112=1,LINEAS!$U$112=3),1,-1)*LINEAS!$AC$112*DATOS!$C$67,DATOS!$C$68)))</f>
        <v/>
      </c>
      <c r="E350" s="51" t="str">
        <f aca="false">IF(LEN($D350)&gt;79,"MÁS DE 79 CARACTERES","")</f>
        <v/>
      </c>
    </row>
    <row r="351" customFormat="false" ht="15" hidden="false" customHeight="true" outlineLevel="0" collapsed="false">
      <c r="B351" s="53" t="str">
        <f aca="false">IF(OR(LINEAS!$D$113="",LINEAS!$U$113=0,ABS(IF(OR(LINEAS!$U$113=1,LINEAS!$U$113=3),1,-1)*LINEAS!$AC$113*DATOS!$C$67)&lt;0.00005),"*",LINEAS!$D$113&amp;" UNI "&amp;IF(LINEAS!$U$113&lt;=2,"GZ","GX")&amp;" "&amp;TEXT(IF(OR(LINEAS!$U$113=1,LINEAS!$U$113=3),1,-1)*LINEAS!$AC$113*DATOS!$C$67,DATOS!$C$68))</f>
        <v>69 UNI GX -0.1403</v>
      </c>
      <c r="C351" s="51" t="str">
        <f aca="false">IF(LEN($B351)&gt;79,"MÁS DE 79 CARACTERES","")</f>
        <v/>
      </c>
      <c r="D351" s="53" t="str">
        <f aca="false">IF(PRESIONES!$C$22="NO","",IF(OR(LINEAS!$D$113="",LINEAS!$U$113=0,ABS(IF(OR(LINEAS!$U$113=1,LINEAS!$U$113=3),1,-1)*LINEAS!$AC$113*DATOS!$C$67)&lt;0.00005),"*",LINEAS!$D$113&amp;" UNI "&amp;IF(LINEAS!$U$113&lt;=2,"GZ","GX")&amp;" "&amp;TEXT(IF(OR(LINEAS!$U$113=1,LINEAS!$U$113=3),1,-1)*LINEAS!$AC$113*DATOS!$C$67,DATOS!$C$68)))</f>
        <v/>
      </c>
      <c r="E351" s="51" t="str">
        <f aca="false">IF(LEN($D351)&gt;79,"MÁS DE 79 CARACTERES","")</f>
        <v/>
      </c>
    </row>
    <row r="352" customFormat="false" ht="15" hidden="false" customHeight="true" outlineLevel="0" collapsed="false">
      <c r="B352" s="53" t="str">
        <f aca="false">IF(OR(LINEAS!$D$114="",LINEAS!$U$114=0,ABS(IF(OR(LINEAS!$U$114=1,LINEAS!$U$114=3),1,-1)*LINEAS!$AC$114*DATOS!$C$67)&lt;0.00005),"*",LINEAS!$D$114&amp;" UNI "&amp;IF(LINEAS!$U$114&lt;=2,"GZ","GX")&amp;" "&amp;TEXT(IF(OR(LINEAS!$U$114=1,LINEAS!$U$114=3),1,-1)*LINEAS!$AC$114*DATOS!$C$67,DATOS!$C$68))</f>
        <v>50 UNI GX -0.1190</v>
      </c>
      <c r="C352" s="51" t="str">
        <f aca="false">IF(LEN($B352)&gt;79,"MÁS DE 79 CARACTERES","")</f>
        <v/>
      </c>
      <c r="D352" s="53" t="str">
        <f aca="false">IF(PRESIONES!$C$22="NO","",IF(OR(LINEAS!$D$114="",LINEAS!$U$114=0,ABS(IF(OR(LINEAS!$U$114=1,LINEAS!$U$114=3),1,-1)*LINEAS!$AC$114*DATOS!$C$67)&lt;0.00005),"*",LINEAS!$D$114&amp;" UNI "&amp;IF(LINEAS!$U$114&lt;=2,"GZ","GX")&amp;" "&amp;TEXT(IF(OR(LINEAS!$U$114=1,LINEAS!$U$114=3),1,-1)*LINEAS!$AC$114*DATOS!$C$67,DATOS!$C$68)))</f>
        <v/>
      </c>
      <c r="E352" s="51" t="str">
        <f aca="false">IF(LEN($D352)&gt;79,"MÁS DE 79 CARACTERES","")</f>
        <v/>
      </c>
    </row>
    <row r="353" customFormat="false" ht="15" hidden="false" customHeight="true" outlineLevel="0" collapsed="false">
      <c r="B353" s="53" t="str">
        <f aca="false">IF(OR(LINEAS!$D$115="",LINEAS!$U$115=0,ABS(IF(OR(LINEAS!$U$115=1,LINEAS!$U$115=3),1,-1)*LINEAS!$AC$115*DATOS!$C$67)&lt;0.00005),"*",LINEAS!$D$115&amp;" UNI "&amp;IF(LINEAS!$U$115&lt;=2,"GZ","GX")&amp;" "&amp;TEXT(IF(OR(LINEAS!$U$115=1,LINEAS!$U$115=3),1,-1)*LINEAS!$AC$115*DATOS!$C$67,DATOS!$C$68))</f>
        <v>53 UNI GX -0.0985</v>
      </c>
      <c r="C353" s="51" t="str">
        <f aca="false">IF(LEN($B353)&gt;79,"MÁS DE 79 CARACTERES","")</f>
        <v/>
      </c>
      <c r="D353" s="53" t="str">
        <f aca="false">IF(PRESIONES!$C$22="NO","",IF(OR(LINEAS!$D$115="",LINEAS!$U$115=0,ABS(IF(OR(LINEAS!$U$115=1,LINEAS!$U$115=3),1,-1)*LINEAS!$AC$115*DATOS!$C$67)&lt;0.00005),"*",LINEAS!$D$115&amp;" UNI "&amp;IF(LINEAS!$U$115&lt;=2,"GZ","GX")&amp;" "&amp;TEXT(IF(OR(LINEAS!$U$115=1,LINEAS!$U$115=3),1,-1)*LINEAS!$AC$115*DATOS!$C$67,DATOS!$C$68)))</f>
        <v/>
      </c>
      <c r="E353" s="51" t="str">
        <f aca="false">IF(LEN($D353)&gt;79,"MÁS DE 79 CARACTERES","")</f>
        <v/>
      </c>
    </row>
    <row r="354" customFormat="false" ht="15" hidden="false" customHeight="true" outlineLevel="0" collapsed="false">
      <c r="B354" s="53" t="str">
        <f aca="false">IF(OR(LINEAS!$D$116="",LINEAS!$U$116=0,ABS(IF(OR(LINEAS!$U$116=1,LINEAS!$U$116=3),1,-1)*LINEAS!$AC$116*DATOS!$C$67)&lt;0.00005),"*",LINEAS!$D$116&amp;" UNI "&amp;IF(LINEAS!$U$116&lt;=2,"GZ","GX")&amp;" "&amp;TEXT(IF(OR(LINEAS!$U$116=1,LINEAS!$U$116=3),1,-1)*LINEAS!$AC$116*DATOS!$C$67,DATOS!$C$68))</f>
        <v>55 UNI GX -0.0789</v>
      </c>
      <c r="C354" s="51" t="str">
        <f aca="false">IF(LEN($B354)&gt;79,"MÁS DE 79 CARACTERES","")</f>
        <v/>
      </c>
      <c r="D354" s="53" t="str">
        <f aca="false">IF(PRESIONES!$C$22="NO","",IF(OR(LINEAS!$D$116="",LINEAS!$U$116=0,ABS(IF(OR(LINEAS!$U$116=1,LINEAS!$U$116=3),1,-1)*LINEAS!$AC$116*DATOS!$C$67)&lt;0.00005),"*",LINEAS!$D$116&amp;" UNI "&amp;IF(LINEAS!$U$116&lt;=2,"GZ","GX")&amp;" "&amp;TEXT(IF(OR(LINEAS!$U$116=1,LINEAS!$U$116=3),1,-1)*LINEAS!$AC$116*DATOS!$C$67,DATOS!$C$68)))</f>
        <v/>
      </c>
      <c r="E354" s="51" t="str">
        <f aca="false">IF(LEN($D354)&gt;79,"MÁS DE 79 CARACTERES","")</f>
        <v/>
      </c>
    </row>
    <row r="355" customFormat="false" ht="15" hidden="false" customHeight="true" outlineLevel="0" collapsed="false">
      <c r="B355" s="53" t="str">
        <f aca="false">IF(OR(LINEAS!$D$117="",LINEAS!$U$117=0,ABS(IF(OR(LINEAS!$U$117=1,LINEAS!$U$117=3),1,-1)*LINEAS!$AC$117*DATOS!$C$67)&lt;0.00005),"*",LINEAS!$D$117&amp;" UNI "&amp;IF(LINEAS!$U$117&lt;=2,"GZ","GX")&amp;" "&amp;TEXT(IF(OR(LINEAS!$U$117=1,LINEAS!$U$117=3),1,-1)*LINEAS!$AC$117*DATOS!$C$67,DATOS!$C$68))</f>
        <v>262 UNI GZ -0.1102</v>
      </c>
      <c r="C355" s="51" t="str">
        <f aca="false">IF(LEN($B355)&gt;79,"MÁS DE 79 CARACTERES","")</f>
        <v/>
      </c>
      <c r="D355" s="53" t="str">
        <f aca="false">IF(PRESIONES!$C$22="NO","",IF(OR(LINEAS!$D$117="",LINEAS!$U$117=0,ABS(IF(OR(LINEAS!$U$117=1,LINEAS!$U$117=3),1,-1)*LINEAS!$AC$117*DATOS!$C$67)&lt;0.00005),"*",LINEAS!$D$117&amp;" UNI "&amp;IF(LINEAS!$U$117&lt;=2,"GZ","GX")&amp;" "&amp;TEXT(IF(OR(LINEAS!$U$117=1,LINEAS!$U$117=3),1,-1)*LINEAS!$AC$117*DATOS!$C$67,DATOS!$C$68)))</f>
        <v/>
      </c>
      <c r="E355" s="51" t="str">
        <f aca="false">IF(LEN($D355)&gt;79,"MÁS DE 79 CARACTERES","")</f>
        <v/>
      </c>
    </row>
    <row r="356" customFormat="false" ht="15" hidden="false" customHeight="true" outlineLevel="0" collapsed="false">
      <c r="B356" s="53" t="str">
        <f aca="false">IF(OR(LINEAS!$D$118="",LINEAS!$U$118=0,ABS(IF(OR(LINEAS!$U$118=1,LINEAS!$U$118=3),1,-1)*LINEAS!$AC$118*DATOS!$C$67)&lt;0.00005),"*",LINEAS!$D$118&amp;" UNI "&amp;IF(LINEAS!$U$118&lt;=2,"GZ","GX")&amp;" "&amp;TEXT(IF(OR(LINEAS!$U$118=1,LINEAS!$U$118=3),1,-1)*LINEAS!$AC$118*DATOS!$C$67,DATOS!$C$68))</f>
        <v>263 UNI GZ -0.1102</v>
      </c>
      <c r="C356" s="51" t="str">
        <f aca="false">IF(LEN($B356)&gt;79,"MÁS DE 79 CARACTERES","")</f>
        <v/>
      </c>
      <c r="D356" s="53" t="str">
        <f aca="false">IF(PRESIONES!$C$22="NO","",IF(OR(LINEAS!$D$118="",LINEAS!$U$118=0,ABS(IF(OR(LINEAS!$U$118=1,LINEAS!$U$118=3),1,-1)*LINEAS!$AC$118*DATOS!$C$67)&lt;0.00005),"*",LINEAS!$D$118&amp;" UNI "&amp;IF(LINEAS!$U$118&lt;=2,"GZ","GX")&amp;" "&amp;TEXT(IF(OR(LINEAS!$U$118=1,LINEAS!$U$118=3),1,-1)*LINEAS!$AC$118*DATOS!$C$67,DATOS!$C$68)))</f>
        <v/>
      </c>
      <c r="E356" s="51" t="str">
        <f aca="false">IF(LEN($D356)&gt;79,"MÁS DE 79 CARACTERES","")</f>
        <v/>
      </c>
    </row>
    <row r="357" customFormat="false" ht="15" hidden="false" customHeight="true" outlineLevel="0" collapsed="false">
      <c r="B357" s="53" t="str">
        <f aca="false">IF(OR(LINEAS!$D$119="",LINEAS!$U$119=0,ABS(IF(OR(LINEAS!$U$119=1,LINEAS!$U$119=3),1,-1)*LINEAS!$AC$119*DATOS!$C$67)&lt;0.00005),"*",LINEAS!$D$119&amp;" UNI "&amp;IF(LINEAS!$U$119&lt;=2,"GZ","GX")&amp;" "&amp;TEXT(IF(OR(LINEAS!$U$119=1,LINEAS!$U$119=3),1,-1)*LINEAS!$AC$119*DATOS!$C$67,DATOS!$C$68))</f>
        <v>264 UNI GZ -0.1102</v>
      </c>
      <c r="C357" s="51" t="str">
        <f aca="false">IF(LEN($B357)&gt;79,"MÁS DE 79 CARACTERES","")</f>
        <v/>
      </c>
      <c r="D357" s="53" t="str">
        <f aca="false">IF(PRESIONES!$C$22="NO","",IF(OR(LINEAS!$D$119="",LINEAS!$U$119=0,ABS(IF(OR(LINEAS!$U$119=1,LINEAS!$U$119=3),1,-1)*LINEAS!$AC$119*DATOS!$C$67)&lt;0.00005),"*",LINEAS!$D$119&amp;" UNI "&amp;IF(LINEAS!$U$119&lt;=2,"GZ","GX")&amp;" "&amp;TEXT(IF(OR(LINEAS!$U$119=1,LINEAS!$U$119=3),1,-1)*LINEAS!$AC$119*DATOS!$C$67,DATOS!$C$68)))</f>
        <v/>
      </c>
      <c r="E357" s="51" t="str">
        <f aca="false">IF(LEN($D357)&gt;79,"MÁS DE 79 CARACTERES","")</f>
        <v/>
      </c>
    </row>
    <row r="358" customFormat="false" ht="15" hidden="false" customHeight="true" outlineLevel="0" collapsed="false">
      <c r="B358" s="53" t="str">
        <f aca="false">IF(OR(LINEAS!$D$120="",LINEAS!$U$120=0,ABS(IF(OR(LINEAS!$U$120=1,LINEAS!$U$120=3),1,-1)*LINEAS!$AC$120*DATOS!$C$67)&lt;0.00005),"*",LINEAS!$D$120&amp;" UNI "&amp;IF(LINEAS!$U$120&lt;=2,"GZ","GX")&amp;" "&amp;TEXT(IF(OR(LINEAS!$U$120=1,LINEAS!$U$120=3),1,-1)*LINEAS!$AC$120*DATOS!$C$67,DATOS!$C$68))</f>
        <v>271 UNI GZ -0.1102</v>
      </c>
      <c r="C358" s="51" t="str">
        <f aca="false">IF(LEN($B358)&gt;79,"MÁS DE 79 CARACTERES","")</f>
        <v/>
      </c>
      <c r="D358" s="53" t="str">
        <f aca="false">IF(PRESIONES!$C$22="NO","",IF(OR(LINEAS!$D$120="",LINEAS!$U$120=0,ABS(IF(OR(LINEAS!$U$120=1,LINEAS!$U$120=3),1,-1)*LINEAS!$AC$120*DATOS!$C$67)&lt;0.00005),"*",LINEAS!$D$120&amp;" UNI "&amp;IF(LINEAS!$U$120&lt;=2,"GZ","GX")&amp;" "&amp;TEXT(IF(OR(LINEAS!$U$120=1,LINEAS!$U$120=3),1,-1)*LINEAS!$AC$120*DATOS!$C$67,DATOS!$C$68)))</f>
        <v/>
      </c>
      <c r="E358" s="51" t="str">
        <f aca="false">IF(LEN($D358)&gt;79,"MÁS DE 79 CARACTERES","")</f>
        <v/>
      </c>
    </row>
    <row r="359" customFormat="false" ht="15" hidden="false" customHeight="true" outlineLevel="0" collapsed="false">
      <c r="B359" s="53" t="str">
        <f aca="false">IF(OR(LINEAS!$D$121="",LINEAS!$U$121=0,ABS(IF(OR(LINEAS!$U$121=1,LINEAS!$U$121=3),1,-1)*LINEAS!$AC$121*DATOS!$C$67)&lt;0.00005),"*",LINEAS!$D$121&amp;" UNI "&amp;IF(LINEAS!$U$121&lt;=2,"GZ","GX")&amp;" "&amp;TEXT(IF(OR(LINEAS!$U$121=1,LINEAS!$U$121=3),1,-1)*LINEAS!$AC$121*DATOS!$C$67,DATOS!$C$68))</f>
        <v>286 UNI GZ -0.1653</v>
      </c>
      <c r="C359" s="51" t="str">
        <f aca="false">IF(LEN($B359)&gt;79,"MÁS DE 79 CARACTERES","")</f>
        <v/>
      </c>
      <c r="D359" s="53" t="str">
        <f aca="false">IF(PRESIONES!$C$22="NO","",IF(OR(LINEAS!$D$121="",LINEAS!$U$121=0,ABS(IF(OR(LINEAS!$U$121=1,LINEAS!$U$121=3),1,-1)*LINEAS!$AC$121*DATOS!$C$67)&lt;0.00005),"*",LINEAS!$D$121&amp;" UNI "&amp;IF(LINEAS!$U$121&lt;=2,"GZ","GX")&amp;" "&amp;TEXT(IF(OR(LINEAS!$U$121=1,LINEAS!$U$121=3),1,-1)*LINEAS!$AC$121*DATOS!$C$67,DATOS!$C$68)))</f>
        <v/>
      </c>
      <c r="E359" s="51" t="str">
        <f aca="false">IF(LEN($D359)&gt;79,"MÁS DE 79 CARACTERES","")</f>
        <v/>
      </c>
    </row>
    <row r="360" customFormat="false" ht="15" hidden="false" customHeight="true" outlineLevel="0" collapsed="false">
      <c r="B360" s="53" t="str">
        <f aca="false">IF(OR(LINEAS!$D$122="",LINEAS!$U$122=0,ABS(IF(OR(LINEAS!$U$122=1,LINEAS!$U$122=3),1,-1)*LINEAS!$AC$122*DATOS!$C$67)&lt;0.00005),"*",LINEAS!$D$122&amp;" UNI "&amp;IF(LINEAS!$U$122&lt;=2,"GZ","GX")&amp;" "&amp;TEXT(IF(OR(LINEAS!$U$122=1,LINEAS!$U$122=3),1,-1)*LINEAS!$AC$122*DATOS!$C$67,DATOS!$C$68))</f>
        <v>272 UNI GZ -0.1102</v>
      </c>
      <c r="C360" s="51" t="str">
        <f aca="false">IF(LEN($B360)&gt;79,"MÁS DE 79 CARACTERES","")</f>
        <v/>
      </c>
      <c r="D360" s="53" t="str">
        <f aca="false">IF(PRESIONES!$C$22="NO","",IF(OR(LINEAS!$D$122="",LINEAS!$U$122=0,ABS(IF(OR(LINEAS!$U$122=1,LINEAS!$U$122=3),1,-1)*LINEAS!$AC$122*DATOS!$C$67)&lt;0.00005),"*",LINEAS!$D$122&amp;" UNI "&amp;IF(LINEAS!$U$122&lt;=2,"GZ","GX")&amp;" "&amp;TEXT(IF(OR(LINEAS!$U$122=1,LINEAS!$U$122=3),1,-1)*LINEAS!$AC$122*DATOS!$C$67,DATOS!$C$68)))</f>
        <v/>
      </c>
      <c r="E360" s="51" t="str">
        <f aca="false">IF(LEN($D360)&gt;79,"MÁS DE 79 CARACTERES","")</f>
        <v/>
      </c>
    </row>
    <row r="361" customFormat="false" ht="15" hidden="false" customHeight="true" outlineLevel="0" collapsed="false">
      <c r="B361" s="53" t="str">
        <f aca="false">IF(OR(LINEAS!$D$123="",LINEAS!$U$123=0,ABS(IF(OR(LINEAS!$U$123=1,LINEAS!$U$123=3),1,-1)*LINEAS!$AC$123*DATOS!$C$67)&lt;0.00005),"*",LINEAS!$D$123&amp;" UNI "&amp;IF(LINEAS!$U$123&lt;=2,"GZ","GX")&amp;" "&amp;TEXT(IF(OR(LINEAS!$U$123=1,LINEAS!$U$123=3),1,-1)*LINEAS!$AC$123*DATOS!$C$67,DATOS!$C$68))</f>
        <v>273 UNI GZ -0.1102</v>
      </c>
      <c r="C361" s="51" t="str">
        <f aca="false">IF(LEN($B361)&gt;79,"MÁS DE 79 CARACTERES","")</f>
        <v/>
      </c>
      <c r="D361" s="53" t="str">
        <f aca="false">IF(PRESIONES!$C$22="NO","",IF(OR(LINEAS!$D$123="",LINEAS!$U$123=0,ABS(IF(OR(LINEAS!$U$123=1,LINEAS!$U$123=3),1,-1)*LINEAS!$AC$123*DATOS!$C$67)&lt;0.00005),"*",LINEAS!$D$123&amp;" UNI "&amp;IF(LINEAS!$U$123&lt;=2,"GZ","GX")&amp;" "&amp;TEXT(IF(OR(LINEAS!$U$123=1,LINEAS!$U$123=3),1,-1)*LINEAS!$AC$123*DATOS!$C$67,DATOS!$C$68)))</f>
        <v/>
      </c>
      <c r="E361" s="51" t="str">
        <f aca="false">IF(LEN($D361)&gt;79,"MÁS DE 79 CARACTERES","")</f>
        <v/>
      </c>
    </row>
    <row r="362" customFormat="false" ht="15" hidden="false" customHeight="true" outlineLevel="0" collapsed="false">
      <c r="B362" s="53" t="str">
        <f aca="false">IF(OR(LINEAS!$D$124="",LINEAS!$U$124=0,ABS(IF(OR(LINEAS!$U$124=1,LINEAS!$U$124=3),1,-1)*LINEAS!$AC$124*DATOS!$C$67)&lt;0.00005),"*",LINEAS!$D$124&amp;" UNI "&amp;IF(LINEAS!$U$124&lt;=2,"GZ","GX")&amp;" "&amp;TEXT(IF(OR(LINEAS!$U$124=1,LINEAS!$U$124=3),1,-1)*LINEAS!$AC$124*DATOS!$C$67,DATOS!$C$68))</f>
        <v>280 UNI GZ -0.1102</v>
      </c>
      <c r="C362" s="51" t="str">
        <f aca="false">IF(LEN($B362)&gt;79,"MÁS DE 79 CARACTERES","")</f>
        <v/>
      </c>
      <c r="D362" s="53" t="str">
        <f aca="false">IF(PRESIONES!$C$22="NO","",IF(OR(LINEAS!$D$124="",LINEAS!$U$124=0,ABS(IF(OR(LINEAS!$U$124=1,LINEAS!$U$124=3),1,-1)*LINEAS!$AC$124*DATOS!$C$67)&lt;0.00005),"*",LINEAS!$D$124&amp;" UNI "&amp;IF(LINEAS!$U$124&lt;=2,"GZ","GX")&amp;" "&amp;TEXT(IF(OR(LINEAS!$U$124=1,LINEAS!$U$124=3),1,-1)*LINEAS!$AC$124*DATOS!$C$67,DATOS!$C$68)))</f>
        <v/>
      </c>
      <c r="E362" s="51" t="str">
        <f aca="false">IF(LEN($D362)&gt;79,"MÁS DE 79 CARACTERES","")</f>
        <v/>
      </c>
    </row>
    <row r="363" customFormat="false" ht="15" hidden="false" customHeight="true" outlineLevel="0" collapsed="false">
      <c r="B363" s="53" t="str">
        <f aca="false">IF(OR(LINEAS!$D$125="",LINEAS!$U$125=0,ABS(IF(OR(LINEAS!$U$125=1,LINEAS!$U$125=3),1,-1)*LINEAS!$AC$125*DATOS!$C$67)&lt;0.00005),"*",LINEAS!$D$125&amp;" UNI "&amp;IF(LINEAS!$U$125&lt;=2,"GZ","GX")&amp;" "&amp;TEXT(IF(OR(LINEAS!$U$125=1,LINEAS!$U$125=3),1,-1)*LINEAS!$AC$125*DATOS!$C$67,DATOS!$C$68))</f>
        <v>282 UNI GZ -0.1102</v>
      </c>
      <c r="C363" s="51" t="str">
        <f aca="false">IF(LEN($B363)&gt;79,"MÁS DE 79 CARACTERES","")</f>
        <v/>
      </c>
      <c r="D363" s="53" t="str">
        <f aca="false">IF(PRESIONES!$C$22="NO","",IF(OR(LINEAS!$D$125="",LINEAS!$U$125=0,ABS(IF(OR(LINEAS!$U$125=1,LINEAS!$U$125=3),1,-1)*LINEAS!$AC$125*DATOS!$C$67)&lt;0.00005),"*",LINEAS!$D$125&amp;" UNI "&amp;IF(LINEAS!$U$125&lt;=2,"GZ","GX")&amp;" "&amp;TEXT(IF(OR(LINEAS!$U$125=1,LINEAS!$U$125=3),1,-1)*LINEAS!$AC$125*DATOS!$C$67,DATOS!$C$68)))</f>
        <v/>
      </c>
      <c r="E363" s="51" t="str">
        <f aca="false">IF(LEN($D363)&gt;79,"MÁS DE 79 CARACTERES","")</f>
        <v/>
      </c>
    </row>
    <row r="364" customFormat="false" ht="15" hidden="false" customHeight="true" outlineLevel="0" collapsed="false">
      <c r="B364" s="53" t="str">
        <f aca="false">IF(OR(LINEAS!$D$126="",LINEAS!$U$126=0,ABS(IF(OR(LINEAS!$U$126=1,LINEAS!$U$126=3),1,-1)*LINEAS!$AC$126*DATOS!$C$67)&lt;0.00005),"*",LINEAS!$D$126&amp;" UNI "&amp;IF(LINEAS!$U$126&lt;=2,"GZ","GX")&amp;" "&amp;TEXT(IF(OR(LINEAS!$U$126=1,LINEAS!$U$126=3),1,-1)*LINEAS!$AC$126*DATOS!$C$67,DATOS!$C$68))</f>
        <v>290 UNI GZ -0.1102</v>
      </c>
      <c r="C364" s="51" t="str">
        <f aca="false">IF(LEN($B364)&gt;79,"MÁS DE 79 CARACTERES","")</f>
        <v/>
      </c>
      <c r="D364" s="53" t="str">
        <f aca="false">IF(PRESIONES!$C$22="NO","",IF(OR(LINEAS!$D$126="",LINEAS!$U$126=0,ABS(IF(OR(LINEAS!$U$126=1,LINEAS!$U$126=3),1,-1)*LINEAS!$AC$126*DATOS!$C$67)&lt;0.00005),"*",LINEAS!$D$126&amp;" UNI "&amp;IF(LINEAS!$U$126&lt;=2,"GZ","GX")&amp;" "&amp;TEXT(IF(OR(LINEAS!$U$126=1,LINEAS!$U$126=3),1,-1)*LINEAS!$AC$126*DATOS!$C$67,DATOS!$C$68)))</f>
        <v/>
      </c>
      <c r="E364" s="51" t="str">
        <f aca="false">IF(LEN($D364)&gt;79,"MÁS DE 79 CARACTERES","")</f>
        <v/>
      </c>
    </row>
    <row r="365" customFormat="false" ht="15" hidden="false" customHeight="true" outlineLevel="0" collapsed="false">
      <c r="B365" s="53" t="str">
        <f aca="false">IF(OR(LINEAS!$D$127="",LINEAS!$U$127=0,ABS(IF(OR(LINEAS!$U$127=1,LINEAS!$U$127=3),1,-1)*LINEAS!$AC$127*DATOS!$C$67)&lt;0.00005),"*",LINEAS!$D$127&amp;" UNI "&amp;IF(LINEAS!$U$127&lt;=2,"GZ","GX")&amp;" "&amp;TEXT(IF(OR(LINEAS!$U$127=1,LINEAS!$U$127=3),1,-1)*LINEAS!$AC$127*DATOS!$C$67,DATOS!$C$68))</f>
        <v>291 UNI GZ -0.1102</v>
      </c>
      <c r="C365" s="51" t="str">
        <f aca="false">IF(LEN($B365)&gt;79,"MÁS DE 79 CARACTERES","")</f>
        <v/>
      </c>
      <c r="D365" s="53" t="str">
        <f aca="false">IF(PRESIONES!$C$22="NO","",IF(OR(LINEAS!$D$127="",LINEAS!$U$127=0,ABS(IF(OR(LINEAS!$U$127=1,LINEAS!$U$127=3),1,-1)*LINEAS!$AC$127*DATOS!$C$67)&lt;0.00005),"*",LINEAS!$D$127&amp;" UNI "&amp;IF(LINEAS!$U$127&lt;=2,"GZ","GX")&amp;" "&amp;TEXT(IF(OR(LINEAS!$U$127=1,LINEAS!$U$127=3),1,-1)*LINEAS!$AC$127*DATOS!$C$67,DATOS!$C$68)))</f>
        <v/>
      </c>
      <c r="E365" s="51" t="str">
        <f aca="false">IF(LEN($D365)&gt;79,"MÁS DE 79 CARACTERES","")</f>
        <v/>
      </c>
    </row>
    <row r="366" customFormat="false" ht="15" hidden="false" customHeight="true" outlineLevel="0" collapsed="false">
      <c r="B366" s="53" t="str">
        <f aca="false">IF(OR(LINEAS!$D$128="",LINEAS!$U$128=0,ABS(IF(OR(LINEAS!$U$128=1,LINEAS!$U$128=3),1,-1)*LINEAS!$AC$128*DATOS!$C$67)&lt;0.00005),"*",LINEAS!$D$128&amp;" UNI "&amp;IF(LINEAS!$U$128&lt;=2,"GZ","GX")&amp;" "&amp;TEXT(IF(OR(LINEAS!$U$128=1,LINEAS!$U$128=3),1,-1)*LINEAS!$AC$128*DATOS!$C$67,DATOS!$C$68))</f>
        <v>298 UNI GZ -0.0703</v>
      </c>
      <c r="C366" s="51" t="str">
        <f aca="false">IF(LEN($B366)&gt;79,"MÁS DE 79 CARACTERES","")</f>
        <v/>
      </c>
      <c r="D366" s="53" t="str">
        <f aca="false">IF(PRESIONES!$C$22="NO","",IF(OR(LINEAS!$D$128="",LINEAS!$U$128=0,ABS(IF(OR(LINEAS!$U$128=1,LINEAS!$U$128=3),1,-1)*LINEAS!$AC$128*DATOS!$C$67)&lt;0.00005),"*",LINEAS!$D$128&amp;" UNI "&amp;IF(LINEAS!$U$128&lt;=2,"GZ","GX")&amp;" "&amp;TEXT(IF(OR(LINEAS!$U$128=1,LINEAS!$U$128=3),1,-1)*LINEAS!$AC$128*DATOS!$C$67,DATOS!$C$68)))</f>
        <v/>
      </c>
      <c r="E366" s="51" t="str">
        <f aca="false">IF(LEN($D366)&gt;79,"MÁS DE 79 CARACTERES","")</f>
        <v/>
      </c>
    </row>
    <row r="367" customFormat="false" ht="15" hidden="false" customHeight="true" outlineLevel="0" collapsed="false">
      <c r="B367" s="53" t="str">
        <f aca="false">IF(OR(LINEAS!$D$129="",LINEAS!$U$129=0,ABS(IF(OR(LINEAS!$U$129=1,LINEAS!$U$129=3),1,-1)*LINEAS!$AC$129*DATOS!$C$67)&lt;0.00005),"*",LINEAS!$D$129&amp;" UNI "&amp;IF(LINEAS!$U$129&lt;=2,"GZ","GX")&amp;" "&amp;TEXT(IF(OR(LINEAS!$U$129=1,LINEAS!$U$129=3),1,-1)*LINEAS!$AC$129*DATOS!$C$67,DATOS!$C$68))</f>
        <v>299 UNI GZ -0.0703</v>
      </c>
      <c r="C367" s="51" t="str">
        <f aca="false">IF(LEN($B367)&gt;79,"MÁS DE 79 CARACTERES","")</f>
        <v/>
      </c>
      <c r="D367" s="53" t="str">
        <f aca="false">IF(PRESIONES!$C$22="NO","",IF(OR(LINEAS!$D$129="",LINEAS!$U$129=0,ABS(IF(OR(LINEAS!$U$129=1,LINEAS!$U$129=3),1,-1)*LINEAS!$AC$129*DATOS!$C$67)&lt;0.00005),"*",LINEAS!$D$129&amp;" UNI "&amp;IF(LINEAS!$U$129&lt;=2,"GZ","GX")&amp;" "&amp;TEXT(IF(OR(LINEAS!$U$129=1,LINEAS!$U$129=3),1,-1)*LINEAS!$AC$129*DATOS!$C$67,DATOS!$C$68)))</f>
        <v/>
      </c>
      <c r="E367" s="51" t="str">
        <f aca="false">IF(LEN($D367)&gt;79,"MÁS DE 79 CARACTERES","")</f>
        <v/>
      </c>
    </row>
    <row r="368" customFormat="false" ht="15" hidden="false" customHeight="true" outlineLevel="0" collapsed="false">
      <c r="B368" s="53" t="str">
        <f aca="false">IF(OR(LINEAS!$D$130="",LINEAS!$U$130=0,ABS(IF(OR(LINEAS!$U$130=1,LINEAS!$U$130=3),1,-1)*LINEAS!$AC$130*DATOS!$C$67)&lt;0.00005),"*",LINEAS!$D$130&amp;" UNI "&amp;IF(LINEAS!$U$130&lt;=2,"GZ","GX")&amp;" "&amp;TEXT(IF(OR(LINEAS!$U$130=1,LINEAS!$U$130=3),1,-1)*LINEAS!$AC$130*DATOS!$C$67,DATOS!$C$68))</f>
        <v>326 UNI GZ -0.0551</v>
      </c>
      <c r="C368" s="51" t="str">
        <f aca="false">IF(LEN($B368)&gt;79,"MÁS DE 79 CARACTERES","")</f>
        <v/>
      </c>
      <c r="D368" s="53" t="str">
        <f aca="false">IF(PRESIONES!$C$22="NO","",IF(OR(LINEAS!$D$130="",LINEAS!$U$130=0,ABS(IF(OR(LINEAS!$U$130=1,LINEAS!$U$130=3),1,-1)*LINEAS!$AC$130*DATOS!$C$67)&lt;0.00005),"*",LINEAS!$D$130&amp;" UNI "&amp;IF(LINEAS!$U$130&lt;=2,"GZ","GX")&amp;" "&amp;TEXT(IF(OR(LINEAS!$U$130=1,LINEAS!$U$130=3),1,-1)*LINEAS!$AC$130*DATOS!$C$67,DATOS!$C$68)))</f>
        <v/>
      </c>
      <c r="E368" s="51" t="str">
        <f aca="false">IF(LEN($D368)&gt;79,"MÁS DE 79 CARACTERES","")</f>
        <v/>
      </c>
    </row>
    <row r="369" customFormat="false" ht="15" hidden="false" customHeight="true" outlineLevel="0" collapsed="false">
      <c r="B369" s="53" t="str">
        <f aca="false">IF(OR(LINEAS!$D$131="",LINEAS!$U$131=0,ABS(IF(OR(LINEAS!$U$131=1,LINEAS!$U$131=3),1,-1)*LINEAS!$AC$131*DATOS!$C$67)&lt;0.00005),"*",LINEAS!$D$131&amp;" UNI "&amp;IF(LINEAS!$U$131&lt;=2,"GZ","GX")&amp;" "&amp;TEXT(IF(OR(LINEAS!$U$131=1,LINEAS!$U$131=3),1,-1)*LINEAS!$AC$131*DATOS!$C$67,DATOS!$C$68))</f>
        <v>25 UNI GZ -0.0400</v>
      </c>
      <c r="C369" s="51" t="str">
        <f aca="false">IF(LEN($B369)&gt;79,"MÁS DE 79 CARACTERES","")</f>
        <v/>
      </c>
      <c r="D369" s="53" t="str">
        <f aca="false">IF(PRESIONES!$C$22="NO","",IF(OR(LINEAS!$D$131="",LINEAS!$U$131=0,ABS(IF(OR(LINEAS!$U$131=1,LINEAS!$U$131=3),1,-1)*LINEAS!$AC$131*DATOS!$C$67)&lt;0.00005),"*",LINEAS!$D$131&amp;" UNI "&amp;IF(LINEAS!$U$131&lt;=2,"GZ","GX")&amp;" "&amp;TEXT(IF(OR(LINEAS!$U$131=1,LINEAS!$U$131=3),1,-1)*LINEAS!$AC$131*DATOS!$C$67,DATOS!$C$68)))</f>
        <v/>
      </c>
      <c r="E369" s="51" t="str">
        <f aca="false">IF(LEN($D369)&gt;79,"MÁS DE 79 CARACTERES","")</f>
        <v/>
      </c>
    </row>
    <row r="370" customFormat="false" ht="15" hidden="false" customHeight="true" outlineLevel="0" collapsed="false">
      <c r="B370" s="53" t="str">
        <f aca="false">IF(OR(LINEAS!$D$132="",LINEAS!$U$132=0,ABS(IF(OR(LINEAS!$U$132=1,LINEAS!$U$132=3),1,-1)*LINEAS!$AC$132*DATOS!$C$67)&lt;0.00005),"*",LINEAS!$D$132&amp;" UNI "&amp;IF(LINEAS!$U$132&lt;=2,"GZ","GX")&amp;" "&amp;TEXT(IF(OR(LINEAS!$U$132=1,LINEAS!$U$132=3),1,-1)*LINEAS!$AC$132*DATOS!$C$67,DATOS!$C$68))</f>
        <v>327 UNI GZ -0.0551</v>
      </c>
      <c r="C370" s="51" t="str">
        <f aca="false">IF(LEN($B370)&gt;79,"MÁS DE 79 CARACTERES","")</f>
        <v/>
      </c>
      <c r="D370" s="53" t="str">
        <f aca="false">IF(PRESIONES!$C$22="NO","",IF(OR(LINEAS!$D$132="",LINEAS!$U$132=0,ABS(IF(OR(LINEAS!$U$132=1,LINEAS!$U$132=3),1,-1)*LINEAS!$AC$132*DATOS!$C$67)&lt;0.00005),"*",LINEAS!$D$132&amp;" UNI "&amp;IF(LINEAS!$U$132&lt;=2,"GZ","GX")&amp;" "&amp;TEXT(IF(OR(LINEAS!$U$132=1,LINEAS!$U$132=3),1,-1)*LINEAS!$AC$132*DATOS!$C$67,DATOS!$C$68)))</f>
        <v/>
      </c>
      <c r="E370" s="51" t="str">
        <f aca="false">IF(LEN($D370)&gt;79,"MÁS DE 79 CARACTERES","")</f>
        <v/>
      </c>
    </row>
    <row r="371" customFormat="false" ht="15" hidden="false" customHeight="true" outlineLevel="0" collapsed="false">
      <c r="B371" s="53" t="str">
        <f aca="false">IF(OR(LINEAS!$D$133="",LINEAS!$U$133=0,ABS(IF(OR(LINEAS!$U$133=1,LINEAS!$U$133=3),1,-1)*LINEAS!$AC$133*DATOS!$C$67)&lt;0.00005),"*",LINEAS!$D$133&amp;" UNI "&amp;IF(LINEAS!$U$133&lt;=2,"GZ","GX")&amp;" "&amp;TEXT(IF(OR(LINEAS!$U$133=1,LINEAS!$U$133=3),1,-1)*LINEAS!$AC$133*DATOS!$C$67,DATOS!$C$68))</f>
        <v>306 UNI GZ -0.0951</v>
      </c>
      <c r="C371" s="51" t="str">
        <f aca="false">IF(LEN($B371)&gt;79,"MÁS DE 79 CARACTERES","")</f>
        <v/>
      </c>
      <c r="D371" s="53" t="str">
        <f aca="false">IF(PRESIONES!$C$22="NO","",IF(OR(LINEAS!$D$133="",LINEAS!$U$133=0,ABS(IF(OR(LINEAS!$U$133=1,LINEAS!$U$133=3),1,-1)*LINEAS!$AC$133*DATOS!$C$67)&lt;0.00005),"*",LINEAS!$D$133&amp;" UNI "&amp;IF(LINEAS!$U$133&lt;=2,"GZ","GX")&amp;" "&amp;TEXT(IF(OR(LINEAS!$U$133=1,LINEAS!$U$133=3),1,-1)*LINEAS!$AC$133*DATOS!$C$67,DATOS!$C$68)))</f>
        <v/>
      </c>
      <c r="E371" s="51" t="str">
        <f aca="false">IF(LEN($D371)&gt;79,"MÁS DE 79 CARACTERES","")</f>
        <v/>
      </c>
    </row>
    <row r="372" customFormat="false" ht="15" hidden="false" customHeight="true" outlineLevel="0" collapsed="false">
      <c r="B372" s="53" t="str">
        <f aca="false">IF(OR(LINEAS!$D$134="",LINEAS!$U$134=0,ABS(IF(OR(LINEAS!$U$134=1,LINEAS!$U$134=3),1,-1)*LINEAS!$AC$134*DATOS!$C$67)&lt;0.00005),"*",LINEAS!$D$134&amp;" UNI "&amp;IF(LINEAS!$U$134&lt;=2,"GZ","GX")&amp;" "&amp;TEXT(IF(OR(LINEAS!$U$134=1,LINEAS!$U$134=3),1,-1)*LINEAS!$AC$134*DATOS!$C$67,DATOS!$C$68))</f>
        <v>322 UNI GZ -0.1102</v>
      </c>
      <c r="C372" s="51" t="str">
        <f aca="false">IF(LEN($B372)&gt;79,"MÁS DE 79 CARACTERES","")</f>
        <v/>
      </c>
      <c r="D372" s="53" t="str">
        <f aca="false">IF(PRESIONES!$C$22="NO","",IF(OR(LINEAS!$D$134="",LINEAS!$U$134=0,ABS(IF(OR(LINEAS!$U$134=1,LINEAS!$U$134=3),1,-1)*LINEAS!$AC$134*DATOS!$C$67)&lt;0.00005),"*",LINEAS!$D$134&amp;" UNI "&amp;IF(LINEAS!$U$134&lt;=2,"GZ","GX")&amp;" "&amp;TEXT(IF(OR(LINEAS!$U$134=1,LINEAS!$U$134=3),1,-1)*LINEAS!$AC$134*DATOS!$C$67,DATOS!$C$68)))</f>
        <v/>
      </c>
      <c r="E372" s="51" t="str">
        <f aca="false">IF(LEN($D372)&gt;79,"MÁS DE 79 CARACTERES","")</f>
        <v/>
      </c>
    </row>
    <row r="373" customFormat="false" ht="15" hidden="false" customHeight="true" outlineLevel="0" collapsed="false">
      <c r="B373" s="53" t="str">
        <f aca="false">IF(OR(LINEAS!$D$135="",LINEAS!$U$135=0,ABS(IF(OR(LINEAS!$U$135=1,LINEAS!$U$135=3),1,-1)*LINEAS!$AC$135*DATOS!$C$67)&lt;0.00005),"*",LINEAS!$D$135&amp;" UNI "&amp;IF(LINEAS!$U$135&lt;=2,"GZ","GX")&amp;" "&amp;TEXT(IF(OR(LINEAS!$U$135=1,LINEAS!$U$135=3),1,-1)*LINEAS!$AC$135*DATOS!$C$67,DATOS!$C$68))</f>
        <v>323 UNI GZ -0.1019</v>
      </c>
      <c r="C373" s="51" t="str">
        <f aca="false">IF(LEN($B373)&gt;79,"MÁS DE 79 CARACTERES","")</f>
        <v/>
      </c>
      <c r="D373" s="53" t="str">
        <f aca="false">IF(PRESIONES!$C$22="NO","",IF(OR(LINEAS!$D$135="",LINEAS!$U$135=0,ABS(IF(OR(LINEAS!$U$135=1,LINEAS!$U$135=3),1,-1)*LINEAS!$AC$135*DATOS!$C$67)&lt;0.00005),"*",LINEAS!$D$135&amp;" UNI "&amp;IF(LINEAS!$U$135&lt;=2,"GZ","GX")&amp;" "&amp;TEXT(IF(OR(LINEAS!$U$135=1,LINEAS!$U$135=3),1,-1)*LINEAS!$AC$135*DATOS!$C$67,DATOS!$C$68)))</f>
        <v/>
      </c>
      <c r="E373" s="51" t="str">
        <f aca="false">IF(LEN($D373)&gt;79,"MÁS DE 79 CARACTERES","")</f>
        <v/>
      </c>
    </row>
    <row r="374" customFormat="false" ht="15" hidden="false" customHeight="true" outlineLevel="0" collapsed="false">
      <c r="B374" s="53" t="str">
        <f aca="false">IF(OR(LINEAS!$D$136="",LINEAS!$U$136=0,ABS(IF(OR(LINEAS!$U$136=1,LINEAS!$U$136=3),1,-1)*LINEAS!$AC$136*DATOS!$C$67)&lt;0.00005),"*",LINEAS!$D$136&amp;" UNI "&amp;IF(LINEAS!$U$136&lt;=2,"GZ","GX")&amp;" "&amp;TEXT(IF(OR(LINEAS!$U$136=1,LINEAS!$U$136=3),1,-1)*LINEAS!$AC$136*DATOS!$C$67,DATOS!$C$68))</f>
        <v>22 85 TO 88 UNI GZ -0.0468</v>
      </c>
      <c r="C374" s="51" t="str">
        <f aca="false">IF(LEN($B374)&gt;79,"MÁS DE 79 CARACTERES","")</f>
        <v/>
      </c>
      <c r="D374" s="53" t="str">
        <f aca="false">IF(PRESIONES!$C$22="NO","",IF(OR(LINEAS!$D$136="",LINEAS!$U$136=0,ABS(IF(OR(LINEAS!$U$136=1,LINEAS!$U$136=3),1,-1)*LINEAS!$AC$136*DATOS!$C$67)&lt;0.00005),"*",LINEAS!$D$136&amp;" UNI "&amp;IF(LINEAS!$U$136&lt;=2,"GZ","GX")&amp;" "&amp;TEXT(IF(OR(LINEAS!$U$136=1,LINEAS!$U$136=3),1,-1)*LINEAS!$AC$136*DATOS!$C$67,DATOS!$C$68)))</f>
        <v/>
      </c>
      <c r="E374" s="51" t="str">
        <f aca="false">IF(LEN($D374)&gt;79,"MÁS DE 79 CARACTERES","")</f>
        <v/>
      </c>
    </row>
    <row r="375" customFormat="false" ht="15" hidden="false" customHeight="true" outlineLevel="0" collapsed="false">
      <c r="B375" s="53" t="str">
        <f aca="false">IF(OR(LINEAS!$D$137="",LINEAS!$U$137=0,ABS(IF(OR(LINEAS!$U$137=1,LINEAS!$U$137=3),1,-1)*LINEAS!$AC$137*DATOS!$C$67)&lt;0.00005),"*",LINEAS!$D$137&amp;" UNI "&amp;IF(LINEAS!$U$137&lt;=2,"GZ","GX")&amp;" "&amp;TEXT(IF(OR(LINEAS!$U$137=1,LINEAS!$U$137=3),1,-1)*LINEAS!$AC$137*DATOS!$C$67,DATOS!$C$68))</f>
        <v>17 191 203 213 223 233 UNI GZ -0.2343</v>
      </c>
      <c r="C375" s="51" t="str">
        <f aca="false">IF(LEN($B375)&gt;79,"MÁS DE 79 CARACTERES","")</f>
        <v/>
      </c>
      <c r="D375" s="53" t="str">
        <f aca="false">IF(PRESIONES!$C$22="NO","",IF(OR(LINEAS!$D$137="",LINEAS!$U$137=0,ABS(IF(OR(LINEAS!$U$137=1,LINEAS!$U$137=3),1,-1)*LINEAS!$AC$137*DATOS!$C$67)&lt;0.00005),"*",LINEAS!$D$137&amp;" UNI "&amp;IF(LINEAS!$U$137&lt;=2,"GZ","GX")&amp;" "&amp;TEXT(IF(OR(LINEAS!$U$137=1,LINEAS!$U$137=3),1,-1)*LINEAS!$AC$137*DATOS!$C$67,DATOS!$C$68)))</f>
        <v/>
      </c>
      <c r="E375" s="51" t="str">
        <f aca="false">IF(LEN($D375)&gt;79,"MÁS DE 79 CARACTERES","")</f>
        <v/>
      </c>
    </row>
    <row r="376" customFormat="false" ht="15" hidden="false" customHeight="true" outlineLevel="0" collapsed="false">
      <c r="B376" s="53" t="str">
        <f aca="false">IF(OR(LINEAS!$D$138="",LINEAS!$U$138=0,ABS(IF(OR(LINEAS!$U$138=1,LINEAS!$U$138=3),1,-1)*LINEAS!$AC$138*DATOS!$C$67)&lt;0.00005),"*",LINEAS!$D$138&amp;" UNI "&amp;IF(LINEAS!$U$138&lt;=2,"GZ","GX")&amp;" "&amp;TEXT(IF(OR(LINEAS!$U$138=1,LINEAS!$U$138=3),1,-1)*LINEAS!$AC$138*DATOS!$C$67,DATOS!$C$68))</f>
        <v>18 192 204 214 224 234 UNI GZ -0.2343</v>
      </c>
      <c r="C376" s="51" t="str">
        <f aca="false">IF(LEN($B376)&gt;79,"MÁS DE 79 CARACTERES","")</f>
        <v/>
      </c>
      <c r="D376" s="53" t="str">
        <f aca="false">IF(PRESIONES!$C$22="NO","",IF(OR(LINEAS!$D$138="",LINEAS!$U$138=0,ABS(IF(OR(LINEAS!$U$138=1,LINEAS!$U$138=3),1,-1)*LINEAS!$AC$138*DATOS!$C$67)&lt;0.00005),"*",LINEAS!$D$138&amp;" UNI "&amp;IF(LINEAS!$U$138&lt;=2,"GZ","GX")&amp;" "&amp;TEXT(IF(OR(LINEAS!$U$138=1,LINEAS!$U$138=3),1,-1)*LINEAS!$AC$138*DATOS!$C$67,DATOS!$C$68)))</f>
        <v/>
      </c>
      <c r="E376" s="51" t="str">
        <f aca="false">IF(LEN($D376)&gt;79,"MÁS DE 79 CARACTERES","")</f>
        <v/>
      </c>
    </row>
    <row r="377" customFormat="false" ht="15" hidden="false" customHeight="true" outlineLevel="0" collapsed="false">
      <c r="B377" s="53" t="str">
        <f aca="false">IF(OR(LINEAS!$D$139="",LINEAS!$U$139=0,ABS(IF(OR(LINEAS!$U$139=1,LINEAS!$U$139=3),1,-1)*LINEAS!$AC$139*DATOS!$C$67)&lt;0.00005),"*",LINEAS!$D$139&amp;" UNI "&amp;IF(LINEAS!$U$139&lt;=2,"GZ","GX")&amp;" "&amp;TEXT(IF(OR(LINEAS!$U$139=1,LINEAS!$U$139=3),1,-1)*LINEAS!$AC$139*DATOS!$C$67,DATOS!$C$68))</f>
        <v>*</v>
      </c>
      <c r="C377" s="51" t="str">
        <f aca="false">IF(LEN($B377)&gt;79,"MÁS DE 79 CARACTERES","")</f>
        <v/>
      </c>
      <c r="D377" s="53" t="str">
        <f aca="false">IF(PRESIONES!$C$22="NO","",IF(OR(LINEAS!$D$139="",LINEAS!$U$139=0,ABS(IF(OR(LINEAS!$U$139=1,LINEAS!$U$139=3),1,-1)*LINEAS!$AC$139*DATOS!$C$67)&lt;0.00005),"*",LINEAS!$D$139&amp;" UNI "&amp;IF(LINEAS!$U$139&lt;=2,"GZ","GX")&amp;" "&amp;TEXT(IF(OR(LINEAS!$U$139=1,LINEAS!$U$139=3),1,-1)*LINEAS!$AC$139*DATOS!$C$67,DATOS!$C$68)))</f>
        <v/>
      </c>
      <c r="E377" s="51" t="str">
        <f aca="false">IF(LEN($D377)&gt;79,"MÁS DE 79 CARACTERES","")</f>
        <v/>
      </c>
    </row>
    <row r="378" customFormat="false" ht="15" hidden="false" customHeight="true" outlineLevel="0" collapsed="false">
      <c r="B378" s="53" t="str">
        <f aca="false">IF(OR(LINEAS!$D$140="",LINEAS!$U$140=0,ABS(IF(OR(LINEAS!$U$140=1,LINEAS!$U$140=3),1,-1)*LINEAS!$AC$140*DATOS!$C$67)&lt;0.00005),"*",LINEAS!$D$140&amp;" UNI "&amp;IF(LINEAS!$U$140&lt;=2,"GZ","GX")&amp;" "&amp;TEXT(IF(OR(LINEAS!$U$140=1,LINEAS!$U$140=3),1,-1)*LINEAS!$AC$140*DATOS!$C$67,DATOS!$C$68))</f>
        <v>*</v>
      </c>
      <c r="C378" s="51" t="str">
        <f aca="false">IF(LEN($B378)&gt;79,"MÁS DE 79 CARACTERES","")</f>
        <v/>
      </c>
      <c r="D378" s="53" t="str">
        <f aca="false">IF(PRESIONES!$C$22="NO","",IF(OR(LINEAS!$D$140="",LINEAS!$U$140=0,ABS(IF(OR(LINEAS!$U$140=1,LINEAS!$U$140=3),1,-1)*LINEAS!$AC$140*DATOS!$C$67)&lt;0.00005),"*",LINEAS!$D$140&amp;" UNI "&amp;IF(LINEAS!$U$140&lt;=2,"GZ","GX")&amp;" "&amp;TEXT(IF(OR(LINEAS!$U$140=1,LINEAS!$U$140=3),1,-1)*LINEAS!$AC$140*DATOS!$C$67,DATOS!$C$68)))</f>
        <v/>
      </c>
      <c r="E378" s="51" t="str">
        <f aca="false">IF(LEN($D378)&gt;79,"MÁS DE 79 CARACTERES","")</f>
        <v/>
      </c>
    </row>
    <row r="379" customFormat="false" ht="15" hidden="false" customHeight="true" outlineLevel="0" collapsed="false">
      <c r="B379" s="53" t="str">
        <f aca="false">IF(OR(LINEAS!$D$141="",LINEAS!$U$141=0,ABS(IF(OR(LINEAS!$U$141=1,LINEAS!$U$141=3),1,-1)*LINEAS!$AC$141*DATOS!$C$67)&lt;0.00005),"*",LINEAS!$D$141&amp;" UNI "&amp;IF(LINEAS!$U$141&lt;=2,"GZ","GX")&amp;" "&amp;TEXT(IF(OR(LINEAS!$U$141=1,LINEAS!$U$141=3),1,-1)*LINEAS!$AC$141*DATOS!$C$67,DATOS!$C$68))</f>
        <v>*</v>
      </c>
      <c r="C379" s="51" t="str">
        <f aca="false">IF(LEN($B379)&gt;79,"MÁS DE 79 CARACTERES","")</f>
        <v/>
      </c>
      <c r="D379" s="53" t="str">
        <f aca="false">IF(PRESIONES!$C$22="NO","",IF(OR(LINEAS!$D$141="",LINEAS!$U$141=0,ABS(IF(OR(LINEAS!$U$141=1,LINEAS!$U$141=3),1,-1)*LINEAS!$AC$141*DATOS!$C$67)&lt;0.00005),"*",LINEAS!$D$141&amp;" UNI "&amp;IF(LINEAS!$U$141&lt;=2,"GZ","GX")&amp;" "&amp;TEXT(IF(OR(LINEAS!$U$141=1,LINEAS!$U$141=3),1,-1)*LINEAS!$AC$141*DATOS!$C$67,DATOS!$C$68)))</f>
        <v/>
      </c>
      <c r="E379" s="51" t="str">
        <f aca="false">IF(LEN($D379)&gt;79,"MÁS DE 79 CARACTERES","")</f>
        <v/>
      </c>
    </row>
    <row r="380" customFormat="false" ht="15" hidden="false" customHeight="true" outlineLevel="0" collapsed="false">
      <c r="B380" s="53" t="str">
        <f aca="false">IF(OR(LINEAS!$D$142="",LINEAS!$U$142=0,ABS(IF(OR(LINEAS!$U$142=1,LINEAS!$U$142=3),1,-1)*LINEAS!$AC$142*DATOS!$C$67)&lt;0.00005),"*",LINEAS!$D$142&amp;" UNI "&amp;IF(LINEAS!$U$142&lt;=2,"GZ","GX")&amp;" "&amp;TEXT(IF(OR(LINEAS!$U$142=1,LINEAS!$U$142=3),1,-1)*LINEAS!$AC$142*DATOS!$C$67,DATOS!$C$68))</f>
        <v>*</v>
      </c>
      <c r="C380" s="51" t="str">
        <f aca="false">IF(LEN($B380)&gt;79,"MÁS DE 79 CARACTERES","")</f>
        <v/>
      </c>
      <c r="D380" s="53" t="str">
        <f aca="false">IF(PRESIONES!$C$22="NO","",IF(OR(LINEAS!$D$142="",LINEAS!$U$142=0,ABS(IF(OR(LINEAS!$U$142=1,LINEAS!$U$142=3),1,-1)*LINEAS!$AC$142*DATOS!$C$67)&lt;0.00005),"*",LINEAS!$D$142&amp;" UNI "&amp;IF(LINEAS!$U$142&lt;=2,"GZ","GX")&amp;" "&amp;TEXT(IF(OR(LINEAS!$U$142=1,LINEAS!$U$142=3),1,-1)*LINEAS!$AC$142*DATOS!$C$67,DATOS!$C$68)))</f>
        <v/>
      </c>
      <c r="E380" s="51" t="str">
        <f aca="false">IF(LEN($D380)&gt;79,"MÁS DE 79 CARACTERES","")</f>
        <v/>
      </c>
    </row>
    <row r="381" customFormat="false" ht="15" hidden="false" customHeight="true" outlineLevel="0" collapsed="false">
      <c r="B381" s="53" t="str">
        <f aca="false">IF(OR(LINEAS!$D$143="",LINEAS!$U$143=0,ABS(IF(OR(LINEAS!$U$143=1,LINEAS!$U$143=3),1,-1)*LINEAS!$AC$143*DATOS!$C$67)&lt;0.00005),"*",LINEAS!$D$143&amp;" UNI "&amp;IF(LINEAS!$U$143&lt;=2,"GZ","GX")&amp;" "&amp;TEXT(IF(OR(LINEAS!$U$143=1,LINEAS!$U$143=3),1,-1)*LINEAS!$AC$143*DATOS!$C$67,DATOS!$C$68))</f>
        <v>*</v>
      </c>
      <c r="C381" s="51" t="str">
        <f aca="false">IF(LEN($B381)&gt;79,"MÁS DE 79 CARACTERES","")</f>
        <v/>
      </c>
      <c r="D381" s="53" t="str">
        <f aca="false">IF(PRESIONES!$C$22="NO","",IF(OR(LINEAS!$D$143="",LINEAS!$U$143=0,ABS(IF(OR(LINEAS!$U$143=1,LINEAS!$U$143=3),1,-1)*LINEAS!$AC$143*DATOS!$C$67)&lt;0.00005),"*",LINEAS!$D$143&amp;" UNI "&amp;IF(LINEAS!$U$143&lt;=2,"GZ","GX")&amp;" "&amp;TEXT(IF(OR(LINEAS!$U$143=1,LINEAS!$U$143=3),1,-1)*LINEAS!$AC$143*DATOS!$C$67,DATOS!$C$68)))</f>
        <v/>
      </c>
      <c r="E381" s="51" t="str">
        <f aca="false">IF(LEN($D381)&gt;79,"MÁS DE 79 CARACTERES","")</f>
        <v/>
      </c>
    </row>
    <row r="382" customFormat="false" ht="15" hidden="false" customHeight="true" outlineLevel="0" collapsed="false">
      <c r="B382" s="53" t="str">
        <f aca="false">IF(OR(LINEAS!$D$144="",LINEAS!$U$144=0,ABS(IF(OR(LINEAS!$U$144=1,LINEAS!$U$144=3),1,-1)*LINEAS!$AC$144*DATOS!$C$67)&lt;0.00005),"*",LINEAS!$D$144&amp;" UNI "&amp;IF(LINEAS!$U$144&lt;=2,"GZ","GX")&amp;" "&amp;TEXT(IF(OR(LINEAS!$U$144=1,LINEAS!$U$144=3),1,-1)*LINEAS!$AC$144*DATOS!$C$67,DATOS!$C$68))</f>
        <v>*</v>
      </c>
      <c r="C382" s="51" t="str">
        <f aca="false">IF(LEN($B382)&gt;79,"MÁS DE 79 CARACTERES","")</f>
        <v/>
      </c>
      <c r="D382" s="53" t="str">
        <f aca="false">IF(PRESIONES!$C$22="NO","",IF(OR(LINEAS!$D$144="",LINEAS!$U$144=0,ABS(IF(OR(LINEAS!$U$144=1,LINEAS!$U$144=3),1,-1)*LINEAS!$AC$144*DATOS!$C$67)&lt;0.00005),"*",LINEAS!$D$144&amp;" UNI "&amp;IF(LINEAS!$U$144&lt;=2,"GZ","GX")&amp;" "&amp;TEXT(IF(OR(LINEAS!$U$144=1,LINEAS!$U$144=3),1,-1)*LINEAS!$AC$144*DATOS!$C$67,DATOS!$C$68)))</f>
        <v/>
      </c>
      <c r="E382" s="51" t="str">
        <f aca="false">IF(LEN($D382)&gt;79,"MÁS DE 79 CARACTERES","")</f>
        <v/>
      </c>
    </row>
    <row r="383" customFormat="false" ht="15" hidden="false" customHeight="true" outlineLevel="0" collapsed="false">
      <c r="B383" s="53" t="str">
        <f aca="false">IF(OR(LINEAS!$D$145="",LINEAS!$U$145=0,ABS(IF(OR(LINEAS!$U$145=1,LINEAS!$U$145=3),1,-1)*LINEAS!$AC$145*DATOS!$C$67)&lt;0.00005),"*",LINEAS!$D$145&amp;" UNI "&amp;IF(LINEAS!$U$145&lt;=2,"GZ","GX")&amp;" "&amp;TEXT(IF(OR(LINEAS!$U$145=1,LINEAS!$U$145=3),1,-1)*LINEAS!$AC$145*DATOS!$C$67,DATOS!$C$68))</f>
        <v>*</v>
      </c>
      <c r="C383" s="51" t="str">
        <f aca="false">IF(LEN($B383)&gt;79,"MÁS DE 79 CARACTERES","")</f>
        <v/>
      </c>
      <c r="D383" s="53" t="str">
        <f aca="false">IF(PRESIONES!$C$22="NO","",IF(OR(LINEAS!$D$145="",LINEAS!$U$145=0,ABS(IF(OR(LINEAS!$U$145=1,LINEAS!$U$145=3),1,-1)*LINEAS!$AC$145*DATOS!$C$67)&lt;0.00005),"*",LINEAS!$D$145&amp;" UNI "&amp;IF(LINEAS!$U$145&lt;=2,"GZ","GX")&amp;" "&amp;TEXT(IF(OR(LINEAS!$U$145=1,LINEAS!$U$145=3),1,-1)*LINEAS!$AC$145*DATOS!$C$67,DATOS!$C$68)))</f>
        <v/>
      </c>
      <c r="E383" s="51" t="str">
        <f aca="false">IF(LEN($D383)&gt;79,"MÁS DE 79 CARACTERES","")</f>
        <v/>
      </c>
    </row>
    <row r="384" customFormat="false" ht="15" hidden="false" customHeight="true" outlineLevel="0" collapsed="false">
      <c r="B384" s="53" t="str">
        <f aca="false">IF(OR(LINEAS!$D$146="",LINEAS!$U$146=0,ABS(IF(OR(LINEAS!$U$146=1,LINEAS!$U$146=3),1,-1)*LINEAS!$AC$146*DATOS!$C$67)&lt;0.00005),"*",LINEAS!$D$146&amp;" UNI "&amp;IF(LINEAS!$U$146&lt;=2,"GZ","GX")&amp;" "&amp;TEXT(IF(OR(LINEAS!$U$146=1,LINEAS!$U$146=3),1,-1)*LINEAS!$AC$146*DATOS!$C$67,DATOS!$C$68))</f>
        <v>*</v>
      </c>
      <c r="C384" s="51" t="str">
        <f aca="false">IF(LEN($B384)&gt;79,"MÁS DE 79 CARACTERES","")</f>
        <v/>
      </c>
      <c r="D384" s="53" t="str">
        <f aca="false">IF(PRESIONES!$C$22="NO","",IF(OR(LINEAS!$D$146="",LINEAS!$U$146=0,ABS(IF(OR(LINEAS!$U$146=1,LINEAS!$U$146=3),1,-1)*LINEAS!$AC$146*DATOS!$C$67)&lt;0.00005),"*",LINEAS!$D$146&amp;" UNI "&amp;IF(LINEAS!$U$146&lt;=2,"GZ","GX")&amp;" "&amp;TEXT(IF(OR(LINEAS!$U$146=1,LINEAS!$U$146=3),1,-1)*LINEAS!$AC$146*DATOS!$C$67,DATOS!$C$68)))</f>
        <v/>
      </c>
      <c r="E384" s="51" t="str">
        <f aca="false">IF(LEN($D384)&gt;79,"MÁS DE 79 CARACTERES","")</f>
        <v/>
      </c>
    </row>
    <row r="385" customFormat="false" ht="15" hidden="false" customHeight="true" outlineLevel="0" collapsed="false">
      <c r="B385" s="53" t="str">
        <f aca="false">IF(OR(LINEAS!$D$147="",LINEAS!$U$147=0,ABS(IF(OR(LINEAS!$U$147=1,LINEAS!$U$147=3),1,-1)*LINEAS!$AC$147*DATOS!$C$67)&lt;0.00005),"*",LINEAS!$D$147&amp;" UNI "&amp;IF(LINEAS!$U$147&lt;=2,"GZ","GX")&amp;" "&amp;TEXT(IF(OR(LINEAS!$U$147=1,LINEAS!$U$147=3),1,-1)*LINEAS!$AC$147*DATOS!$C$67,DATOS!$C$68))</f>
        <v>*</v>
      </c>
      <c r="C385" s="51" t="str">
        <f aca="false">IF(LEN($B385)&gt;79,"MÁS DE 79 CARACTERES","")</f>
        <v/>
      </c>
      <c r="D385" s="53" t="str">
        <f aca="false">IF(PRESIONES!$C$22="NO","",IF(OR(LINEAS!$D$147="",LINEAS!$U$147=0,ABS(IF(OR(LINEAS!$U$147=1,LINEAS!$U$147=3),1,-1)*LINEAS!$AC$147*DATOS!$C$67)&lt;0.00005),"*",LINEAS!$D$147&amp;" UNI "&amp;IF(LINEAS!$U$147&lt;=2,"GZ","GX")&amp;" "&amp;TEXT(IF(OR(LINEAS!$U$147=1,LINEAS!$U$147=3),1,-1)*LINEAS!$AC$147*DATOS!$C$67,DATOS!$C$68)))</f>
        <v/>
      </c>
      <c r="E385" s="51" t="str">
        <f aca="false">IF(LEN($D385)&gt;79,"MÁS DE 79 CARACTERES","")</f>
        <v/>
      </c>
    </row>
    <row r="386" customFormat="false" ht="15" hidden="false" customHeight="true" outlineLevel="0" collapsed="false">
      <c r="B386" s="53" t="str">
        <f aca="false">IF(OR(LINEAS!$D$148="",LINEAS!$U$148=0,ABS(IF(OR(LINEAS!$U$148=1,LINEAS!$U$148=3),1,-1)*LINEAS!$AC$148*DATOS!$C$67)&lt;0.00005),"*",LINEAS!$D$148&amp;" UNI "&amp;IF(LINEAS!$U$148&lt;=2,"GZ","GX")&amp;" "&amp;TEXT(IF(OR(LINEAS!$U$148=1,LINEAS!$U$148=3),1,-1)*LINEAS!$AC$148*DATOS!$C$67,DATOS!$C$68))</f>
        <v>*</v>
      </c>
      <c r="C386" s="51" t="str">
        <f aca="false">IF(LEN($B386)&gt;79,"MÁS DE 79 CARACTERES","")</f>
        <v/>
      </c>
      <c r="D386" s="53" t="str">
        <f aca="false">IF(PRESIONES!$C$22="NO","",IF(OR(LINEAS!$D$148="",LINEAS!$U$148=0,ABS(IF(OR(LINEAS!$U$148=1,LINEAS!$U$148=3),1,-1)*LINEAS!$AC$148*DATOS!$C$67)&lt;0.00005),"*",LINEAS!$D$148&amp;" UNI "&amp;IF(LINEAS!$U$148&lt;=2,"GZ","GX")&amp;" "&amp;TEXT(IF(OR(LINEAS!$U$148=1,LINEAS!$U$148=3),1,-1)*LINEAS!$AC$148*DATOS!$C$67,DATOS!$C$68)))</f>
        <v/>
      </c>
      <c r="E386" s="51" t="str">
        <f aca="false">IF(LEN($D386)&gt;79,"MÁS DE 79 CARACTERES","")</f>
        <v/>
      </c>
    </row>
    <row r="387" customFormat="false" ht="15" hidden="false" customHeight="true" outlineLevel="0" collapsed="false">
      <c r="B387" s="53" t="str">
        <f aca="false">IF(OR(LINEAS!$D$149="",LINEAS!$U$149=0,ABS(IF(OR(LINEAS!$U$149=1,LINEAS!$U$149=3),1,-1)*LINEAS!$AC$149*DATOS!$C$67)&lt;0.00005),"*",LINEAS!$D$149&amp;" UNI "&amp;IF(LINEAS!$U$149&lt;=2,"GZ","GX")&amp;" "&amp;TEXT(IF(OR(LINEAS!$U$149=1,LINEAS!$U$149=3),1,-1)*LINEAS!$AC$149*DATOS!$C$67,DATOS!$C$68))</f>
        <v>*</v>
      </c>
      <c r="C387" s="51" t="str">
        <f aca="false">IF(LEN($B387)&gt;79,"MÁS DE 79 CARACTERES","")</f>
        <v/>
      </c>
      <c r="D387" s="53" t="str">
        <f aca="false">IF(PRESIONES!$C$22="NO","",IF(OR(LINEAS!$D$149="",LINEAS!$U$149=0,ABS(IF(OR(LINEAS!$U$149=1,LINEAS!$U$149=3),1,-1)*LINEAS!$AC$149*DATOS!$C$67)&lt;0.00005),"*",LINEAS!$D$149&amp;" UNI "&amp;IF(LINEAS!$U$149&lt;=2,"GZ","GX")&amp;" "&amp;TEXT(IF(OR(LINEAS!$U$149=1,LINEAS!$U$149=3),1,-1)*LINEAS!$AC$149*DATOS!$C$67,DATOS!$C$68)))</f>
        <v/>
      </c>
      <c r="E387" s="51" t="str">
        <f aca="false">IF(LEN($D387)&gt;79,"MÁS DE 79 CARACTERES","")</f>
        <v/>
      </c>
    </row>
    <row r="388" customFormat="false" ht="15" hidden="false" customHeight="true" outlineLevel="0" collapsed="false">
      <c r="B388" s="53" t="str">
        <f aca="false">IF(OR(LINEAS!$D$150="",LINEAS!$U$150=0,ABS(IF(OR(LINEAS!$U$150=1,LINEAS!$U$150=3),1,-1)*LINEAS!$AC$150*DATOS!$C$67)&lt;0.00005),"*",LINEAS!$D$150&amp;" UNI "&amp;IF(LINEAS!$U$150&lt;=2,"GZ","GX")&amp;" "&amp;TEXT(IF(OR(LINEAS!$U$150=1,LINEAS!$U$150=3),1,-1)*LINEAS!$AC$150*DATOS!$C$67,DATOS!$C$68))</f>
        <v>*</v>
      </c>
      <c r="C388" s="51" t="str">
        <f aca="false">IF(LEN($B388)&gt;79,"MÁS DE 79 CARACTERES","")</f>
        <v/>
      </c>
      <c r="D388" s="53" t="str">
        <f aca="false">IF(PRESIONES!$C$22="NO","",IF(OR(LINEAS!$D$150="",LINEAS!$U$150=0,ABS(IF(OR(LINEAS!$U$150=1,LINEAS!$U$150=3),1,-1)*LINEAS!$AC$150*DATOS!$C$67)&lt;0.00005),"*",LINEAS!$D$150&amp;" UNI "&amp;IF(LINEAS!$U$150&lt;=2,"GZ","GX")&amp;" "&amp;TEXT(IF(OR(LINEAS!$U$150=1,LINEAS!$U$150=3),1,-1)*LINEAS!$AC$150*DATOS!$C$67,DATOS!$C$68)))</f>
        <v/>
      </c>
      <c r="E388" s="51" t="str">
        <f aca="false">IF(LEN($D388)&gt;79,"MÁS DE 79 CARACTERES","")</f>
        <v/>
      </c>
    </row>
    <row r="389" customFormat="false" ht="15" hidden="false" customHeight="true" outlineLevel="0" collapsed="false">
      <c r="B389" s="53" t="str">
        <f aca="false">IF(OR(LINEAS!$D$151="",LINEAS!$U$151=0,ABS(IF(OR(LINEAS!$U$151=1,LINEAS!$U$151=3),1,-1)*LINEAS!$AC$151*DATOS!$C$67)&lt;0.00005),"*",LINEAS!$D$151&amp;" UNI "&amp;IF(LINEAS!$U$151&lt;=2,"GZ","GX")&amp;" "&amp;TEXT(IF(OR(LINEAS!$U$151=1,LINEAS!$U$151=3),1,-1)*LINEAS!$AC$151*DATOS!$C$67,DATOS!$C$68))</f>
        <v>*</v>
      </c>
      <c r="C389" s="51" t="str">
        <f aca="false">IF(LEN($B389)&gt;79,"MÁS DE 79 CARACTERES","")</f>
        <v/>
      </c>
      <c r="D389" s="53" t="str">
        <f aca="false">IF(PRESIONES!$C$22="NO","",IF(OR(LINEAS!$D$151="",LINEAS!$U$151=0,ABS(IF(OR(LINEAS!$U$151=1,LINEAS!$U$151=3),1,-1)*LINEAS!$AC$151*DATOS!$C$67)&lt;0.00005),"*",LINEAS!$D$151&amp;" UNI "&amp;IF(LINEAS!$U$151&lt;=2,"GZ","GX")&amp;" "&amp;TEXT(IF(OR(LINEAS!$U$151=1,LINEAS!$U$151=3),1,-1)*LINEAS!$AC$151*DATOS!$C$67,DATOS!$C$68)))</f>
        <v/>
      </c>
      <c r="E389" s="51" t="str">
        <f aca="false">IF(LEN($D389)&gt;79,"MÁS DE 79 CARACTERES","")</f>
        <v/>
      </c>
    </row>
    <row r="390" customFormat="false" ht="15" hidden="false" customHeight="true" outlineLevel="0" collapsed="false">
      <c r="B390" s="53" t="str">
        <f aca="false">IF(OR(LINEAS!$D$152="",LINEAS!$U$152=0,ABS(IF(OR(LINEAS!$U$152=1,LINEAS!$U$152=3),1,-1)*LINEAS!$AC$152*DATOS!$C$67)&lt;0.00005),"*",LINEAS!$D$152&amp;" UNI "&amp;IF(LINEAS!$U$152&lt;=2,"GZ","GX")&amp;" "&amp;TEXT(IF(OR(LINEAS!$U$152=1,LINEAS!$U$152=3),1,-1)*LINEAS!$AC$152*DATOS!$C$67,DATOS!$C$68))</f>
        <v>*</v>
      </c>
      <c r="C390" s="51" t="str">
        <f aca="false">IF(LEN($B390)&gt;79,"MÁS DE 79 CARACTERES","")</f>
        <v/>
      </c>
      <c r="D390" s="53" t="str">
        <f aca="false">IF(PRESIONES!$C$22="NO","",IF(OR(LINEAS!$D$152="",LINEAS!$U$152=0,ABS(IF(OR(LINEAS!$U$152=1,LINEAS!$U$152=3),1,-1)*LINEAS!$AC$152*DATOS!$C$67)&lt;0.00005),"*",LINEAS!$D$152&amp;" UNI "&amp;IF(LINEAS!$U$152&lt;=2,"GZ","GX")&amp;" "&amp;TEXT(IF(OR(LINEAS!$U$152=1,LINEAS!$U$152=3),1,-1)*LINEAS!$AC$152*DATOS!$C$67,DATOS!$C$68)))</f>
        <v/>
      </c>
      <c r="E390" s="51" t="str">
        <f aca="false">IF(LEN($D390)&gt;79,"MÁS DE 79 CARACTERES","")</f>
        <v/>
      </c>
    </row>
    <row r="391" customFormat="false" ht="15" hidden="false" customHeight="true" outlineLevel="0" collapsed="false">
      <c r="B391" s="53" t="str">
        <f aca="false">IF(OR(LINEAS!$D$153="",LINEAS!$U$153=0,ABS(IF(OR(LINEAS!$U$153=1,LINEAS!$U$153=3),1,-1)*LINEAS!$AC$153*DATOS!$C$67)&lt;0.00005),"*",LINEAS!$D$153&amp;" UNI "&amp;IF(LINEAS!$U$153&lt;=2,"GZ","GX")&amp;" "&amp;TEXT(IF(OR(LINEAS!$U$153=1,LINEAS!$U$153=3),1,-1)*LINEAS!$AC$153*DATOS!$C$67,DATOS!$C$68))</f>
        <v>*</v>
      </c>
      <c r="C391" s="51" t="str">
        <f aca="false">IF(LEN($B391)&gt;79,"MÁS DE 79 CARACTERES","")</f>
        <v/>
      </c>
      <c r="D391" s="53" t="str">
        <f aca="false">IF(PRESIONES!$C$22="NO","",IF(OR(LINEAS!$D$153="",LINEAS!$U$153=0,ABS(IF(OR(LINEAS!$U$153=1,LINEAS!$U$153=3),1,-1)*LINEAS!$AC$153*DATOS!$C$67)&lt;0.00005),"*",LINEAS!$D$153&amp;" UNI "&amp;IF(LINEAS!$U$153&lt;=2,"GZ","GX")&amp;" "&amp;TEXT(IF(OR(LINEAS!$U$153=1,LINEAS!$U$153=3),1,-1)*LINEAS!$AC$153*DATOS!$C$67,DATOS!$C$68)))</f>
        <v/>
      </c>
      <c r="E391" s="51" t="str">
        <f aca="false">IF(LEN($D391)&gt;79,"MÁS DE 79 CARACTERES","")</f>
        <v/>
      </c>
    </row>
    <row r="392" customFormat="false" ht="15" hidden="false" customHeight="true" outlineLevel="0" collapsed="false">
      <c r="B392" s="53" t="str">
        <f aca="false">IF(OR(LINEAS!$D$154="",LINEAS!$U$154=0,ABS(IF(OR(LINEAS!$U$154=1,LINEAS!$U$154=3),1,-1)*LINEAS!$AC$154*DATOS!$C$67)&lt;0.00005),"*",LINEAS!$D$154&amp;" UNI "&amp;IF(LINEAS!$U$154&lt;=2,"GZ","GX")&amp;" "&amp;TEXT(IF(OR(LINEAS!$U$154=1,LINEAS!$U$154=3),1,-1)*LINEAS!$AC$154*DATOS!$C$67,DATOS!$C$68))</f>
        <v>*</v>
      </c>
      <c r="C392" s="51" t="str">
        <f aca="false">IF(LEN($B392)&gt;79,"MÁS DE 79 CARACTERES","")</f>
        <v/>
      </c>
      <c r="D392" s="53" t="str">
        <f aca="false">IF(PRESIONES!$C$22="NO","",IF(OR(LINEAS!$D$154="",LINEAS!$U$154=0,ABS(IF(OR(LINEAS!$U$154=1,LINEAS!$U$154=3),1,-1)*LINEAS!$AC$154*DATOS!$C$67)&lt;0.00005),"*",LINEAS!$D$154&amp;" UNI "&amp;IF(LINEAS!$U$154&lt;=2,"GZ","GX")&amp;" "&amp;TEXT(IF(OR(LINEAS!$U$154=1,LINEAS!$U$154=3),1,-1)*LINEAS!$AC$154*DATOS!$C$67,DATOS!$C$68)))</f>
        <v/>
      </c>
      <c r="E392" s="51" t="str">
        <f aca="false">IF(LEN($D392)&gt;79,"MÁS DE 79 CARACTERES","")</f>
        <v/>
      </c>
    </row>
    <row r="393" customFormat="false" ht="15" hidden="false" customHeight="true" outlineLevel="0" collapsed="false">
      <c r="B393" s="53" t="str">
        <f aca="false">IF(OR(LINEAS!$D$155="",LINEAS!$U$155=0,ABS(IF(OR(LINEAS!$U$155=1,LINEAS!$U$155=3),1,-1)*LINEAS!$AC$155*DATOS!$C$67)&lt;0.00005),"*",LINEAS!$D$155&amp;" UNI "&amp;IF(LINEAS!$U$155&lt;=2,"GZ","GX")&amp;" "&amp;TEXT(IF(OR(LINEAS!$U$155=1,LINEAS!$U$155=3),1,-1)*LINEAS!$AC$155*DATOS!$C$67,DATOS!$C$68))</f>
        <v>*</v>
      </c>
      <c r="C393" s="51" t="str">
        <f aca="false">IF(LEN($B393)&gt;79,"MÁS DE 79 CARACTERES","")</f>
        <v/>
      </c>
      <c r="D393" s="53" t="str">
        <f aca="false">IF(PRESIONES!$C$22="NO","",IF(OR(LINEAS!$D$155="",LINEAS!$U$155=0,ABS(IF(OR(LINEAS!$U$155=1,LINEAS!$U$155=3),1,-1)*LINEAS!$AC$155*DATOS!$C$67)&lt;0.00005),"*",LINEAS!$D$155&amp;" UNI "&amp;IF(LINEAS!$U$155&lt;=2,"GZ","GX")&amp;" "&amp;TEXT(IF(OR(LINEAS!$U$155=1,LINEAS!$U$155=3),1,-1)*LINEAS!$AC$155*DATOS!$C$67,DATOS!$C$68)))</f>
        <v/>
      </c>
      <c r="E393" s="51" t="str">
        <f aca="false">IF(LEN($D393)&gt;79,"MÁS DE 79 CARACTERES","")</f>
        <v/>
      </c>
    </row>
    <row r="394" customFormat="false" ht="15" hidden="false" customHeight="true" outlineLevel="0" collapsed="false">
      <c r="B394" s="53" t="str">
        <f aca="false">IF(OR(LINEAS!$D$156="",LINEAS!$U$156=0,ABS(IF(OR(LINEAS!$U$156=1,LINEAS!$U$156=3),1,-1)*LINEAS!$AC$156*DATOS!$C$67)&lt;0.00005),"*",LINEAS!$D$156&amp;" UNI "&amp;IF(LINEAS!$U$156&lt;=2,"GZ","GX")&amp;" "&amp;TEXT(IF(OR(LINEAS!$U$156=1,LINEAS!$U$156=3),1,-1)*LINEAS!$AC$156*DATOS!$C$67,DATOS!$C$68))</f>
        <v>*</v>
      </c>
      <c r="C394" s="51" t="str">
        <f aca="false">IF(LEN($B394)&gt;79,"MÁS DE 79 CARACTERES","")</f>
        <v/>
      </c>
      <c r="D394" s="53" t="str">
        <f aca="false">IF(PRESIONES!$C$22="NO","",IF(OR(LINEAS!$D$156="",LINEAS!$U$156=0,ABS(IF(OR(LINEAS!$U$156=1,LINEAS!$U$156=3),1,-1)*LINEAS!$AC$156*DATOS!$C$67)&lt;0.00005),"*",LINEAS!$D$156&amp;" UNI "&amp;IF(LINEAS!$U$156&lt;=2,"GZ","GX")&amp;" "&amp;TEXT(IF(OR(LINEAS!$U$156=1,LINEAS!$U$156=3),1,-1)*LINEAS!$AC$156*DATOS!$C$67,DATOS!$C$68)))</f>
        <v/>
      </c>
      <c r="E394" s="51" t="str">
        <f aca="false">IF(LEN($D394)&gt;79,"MÁS DE 79 CARACTERES","")</f>
        <v/>
      </c>
    </row>
    <row r="395" customFormat="false" ht="15" hidden="false" customHeight="true" outlineLevel="0" collapsed="false">
      <c r="B395" s="53" t="str">
        <f aca="false">IF(OR(LINEAS!$D$157="",LINEAS!$U$157=0,ABS(IF(OR(LINEAS!$U$157=1,LINEAS!$U$157=3),1,-1)*LINEAS!$AC$157*DATOS!$C$67)&lt;0.00005),"*",LINEAS!$D$157&amp;" UNI "&amp;IF(LINEAS!$U$157&lt;=2,"GZ","GX")&amp;" "&amp;TEXT(IF(OR(LINEAS!$U$157=1,LINEAS!$U$157=3),1,-1)*LINEAS!$AC$157*DATOS!$C$67,DATOS!$C$68))</f>
        <v>*</v>
      </c>
      <c r="C395" s="51" t="str">
        <f aca="false">IF(LEN($B395)&gt;79,"MÁS DE 79 CARACTERES","")</f>
        <v/>
      </c>
      <c r="D395" s="53" t="str">
        <f aca="false">IF(PRESIONES!$C$22="NO","",IF(OR(LINEAS!$D$157="",LINEAS!$U$157=0,ABS(IF(OR(LINEAS!$U$157=1,LINEAS!$U$157=3),1,-1)*LINEAS!$AC$157*DATOS!$C$67)&lt;0.00005),"*",LINEAS!$D$157&amp;" UNI "&amp;IF(LINEAS!$U$157&lt;=2,"GZ","GX")&amp;" "&amp;TEXT(IF(OR(LINEAS!$U$157=1,LINEAS!$U$157=3),1,-1)*LINEAS!$AC$157*DATOS!$C$67,DATOS!$C$68)))</f>
        <v/>
      </c>
      <c r="E395" s="51" t="str">
        <f aca="false">IF(LEN($D395)&gt;79,"MÁS DE 79 CARACTERES","")</f>
        <v/>
      </c>
    </row>
    <row r="396" customFormat="false" ht="15" hidden="false" customHeight="true" outlineLevel="0" collapsed="false">
      <c r="B396" s="53" t="str">
        <f aca="false">IF(OR(LINEAS!$D$158="",LINEAS!$U$158=0,ABS(IF(OR(LINEAS!$U$158=1,LINEAS!$U$158=3),1,-1)*LINEAS!$AC$158*DATOS!$C$67)&lt;0.00005),"*",LINEAS!$D$158&amp;" UNI "&amp;IF(LINEAS!$U$158&lt;=2,"GZ","GX")&amp;" "&amp;TEXT(IF(OR(LINEAS!$U$158=1,LINEAS!$U$158=3),1,-1)*LINEAS!$AC$158*DATOS!$C$67,DATOS!$C$68))</f>
        <v>*</v>
      </c>
      <c r="C396" s="51" t="str">
        <f aca="false">IF(LEN($B396)&gt;79,"MÁS DE 79 CARACTERES","")</f>
        <v/>
      </c>
      <c r="D396" s="53" t="str">
        <f aca="false">IF(PRESIONES!$C$22="NO","",IF(OR(LINEAS!$D$158="",LINEAS!$U$158=0,ABS(IF(OR(LINEAS!$U$158=1,LINEAS!$U$158=3),1,-1)*LINEAS!$AC$158*DATOS!$C$67)&lt;0.00005),"*",LINEAS!$D$158&amp;" UNI "&amp;IF(LINEAS!$U$158&lt;=2,"GZ","GX")&amp;" "&amp;TEXT(IF(OR(LINEAS!$U$158=1,LINEAS!$U$158=3),1,-1)*LINEAS!$AC$158*DATOS!$C$67,DATOS!$C$68)))</f>
        <v/>
      </c>
      <c r="E396" s="51" t="str">
        <f aca="false">IF(LEN($D396)&gt;79,"MÁS DE 79 CARACTERES","")</f>
        <v/>
      </c>
    </row>
    <row r="397" customFormat="false" ht="15" hidden="false" customHeight="true" outlineLevel="0" collapsed="false">
      <c r="B397" s="53" t="str">
        <f aca="false">IF(OR(LINEAS!$D$159="",LINEAS!$U$159=0,ABS(IF(OR(LINEAS!$U$159=1,LINEAS!$U$159=3),1,-1)*LINEAS!$AC$159*DATOS!$C$67)&lt;0.00005),"*",LINEAS!$D$159&amp;" UNI "&amp;IF(LINEAS!$U$159&lt;=2,"GZ","GX")&amp;" "&amp;TEXT(IF(OR(LINEAS!$U$159=1,LINEAS!$U$159=3),1,-1)*LINEAS!$AC$159*DATOS!$C$67,DATOS!$C$68))</f>
        <v>*</v>
      </c>
      <c r="C397" s="51" t="str">
        <f aca="false">IF(LEN($B397)&gt;79,"MÁS DE 79 CARACTERES","")</f>
        <v/>
      </c>
      <c r="D397" s="53" t="str">
        <f aca="false">IF(PRESIONES!$C$22="NO","",IF(OR(LINEAS!$D$159="",LINEAS!$U$159=0,ABS(IF(OR(LINEAS!$U$159=1,LINEAS!$U$159=3),1,-1)*LINEAS!$AC$159*DATOS!$C$67)&lt;0.00005),"*",LINEAS!$D$159&amp;" UNI "&amp;IF(LINEAS!$U$159&lt;=2,"GZ","GX")&amp;" "&amp;TEXT(IF(OR(LINEAS!$U$159=1,LINEAS!$U$159=3),1,-1)*LINEAS!$AC$159*DATOS!$C$67,DATOS!$C$68)))</f>
        <v/>
      </c>
      <c r="E397" s="51" t="str">
        <f aca="false">IF(LEN($D397)&gt;79,"MÁS DE 79 CARACTERES","")</f>
        <v/>
      </c>
    </row>
    <row r="398" customFormat="false" ht="15" hidden="false" customHeight="true" outlineLevel="0" collapsed="false">
      <c r="B398" s="53" t="str">
        <f aca="false">IF(OR(LINEAS!$D$160="",LINEAS!$U$160=0,ABS(IF(OR(LINEAS!$U$160=1,LINEAS!$U$160=3),1,-1)*LINEAS!$AC$160*DATOS!$C$67)&lt;0.00005),"*",LINEAS!$D$160&amp;" UNI "&amp;IF(LINEAS!$U$160&lt;=2,"GZ","GX")&amp;" "&amp;TEXT(IF(OR(LINEAS!$U$160=1,LINEAS!$U$160=3),1,-1)*LINEAS!$AC$160*DATOS!$C$67,DATOS!$C$68))</f>
        <v>*</v>
      </c>
      <c r="C398" s="51" t="str">
        <f aca="false">IF(LEN($B398)&gt;79,"MÁS DE 79 CARACTERES","")</f>
        <v/>
      </c>
      <c r="D398" s="53" t="str">
        <f aca="false">IF(PRESIONES!$C$22="NO","",IF(OR(LINEAS!$D$160="",LINEAS!$U$160=0,ABS(IF(OR(LINEAS!$U$160=1,LINEAS!$U$160=3),1,-1)*LINEAS!$AC$160*DATOS!$C$67)&lt;0.00005),"*",LINEAS!$D$160&amp;" UNI "&amp;IF(LINEAS!$U$160&lt;=2,"GZ","GX")&amp;" "&amp;TEXT(IF(OR(LINEAS!$U$160=1,LINEAS!$U$160=3),1,-1)*LINEAS!$AC$160*DATOS!$C$67,DATOS!$C$68)))</f>
        <v/>
      </c>
      <c r="E398" s="51" t="str">
        <f aca="false">IF(LEN($D398)&gt;79,"MÁS DE 79 CARACTERES","")</f>
        <v/>
      </c>
    </row>
    <row r="399" customFormat="false" ht="15" hidden="false" customHeight="true" outlineLevel="0" collapsed="false">
      <c r="B399" s="53" t="str">
        <f aca="false">IF(OR(LINEAS!$D$161="",LINEAS!$U$161=0,ABS(IF(OR(LINEAS!$U$161=1,LINEAS!$U$161=3),1,-1)*LINEAS!$AC$161*DATOS!$C$67)&lt;0.00005),"*",LINEAS!$D$161&amp;" UNI "&amp;IF(LINEAS!$U$161&lt;=2,"GZ","GX")&amp;" "&amp;TEXT(IF(OR(LINEAS!$U$161=1,LINEAS!$U$161=3),1,-1)*LINEAS!$AC$161*DATOS!$C$67,DATOS!$C$68))</f>
        <v>*</v>
      </c>
      <c r="C399" s="51" t="str">
        <f aca="false">IF(LEN($B399)&gt;79,"MÁS DE 79 CARACTERES","")</f>
        <v/>
      </c>
      <c r="D399" s="53" t="str">
        <f aca="false">IF(PRESIONES!$C$22="NO","",IF(OR(LINEAS!$D$161="",LINEAS!$U$161=0,ABS(IF(OR(LINEAS!$U$161=1,LINEAS!$U$161=3),1,-1)*LINEAS!$AC$161*DATOS!$C$67)&lt;0.00005),"*",LINEAS!$D$161&amp;" UNI "&amp;IF(LINEAS!$U$161&lt;=2,"GZ","GX")&amp;" "&amp;TEXT(IF(OR(LINEAS!$U$161=1,LINEAS!$U$161=3),1,-1)*LINEAS!$AC$161*DATOS!$C$67,DATOS!$C$68)))</f>
        <v/>
      </c>
      <c r="E399" s="51" t="str">
        <f aca="false">IF(LEN($D399)&gt;79,"MÁS DE 79 CARACTERES","")</f>
        <v/>
      </c>
    </row>
    <row r="400" customFormat="false" ht="15" hidden="false" customHeight="true" outlineLevel="0" collapsed="false">
      <c r="B400" s="53" t="str">
        <f aca="false">IF(OR(LINEAS!$D$162="",LINEAS!$U$162=0,ABS(IF(OR(LINEAS!$U$162=1,LINEAS!$U$162=3),1,-1)*LINEAS!$AC$162*DATOS!$C$67)&lt;0.00005),"*",LINEAS!$D$162&amp;" UNI "&amp;IF(LINEAS!$U$162&lt;=2,"GZ","GX")&amp;" "&amp;TEXT(IF(OR(LINEAS!$U$162=1,LINEAS!$U$162=3),1,-1)*LINEAS!$AC$162*DATOS!$C$67,DATOS!$C$68))</f>
        <v>*</v>
      </c>
      <c r="C400" s="51" t="str">
        <f aca="false">IF(LEN($B400)&gt;79,"MÁS DE 79 CARACTERES","")</f>
        <v/>
      </c>
      <c r="D400" s="53" t="str">
        <f aca="false">IF(PRESIONES!$C$22="NO","",IF(OR(LINEAS!$D$162="",LINEAS!$U$162=0,ABS(IF(OR(LINEAS!$U$162=1,LINEAS!$U$162=3),1,-1)*LINEAS!$AC$162*DATOS!$C$67)&lt;0.00005),"*",LINEAS!$D$162&amp;" UNI "&amp;IF(LINEAS!$U$162&lt;=2,"GZ","GX")&amp;" "&amp;TEXT(IF(OR(LINEAS!$U$162=1,LINEAS!$U$162=3),1,-1)*LINEAS!$AC$162*DATOS!$C$67,DATOS!$C$68)))</f>
        <v/>
      </c>
      <c r="E400" s="51" t="str">
        <f aca="false">IF(LEN($D400)&gt;79,"MÁS DE 79 CARACTERES","")</f>
        <v/>
      </c>
    </row>
    <row r="401" customFormat="false" ht="15" hidden="false" customHeight="true" outlineLevel="0" collapsed="false">
      <c r="B401" s="53" t="str">
        <f aca="false">IF(OR(LINEAS!$D$163="",LINEAS!$U$163=0,ABS(IF(OR(LINEAS!$U$163=1,LINEAS!$U$163=3),1,-1)*LINEAS!$AC$163*DATOS!$C$67)&lt;0.00005),"*",LINEAS!$D$163&amp;" UNI "&amp;IF(LINEAS!$U$163&lt;=2,"GZ","GX")&amp;" "&amp;TEXT(IF(OR(LINEAS!$U$163=1,LINEAS!$U$163=3),1,-1)*LINEAS!$AC$163*DATOS!$C$67,DATOS!$C$68))</f>
        <v>*</v>
      </c>
      <c r="C401" s="51" t="str">
        <f aca="false">IF(LEN($B401)&gt;79,"MÁS DE 79 CARACTERES","")</f>
        <v/>
      </c>
      <c r="D401" s="53" t="str">
        <f aca="false">IF(PRESIONES!$C$22="NO","",IF(OR(LINEAS!$D$163="",LINEAS!$U$163=0,ABS(IF(OR(LINEAS!$U$163=1,LINEAS!$U$163=3),1,-1)*LINEAS!$AC$163*DATOS!$C$67)&lt;0.00005),"*",LINEAS!$D$163&amp;" UNI "&amp;IF(LINEAS!$U$163&lt;=2,"GZ","GX")&amp;" "&amp;TEXT(IF(OR(LINEAS!$U$163=1,LINEAS!$U$163=3),1,-1)*LINEAS!$AC$163*DATOS!$C$67,DATOS!$C$68)))</f>
        <v/>
      </c>
      <c r="E401" s="51" t="str">
        <f aca="false">IF(LEN($D401)&gt;79,"MÁS DE 79 CARACTERES","")</f>
        <v/>
      </c>
    </row>
    <row r="402" customFormat="false" ht="15" hidden="false" customHeight="true" outlineLevel="0" collapsed="false">
      <c r="B402" s="53" t="str">
        <f aca="false">IF(OR(LINEAS!$D$164="",LINEAS!$U$164=0,ABS(IF(OR(LINEAS!$U$164=1,LINEAS!$U$164=3),1,-1)*LINEAS!$AC$164*DATOS!$C$67)&lt;0.00005),"*",LINEAS!$D$164&amp;" UNI "&amp;IF(LINEAS!$U$164&lt;=2,"GZ","GX")&amp;" "&amp;TEXT(IF(OR(LINEAS!$U$164=1,LINEAS!$U$164=3),1,-1)*LINEAS!$AC$164*DATOS!$C$67,DATOS!$C$68))</f>
        <v>*</v>
      </c>
      <c r="C402" s="51" t="str">
        <f aca="false">IF(LEN($B402)&gt;79,"MÁS DE 79 CARACTERES","")</f>
        <v/>
      </c>
      <c r="D402" s="53" t="str">
        <f aca="false">IF(PRESIONES!$C$22="NO","",IF(OR(LINEAS!$D$164="",LINEAS!$U$164=0,ABS(IF(OR(LINEAS!$U$164=1,LINEAS!$U$164=3),1,-1)*LINEAS!$AC$164*DATOS!$C$67)&lt;0.00005),"*",LINEAS!$D$164&amp;" UNI "&amp;IF(LINEAS!$U$164&lt;=2,"GZ","GX")&amp;" "&amp;TEXT(IF(OR(LINEAS!$U$164=1,LINEAS!$U$164=3),1,-1)*LINEAS!$AC$164*DATOS!$C$67,DATOS!$C$68)))</f>
        <v/>
      </c>
      <c r="E402" s="51" t="str">
        <f aca="false">IF(LEN($D402)&gt;79,"MÁS DE 79 CARACTERES","")</f>
        <v/>
      </c>
    </row>
    <row r="403" customFormat="false" ht="15" hidden="false" customHeight="true" outlineLevel="0" collapsed="false">
      <c r="B403" s="53" t="str">
        <f aca="false">IF(OR(LINEAS!$D$165="",LINEAS!$U$165=0,ABS(IF(OR(LINEAS!$U$165=1,LINEAS!$U$165=3),1,-1)*LINEAS!$AC$165*DATOS!$C$67)&lt;0.00005),"*",LINEAS!$D$165&amp;" UNI "&amp;IF(LINEAS!$U$165&lt;=2,"GZ","GX")&amp;" "&amp;TEXT(IF(OR(LINEAS!$U$165=1,LINEAS!$U$165=3),1,-1)*LINEAS!$AC$165*DATOS!$C$67,DATOS!$C$68))</f>
        <v>*</v>
      </c>
      <c r="C403" s="51" t="str">
        <f aca="false">IF(LEN($B403)&gt;79,"MÁS DE 79 CARACTERES","")</f>
        <v/>
      </c>
      <c r="D403" s="53" t="str">
        <f aca="false">IF(PRESIONES!$C$22="NO","",IF(OR(LINEAS!$D$165="",LINEAS!$U$165=0,ABS(IF(OR(LINEAS!$U$165=1,LINEAS!$U$165=3),1,-1)*LINEAS!$AC$165*DATOS!$C$67)&lt;0.00005),"*",LINEAS!$D$165&amp;" UNI "&amp;IF(LINEAS!$U$165&lt;=2,"GZ","GX")&amp;" "&amp;TEXT(IF(OR(LINEAS!$U$165=1,LINEAS!$U$165=3),1,-1)*LINEAS!$AC$165*DATOS!$C$67,DATOS!$C$68)))</f>
        <v/>
      </c>
      <c r="E403" s="51" t="str">
        <f aca="false">IF(LEN($D403)&gt;79,"MÁS DE 79 CARACTERES","")</f>
        <v/>
      </c>
    </row>
    <row r="404" customFormat="false" ht="15" hidden="false" customHeight="true" outlineLevel="0" collapsed="false">
      <c r="B404" s="53" t="str">
        <f aca="false">IF(OR(LINEAS!$D$166="",LINEAS!$U$166=0,ABS(IF(OR(LINEAS!$U$166=1,LINEAS!$U$166=3),1,-1)*LINEAS!$AC$166*DATOS!$C$67)&lt;0.00005),"*",LINEAS!$D$166&amp;" UNI "&amp;IF(LINEAS!$U$166&lt;=2,"GZ","GX")&amp;" "&amp;TEXT(IF(OR(LINEAS!$U$166=1,LINEAS!$U$166=3),1,-1)*LINEAS!$AC$166*DATOS!$C$67,DATOS!$C$68))</f>
        <v>*</v>
      </c>
      <c r="C404" s="51" t="str">
        <f aca="false">IF(LEN($B404)&gt;79,"MÁS DE 79 CARACTERES","")</f>
        <v/>
      </c>
      <c r="D404" s="53" t="str">
        <f aca="false">IF(PRESIONES!$C$22="NO","",IF(OR(LINEAS!$D$166="",LINEAS!$U$166=0,ABS(IF(OR(LINEAS!$U$166=1,LINEAS!$U$166=3),1,-1)*LINEAS!$AC$166*DATOS!$C$67)&lt;0.00005),"*",LINEAS!$D$166&amp;" UNI "&amp;IF(LINEAS!$U$166&lt;=2,"GZ","GX")&amp;" "&amp;TEXT(IF(OR(LINEAS!$U$166=1,LINEAS!$U$166=3),1,-1)*LINEAS!$AC$166*DATOS!$C$67,DATOS!$C$68)))</f>
        <v/>
      </c>
      <c r="E404" s="51" t="str">
        <f aca="false">IF(LEN($D404)&gt;79,"MÁS DE 79 CARACTERES","")</f>
        <v/>
      </c>
    </row>
    <row r="405" customFormat="false" ht="15" hidden="false" customHeight="true" outlineLevel="0" collapsed="false">
      <c r="B405" s="53" t="str">
        <f aca="false">IF(OR(LINEAS!$D$167="",LINEAS!$U$167=0,ABS(IF(OR(LINEAS!$U$167=1,LINEAS!$U$167=3),1,-1)*LINEAS!$AC$167*DATOS!$C$67)&lt;0.00005),"*",LINEAS!$D$167&amp;" UNI "&amp;IF(LINEAS!$U$167&lt;=2,"GZ","GX")&amp;" "&amp;TEXT(IF(OR(LINEAS!$U$167=1,LINEAS!$U$167=3),1,-1)*LINEAS!$AC$167*DATOS!$C$67,DATOS!$C$68))</f>
        <v>*</v>
      </c>
      <c r="C405" s="51" t="str">
        <f aca="false">IF(LEN($B405)&gt;79,"MÁS DE 79 CARACTERES","")</f>
        <v/>
      </c>
      <c r="D405" s="53" t="str">
        <f aca="false">IF(PRESIONES!$C$22="NO","",IF(OR(LINEAS!$D$167="",LINEAS!$U$167=0,ABS(IF(OR(LINEAS!$U$167=1,LINEAS!$U$167=3),1,-1)*LINEAS!$AC$167*DATOS!$C$67)&lt;0.00005),"*",LINEAS!$D$167&amp;" UNI "&amp;IF(LINEAS!$U$167&lt;=2,"GZ","GX")&amp;" "&amp;TEXT(IF(OR(LINEAS!$U$167=1,LINEAS!$U$167=3),1,-1)*LINEAS!$AC$167*DATOS!$C$67,DATOS!$C$68)))</f>
        <v/>
      </c>
      <c r="E405" s="51" t="str">
        <f aca="false">IF(LEN($D405)&gt;79,"MÁS DE 79 CARACTERES","")</f>
        <v/>
      </c>
    </row>
    <row r="406" customFormat="false" ht="15" hidden="false" customHeight="true" outlineLevel="0" collapsed="false">
      <c r="B406" s="53" t="str">
        <f aca="false">IF(OR(LINEAS!$D$168="",LINEAS!$U$168=0,ABS(IF(OR(LINEAS!$U$168=1,LINEAS!$U$168=3),1,-1)*LINEAS!$AC$168*DATOS!$C$67)&lt;0.00005),"*",LINEAS!$D$168&amp;" UNI "&amp;IF(LINEAS!$U$168&lt;=2,"GZ","GX")&amp;" "&amp;TEXT(IF(OR(LINEAS!$U$168=1,LINEAS!$U$168=3),1,-1)*LINEAS!$AC$168*DATOS!$C$67,DATOS!$C$68))</f>
        <v>*</v>
      </c>
      <c r="C406" s="51" t="str">
        <f aca="false">IF(LEN($B406)&gt;79,"MÁS DE 79 CARACTERES","")</f>
        <v/>
      </c>
      <c r="D406" s="53" t="str">
        <f aca="false">IF(PRESIONES!$C$22="NO","",IF(OR(LINEAS!$D$168="",LINEAS!$U$168=0,ABS(IF(OR(LINEAS!$U$168=1,LINEAS!$U$168=3),1,-1)*LINEAS!$AC$168*DATOS!$C$67)&lt;0.00005),"*",LINEAS!$D$168&amp;" UNI "&amp;IF(LINEAS!$U$168&lt;=2,"GZ","GX")&amp;" "&amp;TEXT(IF(OR(LINEAS!$U$168=1,LINEAS!$U$168=3),1,-1)*LINEAS!$AC$168*DATOS!$C$67,DATOS!$C$68)))</f>
        <v/>
      </c>
      <c r="E406" s="51" t="str">
        <f aca="false">IF(LEN($D406)&gt;79,"MÁS DE 79 CARACTERES","")</f>
        <v/>
      </c>
    </row>
    <row r="407" customFormat="false" ht="15" hidden="false" customHeight="true" outlineLevel="0" collapsed="false">
      <c r="B407" s="53" t="str">
        <f aca="false">IF(OR(LINEAS!$D$169="",LINEAS!$U$169=0,ABS(IF(OR(LINEAS!$U$169=1,LINEAS!$U$169=3),1,-1)*LINEAS!$AC$169*DATOS!$C$67)&lt;0.00005),"*",LINEAS!$D$169&amp;" UNI "&amp;IF(LINEAS!$U$169&lt;=2,"GZ","GX")&amp;" "&amp;TEXT(IF(OR(LINEAS!$U$169=1,LINEAS!$U$169=3),1,-1)*LINEAS!$AC$169*DATOS!$C$67,DATOS!$C$68))</f>
        <v>*</v>
      </c>
      <c r="C407" s="51" t="str">
        <f aca="false">IF(LEN($B407)&gt;79,"MÁS DE 79 CARACTERES","")</f>
        <v/>
      </c>
      <c r="D407" s="53" t="str">
        <f aca="false">IF(PRESIONES!$C$22="NO","",IF(OR(LINEAS!$D$169="",LINEAS!$U$169=0,ABS(IF(OR(LINEAS!$U$169=1,LINEAS!$U$169=3),1,-1)*LINEAS!$AC$169*DATOS!$C$67)&lt;0.00005),"*",LINEAS!$D$169&amp;" UNI "&amp;IF(LINEAS!$U$169&lt;=2,"GZ","GX")&amp;" "&amp;TEXT(IF(OR(LINEAS!$U$169=1,LINEAS!$U$169=3),1,-1)*LINEAS!$AC$169*DATOS!$C$67,DATOS!$C$68)))</f>
        <v/>
      </c>
      <c r="E407" s="51" t="str">
        <f aca="false">IF(LEN($D407)&gt;79,"MÁS DE 79 CARACTERES","")</f>
        <v/>
      </c>
    </row>
    <row r="408" customFormat="false" ht="15" hidden="false" customHeight="true" outlineLevel="0" collapsed="false">
      <c r="B408" s="53" t="str">
        <f aca="false">IF(OR(LINEAS!$D$170="",LINEAS!$U$170=0,ABS(IF(OR(LINEAS!$U$170=1,LINEAS!$U$170=3),1,-1)*LINEAS!$AC$170*DATOS!$C$67)&lt;0.00005),"*",LINEAS!$D$170&amp;" UNI "&amp;IF(LINEAS!$U$170&lt;=2,"GZ","GX")&amp;" "&amp;TEXT(IF(OR(LINEAS!$U$170=1,LINEAS!$U$170=3),1,-1)*LINEAS!$AC$170*DATOS!$C$67,DATOS!$C$68))</f>
        <v>*</v>
      </c>
      <c r="C408" s="51" t="str">
        <f aca="false">IF(LEN($B408)&gt;79,"MÁS DE 79 CARACTERES","")</f>
        <v/>
      </c>
      <c r="D408" s="53" t="str">
        <f aca="false">IF(PRESIONES!$C$22="NO","",IF(OR(LINEAS!$D$170="",LINEAS!$U$170=0,ABS(IF(OR(LINEAS!$U$170=1,LINEAS!$U$170=3),1,-1)*LINEAS!$AC$170*DATOS!$C$67)&lt;0.00005),"*",LINEAS!$D$170&amp;" UNI "&amp;IF(LINEAS!$U$170&lt;=2,"GZ","GX")&amp;" "&amp;TEXT(IF(OR(LINEAS!$U$170=1,LINEAS!$U$170=3),1,-1)*LINEAS!$AC$170*DATOS!$C$67,DATOS!$C$68)))</f>
        <v/>
      </c>
      <c r="E408" s="51" t="str">
        <f aca="false">IF(LEN($D408)&gt;79,"MÁS DE 79 CARACTERES","")</f>
        <v/>
      </c>
    </row>
    <row r="409" customFormat="false" ht="15" hidden="false" customHeight="true" outlineLevel="0" collapsed="false">
      <c r="B409" s="53" t="str">
        <f aca="false">IF(OR(LINEAS!$D$171="",LINEAS!$U$171=0,ABS(IF(OR(LINEAS!$U$171=1,LINEAS!$U$171=3),1,-1)*LINEAS!$AC$171*DATOS!$C$67)&lt;0.00005),"*",LINEAS!$D$171&amp;" UNI "&amp;IF(LINEAS!$U$171&lt;=2,"GZ","GX")&amp;" "&amp;TEXT(IF(OR(LINEAS!$U$171=1,LINEAS!$U$171=3),1,-1)*LINEAS!$AC$171*DATOS!$C$67,DATOS!$C$68))</f>
        <v>*</v>
      </c>
      <c r="C409" s="51" t="str">
        <f aca="false">IF(LEN($B409)&gt;79,"MÁS DE 79 CARACTERES","")</f>
        <v/>
      </c>
      <c r="D409" s="53" t="str">
        <f aca="false">IF(PRESIONES!$C$22="NO","",IF(OR(LINEAS!$D$171="",LINEAS!$U$171=0,ABS(IF(OR(LINEAS!$U$171=1,LINEAS!$U$171=3),1,-1)*LINEAS!$AC$171*DATOS!$C$67)&lt;0.00005),"*",LINEAS!$D$171&amp;" UNI "&amp;IF(LINEAS!$U$171&lt;=2,"GZ","GX")&amp;" "&amp;TEXT(IF(OR(LINEAS!$U$171=1,LINEAS!$U$171=3),1,-1)*LINEAS!$AC$171*DATOS!$C$67,DATOS!$C$68)))</f>
        <v/>
      </c>
      <c r="E409" s="51" t="str">
        <f aca="false">IF(LEN($D409)&gt;79,"MÁS DE 79 CARACTERES","")</f>
        <v/>
      </c>
    </row>
    <row r="410" customFormat="false" ht="15" hidden="false" customHeight="true" outlineLevel="0" collapsed="false">
      <c r="B410" s="53" t="str">
        <f aca="false">IF(OR(LINEAS!$D$172="",LINEAS!$U$172=0,ABS(IF(OR(LINEAS!$U$172=1,LINEAS!$U$172=3),1,-1)*LINEAS!$AC$172*DATOS!$C$67)&lt;0.00005),"*",LINEAS!$D$172&amp;" UNI "&amp;IF(LINEAS!$U$172&lt;=2,"GZ","GX")&amp;" "&amp;TEXT(IF(OR(LINEAS!$U$172=1,LINEAS!$U$172=3),1,-1)*LINEAS!$AC$172*DATOS!$C$67,DATOS!$C$68))</f>
        <v>*</v>
      </c>
      <c r="C410" s="51" t="str">
        <f aca="false">IF(LEN($B410)&gt;79,"MÁS DE 79 CARACTERES","")</f>
        <v/>
      </c>
      <c r="D410" s="53" t="str">
        <f aca="false">IF(PRESIONES!$C$22="NO","",IF(OR(LINEAS!$D$172="",LINEAS!$U$172=0,ABS(IF(OR(LINEAS!$U$172=1,LINEAS!$U$172=3),1,-1)*LINEAS!$AC$172*DATOS!$C$67)&lt;0.00005),"*",LINEAS!$D$172&amp;" UNI "&amp;IF(LINEAS!$U$172&lt;=2,"GZ","GX")&amp;" "&amp;TEXT(IF(OR(LINEAS!$U$172=1,LINEAS!$U$172=3),1,-1)*LINEAS!$AC$172*DATOS!$C$67,DATOS!$C$68)))</f>
        <v/>
      </c>
      <c r="E410" s="51" t="str">
        <f aca="false">IF(LEN($D410)&gt;79,"MÁS DE 79 CARACTERES","")</f>
        <v/>
      </c>
    </row>
    <row r="411" customFormat="false" ht="15" hidden="false" customHeight="true" outlineLevel="0" collapsed="false">
      <c r="B411" s="53" t="str">
        <f aca="false">IF(OR(LINEAS!$D$173="",LINEAS!$U$173=0,ABS(IF(OR(LINEAS!$U$173=1,LINEAS!$U$173=3),1,-1)*LINEAS!$AC$173*DATOS!$C$67)&lt;0.00005),"*",LINEAS!$D$173&amp;" UNI "&amp;IF(LINEAS!$U$173&lt;=2,"GZ","GX")&amp;" "&amp;TEXT(IF(OR(LINEAS!$U$173=1,LINEAS!$U$173=3),1,-1)*LINEAS!$AC$173*DATOS!$C$67,DATOS!$C$68))</f>
        <v>*</v>
      </c>
      <c r="C411" s="51" t="str">
        <f aca="false">IF(LEN($B411)&gt;79,"MÁS DE 79 CARACTERES","")</f>
        <v/>
      </c>
      <c r="D411" s="53" t="str">
        <f aca="false">IF(PRESIONES!$C$22="NO","",IF(OR(LINEAS!$D$173="",LINEAS!$U$173=0,ABS(IF(OR(LINEAS!$U$173=1,LINEAS!$U$173=3),1,-1)*LINEAS!$AC$173*DATOS!$C$67)&lt;0.00005),"*",LINEAS!$D$173&amp;" UNI "&amp;IF(LINEAS!$U$173&lt;=2,"GZ","GX")&amp;" "&amp;TEXT(IF(OR(LINEAS!$U$173=1,LINEAS!$U$173=3),1,-1)*LINEAS!$AC$173*DATOS!$C$67,DATOS!$C$68)))</f>
        <v/>
      </c>
      <c r="E411" s="51" t="str">
        <f aca="false">IF(LEN($D411)&gt;79,"MÁS DE 79 CARACTERES","")</f>
        <v/>
      </c>
    </row>
    <row r="412" customFormat="false" ht="15" hidden="false" customHeight="true" outlineLevel="0" collapsed="false">
      <c r="B412" s="53" t="str">
        <f aca="false">IF(OR(LINEAS!$D$174="",LINEAS!$U$174=0,ABS(IF(OR(LINEAS!$U$174=1,LINEAS!$U$174=3),1,-1)*LINEAS!$AC$174*DATOS!$C$67)&lt;0.00005),"*",LINEAS!$D$174&amp;" UNI "&amp;IF(LINEAS!$U$174&lt;=2,"GZ","GX")&amp;" "&amp;TEXT(IF(OR(LINEAS!$U$174=1,LINEAS!$U$174=3),1,-1)*LINEAS!$AC$174*DATOS!$C$67,DATOS!$C$68))</f>
        <v>*</v>
      </c>
      <c r="C412" s="51" t="str">
        <f aca="false">IF(LEN($B412)&gt;79,"MÁS DE 79 CARACTERES","")</f>
        <v/>
      </c>
      <c r="D412" s="53" t="str">
        <f aca="false">IF(PRESIONES!$C$22="NO","",IF(OR(LINEAS!$D$174="",LINEAS!$U$174=0,ABS(IF(OR(LINEAS!$U$174=1,LINEAS!$U$174=3),1,-1)*LINEAS!$AC$174*DATOS!$C$67)&lt;0.00005),"*",LINEAS!$D$174&amp;" UNI "&amp;IF(LINEAS!$U$174&lt;=2,"GZ","GX")&amp;" "&amp;TEXT(IF(OR(LINEAS!$U$174=1,LINEAS!$U$174=3),1,-1)*LINEAS!$AC$174*DATOS!$C$67,DATOS!$C$68)))</f>
        <v/>
      </c>
      <c r="E412" s="51" t="str">
        <f aca="false">IF(LEN($D412)&gt;79,"MÁS DE 79 CARACTERES","")</f>
        <v/>
      </c>
    </row>
    <row r="413" customFormat="false" ht="15" hidden="false" customHeight="true" outlineLevel="0" collapsed="false">
      <c r="B413" s="53" t="str">
        <f aca="false">IF(OR(LINEAS!$D$175="",LINEAS!$U$175=0,ABS(IF(OR(LINEAS!$U$175=1,LINEAS!$U$175=3),1,-1)*LINEAS!$AC$175*DATOS!$C$67)&lt;0.00005),"*",LINEAS!$D$175&amp;" UNI "&amp;IF(LINEAS!$U$175&lt;=2,"GZ","GX")&amp;" "&amp;TEXT(IF(OR(LINEAS!$U$175=1,LINEAS!$U$175=3),1,-1)*LINEAS!$AC$175*DATOS!$C$67,DATOS!$C$68))</f>
        <v>*</v>
      </c>
      <c r="C413" s="51" t="str">
        <f aca="false">IF(LEN($B413)&gt;79,"MÁS DE 79 CARACTERES","")</f>
        <v/>
      </c>
      <c r="D413" s="53" t="str">
        <f aca="false">IF(PRESIONES!$C$22="NO","",IF(OR(LINEAS!$D$175="",LINEAS!$U$175=0,ABS(IF(OR(LINEAS!$U$175=1,LINEAS!$U$175=3),1,-1)*LINEAS!$AC$175*DATOS!$C$67)&lt;0.00005),"*",LINEAS!$D$175&amp;" UNI "&amp;IF(LINEAS!$U$175&lt;=2,"GZ","GX")&amp;" "&amp;TEXT(IF(OR(LINEAS!$U$175=1,LINEAS!$U$175=3),1,-1)*LINEAS!$AC$175*DATOS!$C$67,DATOS!$C$68)))</f>
        <v/>
      </c>
      <c r="E413" s="51" t="str">
        <f aca="false">IF(LEN($D413)&gt;79,"MÁS DE 79 CARACTERES","")</f>
        <v/>
      </c>
    </row>
    <row r="414" customFormat="false" ht="15" hidden="false" customHeight="true" outlineLevel="0" collapsed="false">
      <c r="B414" s="53" t="str">
        <f aca="false">IF(OR(LINEAS!$D$176="",LINEAS!$U$176=0,ABS(IF(OR(LINEAS!$U$176=1,LINEAS!$U$176=3),1,-1)*LINEAS!$AC$176*DATOS!$C$67)&lt;0.00005),"*",LINEAS!$D$176&amp;" UNI "&amp;IF(LINEAS!$U$176&lt;=2,"GZ","GX")&amp;" "&amp;TEXT(IF(OR(LINEAS!$U$176=1,LINEAS!$U$176=3),1,-1)*LINEAS!$AC$176*DATOS!$C$67,DATOS!$C$68))</f>
        <v>*</v>
      </c>
      <c r="C414" s="51" t="str">
        <f aca="false">IF(LEN($B414)&gt;79,"MÁS DE 79 CARACTERES","")</f>
        <v/>
      </c>
      <c r="D414" s="53" t="str">
        <f aca="false">IF(PRESIONES!$C$22="NO","",IF(OR(LINEAS!$D$176="",LINEAS!$U$176=0,ABS(IF(OR(LINEAS!$U$176=1,LINEAS!$U$176=3),1,-1)*LINEAS!$AC$176*DATOS!$C$67)&lt;0.00005),"*",LINEAS!$D$176&amp;" UNI "&amp;IF(LINEAS!$U$176&lt;=2,"GZ","GX")&amp;" "&amp;TEXT(IF(OR(LINEAS!$U$176=1,LINEAS!$U$176=3),1,-1)*LINEAS!$AC$176*DATOS!$C$67,DATOS!$C$68)))</f>
        <v/>
      </c>
      <c r="E414" s="51" t="str">
        <f aca="false">IF(LEN($D414)&gt;79,"MÁS DE 79 CARACTERES","")</f>
        <v/>
      </c>
    </row>
    <row r="415" customFormat="false" ht="15" hidden="false" customHeight="true" outlineLevel="0" collapsed="false">
      <c r="B415" s="53" t="str">
        <f aca="false">IF(OR(LINEAS!$D$177="",LINEAS!$U$177=0,ABS(IF(OR(LINEAS!$U$177=1,LINEAS!$U$177=3),1,-1)*LINEAS!$AC$177*DATOS!$C$67)&lt;0.00005),"*",LINEAS!$D$177&amp;" UNI "&amp;IF(LINEAS!$U$177&lt;=2,"GZ","GX")&amp;" "&amp;TEXT(IF(OR(LINEAS!$U$177=1,LINEAS!$U$177=3),1,-1)*LINEAS!$AC$177*DATOS!$C$67,DATOS!$C$68))</f>
        <v>*</v>
      </c>
      <c r="C415" s="51" t="str">
        <f aca="false">IF(LEN($B415)&gt;79,"MÁS DE 79 CARACTERES","")</f>
        <v/>
      </c>
      <c r="D415" s="53" t="str">
        <f aca="false">IF(PRESIONES!$C$22="NO","",IF(OR(LINEAS!$D$177="",LINEAS!$U$177=0,ABS(IF(OR(LINEAS!$U$177=1,LINEAS!$U$177=3),1,-1)*LINEAS!$AC$177*DATOS!$C$67)&lt;0.00005),"*",LINEAS!$D$177&amp;" UNI "&amp;IF(LINEAS!$U$177&lt;=2,"GZ","GX")&amp;" "&amp;TEXT(IF(OR(LINEAS!$U$177=1,LINEAS!$U$177=3),1,-1)*LINEAS!$AC$177*DATOS!$C$67,DATOS!$C$68)))</f>
        <v/>
      </c>
      <c r="E415" s="51" t="str">
        <f aca="false">IF(LEN($D415)&gt;79,"MÁS DE 79 CARACTERES","")</f>
        <v/>
      </c>
    </row>
    <row r="416" customFormat="false" ht="15" hidden="false" customHeight="true" outlineLevel="0" collapsed="false">
      <c r="B416" s="53" t="str">
        <f aca="false">IF(OR(LINEAS!$D$178="",LINEAS!$U$178=0,ABS(IF(OR(LINEAS!$U$178=1,LINEAS!$U$178=3),1,-1)*LINEAS!$AC$178*DATOS!$C$67)&lt;0.00005),"*",LINEAS!$D$178&amp;" UNI "&amp;IF(LINEAS!$U$178&lt;=2,"GZ","GX")&amp;" "&amp;TEXT(IF(OR(LINEAS!$U$178=1,LINEAS!$U$178=3),1,-1)*LINEAS!$AC$178*DATOS!$C$67,DATOS!$C$68))</f>
        <v>*</v>
      </c>
      <c r="C416" s="51" t="str">
        <f aca="false">IF(LEN($B416)&gt;79,"MÁS DE 79 CARACTERES","")</f>
        <v/>
      </c>
      <c r="D416" s="53" t="str">
        <f aca="false">IF(PRESIONES!$C$22="NO","",IF(OR(LINEAS!$D$178="",LINEAS!$U$178=0,ABS(IF(OR(LINEAS!$U$178=1,LINEAS!$U$178=3),1,-1)*LINEAS!$AC$178*DATOS!$C$67)&lt;0.00005),"*",LINEAS!$D$178&amp;" UNI "&amp;IF(LINEAS!$U$178&lt;=2,"GZ","GX")&amp;" "&amp;TEXT(IF(OR(LINEAS!$U$178=1,LINEAS!$U$178=3),1,-1)*LINEAS!$AC$178*DATOS!$C$67,DATOS!$C$68)))</f>
        <v/>
      </c>
      <c r="E416" s="51" t="str">
        <f aca="false">IF(LEN($D416)&gt;79,"MÁS DE 79 CARACTERES","")</f>
        <v/>
      </c>
    </row>
    <row r="417" customFormat="false" ht="15" hidden="false" customHeight="true" outlineLevel="0" collapsed="false">
      <c r="B417" s="53" t="str">
        <f aca="false">IF(OR(LINEAS!$D$179="",LINEAS!$U$179=0,ABS(IF(OR(LINEAS!$U$179=1,LINEAS!$U$179=3),1,-1)*LINEAS!$AC$179*DATOS!$C$67)&lt;0.00005),"*",LINEAS!$D$179&amp;" UNI "&amp;IF(LINEAS!$U$179&lt;=2,"GZ","GX")&amp;" "&amp;TEXT(IF(OR(LINEAS!$U$179=1,LINEAS!$U$179=3),1,-1)*LINEAS!$AC$179*DATOS!$C$67,DATOS!$C$68))</f>
        <v>*</v>
      </c>
      <c r="C417" s="51" t="str">
        <f aca="false">IF(LEN($B417)&gt;79,"MÁS DE 79 CARACTERES","")</f>
        <v/>
      </c>
      <c r="D417" s="53" t="str">
        <f aca="false">IF(PRESIONES!$C$22="NO","",IF(OR(LINEAS!$D$179="",LINEAS!$U$179=0,ABS(IF(OR(LINEAS!$U$179=1,LINEAS!$U$179=3),1,-1)*LINEAS!$AC$179*DATOS!$C$67)&lt;0.00005),"*",LINEAS!$D$179&amp;" UNI "&amp;IF(LINEAS!$U$179&lt;=2,"GZ","GX")&amp;" "&amp;TEXT(IF(OR(LINEAS!$U$179=1,LINEAS!$U$179=3),1,-1)*LINEAS!$AC$179*DATOS!$C$67,DATOS!$C$68)))</f>
        <v/>
      </c>
      <c r="E417" s="51" t="str">
        <f aca="false">IF(LEN($D417)&gt;79,"MÁS DE 79 CARACTERES","")</f>
        <v/>
      </c>
    </row>
    <row r="418" customFormat="false" ht="15" hidden="false" customHeight="true" outlineLevel="0" collapsed="false">
      <c r="B418" s="53" t="str">
        <f aca="false">IF(OR(LINEAS!$D$180="",LINEAS!$U$180=0,ABS(IF(OR(LINEAS!$U$180=1,LINEAS!$U$180=3),1,-1)*LINEAS!$AC$180*DATOS!$C$67)&lt;0.00005),"*",LINEAS!$D$180&amp;" UNI "&amp;IF(LINEAS!$U$180&lt;=2,"GZ","GX")&amp;" "&amp;TEXT(IF(OR(LINEAS!$U$180=1,LINEAS!$U$180=3),1,-1)*LINEAS!$AC$180*DATOS!$C$67,DATOS!$C$68))</f>
        <v>*</v>
      </c>
      <c r="C418" s="51" t="str">
        <f aca="false">IF(LEN($B418)&gt;79,"MÁS DE 79 CARACTERES","")</f>
        <v/>
      </c>
      <c r="D418" s="53" t="str">
        <f aca="false">IF(PRESIONES!$C$22="NO","",IF(OR(LINEAS!$D$180="",LINEAS!$U$180=0,ABS(IF(OR(LINEAS!$U$180=1,LINEAS!$U$180=3),1,-1)*LINEAS!$AC$180*DATOS!$C$67)&lt;0.00005),"*",LINEAS!$D$180&amp;" UNI "&amp;IF(LINEAS!$U$180&lt;=2,"GZ","GX")&amp;" "&amp;TEXT(IF(OR(LINEAS!$U$180=1,LINEAS!$U$180=3),1,-1)*LINEAS!$AC$180*DATOS!$C$67,DATOS!$C$68)))</f>
        <v/>
      </c>
      <c r="E418" s="51" t="str">
        <f aca="false">IF(LEN($D418)&gt;79,"MÁS DE 79 CARACTERES","")</f>
        <v/>
      </c>
    </row>
    <row r="419" customFormat="false" ht="15" hidden="false" customHeight="true" outlineLevel="0" collapsed="false">
      <c r="B419" s="53" t="str">
        <f aca="false">IF(OR(LINEAS!$D$181="",LINEAS!$U$181=0,ABS(IF(OR(LINEAS!$U$181=1,LINEAS!$U$181=3),1,-1)*LINEAS!$AC$181*DATOS!$C$67)&lt;0.00005),"*",LINEAS!$D$181&amp;" UNI "&amp;IF(LINEAS!$U$181&lt;=2,"GZ","GX")&amp;" "&amp;TEXT(IF(OR(LINEAS!$U$181=1,LINEAS!$U$181=3),1,-1)*LINEAS!$AC$181*DATOS!$C$67,DATOS!$C$68))</f>
        <v>*</v>
      </c>
      <c r="C419" s="51" t="str">
        <f aca="false">IF(LEN($B419)&gt;79,"MÁS DE 79 CARACTERES","")</f>
        <v/>
      </c>
      <c r="D419" s="53" t="str">
        <f aca="false">IF(PRESIONES!$C$22="NO","",IF(OR(LINEAS!$D$181="",LINEAS!$U$181=0,ABS(IF(OR(LINEAS!$U$181=1,LINEAS!$U$181=3),1,-1)*LINEAS!$AC$181*DATOS!$C$67)&lt;0.00005),"*",LINEAS!$D$181&amp;" UNI "&amp;IF(LINEAS!$U$181&lt;=2,"GZ","GX")&amp;" "&amp;TEXT(IF(OR(LINEAS!$U$181=1,LINEAS!$U$181=3),1,-1)*LINEAS!$AC$181*DATOS!$C$67,DATOS!$C$68)))</f>
        <v/>
      </c>
      <c r="E419" s="51" t="str">
        <f aca="false">IF(LEN($D419)&gt;79,"MÁS DE 79 CARACTERES","")</f>
        <v/>
      </c>
    </row>
    <row r="420" customFormat="false" ht="15" hidden="false" customHeight="true" outlineLevel="0" collapsed="false">
      <c r="B420" s="53" t="str">
        <f aca="false">IF(OR(LINEAS!$D$182="",LINEAS!$U$182=0,ABS(IF(OR(LINEAS!$U$182=1,LINEAS!$U$182=3),1,-1)*LINEAS!$AC$182*DATOS!$C$67)&lt;0.00005),"*",LINEAS!$D$182&amp;" UNI "&amp;IF(LINEAS!$U$182&lt;=2,"GZ","GX")&amp;" "&amp;TEXT(IF(OR(LINEAS!$U$182=1,LINEAS!$U$182=3),1,-1)*LINEAS!$AC$182*DATOS!$C$67,DATOS!$C$68))</f>
        <v>*</v>
      </c>
      <c r="C420" s="51" t="str">
        <f aca="false">IF(LEN($B420)&gt;79,"MÁS DE 79 CARACTERES","")</f>
        <v/>
      </c>
      <c r="D420" s="53" t="str">
        <f aca="false">IF(PRESIONES!$C$22="NO","",IF(OR(LINEAS!$D$182="",LINEAS!$U$182=0,ABS(IF(OR(LINEAS!$U$182=1,LINEAS!$U$182=3),1,-1)*LINEAS!$AC$182*DATOS!$C$67)&lt;0.00005),"*",LINEAS!$D$182&amp;" UNI "&amp;IF(LINEAS!$U$182&lt;=2,"GZ","GX")&amp;" "&amp;TEXT(IF(OR(LINEAS!$U$182=1,LINEAS!$U$182=3),1,-1)*LINEAS!$AC$182*DATOS!$C$67,DATOS!$C$68)))</f>
        <v/>
      </c>
      <c r="E420" s="51" t="str">
        <f aca="false">IF(LEN($D420)&gt;79,"MÁS DE 79 CARACTERES","")</f>
        <v/>
      </c>
    </row>
    <row r="421" customFormat="false" ht="15" hidden="false" customHeight="true" outlineLevel="0" collapsed="false">
      <c r="B421" s="53" t="str">
        <f aca="false">IF(OR(LINEAS!$D$183="",LINEAS!$U$183=0,ABS(IF(OR(LINEAS!$U$183=1,LINEAS!$U$183=3),1,-1)*LINEAS!$AC$183*DATOS!$C$67)&lt;0.00005),"*",LINEAS!$D$183&amp;" UNI "&amp;IF(LINEAS!$U$183&lt;=2,"GZ","GX")&amp;" "&amp;TEXT(IF(OR(LINEAS!$U$183=1,LINEAS!$U$183=3),1,-1)*LINEAS!$AC$183*DATOS!$C$67,DATOS!$C$68))</f>
        <v>*</v>
      </c>
      <c r="C421" s="51" t="str">
        <f aca="false">IF(LEN($B421)&gt;79,"MÁS DE 79 CARACTERES","")</f>
        <v/>
      </c>
      <c r="D421" s="53" t="str">
        <f aca="false">IF(PRESIONES!$C$22="NO","",IF(OR(LINEAS!$D$183="",LINEAS!$U$183=0,ABS(IF(OR(LINEAS!$U$183=1,LINEAS!$U$183=3),1,-1)*LINEAS!$AC$183*DATOS!$C$67)&lt;0.00005),"*",LINEAS!$D$183&amp;" UNI "&amp;IF(LINEAS!$U$183&lt;=2,"GZ","GX")&amp;" "&amp;TEXT(IF(OR(LINEAS!$U$183=1,LINEAS!$U$183=3),1,-1)*LINEAS!$AC$183*DATOS!$C$67,DATOS!$C$68)))</f>
        <v/>
      </c>
      <c r="E421" s="51" t="str">
        <f aca="false">IF(LEN($D421)&gt;79,"MÁS DE 79 CARACTERES","")</f>
        <v/>
      </c>
    </row>
    <row r="422" customFormat="false" ht="15" hidden="false" customHeight="true" outlineLevel="0" collapsed="false">
      <c r="B422" s="53" t="str">
        <f aca="false">IF(OR(LINEAS!$D$184="",LINEAS!$U$184=0,ABS(IF(OR(LINEAS!$U$184=1,LINEAS!$U$184=3),1,-1)*LINEAS!$AC$184*DATOS!$C$67)&lt;0.00005),"*",LINEAS!$D$184&amp;" UNI "&amp;IF(LINEAS!$U$184&lt;=2,"GZ","GX")&amp;" "&amp;TEXT(IF(OR(LINEAS!$U$184=1,LINEAS!$U$184=3),1,-1)*LINEAS!$AC$184*DATOS!$C$67,DATOS!$C$68))</f>
        <v>*</v>
      </c>
      <c r="C422" s="51" t="str">
        <f aca="false">IF(LEN($B422)&gt;79,"MÁS DE 79 CARACTERES","")</f>
        <v/>
      </c>
      <c r="D422" s="53" t="str">
        <f aca="false">IF(PRESIONES!$C$22="NO","",IF(OR(LINEAS!$D$184="",LINEAS!$U$184=0,ABS(IF(OR(LINEAS!$U$184=1,LINEAS!$U$184=3),1,-1)*LINEAS!$AC$184*DATOS!$C$67)&lt;0.00005),"*",LINEAS!$D$184&amp;" UNI "&amp;IF(LINEAS!$U$184&lt;=2,"GZ","GX")&amp;" "&amp;TEXT(IF(OR(LINEAS!$U$184=1,LINEAS!$U$184=3),1,-1)*LINEAS!$AC$184*DATOS!$C$67,DATOS!$C$68)))</f>
        <v/>
      </c>
      <c r="E422" s="51" t="str">
        <f aca="false">IF(LEN($D422)&gt;79,"MÁS DE 79 CARACTERES","")</f>
        <v/>
      </c>
    </row>
    <row r="423" customFormat="false" ht="15" hidden="false" customHeight="true" outlineLevel="0" collapsed="false">
      <c r="B423" s="53" t="str">
        <f aca="false">IF(OR(LINEAS!$D$185="",LINEAS!$U$185=0,ABS(IF(OR(LINEAS!$U$185=1,LINEAS!$U$185=3),1,-1)*LINEAS!$AC$185*DATOS!$C$67)&lt;0.00005),"*",LINEAS!$D$185&amp;" UNI "&amp;IF(LINEAS!$U$185&lt;=2,"GZ","GX")&amp;" "&amp;TEXT(IF(OR(LINEAS!$U$185=1,LINEAS!$U$185=3),1,-1)*LINEAS!$AC$185*DATOS!$C$67,DATOS!$C$68))</f>
        <v>*</v>
      </c>
      <c r="C423" s="51" t="str">
        <f aca="false">IF(LEN($B423)&gt;79,"MÁS DE 79 CARACTERES","")</f>
        <v/>
      </c>
      <c r="D423" s="53" t="str">
        <f aca="false">IF(PRESIONES!$C$22="NO","",IF(OR(LINEAS!$D$185="",LINEAS!$U$185=0,ABS(IF(OR(LINEAS!$U$185=1,LINEAS!$U$185=3),1,-1)*LINEAS!$AC$185*DATOS!$C$67)&lt;0.00005),"*",LINEAS!$D$185&amp;" UNI "&amp;IF(LINEAS!$U$185&lt;=2,"GZ","GX")&amp;" "&amp;TEXT(IF(OR(LINEAS!$U$185=1,LINEAS!$U$185=3),1,-1)*LINEAS!$AC$185*DATOS!$C$67,DATOS!$C$68)))</f>
        <v/>
      </c>
      <c r="E423" s="51" t="str">
        <f aca="false">IF(LEN($D423)&gt;79,"MÁS DE 79 CARACTERES","")</f>
        <v/>
      </c>
    </row>
    <row r="424" customFormat="false" ht="15" hidden="false" customHeight="true" outlineLevel="0" collapsed="false">
      <c r="B424" s="53" t="str">
        <f aca="false">IF(OR(LINEAS!$D$186="",LINEAS!$U$186=0,ABS(IF(OR(LINEAS!$U$186=1,LINEAS!$U$186=3),1,-1)*LINEAS!$AC$186*DATOS!$C$67)&lt;0.00005),"*",LINEAS!$D$186&amp;" UNI "&amp;IF(LINEAS!$U$186&lt;=2,"GZ","GX")&amp;" "&amp;TEXT(IF(OR(LINEAS!$U$186=1,LINEAS!$U$186=3),1,-1)*LINEAS!$AC$186*DATOS!$C$67,DATOS!$C$68))</f>
        <v>*</v>
      </c>
      <c r="C424" s="51" t="str">
        <f aca="false">IF(LEN($B424)&gt;79,"MÁS DE 79 CARACTERES","")</f>
        <v/>
      </c>
      <c r="D424" s="53" t="str">
        <f aca="false">IF(PRESIONES!$C$22="NO","",IF(OR(LINEAS!$D$186="",LINEAS!$U$186=0,ABS(IF(OR(LINEAS!$U$186=1,LINEAS!$U$186=3),1,-1)*LINEAS!$AC$186*DATOS!$C$67)&lt;0.00005),"*",LINEAS!$D$186&amp;" UNI "&amp;IF(LINEAS!$U$186&lt;=2,"GZ","GX")&amp;" "&amp;TEXT(IF(OR(LINEAS!$U$186=1,LINEAS!$U$186=3),1,-1)*LINEAS!$AC$186*DATOS!$C$67,DATOS!$C$68)))</f>
        <v/>
      </c>
      <c r="E424" s="51" t="str">
        <f aca="false">IF(LEN($D424)&gt;79,"MÁS DE 79 CARACTERES","")</f>
        <v/>
      </c>
    </row>
    <row r="425" customFormat="false" ht="15" hidden="false" customHeight="true" outlineLevel="0" collapsed="false">
      <c r="B425" s="53" t="str">
        <f aca="false">IF(OR(LINEAS!$D$187="",LINEAS!$U$187=0,ABS(IF(OR(LINEAS!$U$187=1,LINEAS!$U$187=3),1,-1)*LINEAS!$AC$187*DATOS!$C$67)&lt;0.00005),"*",LINEAS!$D$187&amp;" UNI "&amp;IF(LINEAS!$U$187&lt;=2,"GZ","GX")&amp;" "&amp;TEXT(IF(OR(LINEAS!$U$187=1,LINEAS!$U$187=3),1,-1)*LINEAS!$AC$187*DATOS!$C$67,DATOS!$C$68))</f>
        <v>*</v>
      </c>
      <c r="C425" s="51" t="str">
        <f aca="false">IF(LEN($B425)&gt;79,"MÁS DE 79 CARACTERES","")</f>
        <v/>
      </c>
      <c r="D425" s="53" t="str">
        <f aca="false">IF(PRESIONES!$C$22="NO","",IF(OR(LINEAS!$D$187="",LINEAS!$U$187=0,ABS(IF(OR(LINEAS!$U$187=1,LINEAS!$U$187=3),1,-1)*LINEAS!$AC$187*DATOS!$C$67)&lt;0.00005),"*",LINEAS!$D$187&amp;" UNI "&amp;IF(LINEAS!$U$187&lt;=2,"GZ","GX")&amp;" "&amp;TEXT(IF(OR(LINEAS!$U$187=1,LINEAS!$U$187=3),1,-1)*LINEAS!$AC$187*DATOS!$C$67,DATOS!$C$68)))</f>
        <v/>
      </c>
      <c r="E425" s="51" t="str">
        <f aca="false">IF(LEN($D425)&gt;79,"MÁS DE 79 CARACTERES","")</f>
        <v/>
      </c>
    </row>
    <row r="426" customFormat="false" ht="15" hidden="false" customHeight="true" outlineLevel="0" collapsed="false">
      <c r="B426" s="53" t="str">
        <f aca="false">IF(OR(LINEAS!$D$188="",LINEAS!$U$188=0,ABS(IF(OR(LINEAS!$U$188=1,LINEAS!$U$188=3),1,-1)*LINEAS!$AC$188*DATOS!$C$67)&lt;0.00005),"*",LINEAS!$D$188&amp;" UNI "&amp;IF(LINEAS!$U$188&lt;=2,"GZ","GX")&amp;" "&amp;TEXT(IF(OR(LINEAS!$U$188=1,LINEAS!$U$188=3),1,-1)*LINEAS!$AC$188*DATOS!$C$67,DATOS!$C$68))</f>
        <v>*</v>
      </c>
      <c r="C426" s="51" t="str">
        <f aca="false">IF(LEN($B426)&gt;79,"MÁS DE 79 CARACTERES","")</f>
        <v/>
      </c>
      <c r="D426" s="53" t="str">
        <f aca="false">IF(PRESIONES!$C$22="NO","",IF(OR(LINEAS!$D$188="",LINEAS!$U$188=0,ABS(IF(OR(LINEAS!$U$188=1,LINEAS!$U$188=3),1,-1)*LINEAS!$AC$188*DATOS!$C$67)&lt;0.00005),"*",LINEAS!$D$188&amp;" UNI "&amp;IF(LINEAS!$U$188&lt;=2,"GZ","GX")&amp;" "&amp;TEXT(IF(OR(LINEAS!$U$188=1,LINEAS!$U$188=3),1,-1)*LINEAS!$AC$188*DATOS!$C$67,DATOS!$C$68)))</f>
        <v/>
      </c>
      <c r="E426" s="51" t="str">
        <f aca="false">IF(LEN($D426)&gt;79,"MÁS DE 79 CARACTERES","")</f>
        <v/>
      </c>
    </row>
    <row r="427" customFormat="false" ht="15" hidden="false" customHeight="true" outlineLevel="0" collapsed="false">
      <c r="B427" s="53" t="str">
        <f aca="false">IF(OR(LINEAS!$D$189="",LINEAS!$U$189=0,ABS(IF(OR(LINEAS!$U$189=1,LINEAS!$U$189=3),1,-1)*LINEAS!$AC$189*DATOS!$C$67)&lt;0.00005),"*",LINEAS!$D$189&amp;" UNI "&amp;IF(LINEAS!$U$189&lt;=2,"GZ","GX")&amp;" "&amp;TEXT(IF(OR(LINEAS!$U$189=1,LINEAS!$U$189=3),1,-1)*LINEAS!$AC$189*DATOS!$C$67,DATOS!$C$68))</f>
        <v>*</v>
      </c>
      <c r="C427" s="51" t="str">
        <f aca="false">IF(LEN($B427)&gt;79,"MÁS DE 79 CARACTERES","")</f>
        <v/>
      </c>
      <c r="D427" s="53" t="str">
        <f aca="false">IF(PRESIONES!$C$22="NO","",IF(OR(LINEAS!$D$189="",LINEAS!$U$189=0,ABS(IF(OR(LINEAS!$U$189=1,LINEAS!$U$189=3),1,-1)*LINEAS!$AC$189*DATOS!$C$67)&lt;0.00005),"*",LINEAS!$D$189&amp;" UNI "&amp;IF(LINEAS!$U$189&lt;=2,"GZ","GX")&amp;" "&amp;TEXT(IF(OR(LINEAS!$U$189=1,LINEAS!$U$189=3),1,-1)*LINEAS!$AC$189*DATOS!$C$67,DATOS!$C$68)))</f>
        <v/>
      </c>
      <c r="E427" s="51" t="str">
        <f aca="false">IF(LEN($D427)&gt;79,"MÁS DE 79 CARACTERES","")</f>
        <v/>
      </c>
    </row>
    <row r="428" customFormat="false" ht="15" hidden="false" customHeight="true" outlineLevel="0" collapsed="false">
      <c r="B428" s="53" t="str">
        <f aca="false">IF(OR(LINEAS!$D$190="",LINEAS!$U$190=0,ABS(IF(OR(LINEAS!$U$190=1,LINEAS!$U$190=3),1,-1)*LINEAS!$AC$190*DATOS!$C$67)&lt;0.00005),"*",LINEAS!$D$190&amp;" UNI "&amp;IF(LINEAS!$U$190&lt;=2,"GZ","GX")&amp;" "&amp;TEXT(IF(OR(LINEAS!$U$190=1,LINEAS!$U$190=3),1,-1)*LINEAS!$AC$190*DATOS!$C$67,DATOS!$C$68))</f>
        <v>*</v>
      </c>
      <c r="C428" s="51" t="str">
        <f aca="false">IF(LEN($B428)&gt;79,"MÁS DE 79 CARACTERES","")</f>
        <v/>
      </c>
      <c r="D428" s="53" t="str">
        <f aca="false">IF(PRESIONES!$C$22="NO","",IF(OR(LINEAS!$D$190="",LINEAS!$U$190=0,ABS(IF(OR(LINEAS!$U$190=1,LINEAS!$U$190=3),1,-1)*LINEAS!$AC$190*DATOS!$C$67)&lt;0.00005),"*",LINEAS!$D$190&amp;" UNI "&amp;IF(LINEAS!$U$190&lt;=2,"GZ","GX")&amp;" "&amp;TEXT(IF(OR(LINEAS!$U$190=1,LINEAS!$U$190=3),1,-1)*LINEAS!$AC$190*DATOS!$C$67,DATOS!$C$68)))</f>
        <v/>
      </c>
      <c r="E428" s="51" t="str">
        <f aca="false">IF(LEN($D428)&gt;79,"MÁS DE 79 CARACTERES","")</f>
        <v/>
      </c>
    </row>
    <row r="429" customFormat="false" ht="15" hidden="false" customHeight="true" outlineLevel="0" collapsed="false">
      <c r="B429" s="53" t="str">
        <f aca="false">IF(OR(LINEAS!$D$191="",LINEAS!$U$191=0,ABS(IF(OR(LINEAS!$U$191=1,LINEAS!$U$191=3),1,-1)*LINEAS!$AC$191*DATOS!$C$67)&lt;0.00005),"*",LINEAS!$D$191&amp;" UNI "&amp;IF(LINEAS!$U$191&lt;=2,"GZ","GX")&amp;" "&amp;TEXT(IF(OR(LINEAS!$U$191=1,LINEAS!$U$191=3),1,-1)*LINEAS!$AC$191*DATOS!$C$67,DATOS!$C$68))</f>
        <v>*</v>
      </c>
      <c r="C429" s="51" t="str">
        <f aca="false">IF(LEN($B429)&gt;79,"MÁS DE 79 CARACTERES","")</f>
        <v/>
      </c>
      <c r="D429" s="53" t="str">
        <f aca="false">IF(PRESIONES!$C$22="NO","",IF(OR(LINEAS!$D$191="",LINEAS!$U$191=0,ABS(IF(OR(LINEAS!$U$191=1,LINEAS!$U$191=3),1,-1)*LINEAS!$AC$191*DATOS!$C$67)&lt;0.00005),"*",LINEAS!$D$191&amp;" UNI "&amp;IF(LINEAS!$U$191&lt;=2,"GZ","GX")&amp;" "&amp;TEXT(IF(OR(LINEAS!$U$191=1,LINEAS!$U$191=3),1,-1)*LINEAS!$AC$191*DATOS!$C$67,DATOS!$C$68)))</f>
        <v/>
      </c>
      <c r="E429" s="51" t="str">
        <f aca="false">IF(LEN($D429)&gt;79,"MÁS DE 79 CARACTERES","")</f>
        <v/>
      </c>
    </row>
    <row r="430" customFormat="false" ht="15" hidden="false" customHeight="true" outlineLevel="0" collapsed="false">
      <c r="B430" s="53" t="str">
        <f aca="false">IF(OR(LINEAS!$D$192="",LINEAS!$U$192=0,ABS(IF(OR(LINEAS!$U$192=1,LINEAS!$U$192=3),1,-1)*LINEAS!$AC$192*DATOS!$C$67)&lt;0.00005),"*",LINEAS!$D$192&amp;" UNI "&amp;IF(LINEAS!$U$192&lt;=2,"GZ","GX")&amp;" "&amp;TEXT(IF(OR(LINEAS!$U$192=1,LINEAS!$U$192=3),1,-1)*LINEAS!$AC$192*DATOS!$C$67,DATOS!$C$68))</f>
        <v>*</v>
      </c>
      <c r="C430" s="51" t="str">
        <f aca="false">IF(LEN($B430)&gt;79,"MÁS DE 79 CARACTERES","")</f>
        <v/>
      </c>
      <c r="D430" s="53" t="str">
        <f aca="false">IF(PRESIONES!$C$22="NO","",IF(OR(LINEAS!$D$192="",LINEAS!$U$192=0,ABS(IF(OR(LINEAS!$U$192=1,LINEAS!$U$192=3),1,-1)*LINEAS!$AC$192*DATOS!$C$67)&lt;0.00005),"*",LINEAS!$D$192&amp;" UNI "&amp;IF(LINEAS!$U$192&lt;=2,"GZ","GX")&amp;" "&amp;TEXT(IF(OR(LINEAS!$U$192=1,LINEAS!$U$192=3),1,-1)*LINEAS!$AC$192*DATOS!$C$67,DATOS!$C$68)))</f>
        <v/>
      </c>
      <c r="E430" s="51" t="str">
        <f aca="false">IF(LEN($D430)&gt;79,"MÁS DE 79 CARACTERES","")</f>
        <v/>
      </c>
    </row>
    <row r="431" customFormat="false" ht="15" hidden="false" customHeight="true" outlineLevel="0" collapsed="false">
      <c r="B431" s="53" t="str">
        <f aca="false">IF(OR(LINEAS!$D$193="",LINEAS!$U$193=0,ABS(IF(OR(LINEAS!$U$193=1,LINEAS!$U$193=3),1,-1)*LINEAS!$AC$193*DATOS!$C$67)&lt;0.00005),"*",LINEAS!$D$193&amp;" UNI "&amp;IF(LINEAS!$U$193&lt;=2,"GZ","GX")&amp;" "&amp;TEXT(IF(OR(LINEAS!$U$193=1,LINEAS!$U$193=3),1,-1)*LINEAS!$AC$193*DATOS!$C$67,DATOS!$C$68))</f>
        <v>*</v>
      </c>
      <c r="C431" s="51" t="str">
        <f aca="false">IF(LEN($B431)&gt;79,"MÁS DE 79 CARACTERES","")</f>
        <v/>
      </c>
      <c r="D431" s="53" t="str">
        <f aca="false">IF(PRESIONES!$C$22="NO","",IF(OR(LINEAS!$D$193="",LINEAS!$U$193=0,ABS(IF(OR(LINEAS!$U$193=1,LINEAS!$U$193=3),1,-1)*LINEAS!$AC$193*DATOS!$C$67)&lt;0.00005),"*",LINEAS!$D$193&amp;" UNI "&amp;IF(LINEAS!$U$193&lt;=2,"GZ","GX")&amp;" "&amp;TEXT(IF(OR(LINEAS!$U$193=1,LINEAS!$U$193=3),1,-1)*LINEAS!$AC$193*DATOS!$C$67,DATOS!$C$68)))</f>
        <v/>
      </c>
      <c r="E431" s="51" t="str">
        <f aca="false">IF(LEN($D431)&gt;79,"MÁS DE 79 CARACTERES","")</f>
        <v/>
      </c>
    </row>
    <row r="432" customFormat="false" ht="15" hidden="false" customHeight="true" outlineLevel="0" collapsed="false">
      <c r="B432" s="53" t="str">
        <f aca="false">IF(OR(LINEAS!$D$194="",LINEAS!$U$194=0,ABS(IF(OR(LINEAS!$U$194=1,LINEAS!$U$194=3),1,-1)*LINEAS!$AC$194*DATOS!$C$67)&lt;0.00005),"*",LINEAS!$D$194&amp;" UNI "&amp;IF(LINEAS!$U$194&lt;=2,"GZ","GX")&amp;" "&amp;TEXT(IF(OR(LINEAS!$U$194=1,LINEAS!$U$194=3),1,-1)*LINEAS!$AC$194*DATOS!$C$67,DATOS!$C$68))</f>
        <v>*</v>
      </c>
      <c r="C432" s="51" t="str">
        <f aca="false">IF(LEN($B432)&gt;79,"MÁS DE 79 CARACTERES","")</f>
        <v/>
      </c>
      <c r="D432" s="53" t="str">
        <f aca="false">IF(PRESIONES!$C$22="NO","",IF(OR(LINEAS!$D$194="",LINEAS!$U$194=0,ABS(IF(OR(LINEAS!$U$194=1,LINEAS!$U$194=3),1,-1)*LINEAS!$AC$194*DATOS!$C$67)&lt;0.00005),"*",LINEAS!$D$194&amp;" UNI "&amp;IF(LINEAS!$U$194&lt;=2,"GZ","GX")&amp;" "&amp;TEXT(IF(OR(LINEAS!$U$194=1,LINEAS!$U$194=3),1,-1)*LINEAS!$AC$194*DATOS!$C$67,DATOS!$C$68)))</f>
        <v/>
      </c>
      <c r="E432" s="51" t="str">
        <f aca="false">IF(LEN($D432)&gt;79,"MÁS DE 79 CARACTERES","")</f>
        <v/>
      </c>
    </row>
    <row r="433" customFormat="false" ht="15" hidden="false" customHeight="true" outlineLevel="0" collapsed="false">
      <c r="B433" s="52" t="str">
        <f aca="false">"LOAD "&amp;(DATOS!$C$66+2)&amp;" LOADTYPE Wind  TITLE "&amp;DATOS!$E$74</f>
        <v>LOAD 10 LOADTYPE Wind  TITLE VIENTO Z</v>
      </c>
      <c r="C433" s="51" t="str">
        <f aca="false">IF(LEN($B433)&gt;79,"MÁS DE 79 CARACTERES","")</f>
        <v/>
      </c>
      <c r="D433" s="53" t="str">
        <f aca="false">IF(PRESIONES!$C$22="NO",IF(3=1,"* CASOS B = CASOS A (SIN ±0.4 NI +0.3 EN EL TECHO): NO HACE FALTA",""),"LOAD "&amp;(DATOS!$C$69+2)&amp;" LOADTYPE Wind  TITLE "&amp;DATOS!$E$74&amp;" B")</f>
        <v/>
      </c>
      <c r="E433" s="51" t="str">
        <f aca="false">IF(LEN($D433)&gt;79,"MÁS DE 79 CARACTERES","")</f>
        <v/>
      </c>
    </row>
    <row r="434" customFormat="false" ht="15" hidden="false" customHeight="true" outlineLevel="0" collapsed="false">
      <c r="B434" s="53" t="s">
        <v>634</v>
      </c>
      <c r="C434" s="51" t="str">
        <f aca="false">IF(LEN($B434)&gt;79,"MÁS DE 79 CARACTERES","")</f>
        <v/>
      </c>
      <c r="D434" s="53" t="str">
        <f aca="false">IF(PRESIONES!$C$22="NO","","MEMBER LOAD")</f>
        <v/>
      </c>
      <c r="E434" s="51" t="str">
        <f aca="false">IF(LEN($D434)&gt;79,"MÁS DE 79 CARACTERES","")</f>
        <v/>
      </c>
    </row>
    <row r="435" customFormat="false" ht="15" hidden="false" customHeight="true" outlineLevel="0" collapsed="false">
      <c r="B435" s="53" t="str">
        <f aca="false">IF(OR(LINEAS!$D$9="",ABS(-LINEAS!$AD$9*DATOS!$C$67)&lt;0.00005),"*",LINEAS!$D$9&amp;" UNI GY "&amp;TEXT(-LINEAS!$AD$9*DATOS!$C$67,DATOS!$C$68))</f>
        <v>22 85 TO 88 UNI GY 0.0330</v>
      </c>
      <c r="C435" s="51" t="str">
        <f aca="false">IF(LEN($B435)&gt;79,"MÁS DE 79 CARACTERES","")</f>
        <v/>
      </c>
      <c r="D435" s="53" t="str">
        <f aca="false">IF(PRESIONES!$C$22="NO","",IF(OR(LINEAS!$D$9="",ABS(-LINEAS!$AT$9*DATOS!$C$67)&lt;0.00005),"*",LINEAS!$D$9&amp;" UNI GY "&amp;TEXT(-LINEAS!$AT$9*DATOS!$C$67,DATOS!$C$68)))</f>
        <v/>
      </c>
      <c r="E435" s="51" t="str">
        <f aca="false">IF(LEN($D435)&gt;79,"MÁS DE 79 CARACTERES","")</f>
        <v/>
      </c>
    </row>
    <row r="436" customFormat="false" ht="15" hidden="false" customHeight="true" outlineLevel="0" collapsed="false">
      <c r="B436" s="53" t="str">
        <f aca="false">IF(OR(LINEAS!$D$9="",DATOS!$C$22="—",ABS(LINEAS!$AL$9*DATOS!$C$67)&lt;0.00005),"*",LINEAS!$D$9&amp;" UNI G"&amp;DATOS!$C$22&amp;" "&amp;TEXT(LINEAS!$AL$9*DATOS!$C$67,DATOS!$C$68))</f>
        <v>22 85 TO 88 UNI GZ 0.0016</v>
      </c>
      <c r="C436" s="51" t="str">
        <f aca="false">IF(LEN($B436)&gt;79,"MÁS DE 79 CARACTERES","")</f>
        <v/>
      </c>
      <c r="D436" s="53" t="str">
        <f aca="false">IF(PRESIONES!$C$22="NO","",IF(OR(LINEAS!$D$9="",DATOS!$C$22="—",ABS(LINEAS!$BB$9*DATOS!$C$67)&lt;0.00005),"*",LINEAS!$D$9&amp;" UNI G"&amp;DATOS!$C$22&amp;" "&amp;TEXT(LINEAS!$BB$9*DATOS!$C$67,DATOS!$C$68)))</f>
        <v/>
      </c>
      <c r="E436" s="51" t="str">
        <f aca="false">IF(LEN($D436)&gt;79,"MÁS DE 79 CARACTERES","")</f>
        <v/>
      </c>
    </row>
    <row r="437" customFormat="false" ht="15" hidden="false" customHeight="true" outlineLevel="0" collapsed="false">
      <c r="B437" s="53" t="str">
        <f aca="false">IF(OR(LINEAS!$D$10="",ABS(-LINEAS!$AD$10*DATOS!$C$67)&lt;0.00005),"*",LINEAS!$D$10&amp;" UNI GY "&amp;TEXT(-LINEAS!$AD$10*DATOS!$C$67,DATOS!$C$68))</f>
        <v>80 129 TO 132 UNI GY 0.0659</v>
      </c>
      <c r="C437" s="51" t="str">
        <f aca="false">IF(LEN($B437)&gt;79,"MÁS DE 79 CARACTERES","")</f>
        <v/>
      </c>
      <c r="D437" s="53" t="str">
        <f aca="false">IF(PRESIONES!$C$22="NO","",IF(OR(LINEAS!$D$10="",ABS(-LINEAS!$AT$10*DATOS!$C$67)&lt;0.00005),"*",LINEAS!$D$10&amp;" UNI GY "&amp;TEXT(-LINEAS!$AT$10*DATOS!$C$67,DATOS!$C$68)))</f>
        <v/>
      </c>
      <c r="E437" s="51" t="str">
        <f aca="false">IF(LEN($D437)&gt;79,"MÁS DE 79 CARACTERES","")</f>
        <v/>
      </c>
    </row>
    <row r="438" customFormat="false" ht="15" hidden="false" customHeight="true" outlineLevel="0" collapsed="false">
      <c r="B438" s="53" t="str">
        <f aca="false">IF(OR(LINEAS!$D$10="",DATOS!$C$22="—",ABS(LINEAS!$AL$10*DATOS!$C$67)&lt;0.00005),"*",LINEAS!$D$10&amp;" UNI G"&amp;DATOS!$C$22&amp;" "&amp;TEXT(LINEAS!$AL$10*DATOS!$C$67,DATOS!$C$68))</f>
        <v>80 129 TO 132 UNI GZ 0.0033</v>
      </c>
      <c r="C438" s="51" t="str">
        <f aca="false">IF(LEN($B438)&gt;79,"MÁS DE 79 CARACTERES","")</f>
        <v/>
      </c>
      <c r="D438" s="53" t="str">
        <f aca="false">IF(PRESIONES!$C$22="NO","",IF(OR(LINEAS!$D$10="",DATOS!$C$22="—",ABS(LINEAS!$BB$10*DATOS!$C$67)&lt;0.00005),"*",LINEAS!$D$10&amp;" UNI G"&amp;DATOS!$C$22&amp;" "&amp;TEXT(LINEAS!$BB$10*DATOS!$C$67,DATOS!$C$68)))</f>
        <v/>
      </c>
      <c r="E438" s="51" t="str">
        <f aca="false">IF(LEN($D438)&gt;79,"MÁS DE 79 CARACTERES","")</f>
        <v/>
      </c>
    </row>
    <row r="439" customFormat="false" ht="15" hidden="false" customHeight="true" outlineLevel="0" collapsed="false">
      <c r="B439" s="53" t="str">
        <f aca="false">IF(OR(LINEAS!$D$11="",ABS(-LINEAS!$AD$11*DATOS!$C$67)&lt;0.00005),"*",LINEAS!$D$11&amp;" UNI GY "&amp;TEXT(-LINEAS!$AD$11*DATOS!$C$67,DATOS!$C$68))</f>
        <v>79 125 TO 128 UNI GY 0.0659</v>
      </c>
      <c r="C439" s="51" t="str">
        <f aca="false">IF(LEN($B439)&gt;79,"MÁS DE 79 CARACTERES","")</f>
        <v/>
      </c>
      <c r="D439" s="53" t="str">
        <f aca="false">IF(PRESIONES!$C$22="NO","",IF(OR(LINEAS!$D$11="",ABS(-LINEAS!$AT$11*DATOS!$C$67)&lt;0.00005),"*",LINEAS!$D$11&amp;" UNI GY "&amp;TEXT(-LINEAS!$AT$11*DATOS!$C$67,DATOS!$C$68)))</f>
        <v/>
      </c>
      <c r="E439" s="51" t="str">
        <f aca="false">IF(LEN($D439)&gt;79,"MÁS DE 79 CARACTERES","")</f>
        <v/>
      </c>
    </row>
    <row r="440" customFormat="false" ht="15" hidden="false" customHeight="true" outlineLevel="0" collapsed="false">
      <c r="B440" s="53" t="str">
        <f aca="false">IF(OR(LINEAS!$D$11="",DATOS!$C$22="—",ABS(LINEAS!$AL$11*DATOS!$C$67)&lt;0.00005),"*",LINEAS!$D$11&amp;" UNI G"&amp;DATOS!$C$22&amp;" "&amp;TEXT(LINEAS!$AL$11*DATOS!$C$67,DATOS!$C$68))</f>
        <v>79 125 TO 128 UNI GZ 0.0033</v>
      </c>
      <c r="C440" s="51" t="str">
        <f aca="false">IF(LEN($B440)&gt;79,"MÁS DE 79 CARACTERES","")</f>
        <v/>
      </c>
      <c r="D440" s="53" t="str">
        <f aca="false">IF(PRESIONES!$C$22="NO","",IF(OR(LINEAS!$D$11="",DATOS!$C$22="—",ABS(LINEAS!$BB$11*DATOS!$C$67)&lt;0.00005),"*",LINEAS!$D$11&amp;" UNI G"&amp;DATOS!$C$22&amp;" "&amp;TEXT(LINEAS!$BB$11*DATOS!$C$67,DATOS!$C$68)))</f>
        <v/>
      </c>
      <c r="E440" s="51" t="str">
        <f aca="false">IF(LEN($D440)&gt;79,"MÁS DE 79 CARACTERES","")</f>
        <v/>
      </c>
    </row>
    <row r="441" customFormat="false" ht="15" hidden="false" customHeight="true" outlineLevel="0" collapsed="false">
      <c r="B441" s="53" t="str">
        <f aca="false">IF(OR(LINEAS!$D$12="",ABS(-LINEAS!$AD$12*DATOS!$C$67)&lt;0.00005),"*",LINEAS!$D$12&amp;" UNI GY "&amp;TEXT(-LINEAS!$AD$12*DATOS!$C$67,DATOS!$C$68))</f>
        <v>78 121 TO 124 UNI GY 0.0659</v>
      </c>
      <c r="C441" s="51" t="str">
        <f aca="false">IF(LEN($B441)&gt;79,"MÁS DE 79 CARACTERES","")</f>
        <v/>
      </c>
      <c r="D441" s="53" t="str">
        <f aca="false">IF(PRESIONES!$C$22="NO","",IF(OR(LINEAS!$D$12="",ABS(-LINEAS!$AT$12*DATOS!$C$67)&lt;0.00005),"*",LINEAS!$D$12&amp;" UNI GY "&amp;TEXT(-LINEAS!$AT$12*DATOS!$C$67,DATOS!$C$68)))</f>
        <v/>
      </c>
      <c r="E441" s="51" t="str">
        <f aca="false">IF(LEN($D441)&gt;79,"MÁS DE 79 CARACTERES","")</f>
        <v/>
      </c>
    </row>
    <row r="442" customFormat="false" ht="15" hidden="false" customHeight="true" outlineLevel="0" collapsed="false">
      <c r="B442" s="53" t="str">
        <f aca="false">IF(OR(LINEAS!$D$12="",DATOS!$C$22="—",ABS(LINEAS!$AL$12*DATOS!$C$67)&lt;0.00005),"*",LINEAS!$D$12&amp;" UNI G"&amp;DATOS!$C$22&amp;" "&amp;TEXT(LINEAS!$AL$12*DATOS!$C$67,DATOS!$C$68))</f>
        <v>78 121 TO 124 UNI GZ 0.0033</v>
      </c>
      <c r="C442" s="51" t="str">
        <f aca="false">IF(LEN($B442)&gt;79,"MÁS DE 79 CARACTERES","")</f>
        <v/>
      </c>
      <c r="D442" s="53" t="str">
        <f aca="false">IF(PRESIONES!$C$22="NO","",IF(OR(LINEAS!$D$12="",DATOS!$C$22="—",ABS(LINEAS!$BB$12*DATOS!$C$67)&lt;0.00005),"*",LINEAS!$D$12&amp;" UNI G"&amp;DATOS!$C$22&amp;" "&amp;TEXT(LINEAS!$BB$12*DATOS!$C$67,DATOS!$C$68)))</f>
        <v/>
      </c>
      <c r="E442" s="51" t="str">
        <f aca="false">IF(LEN($D442)&gt;79,"MÁS DE 79 CARACTERES","")</f>
        <v/>
      </c>
    </row>
    <row r="443" customFormat="false" ht="15" hidden="false" customHeight="true" outlineLevel="0" collapsed="false">
      <c r="B443" s="53" t="str">
        <f aca="false">IF(OR(LINEAS!$D$13="",ABS(-LINEAS!$AD$13*DATOS!$C$67)&lt;0.00005),"*",LINEAS!$D$13&amp;" UNI GY "&amp;TEXT(-LINEAS!$AD$13*DATOS!$C$67,DATOS!$C$68))</f>
        <v>77 117 TO 120 UNI GY 0.0659</v>
      </c>
      <c r="C443" s="51" t="str">
        <f aca="false">IF(LEN($B443)&gt;79,"MÁS DE 79 CARACTERES","")</f>
        <v/>
      </c>
      <c r="D443" s="53" t="str">
        <f aca="false">IF(PRESIONES!$C$22="NO","",IF(OR(LINEAS!$D$13="",ABS(-LINEAS!$AT$13*DATOS!$C$67)&lt;0.00005),"*",LINEAS!$D$13&amp;" UNI GY "&amp;TEXT(-LINEAS!$AT$13*DATOS!$C$67,DATOS!$C$68)))</f>
        <v/>
      </c>
      <c r="E443" s="51" t="str">
        <f aca="false">IF(LEN($D443)&gt;79,"MÁS DE 79 CARACTERES","")</f>
        <v/>
      </c>
    </row>
    <row r="444" customFormat="false" ht="15" hidden="false" customHeight="true" outlineLevel="0" collapsed="false">
      <c r="B444" s="53" t="str">
        <f aca="false">IF(OR(LINEAS!$D$13="",DATOS!$C$22="—",ABS(LINEAS!$AL$13*DATOS!$C$67)&lt;0.00005),"*",LINEAS!$D$13&amp;" UNI G"&amp;DATOS!$C$22&amp;" "&amp;TEXT(LINEAS!$AL$13*DATOS!$C$67,DATOS!$C$68))</f>
        <v>77 117 TO 120 UNI GZ 0.0033</v>
      </c>
      <c r="C444" s="51" t="str">
        <f aca="false">IF(LEN($B444)&gt;79,"MÁS DE 79 CARACTERES","")</f>
        <v/>
      </c>
      <c r="D444" s="53" t="str">
        <f aca="false">IF(PRESIONES!$C$22="NO","",IF(OR(LINEAS!$D$13="",DATOS!$C$22="—",ABS(LINEAS!$BB$13*DATOS!$C$67)&lt;0.00005),"*",LINEAS!$D$13&amp;" UNI G"&amp;DATOS!$C$22&amp;" "&amp;TEXT(LINEAS!$BB$13*DATOS!$C$67,DATOS!$C$68)))</f>
        <v/>
      </c>
      <c r="E444" s="51" t="str">
        <f aca="false">IF(LEN($D444)&gt;79,"MÁS DE 79 CARACTERES","")</f>
        <v/>
      </c>
    </row>
    <row r="445" customFormat="false" ht="15" hidden="false" customHeight="true" outlineLevel="0" collapsed="false">
      <c r="B445" s="53" t="str">
        <f aca="false">IF(OR(LINEAS!$D$14="",ABS(-LINEAS!$AD$14*DATOS!$C$67)&lt;0.00005),"*",LINEAS!$D$14&amp;" UNI GY "&amp;TEXT(-LINEAS!$AD$14*DATOS!$C$67,DATOS!$C$68))</f>
        <v>9 93 TO 96 UNI GY 0.0659</v>
      </c>
      <c r="C445" s="51" t="str">
        <f aca="false">IF(LEN($B445)&gt;79,"MÁS DE 79 CARACTERES","")</f>
        <v/>
      </c>
      <c r="D445" s="53" t="str">
        <f aca="false">IF(PRESIONES!$C$22="NO","",IF(OR(LINEAS!$D$14="",ABS(-LINEAS!$AT$14*DATOS!$C$67)&lt;0.00005),"*",LINEAS!$D$14&amp;" UNI GY "&amp;TEXT(-LINEAS!$AT$14*DATOS!$C$67,DATOS!$C$68)))</f>
        <v/>
      </c>
      <c r="E445" s="51" t="str">
        <f aca="false">IF(LEN($D445)&gt;79,"MÁS DE 79 CARACTERES","")</f>
        <v/>
      </c>
    </row>
    <row r="446" customFormat="false" ht="15" hidden="false" customHeight="true" outlineLevel="0" collapsed="false">
      <c r="B446" s="53" t="str">
        <f aca="false">IF(OR(LINEAS!$D$14="",DATOS!$C$22="—",ABS(LINEAS!$AL$14*DATOS!$C$67)&lt;0.00005),"*",LINEAS!$D$14&amp;" UNI G"&amp;DATOS!$C$22&amp;" "&amp;TEXT(LINEAS!$AL$14*DATOS!$C$67,DATOS!$C$68))</f>
        <v>9 93 TO 96 UNI GZ 0.0033</v>
      </c>
      <c r="C446" s="51" t="str">
        <f aca="false">IF(LEN($B446)&gt;79,"MÁS DE 79 CARACTERES","")</f>
        <v/>
      </c>
      <c r="D446" s="53" t="str">
        <f aca="false">IF(PRESIONES!$C$22="NO","",IF(OR(LINEAS!$D$14="",DATOS!$C$22="—",ABS(LINEAS!$BB$14*DATOS!$C$67)&lt;0.00005),"*",LINEAS!$D$14&amp;" UNI G"&amp;DATOS!$C$22&amp;" "&amp;TEXT(LINEAS!$BB$14*DATOS!$C$67,DATOS!$C$68)))</f>
        <v/>
      </c>
      <c r="E446" s="51" t="str">
        <f aca="false">IF(LEN($D446)&gt;79,"MÁS DE 79 CARACTERES","")</f>
        <v/>
      </c>
    </row>
    <row r="447" customFormat="false" ht="15" hidden="false" customHeight="true" outlineLevel="0" collapsed="false">
      <c r="B447" s="53" t="str">
        <f aca="false">IF(OR(LINEAS!$D$15="",ABS(-LINEAS!$AD$15*DATOS!$C$67)&lt;0.00005),"*",LINEAS!$D$15&amp;" UNI GY "&amp;TEXT(-LINEAS!$AD$15*DATOS!$C$67,DATOS!$C$68))</f>
        <v>76 113 TO 116 UNI GY 0.0659</v>
      </c>
      <c r="C447" s="51" t="str">
        <f aca="false">IF(LEN($B447)&gt;79,"MÁS DE 79 CARACTERES","")</f>
        <v/>
      </c>
      <c r="D447" s="53" t="str">
        <f aca="false">IF(PRESIONES!$C$22="NO","",IF(OR(LINEAS!$D$15="",ABS(-LINEAS!$AT$15*DATOS!$C$67)&lt;0.00005),"*",LINEAS!$D$15&amp;" UNI GY "&amp;TEXT(-LINEAS!$AT$15*DATOS!$C$67,DATOS!$C$68)))</f>
        <v/>
      </c>
      <c r="E447" s="51" t="str">
        <f aca="false">IF(LEN($D447)&gt;79,"MÁS DE 79 CARACTERES","")</f>
        <v/>
      </c>
    </row>
    <row r="448" customFormat="false" ht="15" hidden="false" customHeight="true" outlineLevel="0" collapsed="false">
      <c r="B448" s="53" t="str">
        <f aca="false">IF(OR(LINEAS!$D$15="",DATOS!$C$22="—",ABS(LINEAS!$AL$15*DATOS!$C$67)&lt;0.00005),"*",LINEAS!$D$15&amp;" UNI G"&amp;DATOS!$C$22&amp;" "&amp;TEXT(LINEAS!$AL$15*DATOS!$C$67,DATOS!$C$68))</f>
        <v>76 113 TO 116 UNI GZ 0.0033</v>
      </c>
      <c r="C448" s="51" t="str">
        <f aca="false">IF(LEN($B448)&gt;79,"MÁS DE 79 CARACTERES","")</f>
        <v/>
      </c>
      <c r="D448" s="53" t="str">
        <f aca="false">IF(PRESIONES!$C$22="NO","",IF(OR(LINEAS!$D$15="",DATOS!$C$22="—",ABS(LINEAS!$BB$15*DATOS!$C$67)&lt;0.00005),"*",LINEAS!$D$15&amp;" UNI G"&amp;DATOS!$C$22&amp;" "&amp;TEXT(LINEAS!$BB$15*DATOS!$C$67,DATOS!$C$68)))</f>
        <v/>
      </c>
      <c r="E448" s="51" t="str">
        <f aca="false">IF(LEN($D448)&gt;79,"MÁS DE 79 CARACTERES","")</f>
        <v/>
      </c>
    </row>
    <row r="449" customFormat="false" ht="15" hidden="false" customHeight="true" outlineLevel="0" collapsed="false">
      <c r="B449" s="53" t="str">
        <f aca="false">IF(OR(LINEAS!$D$16="",ABS(-LINEAS!$AD$16*DATOS!$C$67)&lt;0.00005),"*",LINEAS!$D$16&amp;" UNI GY "&amp;TEXT(-LINEAS!$AD$16*DATOS!$C$67,DATOS!$C$68))</f>
        <v>75 109 TO 112 UNI GY 0.0659</v>
      </c>
      <c r="C449" s="51" t="str">
        <f aca="false">IF(LEN($B449)&gt;79,"MÁS DE 79 CARACTERES","")</f>
        <v/>
      </c>
      <c r="D449" s="53" t="str">
        <f aca="false">IF(PRESIONES!$C$22="NO","",IF(OR(LINEAS!$D$16="",ABS(-LINEAS!$AT$16*DATOS!$C$67)&lt;0.00005),"*",LINEAS!$D$16&amp;" UNI GY "&amp;TEXT(-LINEAS!$AT$16*DATOS!$C$67,DATOS!$C$68)))</f>
        <v/>
      </c>
      <c r="E449" s="51" t="str">
        <f aca="false">IF(LEN($D449)&gt;79,"MÁS DE 79 CARACTERES","")</f>
        <v/>
      </c>
    </row>
    <row r="450" customFormat="false" ht="15" hidden="false" customHeight="true" outlineLevel="0" collapsed="false">
      <c r="B450" s="53" t="str">
        <f aca="false">IF(OR(LINEAS!$D$16="",DATOS!$C$22="—",ABS(LINEAS!$AL$16*DATOS!$C$67)&lt;0.00005),"*",LINEAS!$D$16&amp;" UNI G"&amp;DATOS!$C$22&amp;" "&amp;TEXT(LINEAS!$AL$16*DATOS!$C$67,DATOS!$C$68))</f>
        <v>75 109 TO 112 UNI GZ 0.0033</v>
      </c>
      <c r="C450" s="51" t="str">
        <f aca="false">IF(LEN($B450)&gt;79,"MÁS DE 79 CARACTERES","")</f>
        <v/>
      </c>
      <c r="D450" s="53" t="str">
        <f aca="false">IF(PRESIONES!$C$22="NO","",IF(OR(LINEAS!$D$16="",DATOS!$C$22="—",ABS(LINEAS!$BB$16*DATOS!$C$67)&lt;0.00005),"*",LINEAS!$D$16&amp;" UNI G"&amp;DATOS!$C$22&amp;" "&amp;TEXT(LINEAS!$BB$16*DATOS!$C$67,DATOS!$C$68)))</f>
        <v/>
      </c>
      <c r="E450" s="51" t="str">
        <f aca="false">IF(LEN($D450)&gt;79,"MÁS DE 79 CARACTERES","")</f>
        <v/>
      </c>
    </row>
    <row r="451" customFormat="false" ht="15" hidden="false" customHeight="true" outlineLevel="0" collapsed="false">
      <c r="B451" s="53" t="str">
        <f aca="false">IF(OR(LINEAS!$D$17="",ABS(-LINEAS!$AD$17*DATOS!$C$67)&lt;0.00005),"*",LINEAS!$D$17&amp;" UNI GY "&amp;TEXT(-LINEAS!$AD$17*DATOS!$C$67,DATOS!$C$68))</f>
        <v>74 105 TO 108 UNI GY 0.0659</v>
      </c>
      <c r="C451" s="51" t="str">
        <f aca="false">IF(LEN($B451)&gt;79,"MÁS DE 79 CARACTERES","")</f>
        <v/>
      </c>
      <c r="D451" s="53" t="str">
        <f aca="false">IF(PRESIONES!$C$22="NO","",IF(OR(LINEAS!$D$17="",ABS(-LINEAS!$AT$17*DATOS!$C$67)&lt;0.00005),"*",LINEAS!$D$17&amp;" UNI GY "&amp;TEXT(-LINEAS!$AT$17*DATOS!$C$67,DATOS!$C$68)))</f>
        <v/>
      </c>
      <c r="E451" s="51" t="str">
        <f aca="false">IF(LEN($D451)&gt;79,"MÁS DE 79 CARACTERES","")</f>
        <v/>
      </c>
    </row>
    <row r="452" customFormat="false" ht="15" hidden="false" customHeight="true" outlineLevel="0" collapsed="false">
      <c r="B452" s="53" t="str">
        <f aca="false">IF(OR(LINEAS!$D$17="",DATOS!$C$22="—",ABS(LINEAS!$AL$17*DATOS!$C$67)&lt;0.00005),"*",LINEAS!$D$17&amp;" UNI G"&amp;DATOS!$C$22&amp;" "&amp;TEXT(LINEAS!$AL$17*DATOS!$C$67,DATOS!$C$68))</f>
        <v>74 105 TO 108 UNI GZ 0.0033</v>
      </c>
      <c r="C452" s="51" t="str">
        <f aca="false">IF(LEN($B452)&gt;79,"MÁS DE 79 CARACTERES","")</f>
        <v/>
      </c>
      <c r="D452" s="53" t="str">
        <f aca="false">IF(PRESIONES!$C$22="NO","",IF(OR(LINEAS!$D$17="",DATOS!$C$22="—",ABS(LINEAS!$BB$17*DATOS!$C$67)&lt;0.00005),"*",LINEAS!$D$17&amp;" UNI G"&amp;DATOS!$C$22&amp;" "&amp;TEXT(LINEAS!$BB$17*DATOS!$C$67,DATOS!$C$68)))</f>
        <v/>
      </c>
      <c r="E452" s="51" t="str">
        <f aca="false">IF(LEN($D452)&gt;79,"MÁS DE 79 CARACTERES","")</f>
        <v/>
      </c>
    </row>
    <row r="453" customFormat="false" ht="15" hidden="false" customHeight="true" outlineLevel="0" collapsed="false">
      <c r="B453" s="53" t="str">
        <f aca="false">IF(OR(LINEAS!$D$18="",ABS(-LINEAS!$AD$18*DATOS!$C$67)&lt;0.00005),"*",LINEAS!$D$18&amp;" UNI GY "&amp;TEXT(-LINEAS!$AD$18*DATOS!$C$67,DATOS!$C$68))</f>
        <v>73 101 TO 104 UNI GY 0.0659</v>
      </c>
      <c r="C453" s="51" t="str">
        <f aca="false">IF(LEN($B453)&gt;79,"MÁS DE 79 CARACTERES","")</f>
        <v/>
      </c>
      <c r="D453" s="53" t="str">
        <f aca="false">IF(PRESIONES!$C$22="NO","",IF(OR(LINEAS!$D$18="",ABS(-LINEAS!$AT$18*DATOS!$C$67)&lt;0.00005),"*",LINEAS!$D$18&amp;" UNI GY "&amp;TEXT(-LINEAS!$AT$18*DATOS!$C$67,DATOS!$C$68)))</f>
        <v/>
      </c>
      <c r="E453" s="51" t="str">
        <f aca="false">IF(LEN($D453)&gt;79,"MÁS DE 79 CARACTERES","")</f>
        <v/>
      </c>
    </row>
    <row r="454" customFormat="false" ht="15" hidden="false" customHeight="true" outlineLevel="0" collapsed="false">
      <c r="B454" s="53" t="str">
        <f aca="false">IF(OR(LINEAS!$D$18="",DATOS!$C$22="—",ABS(LINEAS!$AL$18*DATOS!$C$67)&lt;0.00005),"*",LINEAS!$D$18&amp;" UNI G"&amp;DATOS!$C$22&amp;" "&amp;TEXT(LINEAS!$AL$18*DATOS!$C$67,DATOS!$C$68))</f>
        <v>73 101 TO 104 UNI GZ 0.0033</v>
      </c>
      <c r="C454" s="51" t="str">
        <f aca="false">IF(LEN($B454)&gt;79,"MÁS DE 79 CARACTERES","")</f>
        <v/>
      </c>
      <c r="D454" s="53" t="str">
        <f aca="false">IF(PRESIONES!$C$22="NO","",IF(OR(LINEAS!$D$18="",DATOS!$C$22="—",ABS(LINEAS!$BB$18*DATOS!$C$67)&lt;0.00005),"*",LINEAS!$D$18&amp;" UNI G"&amp;DATOS!$C$22&amp;" "&amp;TEXT(LINEAS!$BB$18*DATOS!$C$67,DATOS!$C$68)))</f>
        <v/>
      </c>
      <c r="E454" s="51" t="str">
        <f aca="false">IF(LEN($D454)&gt;79,"MÁS DE 79 CARACTERES","")</f>
        <v/>
      </c>
    </row>
    <row r="455" customFormat="false" ht="15" hidden="false" customHeight="true" outlineLevel="0" collapsed="false">
      <c r="B455" s="53" t="str">
        <f aca="false">IF(OR(LINEAS!$D$19="",ABS(-LINEAS!$AD$19*DATOS!$C$67)&lt;0.00005),"*",LINEAS!$D$19&amp;" UNI GY "&amp;TEXT(-LINEAS!$AD$19*DATOS!$C$67,DATOS!$C$68))</f>
        <v>8 89 TO 92 UNI GY 0.0635</v>
      </c>
      <c r="C455" s="51" t="str">
        <f aca="false">IF(LEN($B455)&gt;79,"MÁS DE 79 CARACTERES","")</f>
        <v/>
      </c>
      <c r="D455" s="53" t="str">
        <f aca="false">IF(PRESIONES!$C$22="NO","",IF(OR(LINEAS!$D$19="",ABS(-LINEAS!$AT$19*DATOS!$C$67)&lt;0.00005),"*",LINEAS!$D$19&amp;" UNI GY "&amp;TEXT(-LINEAS!$AT$19*DATOS!$C$67,DATOS!$C$68)))</f>
        <v/>
      </c>
      <c r="E455" s="51" t="str">
        <f aca="false">IF(LEN($D455)&gt;79,"MÁS DE 79 CARACTERES","")</f>
        <v/>
      </c>
    </row>
    <row r="456" customFormat="false" ht="15" hidden="false" customHeight="true" outlineLevel="0" collapsed="false">
      <c r="B456" s="53" t="str">
        <f aca="false">IF(OR(LINEAS!$D$19="",DATOS!$C$22="—",ABS(LINEAS!$AL$19*DATOS!$C$67)&lt;0.00005),"*",LINEAS!$D$19&amp;" UNI G"&amp;DATOS!$C$22&amp;" "&amp;TEXT(LINEAS!$AL$19*DATOS!$C$67,DATOS!$C$68))</f>
        <v>8 89 TO 92 UNI GZ 0.0032</v>
      </c>
      <c r="C456" s="51" t="str">
        <f aca="false">IF(LEN($B456)&gt;79,"MÁS DE 79 CARACTERES","")</f>
        <v/>
      </c>
      <c r="D456" s="53" t="str">
        <f aca="false">IF(PRESIONES!$C$22="NO","",IF(OR(LINEAS!$D$19="",DATOS!$C$22="—",ABS(LINEAS!$BB$19*DATOS!$C$67)&lt;0.00005),"*",LINEAS!$D$19&amp;" UNI G"&amp;DATOS!$C$22&amp;" "&amp;TEXT(LINEAS!$BB$19*DATOS!$C$67,DATOS!$C$68)))</f>
        <v/>
      </c>
      <c r="E456" s="51" t="str">
        <f aca="false">IF(LEN($D456)&gt;79,"MÁS DE 79 CARACTERES","")</f>
        <v/>
      </c>
    </row>
    <row r="457" customFormat="false" ht="15" hidden="false" customHeight="true" outlineLevel="0" collapsed="false">
      <c r="B457" s="53" t="str">
        <f aca="false">IF(OR(LINEAS!$D$20="",ABS(-LINEAS!$AD$20*DATOS!$C$67)&lt;0.00005),"*",LINEAS!$D$20&amp;" UNI GY "&amp;TEXT(-LINEAS!$AD$20*DATOS!$C$67,DATOS!$C$68))</f>
        <v>56 97 TO 100 UNI GY 0.0610</v>
      </c>
      <c r="C457" s="51" t="str">
        <f aca="false">IF(LEN($B457)&gt;79,"MÁS DE 79 CARACTERES","")</f>
        <v/>
      </c>
      <c r="D457" s="53" t="str">
        <f aca="false">IF(PRESIONES!$C$22="NO","",IF(OR(LINEAS!$D$20="",ABS(-LINEAS!$AT$20*DATOS!$C$67)&lt;0.00005),"*",LINEAS!$D$20&amp;" UNI GY "&amp;TEXT(-LINEAS!$AT$20*DATOS!$C$67,DATOS!$C$68)))</f>
        <v/>
      </c>
      <c r="E457" s="51" t="str">
        <f aca="false">IF(LEN($D457)&gt;79,"MÁS DE 79 CARACTERES","")</f>
        <v/>
      </c>
    </row>
    <row r="458" customFormat="false" ht="15" hidden="false" customHeight="true" outlineLevel="0" collapsed="false">
      <c r="B458" s="53" t="str">
        <f aca="false">IF(OR(LINEAS!$D$20="",DATOS!$C$22="—",ABS(LINEAS!$AL$20*DATOS!$C$67)&lt;0.00005),"*",LINEAS!$D$20&amp;" UNI G"&amp;DATOS!$C$22&amp;" "&amp;TEXT(LINEAS!$AL$20*DATOS!$C$67,DATOS!$C$68))</f>
        <v>56 97 TO 100 UNI GZ 0.0031</v>
      </c>
      <c r="C458" s="51" t="str">
        <f aca="false">IF(LEN($B458)&gt;79,"MÁS DE 79 CARACTERES","")</f>
        <v/>
      </c>
      <c r="D458" s="53" t="str">
        <f aca="false">IF(PRESIONES!$C$22="NO","",IF(OR(LINEAS!$D$20="",DATOS!$C$22="—",ABS(LINEAS!$BB$20*DATOS!$C$67)&lt;0.00005),"*",LINEAS!$D$20&amp;" UNI G"&amp;DATOS!$C$22&amp;" "&amp;TEXT(LINEAS!$BB$20*DATOS!$C$67,DATOS!$C$68)))</f>
        <v/>
      </c>
      <c r="E458" s="51" t="str">
        <f aca="false">IF(LEN($D458)&gt;79,"MÁS DE 79 CARACTERES","")</f>
        <v/>
      </c>
    </row>
    <row r="459" customFormat="false" ht="15" hidden="false" customHeight="true" outlineLevel="0" collapsed="false">
      <c r="B459" s="53" t="str">
        <f aca="false">IF(OR(LINEAS!$D$21="",ABS(-LINEAS!$AD$21*DATOS!$C$67)&lt;0.00005),"*",LINEAS!$D$21&amp;" UNI GY "&amp;TEXT(-LINEAS!$AD$21*DATOS!$C$67,DATOS!$C$68))</f>
        <v>7 81 TO 84 UNI GY 0.0305</v>
      </c>
      <c r="C459" s="51" t="str">
        <f aca="false">IF(LEN($B459)&gt;79,"MÁS DE 79 CARACTERES","")</f>
        <v/>
      </c>
      <c r="D459" s="53" t="str">
        <f aca="false">IF(PRESIONES!$C$22="NO","",IF(OR(LINEAS!$D$21="",ABS(-LINEAS!$AT$21*DATOS!$C$67)&lt;0.00005),"*",LINEAS!$D$21&amp;" UNI GY "&amp;TEXT(-LINEAS!$AT$21*DATOS!$C$67,DATOS!$C$68)))</f>
        <v/>
      </c>
      <c r="E459" s="51" t="str">
        <f aca="false">IF(LEN($D459)&gt;79,"MÁS DE 79 CARACTERES","")</f>
        <v/>
      </c>
    </row>
    <row r="460" customFormat="false" ht="15" hidden="false" customHeight="true" outlineLevel="0" collapsed="false">
      <c r="B460" s="53" t="str">
        <f aca="false">IF(OR(LINEAS!$D$21="",DATOS!$C$22="—",ABS(LINEAS!$AL$21*DATOS!$C$67)&lt;0.00005),"*",LINEAS!$D$21&amp;" UNI G"&amp;DATOS!$C$22&amp;" "&amp;TEXT(LINEAS!$AL$21*DATOS!$C$67,DATOS!$C$68))</f>
        <v>7 81 TO 84 UNI GZ 0.0015</v>
      </c>
      <c r="C460" s="51" t="str">
        <f aca="false">IF(LEN($B460)&gt;79,"MÁS DE 79 CARACTERES","")</f>
        <v/>
      </c>
      <c r="D460" s="53" t="str">
        <f aca="false">IF(PRESIONES!$C$22="NO","",IF(OR(LINEAS!$D$21="",DATOS!$C$22="—",ABS(LINEAS!$BB$21*DATOS!$C$67)&lt;0.00005),"*",LINEAS!$D$21&amp;" UNI G"&amp;DATOS!$C$22&amp;" "&amp;TEXT(LINEAS!$BB$21*DATOS!$C$67,DATOS!$C$68)))</f>
        <v/>
      </c>
      <c r="E460" s="51" t="str">
        <f aca="false">IF(LEN($D460)&gt;79,"MÁS DE 79 CARACTERES","")</f>
        <v/>
      </c>
    </row>
    <row r="461" customFormat="false" ht="15" hidden="false" customHeight="true" outlineLevel="0" collapsed="false">
      <c r="B461" s="53" t="str">
        <f aca="false">IF(OR(LINEAS!$D$22="",ABS(-LINEAS!$AD$22*DATOS!$C$67)&lt;0.00005),"*",LINEAS!$D$22&amp;" UNI GY "&amp;TEXT(-LINEAS!$AD$22*DATOS!$C$67,DATOS!$C$68))</f>
        <v>*</v>
      </c>
      <c r="C461" s="51" t="str">
        <f aca="false">IF(LEN($B461)&gt;79,"MÁS DE 79 CARACTERES","")</f>
        <v/>
      </c>
      <c r="D461" s="53" t="str">
        <f aca="false">IF(PRESIONES!$C$22="NO","",IF(OR(LINEAS!$D$22="",ABS(-LINEAS!$AT$22*DATOS!$C$67)&lt;0.00005),"*",LINEAS!$D$22&amp;" UNI GY "&amp;TEXT(-LINEAS!$AT$22*DATOS!$C$67,DATOS!$C$68)))</f>
        <v/>
      </c>
      <c r="E461" s="51" t="str">
        <f aca="false">IF(LEN($D461)&gt;79,"MÁS DE 79 CARACTERES","")</f>
        <v/>
      </c>
    </row>
    <row r="462" customFormat="false" ht="15" hidden="false" customHeight="true" outlineLevel="0" collapsed="false">
      <c r="B462" s="53" t="str">
        <f aca="false">IF(OR(LINEAS!$D$22="",DATOS!$C$22="—",ABS(LINEAS!$AL$22*DATOS!$C$67)&lt;0.00005),"*",LINEAS!$D$22&amp;" UNI G"&amp;DATOS!$C$22&amp;" "&amp;TEXT(LINEAS!$AL$22*DATOS!$C$67,DATOS!$C$68))</f>
        <v>*</v>
      </c>
      <c r="C462" s="51" t="str">
        <f aca="false">IF(LEN($B462)&gt;79,"MÁS DE 79 CARACTERES","")</f>
        <v/>
      </c>
      <c r="D462" s="53" t="str">
        <f aca="false">IF(PRESIONES!$C$22="NO","",IF(OR(LINEAS!$D$22="",DATOS!$C$22="—",ABS(LINEAS!$BB$22*DATOS!$C$67)&lt;0.00005),"*",LINEAS!$D$22&amp;" UNI G"&amp;DATOS!$C$22&amp;" "&amp;TEXT(LINEAS!$BB$22*DATOS!$C$67,DATOS!$C$68)))</f>
        <v/>
      </c>
      <c r="E462" s="51" t="str">
        <f aca="false">IF(LEN($D462)&gt;79,"MÁS DE 79 CARACTERES","")</f>
        <v/>
      </c>
    </row>
    <row r="463" customFormat="false" ht="15" hidden="false" customHeight="true" outlineLevel="0" collapsed="false">
      <c r="B463" s="53" t="str">
        <f aca="false">IF(OR(LINEAS!$D$23="",ABS(-LINEAS!$AD$23*DATOS!$C$67)&lt;0.00005),"*",LINEAS!$D$23&amp;" UNI GY "&amp;TEXT(-LINEAS!$AD$23*DATOS!$C$67,DATOS!$C$68))</f>
        <v>*</v>
      </c>
      <c r="C463" s="51" t="str">
        <f aca="false">IF(LEN($B463)&gt;79,"MÁS DE 79 CARACTERES","")</f>
        <v/>
      </c>
      <c r="D463" s="53" t="str">
        <f aca="false">IF(PRESIONES!$C$22="NO","",IF(OR(LINEAS!$D$23="",ABS(-LINEAS!$AT$23*DATOS!$C$67)&lt;0.00005),"*",LINEAS!$D$23&amp;" UNI GY "&amp;TEXT(-LINEAS!$AT$23*DATOS!$C$67,DATOS!$C$68)))</f>
        <v/>
      </c>
      <c r="E463" s="51" t="str">
        <f aca="false">IF(LEN($D463)&gt;79,"MÁS DE 79 CARACTERES","")</f>
        <v/>
      </c>
    </row>
    <row r="464" customFormat="false" ht="15" hidden="false" customHeight="true" outlineLevel="0" collapsed="false">
      <c r="B464" s="53" t="str">
        <f aca="false">IF(OR(LINEAS!$D$23="",DATOS!$C$22="—",ABS(LINEAS!$AL$23*DATOS!$C$67)&lt;0.00005),"*",LINEAS!$D$23&amp;" UNI G"&amp;DATOS!$C$22&amp;" "&amp;TEXT(LINEAS!$AL$23*DATOS!$C$67,DATOS!$C$68))</f>
        <v>*</v>
      </c>
      <c r="C464" s="51" t="str">
        <f aca="false">IF(LEN($B464)&gt;79,"MÁS DE 79 CARACTERES","")</f>
        <v/>
      </c>
      <c r="D464" s="53" t="str">
        <f aca="false">IF(PRESIONES!$C$22="NO","",IF(OR(LINEAS!$D$23="",DATOS!$C$22="—",ABS(LINEAS!$BB$23*DATOS!$C$67)&lt;0.00005),"*",LINEAS!$D$23&amp;" UNI G"&amp;DATOS!$C$22&amp;" "&amp;TEXT(LINEAS!$BB$23*DATOS!$C$67,DATOS!$C$68)))</f>
        <v/>
      </c>
      <c r="E464" s="51" t="str">
        <f aca="false">IF(LEN($D464)&gt;79,"MÁS DE 79 CARACTERES","")</f>
        <v/>
      </c>
    </row>
    <row r="465" customFormat="false" ht="15" hidden="false" customHeight="true" outlineLevel="0" collapsed="false">
      <c r="B465" s="53" t="str">
        <f aca="false">IF(OR(LINEAS!$D$24="",ABS(-LINEAS!$AD$24*DATOS!$C$67)&lt;0.00005),"*",LINEAS!$D$24&amp;" UNI GY "&amp;TEXT(-LINEAS!$AD$24*DATOS!$C$67,DATOS!$C$68))</f>
        <v>*</v>
      </c>
      <c r="C465" s="51" t="str">
        <f aca="false">IF(LEN($B465)&gt;79,"MÁS DE 79 CARACTERES","")</f>
        <v/>
      </c>
      <c r="D465" s="53" t="str">
        <f aca="false">IF(PRESIONES!$C$22="NO","",IF(OR(LINEAS!$D$24="",ABS(-LINEAS!$AT$24*DATOS!$C$67)&lt;0.00005),"*",LINEAS!$D$24&amp;" UNI GY "&amp;TEXT(-LINEAS!$AT$24*DATOS!$C$67,DATOS!$C$68)))</f>
        <v/>
      </c>
      <c r="E465" s="51" t="str">
        <f aca="false">IF(LEN($D465)&gt;79,"MÁS DE 79 CARACTERES","")</f>
        <v/>
      </c>
    </row>
    <row r="466" customFormat="false" ht="15" hidden="false" customHeight="true" outlineLevel="0" collapsed="false">
      <c r="B466" s="53" t="str">
        <f aca="false">IF(OR(LINEAS!$D$24="",DATOS!$C$22="—",ABS(LINEAS!$AL$24*DATOS!$C$67)&lt;0.00005),"*",LINEAS!$D$24&amp;" UNI G"&amp;DATOS!$C$22&amp;" "&amp;TEXT(LINEAS!$AL$24*DATOS!$C$67,DATOS!$C$68))</f>
        <v>*</v>
      </c>
      <c r="C466" s="51" t="str">
        <f aca="false">IF(LEN($B466)&gt;79,"MÁS DE 79 CARACTERES","")</f>
        <v/>
      </c>
      <c r="D466" s="53" t="str">
        <f aca="false">IF(PRESIONES!$C$22="NO","",IF(OR(LINEAS!$D$24="",DATOS!$C$22="—",ABS(LINEAS!$BB$24*DATOS!$C$67)&lt;0.00005),"*",LINEAS!$D$24&amp;" UNI G"&amp;DATOS!$C$22&amp;" "&amp;TEXT(LINEAS!$BB$24*DATOS!$C$67,DATOS!$C$68)))</f>
        <v/>
      </c>
      <c r="E466" s="51" t="str">
        <f aca="false">IF(LEN($D466)&gt;79,"MÁS DE 79 CARACTERES","")</f>
        <v/>
      </c>
    </row>
    <row r="467" customFormat="false" ht="15" hidden="false" customHeight="true" outlineLevel="0" collapsed="false">
      <c r="B467" s="53" t="str">
        <f aca="false">IF(OR(LINEAS!$D$25="",ABS(-LINEAS!$AD$25*DATOS!$C$67)&lt;0.00005),"*",LINEAS!$D$25&amp;" UNI GY "&amp;TEXT(-LINEAS!$AD$25*DATOS!$C$67,DATOS!$C$68))</f>
        <v>*</v>
      </c>
      <c r="C467" s="51" t="str">
        <f aca="false">IF(LEN($B467)&gt;79,"MÁS DE 79 CARACTERES","")</f>
        <v/>
      </c>
      <c r="D467" s="53" t="str">
        <f aca="false">IF(PRESIONES!$C$22="NO","",IF(OR(LINEAS!$D$25="",ABS(-LINEAS!$AT$25*DATOS!$C$67)&lt;0.00005),"*",LINEAS!$D$25&amp;" UNI GY "&amp;TEXT(-LINEAS!$AT$25*DATOS!$C$67,DATOS!$C$68)))</f>
        <v/>
      </c>
      <c r="E467" s="51" t="str">
        <f aca="false">IF(LEN($D467)&gt;79,"MÁS DE 79 CARACTERES","")</f>
        <v/>
      </c>
    </row>
    <row r="468" customFormat="false" ht="15" hidden="false" customHeight="true" outlineLevel="0" collapsed="false">
      <c r="B468" s="53" t="str">
        <f aca="false">IF(OR(LINEAS!$D$25="",DATOS!$C$22="—",ABS(LINEAS!$AL$25*DATOS!$C$67)&lt;0.00005),"*",LINEAS!$D$25&amp;" UNI G"&amp;DATOS!$C$22&amp;" "&amp;TEXT(LINEAS!$AL$25*DATOS!$C$67,DATOS!$C$68))</f>
        <v>*</v>
      </c>
      <c r="C468" s="51" t="str">
        <f aca="false">IF(LEN($B468)&gt;79,"MÁS DE 79 CARACTERES","")</f>
        <v/>
      </c>
      <c r="D468" s="53" t="str">
        <f aca="false">IF(PRESIONES!$C$22="NO","",IF(OR(LINEAS!$D$25="",DATOS!$C$22="—",ABS(LINEAS!$BB$25*DATOS!$C$67)&lt;0.00005),"*",LINEAS!$D$25&amp;" UNI G"&amp;DATOS!$C$22&amp;" "&amp;TEXT(LINEAS!$BB$25*DATOS!$C$67,DATOS!$C$68)))</f>
        <v/>
      </c>
      <c r="E468" s="51" t="str">
        <f aca="false">IF(LEN($D468)&gt;79,"MÁS DE 79 CARACTERES","")</f>
        <v/>
      </c>
    </row>
    <row r="469" customFormat="false" ht="15" hidden="false" customHeight="true" outlineLevel="0" collapsed="false">
      <c r="B469" s="53" t="str">
        <f aca="false">IF(OR(LINEAS!$D$26="",ABS(-LINEAS!$AD$26*DATOS!$C$67)&lt;0.00005),"*",LINEAS!$D$26&amp;" UNI GY "&amp;TEXT(-LINEAS!$AD$26*DATOS!$C$67,DATOS!$C$68))</f>
        <v>*</v>
      </c>
      <c r="C469" s="51" t="str">
        <f aca="false">IF(LEN($B469)&gt;79,"MÁS DE 79 CARACTERES","")</f>
        <v/>
      </c>
      <c r="D469" s="53" t="str">
        <f aca="false">IF(PRESIONES!$C$22="NO","",IF(OR(LINEAS!$D$26="",ABS(-LINEAS!$AT$26*DATOS!$C$67)&lt;0.00005),"*",LINEAS!$D$26&amp;" UNI GY "&amp;TEXT(-LINEAS!$AT$26*DATOS!$C$67,DATOS!$C$68)))</f>
        <v/>
      </c>
      <c r="E469" s="51" t="str">
        <f aca="false">IF(LEN($D469)&gt;79,"MÁS DE 79 CARACTERES","")</f>
        <v/>
      </c>
    </row>
    <row r="470" customFormat="false" ht="15" hidden="false" customHeight="true" outlineLevel="0" collapsed="false">
      <c r="B470" s="53" t="str">
        <f aca="false">IF(OR(LINEAS!$D$26="",DATOS!$C$22="—",ABS(LINEAS!$AL$26*DATOS!$C$67)&lt;0.00005),"*",LINEAS!$D$26&amp;" UNI G"&amp;DATOS!$C$22&amp;" "&amp;TEXT(LINEAS!$AL$26*DATOS!$C$67,DATOS!$C$68))</f>
        <v>*</v>
      </c>
      <c r="C470" s="51" t="str">
        <f aca="false">IF(LEN($B470)&gt;79,"MÁS DE 79 CARACTERES","")</f>
        <v/>
      </c>
      <c r="D470" s="53" t="str">
        <f aca="false">IF(PRESIONES!$C$22="NO","",IF(OR(LINEAS!$D$26="",DATOS!$C$22="—",ABS(LINEAS!$BB$26*DATOS!$C$67)&lt;0.00005),"*",LINEAS!$D$26&amp;" UNI G"&amp;DATOS!$C$22&amp;" "&amp;TEXT(LINEAS!$BB$26*DATOS!$C$67,DATOS!$C$68)))</f>
        <v/>
      </c>
      <c r="E470" s="51" t="str">
        <f aca="false">IF(LEN($D470)&gt;79,"MÁS DE 79 CARACTERES","")</f>
        <v/>
      </c>
    </row>
    <row r="471" customFormat="false" ht="15" hidden="false" customHeight="true" outlineLevel="0" collapsed="false">
      <c r="B471" s="53" t="str">
        <f aca="false">IF(OR(LINEAS!$D$27="",ABS(-LINEAS!$AD$27*DATOS!$C$67)&lt;0.00005),"*",LINEAS!$D$27&amp;" UNI GY "&amp;TEXT(-LINEAS!$AD$27*DATOS!$C$67,DATOS!$C$68))</f>
        <v>*</v>
      </c>
      <c r="C471" s="51" t="str">
        <f aca="false">IF(LEN($B471)&gt;79,"MÁS DE 79 CARACTERES","")</f>
        <v/>
      </c>
      <c r="D471" s="53" t="str">
        <f aca="false">IF(PRESIONES!$C$22="NO","",IF(OR(LINEAS!$D$27="",ABS(-LINEAS!$AT$27*DATOS!$C$67)&lt;0.00005),"*",LINEAS!$D$27&amp;" UNI GY "&amp;TEXT(-LINEAS!$AT$27*DATOS!$C$67,DATOS!$C$68)))</f>
        <v/>
      </c>
      <c r="E471" s="51" t="str">
        <f aca="false">IF(LEN($D471)&gt;79,"MÁS DE 79 CARACTERES","")</f>
        <v/>
      </c>
    </row>
    <row r="472" customFormat="false" ht="15" hidden="false" customHeight="true" outlineLevel="0" collapsed="false">
      <c r="B472" s="53" t="str">
        <f aca="false">IF(OR(LINEAS!$D$27="",DATOS!$C$22="—",ABS(LINEAS!$AL$27*DATOS!$C$67)&lt;0.00005),"*",LINEAS!$D$27&amp;" UNI G"&amp;DATOS!$C$22&amp;" "&amp;TEXT(LINEAS!$AL$27*DATOS!$C$67,DATOS!$C$68))</f>
        <v>*</v>
      </c>
      <c r="C472" s="51" t="str">
        <f aca="false">IF(LEN($B472)&gt;79,"MÁS DE 79 CARACTERES","")</f>
        <v/>
      </c>
      <c r="D472" s="53" t="str">
        <f aca="false">IF(PRESIONES!$C$22="NO","",IF(OR(LINEAS!$D$27="",DATOS!$C$22="—",ABS(LINEAS!$BB$27*DATOS!$C$67)&lt;0.00005),"*",LINEAS!$D$27&amp;" UNI G"&amp;DATOS!$C$22&amp;" "&amp;TEXT(LINEAS!$BB$27*DATOS!$C$67,DATOS!$C$68)))</f>
        <v/>
      </c>
      <c r="E472" s="51" t="str">
        <f aca="false">IF(LEN($D472)&gt;79,"MÁS DE 79 CARACTERES","")</f>
        <v/>
      </c>
    </row>
    <row r="473" customFormat="false" ht="15" hidden="false" customHeight="true" outlineLevel="0" collapsed="false">
      <c r="B473" s="53" t="str">
        <f aca="false">IF(OR(LINEAS!$D$28="",ABS(-LINEAS!$AD$28*DATOS!$C$67)&lt;0.00005),"*",LINEAS!$D$28&amp;" UNI GY "&amp;TEXT(-LINEAS!$AD$28*DATOS!$C$67,DATOS!$C$68))</f>
        <v>*</v>
      </c>
      <c r="C473" s="51" t="str">
        <f aca="false">IF(LEN($B473)&gt;79,"MÁS DE 79 CARACTERES","")</f>
        <v/>
      </c>
      <c r="D473" s="53" t="str">
        <f aca="false">IF(PRESIONES!$C$22="NO","",IF(OR(LINEAS!$D$28="",ABS(-LINEAS!$AT$28*DATOS!$C$67)&lt;0.00005),"*",LINEAS!$D$28&amp;" UNI GY "&amp;TEXT(-LINEAS!$AT$28*DATOS!$C$67,DATOS!$C$68)))</f>
        <v/>
      </c>
      <c r="E473" s="51" t="str">
        <f aca="false">IF(LEN($D473)&gt;79,"MÁS DE 79 CARACTERES","")</f>
        <v/>
      </c>
    </row>
    <row r="474" customFormat="false" ht="15" hidden="false" customHeight="true" outlineLevel="0" collapsed="false">
      <c r="B474" s="53" t="str">
        <f aca="false">IF(OR(LINEAS!$D$28="",DATOS!$C$22="—",ABS(LINEAS!$AL$28*DATOS!$C$67)&lt;0.00005),"*",LINEAS!$D$28&amp;" UNI G"&amp;DATOS!$C$22&amp;" "&amp;TEXT(LINEAS!$AL$28*DATOS!$C$67,DATOS!$C$68))</f>
        <v>*</v>
      </c>
      <c r="C474" s="51" t="str">
        <f aca="false">IF(LEN($B474)&gt;79,"MÁS DE 79 CARACTERES","")</f>
        <v/>
      </c>
      <c r="D474" s="53" t="str">
        <f aca="false">IF(PRESIONES!$C$22="NO","",IF(OR(LINEAS!$D$28="",DATOS!$C$22="—",ABS(LINEAS!$BB$28*DATOS!$C$67)&lt;0.00005),"*",LINEAS!$D$28&amp;" UNI G"&amp;DATOS!$C$22&amp;" "&amp;TEXT(LINEAS!$BB$28*DATOS!$C$67,DATOS!$C$68)))</f>
        <v/>
      </c>
      <c r="E474" s="51" t="str">
        <f aca="false">IF(LEN($D474)&gt;79,"MÁS DE 79 CARACTERES","")</f>
        <v/>
      </c>
    </row>
    <row r="475" customFormat="false" ht="15" hidden="false" customHeight="true" outlineLevel="0" collapsed="false">
      <c r="B475" s="53" t="str">
        <f aca="false">IF(OR(LINEAS!$D$29="",ABS(-LINEAS!$AD$29*DATOS!$C$67)&lt;0.00005),"*",LINEAS!$D$29&amp;" UNI GY "&amp;TEXT(-LINEAS!$AD$29*DATOS!$C$67,DATOS!$C$68))</f>
        <v>*</v>
      </c>
      <c r="C475" s="51" t="str">
        <f aca="false">IF(LEN($B475)&gt;79,"MÁS DE 79 CARACTERES","")</f>
        <v/>
      </c>
      <c r="D475" s="53" t="str">
        <f aca="false">IF(PRESIONES!$C$22="NO","",IF(OR(LINEAS!$D$29="",ABS(-LINEAS!$AT$29*DATOS!$C$67)&lt;0.00005),"*",LINEAS!$D$29&amp;" UNI GY "&amp;TEXT(-LINEAS!$AT$29*DATOS!$C$67,DATOS!$C$68)))</f>
        <v/>
      </c>
      <c r="E475" s="51" t="str">
        <f aca="false">IF(LEN($D475)&gt;79,"MÁS DE 79 CARACTERES","")</f>
        <v/>
      </c>
    </row>
    <row r="476" customFormat="false" ht="15" hidden="false" customHeight="true" outlineLevel="0" collapsed="false">
      <c r="B476" s="53" t="str">
        <f aca="false">IF(OR(LINEAS!$D$29="",DATOS!$C$22="—",ABS(LINEAS!$AL$29*DATOS!$C$67)&lt;0.00005),"*",LINEAS!$D$29&amp;" UNI G"&amp;DATOS!$C$22&amp;" "&amp;TEXT(LINEAS!$AL$29*DATOS!$C$67,DATOS!$C$68))</f>
        <v>*</v>
      </c>
      <c r="C476" s="51" t="str">
        <f aca="false">IF(LEN($B476)&gt;79,"MÁS DE 79 CARACTERES","")</f>
        <v/>
      </c>
      <c r="D476" s="53" t="str">
        <f aca="false">IF(PRESIONES!$C$22="NO","",IF(OR(LINEAS!$D$29="",DATOS!$C$22="—",ABS(LINEAS!$BB$29*DATOS!$C$67)&lt;0.00005),"*",LINEAS!$D$29&amp;" UNI G"&amp;DATOS!$C$22&amp;" "&amp;TEXT(LINEAS!$BB$29*DATOS!$C$67,DATOS!$C$68)))</f>
        <v/>
      </c>
      <c r="E476" s="51" t="str">
        <f aca="false">IF(LEN($D476)&gt;79,"MÁS DE 79 CARACTERES","")</f>
        <v/>
      </c>
    </row>
    <row r="477" customFormat="false" ht="15" hidden="false" customHeight="true" outlineLevel="0" collapsed="false">
      <c r="B477" s="53" t="str">
        <f aca="false">IF(OR(LINEAS!$D$30="",ABS(-LINEAS!$AD$30*DATOS!$C$67)&lt;0.00005),"*",LINEAS!$D$30&amp;" UNI GY "&amp;TEXT(-LINEAS!$AD$30*DATOS!$C$67,DATOS!$C$68))</f>
        <v>*</v>
      </c>
      <c r="C477" s="51" t="str">
        <f aca="false">IF(LEN($B477)&gt;79,"MÁS DE 79 CARACTERES","")</f>
        <v/>
      </c>
      <c r="D477" s="53" t="str">
        <f aca="false">IF(PRESIONES!$C$22="NO","",IF(OR(LINEAS!$D$30="",ABS(-LINEAS!$AT$30*DATOS!$C$67)&lt;0.00005),"*",LINEAS!$D$30&amp;" UNI GY "&amp;TEXT(-LINEAS!$AT$30*DATOS!$C$67,DATOS!$C$68)))</f>
        <v/>
      </c>
      <c r="E477" s="51" t="str">
        <f aca="false">IF(LEN($D477)&gt;79,"MÁS DE 79 CARACTERES","")</f>
        <v/>
      </c>
    </row>
    <row r="478" customFormat="false" ht="15" hidden="false" customHeight="true" outlineLevel="0" collapsed="false">
      <c r="B478" s="53" t="str">
        <f aca="false">IF(OR(LINEAS!$D$30="",DATOS!$C$22="—",ABS(LINEAS!$AL$30*DATOS!$C$67)&lt;0.00005),"*",LINEAS!$D$30&amp;" UNI G"&amp;DATOS!$C$22&amp;" "&amp;TEXT(LINEAS!$AL$30*DATOS!$C$67,DATOS!$C$68))</f>
        <v>*</v>
      </c>
      <c r="C478" s="51" t="str">
        <f aca="false">IF(LEN($B478)&gt;79,"MÁS DE 79 CARACTERES","")</f>
        <v/>
      </c>
      <c r="D478" s="53" t="str">
        <f aca="false">IF(PRESIONES!$C$22="NO","",IF(OR(LINEAS!$D$30="",DATOS!$C$22="—",ABS(LINEAS!$BB$30*DATOS!$C$67)&lt;0.00005),"*",LINEAS!$D$30&amp;" UNI G"&amp;DATOS!$C$22&amp;" "&amp;TEXT(LINEAS!$BB$30*DATOS!$C$67,DATOS!$C$68)))</f>
        <v/>
      </c>
      <c r="E478" s="51" t="str">
        <f aca="false">IF(LEN($D478)&gt;79,"MÁS DE 79 CARACTERES","")</f>
        <v/>
      </c>
    </row>
    <row r="479" customFormat="false" ht="15" hidden="false" customHeight="true" outlineLevel="0" collapsed="false">
      <c r="B479" s="53" t="str">
        <f aca="false">IF(OR(LINEAS!$D$31="",ABS(-LINEAS!$AD$31*DATOS!$C$67)&lt;0.00005),"*",LINEAS!$D$31&amp;" UNI GY "&amp;TEXT(-LINEAS!$AD$31*DATOS!$C$67,DATOS!$C$68))</f>
        <v>*</v>
      </c>
      <c r="C479" s="51" t="str">
        <f aca="false">IF(LEN($B479)&gt;79,"MÁS DE 79 CARACTERES","")</f>
        <v/>
      </c>
      <c r="D479" s="53" t="str">
        <f aca="false">IF(PRESIONES!$C$22="NO","",IF(OR(LINEAS!$D$31="",ABS(-LINEAS!$AT$31*DATOS!$C$67)&lt;0.00005),"*",LINEAS!$D$31&amp;" UNI GY "&amp;TEXT(-LINEAS!$AT$31*DATOS!$C$67,DATOS!$C$68)))</f>
        <v/>
      </c>
      <c r="E479" s="51" t="str">
        <f aca="false">IF(LEN($D479)&gt;79,"MÁS DE 79 CARACTERES","")</f>
        <v/>
      </c>
    </row>
    <row r="480" customFormat="false" ht="15" hidden="false" customHeight="true" outlineLevel="0" collapsed="false">
      <c r="B480" s="53" t="str">
        <f aca="false">IF(OR(LINEAS!$D$31="",DATOS!$C$22="—",ABS(LINEAS!$AL$31*DATOS!$C$67)&lt;0.00005),"*",LINEAS!$D$31&amp;" UNI G"&amp;DATOS!$C$22&amp;" "&amp;TEXT(LINEAS!$AL$31*DATOS!$C$67,DATOS!$C$68))</f>
        <v>*</v>
      </c>
      <c r="C480" s="51" t="str">
        <f aca="false">IF(LEN($B480)&gt;79,"MÁS DE 79 CARACTERES","")</f>
        <v/>
      </c>
      <c r="D480" s="53" t="str">
        <f aca="false">IF(PRESIONES!$C$22="NO","",IF(OR(LINEAS!$D$31="",DATOS!$C$22="—",ABS(LINEAS!$BB$31*DATOS!$C$67)&lt;0.00005),"*",LINEAS!$D$31&amp;" UNI G"&amp;DATOS!$C$22&amp;" "&amp;TEXT(LINEAS!$BB$31*DATOS!$C$67,DATOS!$C$68)))</f>
        <v/>
      </c>
      <c r="E480" s="51" t="str">
        <f aca="false">IF(LEN($D480)&gt;79,"MÁS DE 79 CARACTERES","")</f>
        <v/>
      </c>
    </row>
    <row r="481" customFormat="false" ht="15" hidden="false" customHeight="true" outlineLevel="0" collapsed="false">
      <c r="B481" s="53" t="str">
        <f aca="false">IF(OR(LINEAS!$D$32="",ABS(-LINEAS!$AD$32*DATOS!$C$67)&lt;0.00005),"*",LINEAS!$D$32&amp;" UNI GY "&amp;TEXT(-LINEAS!$AD$32*DATOS!$C$67,DATOS!$C$68))</f>
        <v>*</v>
      </c>
      <c r="C481" s="51" t="str">
        <f aca="false">IF(LEN($B481)&gt;79,"MÁS DE 79 CARACTERES","")</f>
        <v/>
      </c>
      <c r="D481" s="53" t="str">
        <f aca="false">IF(PRESIONES!$C$22="NO","",IF(OR(LINEAS!$D$32="",ABS(-LINEAS!$AT$32*DATOS!$C$67)&lt;0.00005),"*",LINEAS!$D$32&amp;" UNI GY "&amp;TEXT(-LINEAS!$AT$32*DATOS!$C$67,DATOS!$C$68)))</f>
        <v/>
      </c>
      <c r="E481" s="51" t="str">
        <f aca="false">IF(LEN($D481)&gt;79,"MÁS DE 79 CARACTERES","")</f>
        <v/>
      </c>
    </row>
    <row r="482" customFormat="false" ht="15" hidden="false" customHeight="true" outlineLevel="0" collapsed="false">
      <c r="B482" s="53" t="str">
        <f aca="false">IF(OR(LINEAS!$D$32="",DATOS!$C$22="—",ABS(LINEAS!$AL$32*DATOS!$C$67)&lt;0.00005),"*",LINEAS!$D$32&amp;" UNI G"&amp;DATOS!$C$22&amp;" "&amp;TEXT(LINEAS!$AL$32*DATOS!$C$67,DATOS!$C$68))</f>
        <v>*</v>
      </c>
      <c r="C482" s="51" t="str">
        <f aca="false">IF(LEN($B482)&gt;79,"MÁS DE 79 CARACTERES","")</f>
        <v/>
      </c>
      <c r="D482" s="53" t="str">
        <f aca="false">IF(PRESIONES!$C$22="NO","",IF(OR(LINEAS!$D$32="",DATOS!$C$22="—",ABS(LINEAS!$BB$32*DATOS!$C$67)&lt;0.00005),"*",LINEAS!$D$32&amp;" UNI G"&amp;DATOS!$C$22&amp;" "&amp;TEXT(LINEAS!$BB$32*DATOS!$C$67,DATOS!$C$68)))</f>
        <v/>
      </c>
      <c r="E482" s="51" t="str">
        <f aca="false">IF(LEN($D482)&gt;79,"MÁS DE 79 CARACTERES","")</f>
        <v/>
      </c>
    </row>
    <row r="483" customFormat="false" ht="15" hidden="false" customHeight="true" outlineLevel="0" collapsed="false">
      <c r="B483" s="53" t="str">
        <f aca="false">IF(OR(LINEAS!$D$33="",ABS(-LINEAS!$AD$33*DATOS!$C$67)&lt;0.00005),"*",LINEAS!$D$33&amp;" UNI GY "&amp;TEXT(-LINEAS!$AD$33*DATOS!$C$67,DATOS!$C$68))</f>
        <v>*</v>
      </c>
      <c r="C483" s="51" t="str">
        <f aca="false">IF(LEN($B483)&gt;79,"MÁS DE 79 CARACTERES","")</f>
        <v/>
      </c>
      <c r="D483" s="53" t="str">
        <f aca="false">IF(PRESIONES!$C$22="NO","",IF(OR(LINEAS!$D$33="",ABS(-LINEAS!$AT$33*DATOS!$C$67)&lt;0.00005),"*",LINEAS!$D$33&amp;" UNI GY "&amp;TEXT(-LINEAS!$AT$33*DATOS!$C$67,DATOS!$C$68)))</f>
        <v/>
      </c>
      <c r="E483" s="51" t="str">
        <f aca="false">IF(LEN($D483)&gt;79,"MÁS DE 79 CARACTERES","")</f>
        <v/>
      </c>
    </row>
    <row r="484" customFormat="false" ht="15" hidden="false" customHeight="true" outlineLevel="0" collapsed="false">
      <c r="B484" s="53" t="str">
        <f aca="false">IF(OR(LINEAS!$D$33="",DATOS!$C$22="—",ABS(LINEAS!$AL$33*DATOS!$C$67)&lt;0.00005),"*",LINEAS!$D$33&amp;" UNI G"&amp;DATOS!$C$22&amp;" "&amp;TEXT(LINEAS!$AL$33*DATOS!$C$67,DATOS!$C$68))</f>
        <v>*</v>
      </c>
      <c r="C484" s="51" t="str">
        <f aca="false">IF(LEN($B484)&gt;79,"MÁS DE 79 CARACTERES","")</f>
        <v/>
      </c>
      <c r="D484" s="53" t="str">
        <f aca="false">IF(PRESIONES!$C$22="NO","",IF(OR(LINEAS!$D$33="",DATOS!$C$22="—",ABS(LINEAS!$BB$33*DATOS!$C$67)&lt;0.00005),"*",LINEAS!$D$33&amp;" UNI G"&amp;DATOS!$C$22&amp;" "&amp;TEXT(LINEAS!$BB$33*DATOS!$C$67,DATOS!$C$68)))</f>
        <v/>
      </c>
      <c r="E484" s="51" t="str">
        <f aca="false">IF(LEN($D484)&gt;79,"MÁS DE 79 CARACTERES","")</f>
        <v/>
      </c>
    </row>
    <row r="485" customFormat="false" ht="15" hidden="false" customHeight="true" outlineLevel="0" collapsed="false">
      <c r="B485" s="53" t="str">
        <f aca="false">IF(OR(LINEAS!$D$34="",ABS(-LINEAS!$AD$34*DATOS!$C$67)&lt;0.00005),"*",LINEAS!$D$34&amp;" UNI GY "&amp;TEXT(-LINEAS!$AD$34*DATOS!$C$67,DATOS!$C$68))</f>
        <v>*</v>
      </c>
      <c r="C485" s="51" t="str">
        <f aca="false">IF(LEN($B485)&gt;79,"MÁS DE 79 CARACTERES","")</f>
        <v/>
      </c>
      <c r="D485" s="53" t="str">
        <f aca="false">IF(PRESIONES!$C$22="NO","",IF(OR(LINEAS!$D$34="",ABS(-LINEAS!$AT$34*DATOS!$C$67)&lt;0.00005),"*",LINEAS!$D$34&amp;" UNI GY "&amp;TEXT(-LINEAS!$AT$34*DATOS!$C$67,DATOS!$C$68)))</f>
        <v/>
      </c>
      <c r="E485" s="51" t="str">
        <f aca="false">IF(LEN($D485)&gt;79,"MÁS DE 79 CARACTERES","")</f>
        <v/>
      </c>
    </row>
    <row r="486" customFormat="false" ht="15" hidden="false" customHeight="true" outlineLevel="0" collapsed="false">
      <c r="B486" s="53" t="str">
        <f aca="false">IF(OR(LINEAS!$D$34="",DATOS!$C$22="—",ABS(LINEAS!$AL$34*DATOS!$C$67)&lt;0.00005),"*",LINEAS!$D$34&amp;" UNI G"&amp;DATOS!$C$22&amp;" "&amp;TEXT(LINEAS!$AL$34*DATOS!$C$67,DATOS!$C$68))</f>
        <v>*</v>
      </c>
      <c r="C486" s="51" t="str">
        <f aca="false">IF(LEN($B486)&gt;79,"MÁS DE 79 CARACTERES","")</f>
        <v/>
      </c>
      <c r="D486" s="53" t="str">
        <f aca="false">IF(PRESIONES!$C$22="NO","",IF(OR(LINEAS!$D$34="",DATOS!$C$22="—",ABS(LINEAS!$BB$34*DATOS!$C$67)&lt;0.00005),"*",LINEAS!$D$34&amp;" UNI G"&amp;DATOS!$C$22&amp;" "&amp;TEXT(LINEAS!$BB$34*DATOS!$C$67,DATOS!$C$68)))</f>
        <v/>
      </c>
      <c r="E486" s="51" t="str">
        <f aca="false">IF(LEN($D486)&gt;79,"MÁS DE 79 CARACTERES","")</f>
        <v/>
      </c>
    </row>
    <row r="487" customFormat="false" ht="15" hidden="false" customHeight="true" outlineLevel="0" collapsed="false">
      <c r="B487" s="53" t="str">
        <f aca="false">IF(OR(LINEAS!$D$35="",ABS(-LINEAS!$AD$35*DATOS!$C$67)&lt;0.00005),"*",LINEAS!$D$35&amp;" UNI GY "&amp;TEXT(-LINEAS!$AD$35*DATOS!$C$67,DATOS!$C$68))</f>
        <v>*</v>
      </c>
      <c r="C487" s="51" t="str">
        <f aca="false">IF(LEN($B487)&gt;79,"MÁS DE 79 CARACTERES","")</f>
        <v/>
      </c>
      <c r="D487" s="53" t="str">
        <f aca="false">IF(PRESIONES!$C$22="NO","",IF(OR(LINEAS!$D$35="",ABS(-LINEAS!$AT$35*DATOS!$C$67)&lt;0.00005),"*",LINEAS!$D$35&amp;" UNI GY "&amp;TEXT(-LINEAS!$AT$35*DATOS!$C$67,DATOS!$C$68)))</f>
        <v/>
      </c>
      <c r="E487" s="51" t="str">
        <f aca="false">IF(LEN($D487)&gt;79,"MÁS DE 79 CARACTERES","")</f>
        <v/>
      </c>
    </row>
    <row r="488" customFormat="false" ht="15" hidden="false" customHeight="true" outlineLevel="0" collapsed="false">
      <c r="B488" s="53" t="str">
        <f aca="false">IF(OR(LINEAS!$D$35="",DATOS!$C$22="—",ABS(LINEAS!$AL$35*DATOS!$C$67)&lt;0.00005),"*",LINEAS!$D$35&amp;" UNI G"&amp;DATOS!$C$22&amp;" "&amp;TEXT(LINEAS!$AL$35*DATOS!$C$67,DATOS!$C$68))</f>
        <v>*</v>
      </c>
      <c r="C488" s="51" t="str">
        <f aca="false">IF(LEN($B488)&gt;79,"MÁS DE 79 CARACTERES","")</f>
        <v/>
      </c>
      <c r="D488" s="53" t="str">
        <f aca="false">IF(PRESIONES!$C$22="NO","",IF(OR(LINEAS!$D$35="",DATOS!$C$22="—",ABS(LINEAS!$BB$35*DATOS!$C$67)&lt;0.00005),"*",LINEAS!$D$35&amp;" UNI G"&amp;DATOS!$C$22&amp;" "&amp;TEXT(LINEAS!$BB$35*DATOS!$C$67,DATOS!$C$68)))</f>
        <v/>
      </c>
      <c r="E488" s="51" t="str">
        <f aca="false">IF(LEN($D488)&gt;79,"MÁS DE 79 CARACTERES","")</f>
        <v/>
      </c>
    </row>
    <row r="489" customFormat="false" ht="15" hidden="false" customHeight="true" outlineLevel="0" collapsed="false">
      <c r="B489" s="53" t="str">
        <f aca="false">IF(OR(LINEAS!$D$36="",ABS(-LINEAS!$AD$36*DATOS!$C$67)&lt;0.00005),"*",LINEAS!$D$36&amp;" UNI GY "&amp;TEXT(-LINEAS!$AD$36*DATOS!$C$67,DATOS!$C$68))</f>
        <v>*</v>
      </c>
      <c r="C489" s="51" t="str">
        <f aca="false">IF(LEN($B489)&gt;79,"MÁS DE 79 CARACTERES","")</f>
        <v/>
      </c>
      <c r="D489" s="53" t="str">
        <f aca="false">IF(PRESIONES!$C$22="NO","",IF(OR(LINEAS!$D$36="",ABS(-LINEAS!$AT$36*DATOS!$C$67)&lt;0.00005),"*",LINEAS!$D$36&amp;" UNI GY "&amp;TEXT(-LINEAS!$AT$36*DATOS!$C$67,DATOS!$C$68)))</f>
        <v/>
      </c>
      <c r="E489" s="51" t="str">
        <f aca="false">IF(LEN($D489)&gt;79,"MÁS DE 79 CARACTERES","")</f>
        <v/>
      </c>
    </row>
    <row r="490" customFormat="false" ht="15" hidden="false" customHeight="true" outlineLevel="0" collapsed="false">
      <c r="B490" s="53" t="str">
        <f aca="false">IF(OR(LINEAS!$D$36="",DATOS!$C$22="—",ABS(LINEAS!$AL$36*DATOS!$C$67)&lt;0.00005),"*",LINEAS!$D$36&amp;" UNI G"&amp;DATOS!$C$22&amp;" "&amp;TEXT(LINEAS!$AL$36*DATOS!$C$67,DATOS!$C$68))</f>
        <v>*</v>
      </c>
      <c r="C490" s="51" t="str">
        <f aca="false">IF(LEN($B490)&gt;79,"MÁS DE 79 CARACTERES","")</f>
        <v/>
      </c>
      <c r="D490" s="53" t="str">
        <f aca="false">IF(PRESIONES!$C$22="NO","",IF(OR(LINEAS!$D$36="",DATOS!$C$22="—",ABS(LINEAS!$BB$36*DATOS!$C$67)&lt;0.00005),"*",LINEAS!$D$36&amp;" UNI G"&amp;DATOS!$C$22&amp;" "&amp;TEXT(LINEAS!$BB$36*DATOS!$C$67,DATOS!$C$68)))</f>
        <v/>
      </c>
      <c r="E490" s="51" t="str">
        <f aca="false">IF(LEN($D490)&gt;79,"MÁS DE 79 CARACTERES","")</f>
        <v/>
      </c>
    </row>
    <row r="491" customFormat="false" ht="15" hidden="false" customHeight="true" outlineLevel="0" collapsed="false">
      <c r="B491" s="53" t="str">
        <f aca="false">IF(OR(LINEAS!$D$37="",ABS(-LINEAS!$AD$37*DATOS!$C$67)&lt;0.00005),"*",LINEAS!$D$37&amp;" UNI GY "&amp;TEXT(-LINEAS!$AD$37*DATOS!$C$67,DATOS!$C$68))</f>
        <v>*</v>
      </c>
      <c r="C491" s="51" t="str">
        <f aca="false">IF(LEN($B491)&gt;79,"MÁS DE 79 CARACTERES","")</f>
        <v/>
      </c>
      <c r="D491" s="53" t="str">
        <f aca="false">IF(PRESIONES!$C$22="NO","",IF(OR(LINEAS!$D$37="",ABS(-LINEAS!$AT$37*DATOS!$C$67)&lt;0.00005),"*",LINEAS!$D$37&amp;" UNI GY "&amp;TEXT(-LINEAS!$AT$37*DATOS!$C$67,DATOS!$C$68)))</f>
        <v/>
      </c>
      <c r="E491" s="51" t="str">
        <f aca="false">IF(LEN($D491)&gt;79,"MÁS DE 79 CARACTERES","")</f>
        <v/>
      </c>
    </row>
    <row r="492" customFormat="false" ht="15" hidden="false" customHeight="true" outlineLevel="0" collapsed="false">
      <c r="B492" s="53" t="str">
        <f aca="false">IF(OR(LINEAS!$D$37="",DATOS!$C$22="—",ABS(LINEAS!$AL$37*DATOS!$C$67)&lt;0.00005),"*",LINEAS!$D$37&amp;" UNI G"&amp;DATOS!$C$22&amp;" "&amp;TEXT(LINEAS!$AL$37*DATOS!$C$67,DATOS!$C$68))</f>
        <v>*</v>
      </c>
      <c r="C492" s="51" t="str">
        <f aca="false">IF(LEN($B492)&gt;79,"MÁS DE 79 CARACTERES","")</f>
        <v/>
      </c>
      <c r="D492" s="53" t="str">
        <f aca="false">IF(PRESIONES!$C$22="NO","",IF(OR(LINEAS!$D$37="",DATOS!$C$22="—",ABS(LINEAS!$BB$37*DATOS!$C$67)&lt;0.00005),"*",LINEAS!$D$37&amp;" UNI G"&amp;DATOS!$C$22&amp;" "&amp;TEXT(LINEAS!$BB$37*DATOS!$C$67,DATOS!$C$68)))</f>
        <v/>
      </c>
      <c r="E492" s="51" t="str">
        <f aca="false">IF(LEN($D492)&gt;79,"MÁS DE 79 CARACTERES","")</f>
        <v/>
      </c>
    </row>
    <row r="493" customFormat="false" ht="15" hidden="false" customHeight="true" outlineLevel="0" collapsed="false">
      <c r="B493" s="53" t="str">
        <f aca="false">IF(OR(LINEAS!$D$38="",ABS(-LINEAS!$AD$38*DATOS!$C$67)&lt;0.00005),"*",LINEAS!$D$38&amp;" UNI GY "&amp;TEXT(-LINEAS!$AD$38*DATOS!$C$67,DATOS!$C$68))</f>
        <v>*</v>
      </c>
      <c r="C493" s="51" t="str">
        <f aca="false">IF(LEN($B493)&gt;79,"MÁS DE 79 CARACTERES","")</f>
        <v/>
      </c>
      <c r="D493" s="53" t="str">
        <f aca="false">IF(PRESIONES!$C$22="NO","",IF(OR(LINEAS!$D$38="",ABS(-LINEAS!$AT$38*DATOS!$C$67)&lt;0.00005),"*",LINEAS!$D$38&amp;" UNI GY "&amp;TEXT(-LINEAS!$AT$38*DATOS!$C$67,DATOS!$C$68)))</f>
        <v/>
      </c>
      <c r="E493" s="51" t="str">
        <f aca="false">IF(LEN($D493)&gt;79,"MÁS DE 79 CARACTERES","")</f>
        <v/>
      </c>
    </row>
    <row r="494" customFormat="false" ht="15" hidden="false" customHeight="true" outlineLevel="0" collapsed="false">
      <c r="B494" s="53" t="str">
        <f aca="false">IF(OR(LINEAS!$D$38="",DATOS!$C$22="—",ABS(LINEAS!$AL$38*DATOS!$C$67)&lt;0.00005),"*",LINEAS!$D$38&amp;" UNI G"&amp;DATOS!$C$22&amp;" "&amp;TEXT(LINEAS!$AL$38*DATOS!$C$67,DATOS!$C$68))</f>
        <v>*</v>
      </c>
      <c r="C494" s="51" t="str">
        <f aca="false">IF(LEN($B494)&gt;79,"MÁS DE 79 CARACTERES","")</f>
        <v/>
      </c>
      <c r="D494" s="53" t="str">
        <f aca="false">IF(PRESIONES!$C$22="NO","",IF(OR(LINEAS!$D$38="",DATOS!$C$22="—",ABS(LINEAS!$BB$38*DATOS!$C$67)&lt;0.00005),"*",LINEAS!$D$38&amp;" UNI G"&amp;DATOS!$C$22&amp;" "&amp;TEXT(LINEAS!$BB$38*DATOS!$C$67,DATOS!$C$68)))</f>
        <v/>
      </c>
      <c r="E494" s="51" t="str">
        <f aca="false">IF(LEN($D494)&gt;79,"MÁS DE 79 CARACTERES","")</f>
        <v/>
      </c>
    </row>
    <row r="495" customFormat="false" ht="15" hidden="false" customHeight="true" outlineLevel="0" collapsed="false">
      <c r="B495" s="53" t="str">
        <f aca="false">IF(OR(LINEAS!$D$45="",LINEAS!$U$45=0,ABS(IF(OR(LINEAS!$U$45=1,LINEAS!$U$45=3),1,-1)*LINEAS!$AD$45*DATOS!$C$67)&lt;0.00005),"*",LINEAS!$D$45&amp;" UNI "&amp;IF(LINEAS!$U$45&lt;=2,"GZ","GX")&amp;" "&amp;TEXT(IF(OR(LINEAS!$U$45=1,LINEAS!$U$45=3),1,-1)*LINEAS!$AD$45*DATOS!$C$67,DATOS!$C$68))</f>
        <v>261 UNI GX -0.0516</v>
      </c>
      <c r="C495" s="51" t="str">
        <f aca="false">IF(LEN($B495)&gt;79,"MÁS DE 79 CARACTERES","")</f>
        <v/>
      </c>
      <c r="D495" s="53" t="str">
        <f aca="false">IF(PRESIONES!$C$22="NO","",IF(OR(LINEAS!$D$45="",LINEAS!$U$45=0,ABS(IF(OR(LINEAS!$U$45=1,LINEAS!$U$45=3),1,-1)*LINEAS!$AD$45*DATOS!$C$67)&lt;0.00005),"*",LINEAS!$D$45&amp;" UNI "&amp;IF(LINEAS!$U$45&lt;=2,"GZ","GX")&amp;" "&amp;TEXT(IF(OR(LINEAS!$U$45=1,LINEAS!$U$45=3),1,-1)*LINEAS!$AD$45*DATOS!$C$67,DATOS!$C$68)))</f>
        <v/>
      </c>
      <c r="E495" s="51" t="str">
        <f aca="false">IF(LEN($D495)&gt;79,"MÁS DE 79 CARACTERES","")</f>
        <v/>
      </c>
    </row>
    <row r="496" customFormat="false" ht="15" hidden="false" customHeight="true" outlineLevel="0" collapsed="false">
      <c r="B496" s="53" t="str">
        <f aca="false">IF(OR(LINEAS!$D$46="",LINEAS!$U$46=0,ABS(IF(OR(LINEAS!$U$46=1,LINEAS!$U$46=3),1,-1)*LINEAS!$AD$46*DATOS!$C$67)&lt;0.00005),"*",LINEAS!$D$46&amp;" UNI "&amp;IF(LINEAS!$U$46&lt;=2,"GZ","GX")&amp;" "&amp;TEXT(IF(OR(LINEAS!$U$46=1,LINEAS!$U$46=3),1,-1)*LINEAS!$AD$46*DATOS!$C$67,DATOS!$C$68))</f>
        <v>260 UNI GX -0.0516</v>
      </c>
      <c r="C496" s="51" t="str">
        <f aca="false">IF(LEN($B496)&gt;79,"MÁS DE 79 CARACTERES","")</f>
        <v/>
      </c>
      <c r="D496" s="53" t="str">
        <f aca="false">IF(PRESIONES!$C$22="NO","",IF(OR(LINEAS!$D$46="",LINEAS!$U$46=0,ABS(IF(OR(LINEAS!$U$46=1,LINEAS!$U$46=3),1,-1)*LINEAS!$AD$46*DATOS!$C$67)&lt;0.00005),"*",LINEAS!$D$46&amp;" UNI "&amp;IF(LINEAS!$U$46&lt;=2,"GZ","GX")&amp;" "&amp;TEXT(IF(OR(LINEAS!$U$46=1,LINEAS!$U$46=3),1,-1)*LINEAS!$AD$46*DATOS!$C$67,DATOS!$C$68)))</f>
        <v/>
      </c>
      <c r="E496" s="51" t="str">
        <f aca="false">IF(LEN($D496)&gt;79,"MÁS DE 79 CARACTERES","")</f>
        <v/>
      </c>
    </row>
    <row r="497" customFormat="false" ht="15" hidden="false" customHeight="true" outlineLevel="0" collapsed="false">
      <c r="B497" s="53" t="str">
        <f aca="false">IF(OR(LINEAS!$D$47="",LINEAS!$U$47=0,ABS(IF(OR(LINEAS!$U$47=1,LINEAS!$U$47=3),1,-1)*LINEAS!$AD$47*DATOS!$C$67)&lt;0.00005),"*",LINEAS!$D$47&amp;" UNI "&amp;IF(LINEAS!$U$47&lt;=2,"GZ","GX")&amp;" "&amp;TEXT(IF(OR(LINEAS!$U$47=1,LINEAS!$U$47=3),1,-1)*LINEAS!$AD$47*DATOS!$C$67,DATOS!$C$68))</f>
        <v>259 UNI GX -0.0516</v>
      </c>
      <c r="C497" s="51" t="str">
        <f aca="false">IF(LEN($B497)&gt;79,"MÁS DE 79 CARACTERES","")</f>
        <v/>
      </c>
      <c r="D497" s="53" t="str">
        <f aca="false">IF(PRESIONES!$C$22="NO","",IF(OR(LINEAS!$D$47="",LINEAS!$U$47=0,ABS(IF(OR(LINEAS!$U$47=1,LINEAS!$U$47=3),1,-1)*LINEAS!$AD$47*DATOS!$C$67)&lt;0.00005),"*",LINEAS!$D$47&amp;" UNI "&amp;IF(LINEAS!$U$47&lt;=2,"GZ","GX")&amp;" "&amp;TEXT(IF(OR(LINEAS!$U$47=1,LINEAS!$U$47=3),1,-1)*LINEAS!$AD$47*DATOS!$C$67,DATOS!$C$68)))</f>
        <v/>
      </c>
      <c r="E497" s="51" t="str">
        <f aca="false">IF(LEN($D497)&gt;79,"MÁS DE 79 CARACTERES","")</f>
        <v/>
      </c>
    </row>
    <row r="498" customFormat="false" ht="15" hidden="false" customHeight="true" outlineLevel="0" collapsed="false">
      <c r="B498" s="53" t="str">
        <f aca="false">IF(OR(LINEAS!$D$48="",LINEAS!$U$48=0,ABS(IF(OR(LINEAS!$U$48=1,LINEAS!$U$48=3),1,-1)*LINEAS!$AD$48*DATOS!$C$67)&lt;0.00005),"*",LINEAS!$D$48&amp;" UNI "&amp;IF(LINEAS!$U$48&lt;=2,"GZ","GX")&amp;" "&amp;TEXT(IF(OR(LINEAS!$U$48=1,LINEAS!$U$48=3),1,-1)*LINEAS!$AD$48*DATOS!$C$67,DATOS!$C$68))</f>
        <v>270 UNI GX -0.0516</v>
      </c>
      <c r="C498" s="51" t="str">
        <f aca="false">IF(LEN($B498)&gt;79,"MÁS DE 79 CARACTERES","")</f>
        <v/>
      </c>
      <c r="D498" s="53" t="str">
        <f aca="false">IF(PRESIONES!$C$22="NO","",IF(OR(LINEAS!$D$48="",LINEAS!$U$48=0,ABS(IF(OR(LINEAS!$U$48=1,LINEAS!$U$48=3),1,-1)*LINEAS!$AD$48*DATOS!$C$67)&lt;0.00005),"*",LINEAS!$D$48&amp;" UNI "&amp;IF(LINEAS!$U$48&lt;=2,"GZ","GX")&amp;" "&amp;TEXT(IF(OR(LINEAS!$U$48=1,LINEAS!$U$48=3),1,-1)*LINEAS!$AD$48*DATOS!$C$67,DATOS!$C$68)))</f>
        <v/>
      </c>
      <c r="E498" s="51" t="str">
        <f aca="false">IF(LEN($D498)&gt;79,"MÁS DE 79 CARACTERES","")</f>
        <v/>
      </c>
    </row>
    <row r="499" customFormat="false" ht="15" hidden="false" customHeight="true" outlineLevel="0" collapsed="false">
      <c r="B499" s="53" t="str">
        <f aca="false">IF(OR(LINEAS!$D$49="",LINEAS!$U$49=0,ABS(IF(OR(LINEAS!$U$49=1,LINEAS!$U$49=3),1,-1)*LINEAS!$AD$49*DATOS!$C$67)&lt;0.00005),"*",LINEAS!$D$49&amp;" UNI "&amp;IF(LINEAS!$U$49&lt;=2,"GZ","GX")&amp;" "&amp;TEXT(IF(OR(LINEAS!$U$49=1,LINEAS!$U$49=3),1,-1)*LINEAS!$AD$49*DATOS!$C$67,DATOS!$C$68))</f>
        <v>269 UNI GX -0.0516</v>
      </c>
      <c r="C499" s="51" t="str">
        <f aca="false">IF(LEN($B499)&gt;79,"MÁS DE 79 CARACTERES","")</f>
        <v/>
      </c>
      <c r="D499" s="53" t="str">
        <f aca="false">IF(PRESIONES!$C$22="NO","",IF(OR(LINEAS!$D$49="",LINEAS!$U$49=0,ABS(IF(OR(LINEAS!$U$49=1,LINEAS!$U$49=3),1,-1)*LINEAS!$AD$49*DATOS!$C$67)&lt;0.00005),"*",LINEAS!$D$49&amp;" UNI "&amp;IF(LINEAS!$U$49&lt;=2,"GZ","GX")&amp;" "&amp;TEXT(IF(OR(LINEAS!$U$49=1,LINEAS!$U$49=3),1,-1)*LINEAS!$AD$49*DATOS!$C$67,DATOS!$C$68)))</f>
        <v/>
      </c>
      <c r="E499" s="51" t="str">
        <f aca="false">IF(LEN($D499)&gt;79,"MÁS DE 79 CARACTERES","")</f>
        <v/>
      </c>
    </row>
    <row r="500" customFormat="false" ht="15" hidden="false" customHeight="true" outlineLevel="0" collapsed="false">
      <c r="B500" s="53" t="str">
        <f aca="false">IF(OR(LINEAS!$D$50="",LINEAS!$U$50=0,ABS(IF(OR(LINEAS!$U$50=1,LINEAS!$U$50=3),1,-1)*LINEAS!$AD$50*DATOS!$C$67)&lt;0.00005),"*",LINEAS!$D$50&amp;" UNI "&amp;IF(LINEAS!$U$50&lt;=2,"GZ","GX")&amp;" "&amp;TEXT(IF(OR(LINEAS!$U$50=1,LINEAS!$U$50=3),1,-1)*LINEAS!$AD$50*DATOS!$C$67,DATOS!$C$68))</f>
        <v>268 UNI GX -0.0516</v>
      </c>
      <c r="C500" s="51" t="str">
        <f aca="false">IF(LEN($B500)&gt;79,"MÁS DE 79 CARACTERES","")</f>
        <v/>
      </c>
      <c r="D500" s="53" t="str">
        <f aca="false">IF(PRESIONES!$C$22="NO","",IF(OR(LINEAS!$D$50="",LINEAS!$U$50=0,ABS(IF(OR(LINEAS!$U$50=1,LINEAS!$U$50=3),1,-1)*LINEAS!$AD$50*DATOS!$C$67)&lt;0.00005),"*",LINEAS!$D$50&amp;" UNI "&amp;IF(LINEAS!$U$50&lt;=2,"GZ","GX")&amp;" "&amp;TEXT(IF(OR(LINEAS!$U$50=1,LINEAS!$U$50=3),1,-1)*LINEAS!$AD$50*DATOS!$C$67,DATOS!$C$68)))</f>
        <v/>
      </c>
      <c r="E500" s="51" t="str">
        <f aca="false">IF(LEN($D500)&gt;79,"MÁS DE 79 CARACTERES","")</f>
        <v/>
      </c>
    </row>
    <row r="501" customFormat="false" ht="15" hidden="false" customHeight="true" outlineLevel="0" collapsed="false">
      <c r="B501" s="53" t="str">
        <f aca="false">IF(OR(LINEAS!$D$51="",LINEAS!$U$51=0,ABS(IF(OR(LINEAS!$U$51=1,LINEAS!$U$51=3),1,-1)*LINEAS!$AD$51*DATOS!$C$67)&lt;0.00005),"*",LINEAS!$D$51&amp;" UNI "&amp;IF(LINEAS!$U$51&lt;=2,"GZ","GX")&amp;" "&amp;TEXT(IF(OR(LINEAS!$U$51=1,LINEAS!$U$51=3),1,-1)*LINEAS!$AD$51*DATOS!$C$67,DATOS!$C$68))</f>
        <v>279 UNI GX -0.0516</v>
      </c>
      <c r="C501" s="51" t="str">
        <f aca="false">IF(LEN($B501)&gt;79,"MÁS DE 79 CARACTERES","")</f>
        <v/>
      </c>
      <c r="D501" s="53" t="str">
        <f aca="false">IF(PRESIONES!$C$22="NO","",IF(OR(LINEAS!$D$51="",LINEAS!$U$51=0,ABS(IF(OR(LINEAS!$U$51=1,LINEAS!$U$51=3),1,-1)*LINEAS!$AD$51*DATOS!$C$67)&lt;0.00005),"*",LINEAS!$D$51&amp;" UNI "&amp;IF(LINEAS!$U$51&lt;=2,"GZ","GX")&amp;" "&amp;TEXT(IF(OR(LINEAS!$U$51=1,LINEAS!$U$51=3),1,-1)*LINEAS!$AD$51*DATOS!$C$67,DATOS!$C$68)))</f>
        <v/>
      </c>
      <c r="E501" s="51" t="str">
        <f aca="false">IF(LEN($D501)&gt;79,"MÁS DE 79 CARACTERES","")</f>
        <v/>
      </c>
    </row>
    <row r="502" customFormat="false" ht="15" hidden="false" customHeight="true" outlineLevel="0" collapsed="false">
      <c r="B502" s="53" t="str">
        <f aca="false">IF(OR(LINEAS!$D$52="",LINEAS!$U$52=0,ABS(IF(OR(LINEAS!$U$52=1,LINEAS!$U$52=3),1,-1)*LINEAS!$AD$52*DATOS!$C$67)&lt;0.00005),"*",LINEAS!$D$52&amp;" UNI "&amp;IF(LINEAS!$U$52&lt;=2,"GZ","GX")&amp;" "&amp;TEXT(IF(OR(LINEAS!$U$52=1,LINEAS!$U$52=3),1,-1)*LINEAS!$AD$52*DATOS!$C$67,DATOS!$C$68))</f>
        <v>278 UNI GX -0.0516</v>
      </c>
      <c r="C502" s="51" t="str">
        <f aca="false">IF(LEN($B502)&gt;79,"MÁS DE 79 CARACTERES","")</f>
        <v/>
      </c>
      <c r="D502" s="53" t="str">
        <f aca="false">IF(PRESIONES!$C$22="NO","",IF(OR(LINEAS!$D$52="",LINEAS!$U$52=0,ABS(IF(OR(LINEAS!$U$52=1,LINEAS!$U$52=3),1,-1)*LINEAS!$AD$52*DATOS!$C$67)&lt;0.00005),"*",LINEAS!$D$52&amp;" UNI "&amp;IF(LINEAS!$U$52&lt;=2,"GZ","GX")&amp;" "&amp;TEXT(IF(OR(LINEAS!$U$52=1,LINEAS!$U$52=3),1,-1)*LINEAS!$AD$52*DATOS!$C$67,DATOS!$C$68)))</f>
        <v/>
      </c>
      <c r="E502" s="51" t="str">
        <f aca="false">IF(LEN($D502)&gt;79,"MÁS DE 79 CARACTERES","")</f>
        <v/>
      </c>
    </row>
    <row r="503" customFormat="false" ht="15" hidden="false" customHeight="true" outlineLevel="0" collapsed="false">
      <c r="B503" s="53" t="str">
        <f aca="false">IF(OR(LINEAS!$D$53="",LINEAS!$U$53=0,ABS(IF(OR(LINEAS!$U$53=1,LINEAS!$U$53=3),1,-1)*LINEAS!$AD$53*DATOS!$C$67)&lt;0.00005),"*",LINEAS!$D$53&amp;" UNI "&amp;IF(LINEAS!$U$53&lt;=2,"GZ","GX")&amp;" "&amp;TEXT(IF(OR(LINEAS!$U$53=1,LINEAS!$U$53=3),1,-1)*LINEAS!$AD$53*DATOS!$C$67,DATOS!$C$68))</f>
        <v>277 UNI GX -0.0516</v>
      </c>
      <c r="C503" s="51" t="str">
        <f aca="false">IF(LEN($B503)&gt;79,"MÁS DE 79 CARACTERES","")</f>
        <v/>
      </c>
      <c r="D503" s="53" t="str">
        <f aca="false">IF(PRESIONES!$C$22="NO","",IF(OR(LINEAS!$D$53="",LINEAS!$U$53=0,ABS(IF(OR(LINEAS!$U$53=1,LINEAS!$U$53=3),1,-1)*LINEAS!$AD$53*DATOS!$C$67)&lt;0.00005),"*",LINEAS!$D$53&amp;" UNI "&amp;IF(LINEAS!$U$53&lt;=2,"GZ","GX")&amp;" "&amp;TEXT(IF(OR(LINEAS!$U$53=1,LINEAS!$U$53=3),1,-1)*LINEAS!$AD$53*DATOS!$C$67,DATOS!$C$68)))</f>
        <v/>
      </c>
      <c r="E503" s="51" t="str">
        <f aca="false">IF(LEN($D503)&gt;79,"MÁS DE 79 CARACTERES","")</f>
        <v/>
      </c>
    </row>
    <row r="504" customFormat="false" ht="15" hidden="false" customHeight="true" outlineLevel="0" collapsed="false">
      <c r="B504" s="53" t="str">
        <f aca="false">IF(OR(LINEAS!$D$54="",LINEAS!$U$54=0,ABS(IF(OR(LINEAS!$U$54=1,LINEAS!$U$54=3),1,-1)*LINEAS!$AD$54*DATOS!$C$67)&lt;0.00005),"*",LINEAS!$D$54&amp;" UNI "&amp;IF(LINEAS!$U$54&lt;=2,"GZ","GX")&amp;" "&amp;TEXT(IF(OR(LINEAS!$U$54=1,LINEAS!$U$54=3),1,-1)*LINEAS!$AD$54*DATOS!$C$67,DATOS!$C$68))</f>
        <v>289 UNI GX -0.0516</v>
      </c>
      <c r="C504" s="51" t="str">
        <f aca="false">IF(LEN($B504)&gt;79,"MÁS DE 79 CARACTERES","")</f>
        <v/>
      </c>
      <c r="D504" s="53" t="str">
        <f aca="false">IF(PRESIONES!$C$22="NO","",IF(OR(LINEAS!$D$54="",LINEAS!$U$54=0,ABS(IF(OR(LINEAS!$U$54=1,LINEAS!$U$54=3),1,-1)*LINEAS!$AD$54*DATOS!$C$67)&lt;0.00005),"*",LINEAS!$D$54&amp;" UNI "&amp;IF(LINEAS!$U$54&lt;=2,"GZ","GX")&amp;" "&amp;TEXT(IF(OR(LINEAS!$U$54=1,LINEAS!$U$54=3),1,-1)*LINEAS!$AD$54*DATOS!$C$67,DATOS!$C$68)))</f>
        <v/>
      </c>
      <c r="E504" s="51" t="str">
        <f aca="false">IF(LEN($D504)&gt;79,"MÁS DE 79 CARACTERES","")</f>
        <v/>
      </c>
    </row>
    <row r="505" customFormat="false" ht="15" hidden="false" customHeight="true" outlineLevel="0" collapsed="false">
      <c r="B505" s="53" t="str">
        <f aca="false">IF(OR(LINEAS!$D$55="",LINEAS!$U$55=0,ABS(IF(OR(LINEAS!$U$55=1,LINEAS!$U$55=3),1,-1)*LINEAS!$AD$55*DATOS!$C$67)&lt;0.00005),"*",LINEAS!$D$55&amp;" UNI "&amp;IF(LINEAS!$U$55&lt;=2,"GZ","GX")&amp;" "&amp;TEXT(IF(OR(LINEAS!$U$55=1,LINEAS!$U$55=3),1,-1)*LINEAS!$AD$55*DATOS!$C$67,DATOS!$C$68))</f>
        <v>288 UNI GX -0.0516</v>
      </c>
      <c r="C505" s="51" t="str">
        <f aca="false">IF(LEN($B505)&gt;79,"MÁS DE 79 CARACTERES","")</f>
        <v/>
      </c>
      <c r="D505" s="53" t="str">
        <f aca="false">IF(PRESIONES!$C$22="NO","",IF(OR(LINEAS!$D$55="",LINEAS!$U$55=0,ABS(IF(OR(LINEAS!$U$55=1,LINEAS!$U$55=3),1,-1)*LINEAS!$AD$55*DATOS!$C$67)&lt;0.00005),"*",LINEAS!$D$55&amp;" UNI "&amp;IF(LINEAS!$U$55&lt;=2,"GZ","GX")&amp;" "&amp;TEXT(IF(OR(LINEAS!$U$55=1,LINEAS!$U$55=3),1,-1)*LINEAS!$AD$55*DATOS!$C$67,DATOS!$C$68)))</f>
        <v/>
      </c>
      <c r="E505" s="51" t="str">
        <f aca="false">IF(LEN($D505)&gt;79,"MÁS DE 79 CARACTERES","")</f>
        <v/>
      </c>
    </row>
    <row r="506" customFormat="false" ht="15" hidden="false" customHeight="true" outlineLevel="0" collapsed="false">
      <c r="B506" s="53" t="str">
        <f aca="false">IF(OR(LINEAS!$D$56="",LINEAS!$U$56=0,ABS(IF(OR(LINEAS!$U$56=1,LINEAS!$U$56=3),1,-1)*LINEAS!$AD$56*DATOS!$C$67)&lt;0.00005),"*",LINEAS!$D$56&amp;" UNI "&amp;IF(LINEAS!$U$56&lt;=2,"GZ","GX")&amp;" "&amp;TEXT(IF(OR(LINEAS!$U$56=1,LINEAS!$U$56=3),1,-1)*LINEAS!$AD$56*DATOS!$C$67,DATOS!$C$68))</f>
        <v>287 UNI GX -0.0516</v>
      </c>
      <c r="C506" s="51" t="str">
        <f aca="false">IF(LEN($B506)&gt;79,"MÁS DE 79 CARACTERES","")</f>
        <v/>
      </c>
      <c r="D506" s="53" t="str">
        <f aca="false">IF(PRESIONES!$C$22="NO","",IF(OR(LINEAS!$D$56="",LINEAS!$U$56=0,ABS(IF(OR(LINEAS!$U$56=1,LINEAS!$U$56=3),1,-1)*LINEAS!$AD$56*DATOS!$C$67)&lt;0.00005),"*",LINEAS!$D$56&amp;" UNI "&amp;IF(LINEAS!$U$56&lt;=2,"GZ","GX")&amp;" "&amp;TEXT(IF(OR(LINEAS!$U$56=1,LINEAS!$U$56=3),1,-1)*LINEAS!$AD$56*DATOS!$C$67,DATOS!$C$68)))</f>
        <v/>
      </c>
      <c r="E506" s="51" t="str">
        <f aca="false">IF(LEN($D506)&gt;79,"MÁS DE 79 CARACTERES","")</f>
        <v/>
      </c>
    </row>
    <row r="507" customFormat="false" ht="15" hidden="false" customHeight="true" outlineLevel="0" collapsed="false">
      <c r="B507" s="53" t="str">
        <f aca="false">IF(OR(LINEAS!$D$57="",LINEAS!$U$57=0,ABS(IF(OR(LINEAS!$U$57=1,LINEAS!$U$57=3),1,-1)*LINEAS!$AD$57*DATOS!$C$67)&lt;0.00005),"*",LINEAS!$D$57&amp;" UNI "&amp;IF(LINEAS!$U$57&lt;=2,"GZ","GX")&amp;" "&amp;TEXT(IF(OR(LINEAS!$U$57=1,LINEAS!$U$57=3),1,-1)*LINEAS!$AD$57*DATOS!$C$67,DATOS!$C$68))</f>
        <v>297 UNI GX -0.0516</v>
      </c>
      <c r="C507" s="51" t="str">
        <f aca="false">IF(LEN($B507)&gt;79,"MÁS DE 79 CARACTERES","")</f>
        <v/>
      </c>
      <c r="D507" s="53" t="str">
        <f aca="false">IF(PRESIONES!$C$22="NO","",IF(OR(LINEAS!$D$57="",LINEAS!$U$57=0,ABS(IF(OR(LINEAS!$U$57=1,LINEAS!$U$57=3),1,-1)*LINEAS!$AD$57*DATOS!$C$67)&lt;0.00005),"*",LINEAS!$D$57&amp;" UNI "&amp;IF(LINEAS!$U$57&lt;=2,"GZ","GX")&amp;" "&amp;TEXT(IF(OR(LINEAS!$U$57=1,LINEAS!$U$57=3),1,-1)*LINEAS!$AD$57*DATOS!$C$67,DATOS!$C$68)))</f>
        <v/>
      </c>
      <c r="E507" s="51" t="str">
        <f aca="false">IF(LEN($D507)&gt;79,"MÁS DE 79 CARACTERES","")</f>
        <v/>
      </c>
    </row>
    <row r="508" customFormat="false" ht="15" hidden="false" customHeight="true" outlineLevel="0" collapsed="false">
      <c r="B508" s="53" t="str">
        <f aca="false">IF(OR(LINEAS!$D$58="",LINEAS!$U$58=0,ABS(IF(OR(LINEAS!$U$58=1,LINEAS!$U$58=3),1,-1)*LINEAS!$AD$58*DATOS!$C$67)&lt;0.00005),"*",LINEAS!$D$58&amp;" UNI "&amp;IF(LINEAS!$U$58&lt;=2,"GZ","GX")&amp;" "&amp;TEXT(IF(OR(LINEAS!$U$58=1,LINEAS!$U$58=3),1,-1)*LINEAS!$AD$58*DATOS!$C$67,DATOS!$C$68))</f>
        <v>296 UNI GX -0.0516</v>
      </c>
      <c r="C508" s="51" t="str">
        <f aca="false">IF(LEN($B508)&gt;79,"MÁS DE 79 CARACTERES","")</f>
        <v/>
      </c>
      <c r="D508" s="53" t="str">
        <f aca="false">IF(PRESIONES!$C$22="NO","",IF(OR(LINEAS!$D$58="",LINEAS!$U$58=0,ABS(IF(OR(LINEAS!$U$58=1,LINEAS!$U$58=3),1,-1)*LINEAS!$AD$58*DATOS!$C$67)&lt;0.00005),"*",LINEAS!$D$58&amp;" UNI "&amp;IF(LINEAS!$U$58&lt;=2,"GZ","GX")&amp;" "&amp;TEXT(IF(OR(LINEAS!$U$58=1,LINEAS!$U$58=3),1,-1)*LINEAS!$AD$58*DATOS!$C$67,DATOS!$C$68)))</f>
        <v/>
      </c>
      <c r="E508" s="51" t="str">
        <f aca="false">IF(LEN($D508)&gt;79,"MÁS DE 79 CARACTERES","")</f>
        <v/>
      </c>
    </row>
    <row r="509" customFormat="false" ht="15" hidden="false" customHeight="true" outlineLevel="0" collapsed="false">
      <c r="B509" s="53" t="str">
        <f aca="false">IF(OR(LINEAS!$D$59="",LINEAS!$U$59=0,ABS(IF(OR(LINEAS!$U$59=1,LINEAS!$U$59=3),1,-1)*LINEAS!$AD$59*DATOS!$C$67)&lt;0.00005),"*",LINEAS!$D$59&amp;" UNI "&amp;IF(LINEAS!$U$59&lt;=2,"GZ","GX")&amp;" "&amp;TEXT(IF(OR(LINEAS!$U$59=1,LINEAS!$U$59=3),1,-1)*LINEAS!$AD$59*DATOS!$C$67,DATOS!$C$68))</f>
        <v>295 UNI GX -0.0516</v>
      </c>
      <c r="C509" s="51" t="str">
        <f aca="false">IF(LEN($B509)&gt;79,"MÁS DE 79 CARACTERES","")</f>
        <v/>
      </c>
      <c r="D509" s="53" t="str">
        <f aca="false">IF(PRESIONES!$C$22="NO","",IF(OR(LINEAS!$D$59="",LINEAS!$U$59=0,ABS(IF(OR(LINEAS!$U$59=1,LINEAS!$U$59=3),1,-1)*LINEAS!$AD$59*DATOS!$C$67)&lt;0.00005),"*",LINEAS!$D$59&amp;" UNI "&amp;IF(LINEAS!$U$59&lt;=2,"GZ","GX")&amp;" "&amp;TEXT(IF(OR(LINEAS!$U$59=1,LINEAS!$U$59=3),1,-1)*LINEAS!$AD$59*DATOS!$C$67,DATOS!$C$68)))</f>
        <v/>
      </c>
      <c r="E509" s="51" t="str">
        <f aca="false">IF(LEN($D509)&gt;79,"MÁS DE 79 CARACTERES","")</f>
        <v/>
      </c>
    </row>
    <row r="510" customFormat="false" ht="15" hidden="false" customHeight="true" outlineLevel="0" collapsed="false">
      <c r="B510" s="53" t="str">
        <f aca="false">IF(OR(LINEAS!$D$60="",LINEAS!$U$60=0,ABS(IF(OR(LINEAS!$U$60=1,LINEAS!$U$60=3),1,-1)*LINEAS!$AD$60*DATOS!$C$67)&lt;0.00005),"*",LINEAS!$D$60&amp;" UNI "&amp;IF(LINEAS!$U$60&lt;=2,"GZ","GX")&amp;" "&amp;TEXT(IF(OR(LINEAS!$U$60=1,LINEAS!$U$60=3),1,-1)*LINEAS!$AD$60*DATOS!$C$67,DATOS!$C$68))</f>
        <v>305 UNI GX -0.0516</v>
      </c>
      <c r="C510" s="51" t="str">
        <f aca="false">IF(LEN($B510)&gt;79,"MÁS DE 79 CARACTERES","")</f>
        <v/>
      </c>
      <c r="D510" s="53" t="str">
        <f aca="false">IF(PRESIONES!$C$22="NO","",IF(OR(LINEAS!$D$60="",LINEAS!$U$60=0,ABS(IF(OR(LINEAS!$U$60=1,LINEAS!$U$60=3),1,-1)*LINEAS!$AD$60*DATOS!$C$67)&lt;0.00005),"*",LINEAS!$D$60&amp;" UNI "&amp;IF(LINEAS!$U$60&lt;=2,"GZ","GX")&amp;" "&amp;TEXT(IF(OR(LINEAS!$U$60=1,LINEAS!$U$60=3),1,-1)*LINEAS!$AD$60*DATOS!$C$67,DATOS!$C$68)))</f>
        <v/>
      </c>
      <c r="E510" s="51" t="str">
        <f aca="false">IF(LEN($D510)&gt;79,"MÁS DE 79 CARACTERES","")</f>
        <v/>
      </c>
    </row>
    <row r="511" customFormat="false" ht="15" hidden="false" customHeight="true" outlineLevel="0" collapsed="false">
      <c r="B511" s="53" t="str">
        <f aca="false">IF(OR(LINEAS!$D$61="",LINEAS!$U$61=0,ABS(IF(OR(LINEAS!$U$61=1,LINEAS!$U$61=3),1,-1)*LINEAS!$AD$61*DATOS!$C$67)&lt;0.00005),"*",LINEAS!$D$61&amp;" UNI "&amp;IF(LINEAS!$U$61&lt;=2,"GZ","GX")&amp;" "&amp;TEXT(IF(OR(LINEAS!$U$61=1,LINEAS!$U$61=3),1,-1)*LINEAS!$AD$61*DATOS!$C$67,DATOS!$C$68))</f>
        <v>304 UNI GX -0.0516</v>
      </c>
      <c r="C511" s="51" t="str">
        <f aca="false">IF(LEN($B511)&gt;79,"MÁS DE 79 CARACTERES","")</f>
        <v/>
      </c>
      <c r="D511" s="53" t="str">
        <f aca="false">IF(PRESIONES!$C$22="NO","",IF(OR(LINEAS!$D$61="",LINEAS!$U$61=0,ABS(IF(OR(LINEAS!$U$61=1,LINEAS!$U$61=3),1,-1)*LINEAS!$AD$61*DATOS!$C$67)&lt;0.00005),"*",LINEAS!$D$61&amp;" UNI "&amp;IF(LINEAS!$U$61&lt;=2,"GZ","GX")&amp;" "&amp;TEXT(IF(OR(LINEAS!$U$61=1,LINEAS!$U$61=3),1,-1)*LINEAS!$AD$61*DATOS!$C$67,DATOS!$C$68)))</f>
        <v/>
      </c>
      <c r="E511" s="51" t="str">
        <f aca="false">IF(LEN($D511)&gt;79,"MÁS DE 79 CARACTERES","")</f>
        <v/>
      </c>
    </row>
    <row r="512" customFormat="false" ht="15" hidden="false" customHeight="true" outlineLevel="0" collapsed="false">
      <c r="B512" s="53" t="str">
        <f aca="false">IF(OR(LINEAS!$D$62="",LINEAS!$U$62=0,ABS(IF(OR(LINEAS!$U$62=1,LINEAS!$U$62=3),1,-1)*LINEAS!$AD$62*DATOS!$C$67)&lt;0.00005),"*",LINEAS!$D$62&amp;" UNI "&amp;IF(LINEAS!$U$62&lt;=2,"GZ","GX")&amp;" "&amp;TEXT(IF(OR(LINEAS!$U$62=1,LINEAS!$U$62=3),1,-1)*LINEAS!$AD$62*DATOS!$C$67,DATOS!$C$68))</f>
        <v>303 UNI GX -0.0516</v>
      </c>
      <c r="C512" s="51" t="str">
        <f aca="false">IF(LEN($B512)&gt;79,"MÁS DE 79 CARACTERES","")</f>
        <v/>
      </c>
      <c r="D512" s="53" t="str">
        <f aca="false">IF(PRESIONES!$C$22="NO","",IF(OR(LINEAS!$D$62="",LINEAS!$U$62=0,ABS(IF(OR(LINEAS!$U$62=1,LINEAS!$U$62=3),1,-1)*LINEAS!$AD$62*DATOS!$C$67)&lt;0.00005),"*",LINEAS!$D$62&amp;" UNI "&amp;IF(LINEAS!$U$62&lt;=2,"GZ","GX")&amp;" "&amp;TEXT(IF(OR(LINEAS!$U$62=1,LINEAS!$U$62=3),1,-1)*LINEAS!$AD$62*DATOS!$C$67,DATOS!$C$68)))</f>
        <v/>
      </c>
      <c r="E512" s="51" t="str">
        <f aca="false">IF(LEN($D512)&gt;79,"MÁS DE 79 CARACTERES","")</f>
        <v/>
      </c>
    </row>
    <row r="513" customFormat="false" ht="15" hidden="false" customHeight="true" outlineLevel="0" collapsed="false">
      <c r="B513" s="53" t="str">
        <f aca="false">IF(OR(LINEAS!$D$63="",LINEAS!$U$63=0,ABS(IF(OR(LINEAS!$U$63=1,LINEAS!$U$63=3),1,-1)*LINEAS!$AD$63*DATOS!$C$67)&lt;0.00005),"*",LINEAS!$D$63&amp;" UNI "&amp;IF(LINEAS!$U$63&lt;=2,"GZ","GX")&amp;" "&amp;TEXT(IF(OR(LINEAS!$U$63=1,LINEAS!$U$63=3),1,-1)*LINEAS!$AD$63*DATOS!$C$67,DATOS!$C$68))</f>
        <v>314 UNI GX -0.0516</v>
      </c>
      <c r="C513" s="51" t="str">
        <f aca="false">IF(LEN($B513)&gt;79,"MÁS DE 79 CARACTERES","")</f>
        <v/>
      </c>
      <c r="D513" s="53" t="str">
        <f aca="false">IF(PRESIONES!$C$22="NO","",IF(OR(LINEAS!$D$63="",LINEAS!$U$63=0,ABS(IF(OR(LINEAS!$U$63=1,LINEAS!$U$63=3),1,-1)*LINEAS!$AD$63*DATOS!$C$67)&lt;0.00005),"*",LINEAS!$D$63&amp;" UNI "&amp;IF(LINEAS!$U$63&lt;=2,"GZ","GX")&amp;" "&amp;TEXT(IF(OR(LINEAS!$U$63=1,LINEAS!$U$63=3),1,-1)*LINEAS!$AD$63*DATOS!$C$67,DATOS!$C$68)))</f>
        <v/>
      </c>
      <c r="E513" s="51" t="str">
        <f aca="false">IF(LEN($D513)&gt;79,"MÁS DE 79 CARACTERES","")</f>
        <v/>
      </c>
    </row>
    <row r="514" customFormat="false" ht="15" hidden="false" customHeight="true" outlineLevel="0" collapsed="false">
      <c r="B514" s="53" t="str">
        <f aca="false">IF(OR(LINEAS!$D$64="",LINEAS!$U$64=0,ABS(IF(OR(LINEAS!$U$64=1,LINEAS!$U$64=3),1,-1)*LINEAS!$AD$64*DATOS!$C$67)&lt;0.00005),"*",LINEAS!$D$64&amp;" UNI "&amp;IF(LINEAS!$U$64&lt;=2,"GZ","GX")&amp;" "&amp;TEXT(IF(OR(LINEAS!$U$64=1,LINEAS!$U$64=3),1,-1)*LINEAS!$AD$64*DATOS!$C$67,DATOS!$C$68))</f>
        <v>313 UNI GX -0.0516</v>
      </c>
      <c r="C514" s="51" t="str">
        <f aca="false">IF(LEN($B514)&gt;79,"MÁS DE 79 CARACTERES","")</f>
        <v/>
      </c>
      <c r="D514" s="53" t="str">
        <f aca="false">IF(PRESIONES!$C$22="NO","",IF(OR(LINEAS!$D$64="",LINEAS!$U$64=0,ABS(IF(OR(LINEAS!$U$64=1,LINEAS!$U$64=3),1,-1)*LINEAS!$AD$64*DATOS!$C$67)&lt;0.00005),"*",LINEAS!$D$64&amp;" UNI "&amp;IF(LINEAS!$U$64&lt;=2,"GZ","GX")&amp;" "&amp;TEXT(IF(OR(LINEAS!$U$64=1,LINEAS!$U$64=3),1,-1)*LINEAS!$AD$64*DATOS!$C$67,DATOS!$C$68)))</f>
        <v/>
      </c>
      <c r="E514" s="51" t="str">
        <f aca="false">IF(LEN($D514)&gt;79,"MÁS DE 79 CARACTERES","")</f>
        <v/>
      </c>
    </row>
    <row r="515" customFormat="false" ht="15" hidden="false" customHeight="true" outlineLevel="0" collapsed="false">
      <c r="B515" s="53" t="str">
        <f aca="false">IF(OR(LINEAS!$D$65="",LINEAS!$U$65=0,ABS(IF(OR(LINEAS!$U$65=1,LINEAS!$U$65=3),1,-1)*LINEAS!$AD$65*DATOS!$C$67)&lt;0.00005),"*",LINEAS!$D$65&amp;" UNI "&amp;IF(LINEAS!$U$65&lt;=2,"GZ","GX")&amp;" "&amp;TEXT(IF(OR(LINEAS!$U$65=1,LINEAS!$U$65=3),1,-1)*LINEAS!$AD$65*DATOS!$C$67,DATOS!$C$68))</f>
        <v>312 UNI GX -0.0516</v>
      </c>
      <c r="C515" s="51" t="str">
        <f aca="false">IF(LEN($B515)&gt;79,"MÁS DE 79 CARACTERES","")</f>
        <v/>
      </c>
      <c r="D515" s="53" t="str">
        <f aca="false">IF(PRESIONES!$C$22="NO","",IF(OR(LINEAS!$D$65="",LINEAS!$U$65=0,ABS(IF(OR(LINEAS!$U$65=1,LINEAS!$U$65=3),1,-1)*LINEAS!$AD$65*DATOS!$C$67)&lt;0.00005),"*",LINEAS!$D$65&amp;" UNI "&amp;IF(LINEAS!$U$65&lt;=2,"GZ","GX")&amp;" "&amp;TEXT(IF(OR(LINEAS!$U$65=1,LINEAS!$U$65=3),1,-1)*LINEAS!$AD$65*DATOS!$C$67,DATOS!$C$68)))</f>
        <v/>
      </c>
      <c r="E515" s="51" t="str">
        <f aca="false">IF(LEN($D515)&gt;79,"MÁS DE 79 CARACTERES","")</f>
        <v/>
      </c>
    </row>
    <row r="516" customFormat="false" ht="15" hidden="false" customHeight="true" outlineLevel="0" collapsed="false">
      <c r="B516" s="53" t="str">
        <f aca="false">IF(OR(LINEAS!$D$66="",LINEAS!$U$66=0,ABS(IF(OR(LINEAS!$U$66=1,LINEAS!$U$66=3),1,-1)*LINEAS!$AD$66*DATOS!$C$67)&lt;0.00005),"*",LINEAS!$D$66&amp;" UNI "&amp;IF(LINEAS!$U$66&lt;=2,"GZ","GX")&amp;" "&amp;TEXT(IF(OR(LINEAS!$U$66=1,LINEAS!$U$66=3),1,-1)*LINEAS!$AD$66*DATOS!$C$67,DATOS!$C$68))</f>
        <v>317 UNI GX -0.0441</v>
      </c>
      <c r="C516" s="51" t="str">
        <f aca="false">IF(LEN($B516)&gt;79,"MÁS DE 79 CARACTERES","")</f>
        <v/>
      </c>
      <c r="D516" s="53" t="str">
        <f aca="false">IF(PRESIONES!$C$22="NO","",IF(OR(LINEAS!$D$66="",LINEAS!$U$66=0,ABS(IF(OR(LINEAS!$U$66=1,LINEAS!$U$66=3),1,-1)*LINEAS!$AD$66*DATOS!$C$67)&lt;0.00005),"*",LINEAS!$D$66&amp;" UNI "&amp;IF(LINEAS!$U$66&lt;=2,"GZ","GX")&amp;" "&amp;TEXT(IF(OR(LINEAS!$U$66=1,LINEAS!$U$66=3),1,-1)*LINEAS!$AD$66*DATOS!$C$67,DATOS!$C$68)))</f>
        <v/>
      </c>
      <c r="E516" s="51" t="str">
        <f aca="false">IF(LEN($D516)&gt;79,"MÁS DE 79 CARACTERES","")</f>
        <v/>
      </c>
    </row>
    <row r="517" customFormat="false" ht="15" hidden="false" customHeight="true" outlineLevel="0" collapsed="false">
      <c r="B517" s="53" t="str">
        <f aca="false">IF(OR(LINEAS!$D$67="",LINEAS!$U$67=0,ABS(IF(OR(LINEAS!$U$67=1,LINEAS!$U$67=3),1,-1)*LINEAS!$AD$67*DATOS!$C$67)&lt;0.00005),"*",LINEAS!$D$67&amp;" UNI "&amp;IF(LINEAS!$U$67&lt;=2,"GZ","GX")&amp;" "&amp;TEXT(IF(OR(LINEAS!$U$67=1,LINEAS!$U$67=3),1,-1)*LINEAS!$AD$67*DATOS!$C$67,DATOS!$C$68))</f>
        <v>316 UNI GX -0.0368</v>
      </c>
      <c r="C517" s="51" t="str">
        <f aca="false">IF(LEN($B517)&gt;79,"MÁS DE 79 CARACTERES","")</f>
        <v/>
      </c>
      <c r="D517" s="53" t="str">
        <f aca="false">IF(PRESIONES!$C$22="NO","",IF(OR(LINEAS!$D$67="",LINEAS!$U$67=0,ABS(IF(OR(LINEAS!$U$67=1,LINEAS!$U$67=3),1,-1)*LINEAS!$AD$67*DATOS!$C$67)&lt;0.00005),"*",LINEAS!$D$67&amp;" UNI "&amp;IF(LINEAS!$U$67&lt;=2,"GZ","GX")&amp;" "&amp;TEXT(IF(OR(LINEAS!$U$67=1,LINEAS!$U$67=3),1,-1)*LINEAS!$AD$67*DATOS!$C$67,DATOS!$C$68)))</f>
        <v/>
      </c>
      <c r="E517" s="51" t="str">
        <f aca="false">IF(LEN($D517)&gt;79,"MÁS DE 79 CARACTERES","")</f>
        <v/>
      </c>
    </row>
    <row r="518" customFormat="false" ht="15" hidden="false" customHeight="true" outlineLevel="0" collapsed="false">
      <c r="B518" s="53" t="str">
        <f aca="false">IF(OR(LINEAS!$D$68="",LINEAS!$U$68=0,ABS(IF(OR(LINEAS!$U$68=1,LINEAS!$U$68=3),1,-1)*LINEAS!$AD$68*DATOS!$C$67)&lt;0.00005),"*",LINEAS!$D$68&amp;" UNI "&amp;IF(LINEAS!$U$68&lt;=2,"GZ","GX")&amp;" "&amp;TEXT(IF(OR(LINEAS!$U$68=1,LINEAS!$U$68=3),1,-1)*LINEAS!$AD$68*DATOS!$C$67,DATOS!$C$68))</f>
        <v>315 UNI GX -0.0318</v>
      </c>
      <c r="C518" s="51" t="str">
        <f aca="false">IF(LEN($B518)&gt;79,"MÁS DE 79 CARACTERES","")</f>
        <v/>
      </c>
      <c r="D518" s="53" t="str">
        <f aca="false">IF(PRESIONES!$C$22="NO","",IF(OR(LINEAS!$D$68="",LINEAS!$U$68=0,ABS(IF(OR(LINEAS!$U$68=1,LINEAS!$U$68=3),1,-1)*LINEAS!$AD$68*DATOS!$C$67)&lt;0.00005),"*",LINEAS!$D$68&amp;" UNI "&amp;IF(LINEAS!$U$68&lt;=2,"GZ","GX")&amp;" "&amp;TEXT(IF(OR(LINEAS!$U$68=1,LINEAS!$U$68=3),1,-1)*LINEAS!$AD$68*DATOS!$C$67,DATOS!$C$68)))</f>
        <v/>
      </c>
      <c r="E518" s="51" t="str">
        <f aca="false">IF(LEN($D518)&gt;79,"MÁS DE 79 CARACTERES","")</f>
        <v/>
      </c>
    </row>
    <row r="519" customFormat="false" ht="15" hidden="false" customHeight="true" outlineLevel="0" collapsed="false">
      <c r="B519" s="53" t="str">
        <f aca="false">IF(OR(LINEAS!$D$69="",LINEAS!$U$69=0,ABS(IF(OR(LINEAS!$U$69=1,LINEAS!$U$69=3),1,-1)*LINEAS!$AD$69*DATOS!$C$67)&lt;0.00005),"*",LINEAS!$D$69&amp;" UNI "&amp;IF(LINEAS!$U$69&lt;=2,"GZ","GX")&amp;" "&amp;TEXT(IF(OR(LINEAS!$U$69=1,LINEAS!$U$69=3),1,-1)*LINEAS!$AD$69*DATOS!$C$67,DATOS!$C$68))</f>
        <v>265 UNI GX 0.0516</v>
      </c>
      <c r="C519" s="51" t="str">
        <f aca="false">IF(LEN($B519)&gt;79,"MÁS DE 79 CARACTERES","")</f>
        <v/>
      </c>
      <c r="D519" s="53" t="str">
        <f aca="false">IF(PRESIONES!$C$22="NO","",IF(OR(LINEAS!$D$69="",LINEAS!$U$69=0,ABS(IF(OR(LINEAS!$U$69=1,LINEAS!$U$69=3),1,-1)*LINEAS!$AD$69*DATOS!$C$67)&lt;0.00005),"*",LINEAS!$D$69&amp;" UNI "&amp;IF(LINEAS!$U$69&lt;=2,"GZ","GX")&amp;" "&amp;TEXT(IF(OR(LINEAS!$U$69=1,LINEAS!$U$69=3),1,-1)*LINEAS!$AD$69*DATOS!$C$67,DATOS!$C$68)))</f>
        <v/>
      </c>
      <c r="E519" s="51" t="str">
        <f aca="false">IF(LEN($D519)&gt;79,"MÁS DE 79 CARACTERES","")</f>
        <v/>
      </c>
    </row>
    <row r="520" customFormat="false" ht="15" hidden="false" customHeight="true" outlineLevel="0" collapsed="false">
      <c r="B520" s="53" t="str">
        <f aca="false">IF(OR(LINEAS!$D$70="",LINEAS!$U$70=0,ABS(IF(OR(LINEAS!$U$70=1,LINEAS!$U$70=3),1,-1)*LINEAS!$AD$70*DATOS!$C$67)&lt;0.00005),"*",LINEAS!$D$70&amp;" UNI "&amp;IF(LINEAS!$U$70&lt;=2,"GZ","GX")&amp;" "&amp;TEXT(IF(OR(LINEAS!$U$70=1,LINEAS!$U$70=3),1,-1)*LINEAS!$AD$70*DATOS!$C$67,DATOS!$C$68))</f>
        <v>266 UNI GX 0.0516</v>
      </c>
      <c r="C520" s="51" t="str">
        <f aca="false">IF(LEN($B520)&gt;79,"MÁS DE 79 CARACTERES","")</f>
        <v/>
      </c>
      <c r="D520" s="53" t="str">
        <f aca="false">IF(PRESIONES!$C$22="NO","",IF(OR(LINEAS!$D$70="",LINEAS!$U$70=0,ABS(IF(OR(LINEAS!$U$70=1,LINEAS!$U$70=3),1,-1)*LINEAS!$AD$70*DATOS!$C$67)&lt;0.00005),"*",LINEAS!$D$70&amp;" UNI "&amp;IF(LINEAS!$U$70&lt;=2,"GZ","GX")&amp;" "&amp;TEXT(IF(OR(LINEAS!$U$70=1,LINEAS!$U$70=3),1,-1)*LINEAS!$AD$70*DATOS!$C$67,DATOS!$C$68)))</f>
        <v/>
      </c>
      <c r="E520" s="51" t="str">
        <f aca="false">IF(LEN($D520)&gt;79,"MÁS DE 79 CARACTERES","")</f>
        <v/>
      </c>
    </row>
    <row r="521" customFormat="false" ht="15" hidden="false" customHeight="true" outlineLevel="0" collapsed="false">
      <c r="B521" s="53" t="str">
        <f aca="false">IF(OR(LINEAS!$D$71="",LINEAS!$U$71=0,ABS(IF(OR(LINEAS!$U$71=1,LINEAS!$U$71=3),1,-1)*LINEAS!$AD$71*DATOS!$C$67)&lt;0.00005),"*",LINEAS!$D$71&amp;" UNI "&amp;IF(LINEAS!$U$71&lt;=2,"GZ","GX")&amp;" "&amp;TEXT(IF(OR(LINEAS!$U$71=1,LINEAS!$U$71=3),1,-1)*LINEAS!$AD$71*DATOS!$C$67,DATOS!$C$68))</f>
        <v>267 UNI GX 0.0516</v>
      </c>
      <c r="C521" s="51" t="str">
        <f aca="false">IF(LEN($B521)&gt;79,"MÁS DE 79 CARACTERES","")</f>
        <v/>
      </c>
      <c r="D521" s="53" t="str">
        <f aca="false">IF(PRESIONES!$C$22="NO","",IF(OR(LINEAS!$D$71="",LINEAS!$U$71=0,ABS(IF(OR(LINEAS!$U$71=1,LINEAS!$U$71=3),1,-1)*LINEAS!$AD$71*DATOS!$C$67)&lt;0.00005),"*",LINEAS!$D$71&amp;" UNI "&amp;IF(LINEAS!$U$71&lt;=2,"GZ","GX")&amp;" "&amp;TEXT(IF(OR(LINEAS!$U$71=1,LINEAS!$U$71=3),1,-1)*LINEAS!$AD$71*DATOS!$C$67,DATOS!$C$68)))</f>
        <v/>
      </c>
      <c r="E521" s="51" t="str">
        <f aca="false">IF(LEN($D521)&gt;79,"MÁS DE 79 CARACTERES","")</f>
        <v/>
      </c>
    </row>
    <row r="522" customFormat="false" ht="15" hidden="false" customHeight="true" outlineLevel="0" collapsed="false">
      <c r="B522" s="53" t="str">
        <f aca="false">IF(OR(LINEAS!$D$72="",LINEAS!$U$72=0,ABS(IF(OR(LINEAS!$U$72=1,LINEAS!$U$72=3),1,-1)*LINEAS!$AD$72*DATOS!$C$67)&lt;0.00005),"*",LINEAS!$D$72&amp;" UNI "&amp;IF(LINEAS!$U$72&lt;=2,"GZ","GX")&amp;" "&amp;TEXT(IF(OR(LINEAS!$U$72=1,LINEAS!$U$72=3),1,-1)*LINEAS!$AD$72*DATOS!$C$67,DATOS!$C$68))</f>
        <v>274 UNI GX 0.0516</v>
      </c>
      <c r="C522" s="51" t="str">
        <f aca="false">IF(LEN($B522)&gt;79,"MÁS DE 79 CARACTERES","")</f>
        <v/>
      </c>
      <c r="D522" s="53" t="str">
        <f aca="false">IF(PRESIONES!$C$22="NO","",IF(OR(LINEAS!$D$72="",LINEAS!$U$72=0,ABS(IF(OR(LINEAS!$U$72=1,LINEAS!$U$72=3),1,-1)*LINEAS!$AD$72*DATOS!$C$67)&lt;0.00005),"*",LINEAS!$D$72&amp;" UNI "&amp;IF(LINEAS!$U$72&lt;=2,"GZ","GX")&amp;" "&amp;TEXT(IF(OR(LINEAS!$U$72=1,LINEAS!$U$72=3),1,-1)*LINEAS!$AD$72*DATOS!$C$67,DATOS!$C$68)))</f>
        <v/>
      </c>
      <c r="E522" s="51" t="str">
        <f aca="false">IF(LEN($D522)&gt;79,"MÁS DE 79 CARACTERES","")</f>
        <v/>
      </c>
    </row>
    <row r="523" customFormat="false" ht="15" hidden="false" customHeight="true" outlineLevel="0" collapsed="false">
      <c r="B523" s="53" t="str">
        <f aca="false">IF(OR(LINEAS!$D$73="",LINEAS!$U$73=0,ABS(IF(OR(LINEAS!$U$73=1,LINEAS!$U$73=3),1,-1)*LINEAS!$AD$73*DATOS!$C$67)&lt;0.00005),"*",LINEAS!$D$73&amp;" UNI "&amp;IF(LINEAS!$U$73&lt;=2,"GZ","GX")&amp;" "&amp;TEXT(IF(OR(LINEAS!$U$73=1,LINEAS!$U$73=3),1,-1)*LINEAS!$AD$73*DATOS!$C$67,DATOS!$C$68))</f>
        <v>275 UNI GX 0.0516</v>
      </c>
      <c r="C523" s="51" t="str">
        <f aca="false">IF(LEN($B523)&gt;79,"MÁS DE 79 CARACTERES","")</f>
        <v/>
      </c>
      <c r="D523" s="53" t="str">
        <f aca="false">IF(PRESIONES!$C$22="NO","",IF(OR(LINEAS!$D$73="",LINEAS!$U$73=0,ABS(IF(OR(LINEAS!$U$73=1,LINEAS!$U$73=3),1,-1)*LINEAS!$AD$73*DATOS!$C$67)&lt;0.00005),"*",LINEAS!$D$73&amp;" UNI "&amp;IF(LINEAS!$U$73&lt;=2,"GZ","GX")&amp;" "&amp;TEXT(IF(OR(LINEAS!$U$73=1,LINEAS!$U$73=3),1,-1)*LINEAS!$AD$73*DATOS!$C$67,DATOS!$C$68)))</f>
        <v/>
      </c>
      <c r="E523" s="51" t="str">
        <f aca="false">IF(LEN($D523)&gt;79,"MÁS DE 79 CARACTERES","")</f>
        <v/>
      </c>
    </row>
    <row r="524" customFormat="false" ht="15" hidden="false" customHeight="true" outlineLevel="0" collapsed="false">
      <c r="B524" s="53" t="str">
        <f aca="false">IF(OR(LINEAS!$D$74="",LINEAS!$U$74=0,ABS(IF(OR(LINEAS!$U$74=1,LINEAS!$U$74=3),1,-1)*LINEAS!$AD$74*DATOS!$C$67)&lt;0.00005),"*",LINEAS!$D$74&amp;" UNI "&amp;IF(LINEAS!$U$74&lt;=2,"GZ","GX")&amp;" "&amp;TEXT(IF(OR(LINEAS!$U$74=1,LINEAS!$U$74=3),1,-1)*LINEAS!$AD$74*DATOS!$C$67,DATOS!$C$68))</f>
        <v>276 UNI GX 0.0516</v>
      </c>
      <c r="C524" s="51" t="str">
        <f aca="false">IF(LEN($B524)&gt;79,"MÁS DE 79 CARACTERES","")</f>
        <v/>
      </c>
      <c r="D524" s="53" t="str">
        <f aca="false">IF(PRESIONES!$C$22="NO","",IF(OR(LINEAS!$D$74="",LINEAS!$U$74=0,ABS(IF(OR(LINEAS!$U$74=1,LINEAS!$U$74=3),1,-1)*LINEAS!$AD$74*DATOS!$C$67)&lt;0.00005),"*",LINEAS!$D$74&amp;" UNI "&amp;IF(LINEAS!$U$74&lt;=2,"GZ","GX")&amp;" "&amp;TEXT(IF(OR(LINEAS!$U$74=1,LINEAS!$U$74=3),1,-1)*LINEAS!$AD$74*DATOS!$C$67,DATOS!$C$68)))</f>
        <v/>
      </c>
      <c r="E524" s="51" t="str">
        <f aca="false">IF(LEN($D524)&gt;79,"MÁS DE 79 CARACTERES","")</f>
        <v/>
      </c>
    </row>
    <row r="525" customFormat="false" ht="15" hidden="false" customHeight="true" outlineLevel="0" collapsed="false">
      <c r="B525" s="53" t="str">
        <f aca="false">IF(OR(LINEAS!$D$75="",LINEAS!$U$75=0,ABS(IF(OR(LINEAS!$U$75=1,LINEAS!$U$75=3),1,-1)*LINEAS!$AD$75*DATOS!$C$67)&lt;0.00005),"*",LINEAS!$D$75&amp;" UNI "&amp;IF(LINEAS!$U$75&lt;=2,"GZ","GX")&amp;" "&amp;TEXT(IF(OR(LINEAS!$U$75=1,LINEAS!$U$75=3),1,-1)*LINEAS!$AD$75*DATOS!$C$67,DATOS!$C$68))</f>
        <v>283 UNI GX 0.0516</v>
      </c>
      <c r="C525" s="51" t="str">
        <f aca="false">IF(LEN($B525)&gt;79,"MÁS DE 79 CARACTERES","")</f>
        <v/>
      </c>
      <c r="D525" s="53" t="str">
        <f aca="false">IF(PRESIONES!$C$22="NO","",IF(OR(LINEAS!$D$75="",LINEAS!$U$75=0,ABS(IF(OR(LINEAS!$U$75=1,LINEAS!$U$75=3),1,-1)*LINEAS!$AD$75*DATOS!$C$67)&lt;0.00005),"*",LINEAS!$D$75&amp;" UNI "&amp;IF(LINEAS!$U$75&lt;=2,"GZ","GX")&amp;" "&amp;TEXT(IF(OR(LINEAS!$U$75=1,LINEAS!$U$75=3),1,-1)*LINEAS!$AD$75*DATOS!$C$67,DATOS!$C$68)))</f>
        <v/>
      </c>
      <c r="E525" s="51" t="str">
        <f aca="false">IF(LEN($D525)&gt;79,"MÁS DE 79 CARACTERES","")</f>
        <v/>
      </c>
    </row>
    <row r="526" customFormat="false" ht="15" hidden="false" customHeight="true" outlineLevel="0" collapsed="false">
      <c r="B526" s="53" t="str">
        <f aca="false">IF(OR(LINEAS!$D$76="",LINEAS!$U$76=0,ABS(IF(OR(LINEAS!$U$76=1,LINEAS!$U$76=3),1,-1)*LINEAS!$AD$76*DATOS!$C$67)&lt;0.00005),"*",LINEAS!$D$76&amp;" UNI "&amp;IF(LINEAS!$U$76&lt;=2,"GZ","GX")&amp;" "&amp;TEXT(IF(OR(LINEAS!$U$76=1,LINEAS!$U$76=3),1,-1)*LINEAS!$AD$76*DATOS!$C$67,DATOS!$C$68))</f>
        <v>284 UNI GX 0.0516</v>
      </c>
      <c r="C526" s="51" t="str">
        <f aca="false">IF(LEN($B526)&gt;79,"MÁS DE 79 CARACTERES","")</f>
        <v/>
      </c>
      <c r="D526" s="53" t="str">
        <f aca="false">IF(PRESIONES!$C$22="NO","",IF(OR(LINEAS!$D$76="",LINEAS!$U$76=0,ABS(IF(OR(LINEAS!$U$76=1,LINEAS!$U$76=3),1,-1)*LINEAS!$AD$76*DATOS!$C$67)&lt;0.00005),"*",LINEAS!$D$76&amp;" UNI "&amp;IF(LINEAS!$U$76&lt;=2,"GZ","GX")&amp;" "&amp;TEXT(IF(OR(LINEAS!$U$76=1,LINEAS!$U$76=3),1,-1)*LINEAS!$AD$76*DATOS!$C$67,DATOS!$C$68)))</f>
        <v/>
      </c>
      <c r="E526" s="51" t="str">
        <f aca="false">IF(LEN($D526)&gt;79,"MÁS DE 79 CARACTERES","")</f>
        <v/>
      </c>
    </row>
    <row r="527" customFormat="false" ht="15" hidden="false" customHeight="true" outlineLevel="0" collapsed="false">
      <c r="B527" s="53" t="str">
        <f aca="false">IF(OR(LINEAS!$D$77="",LINEAS!$U$77=0,ABS(IF(OR(LINEAS!$U$77=1,LINEAS!$U$77=3),1,-1)*LINEAS!$AD$77*DATOS!$C$67)&lt;0.00005),"*",LINEAS!$D$77&amp;" UNI "&amp;IF(LINEAS!$U$77&lt;=2,"GZ","GX")&amp;" "&amp;TEXT(IF(OR(LINEAS!$U$77=1,LINEAS!$U$77=3),1,-1)*LINEAS!$AD$77*DATOS!$C$67,DATOS!$C$68))</f>
        <v>285 UNI GX 0.0516</v>
      </c>
      <c r="C527" s="51" t="str">
        <f aca="false">IF(LEN($B527)&gt;79,"MÁS DE 79 CARACTERES","")</f>
        <v/>
      </c>
      <c r="D527" s="53" t="str">
        <f aca="false">IF(PRESIONES!$C$22="NO","",IF(OR(LINEAS!$D$77="",LINEAS!$U$77=0,ABS(IF(OR(LINEAS!$U$77=1,LINEAS!$U$77=3),1,-1)*LINEAS!$AD$77*DATOS!$C$67)&lt;0.00005),"*",LINEAS!$D$77&amp;" UNI "&amp;IF(LINEAS!$U$77&lt;=2,"GZ","GX")&amp;" "&amp;TEXT(IF(OR(LINEAS!$U$77=1,LINEAS!$U$77=3),1,-1)*LINEAS!$AD$77*DATOS!$C$67,DATOS!$C$68)))</f>
        <v/>
      </c>
      <c r="E527" s="51" t="str">
        <f aca="false">IF(LEN($D527)&gt;79,"MÁS DE 79 CARACTERES","")</f>
        <v/>
      </c>
    </row>
    <row r="528" customFormat="false" ht="15" hidden="false" customHeight="true" outlineLevel="0" collapsed="false">
      <c r="B528" s="53" t="str">
        <f aca="false">IF(OR(LINEAS!$D$78="",LINEAS!$U$78=0,ABS(IF(OR(LINEAS!$U$78=1,LINEAS!$U$78=3),1,-1)*LINEAS!$AD$78*DATOS!$C$67)&lt;0.00005),"*",LINEAS!$D$78&amp;" UNI "&amp;IF(LINEAS!$U$78&lt;=2,"GZ","GX")&amp;" "&amp;TEXT(IF(OR(LINEAS!$U$78=1,LINEAS!$U$78=3),1,-1)*LINEAS!$AD$78*DATOS!$C$67,DATOS!$C$68))</f>
        <v>292 UNI GX 0.0516</v>
      </c>
      <c r="C528" s="51" t="str">
        <f aca="false">IF(LEN($B528)&gt;79,"MÁS DE 79 CARACTERES","")</f>
        <v/>
      </c>
      <c r="D528" s="53" t="str">
        <f aca="false">IF(PRESIONES!$C$22="NO","",IF(OR(LINEAS!$D$78="",LINEAS!$U$78=0,ABS(IF(OR(LINEAS!$U$78=1,LINEAS!$U$78=3),1,-1)*LINEAS!$AD$78*DATOS!$C$67)&lt;0.00005),"*",LINEAS!$D$78&amp;" UNI "&amp;IF(LINEAS!$U$78&lt;=2,"GZ","GX")&amp;" "&amp;TEXT(IF(OR(LINEAS!$U$78=1,LINEAS!$U$78=3),1,-1)*LINEAS!$AD$78*DATOS!$C$67,DATOS!$C$68)))</f>
        <v/>
      </c>
      <c r="E528" s="51" t="str">
        <f aca="false">IF(LEN($D528)&gt;79,"MÁS DE 79 CARACTERES","")</f>
        <v/>
      </c>
    </row>
    <row r="529" customFormat="false" ht="15" hidden="false" customHeight="true" outlineLevel="0" collapsed="false">
      <c r="B529" s="53" t="str">
        <f aca="false">IF(OR(LINEAS!$D$79="",LINEAS!$U$79=0,ABS(IF(OR(LINEAS!$U$79=1,LINEAS!$U$79=3),1,-1)*LINEAS!$AD$79*DATOS!$C$67)&lt;0.00005),"*",LINEAS!$D$79&amp;" UNI "&amp;IF(LINEAS!$U$79&lt;=2,"GZ","GX")&amp;" "&amp;TEXT(IF(OR(LINEAS!$U$79=1,LINEAS!$U$79=3),1,-1)*LINEAS!$AD$79*DATOS!$C$67,DATOS!$C$68))</f>
        <v>293 UNI GX 0.0516</v>
      </c>
      <c r="C529" s="51" t="str">
        <f aca="false">IF(LEN($B529)&gt;79,"MÁS DE 79 CARACTERES","")</f>
        <v/>
      </c>
      <c r="D529" s="53" t="str">
        <f aca="false">IF(PRESIONES!$C$22="NO","",IF(OR(LINEAS!$D$79="",LINEAS!$U$79=0,ABS(IF(OR(LINEAS!$U$79=1,LINEAS!$U$79=3),1,-1)*LINEAS!$AD$79*DATOS!$C$67)&lt;0.00005),"*",LINEAS!$D$79&amp;" UNI "&amp;IF(LINEAS!$U$79&lt;=2,"GZ","GX")&amp;" "&amp;TEXT(IF(OR(LINEAS!$U$79=1,LINEAS!$U$79=3),1,-1)*LINEAS!$AD$79*DATOS!$C$67,DATOS!$C$68)))</f>
        <v/>
      </c>
      <c r="E529" s="51" t="str">
        <f aca="false">IF(LEN($D529)&gt;79,"MÁS DE 79 CARACTERES","")</f>
        <v/>
      </c>
    </row>
    <row r="530" customFormat="false" ht="15" hidden="false" customHeight="true" outlineLevel="0" collapsed="false">
      <c r="B530" s="53" t="str">
        <f aca="false">IF(OR(LINEAS!$D$80="",LINEAS!$U$80=0,ABS(IF(OR(LINEAS!$U$80=1,LINEAS!$U$80=3),1,-1)*LINEAS!$AD$80*DATOS!$C$67)&lt;0.00005),"*",LINEAS!$D$80&amp;" UNI "&amp;IF(LINEAS!$U$80&lt;=2,"GZ","GX")&amp;" "&amp;TEXT(IF(OR(LINEAS!$U$80=1,LINEAS!$U$80=3),1,-1)*LINEAS!$AD$80*DATOS!$C$67,DATOS!$C$68))</f>
        <v>294 UNI GX 0.0516</v>
      </c>
      <c r="C530" s="51" t="str">
        <f aca="false">IF(LEN($B530)&gt;79,"MÁS DE 79 CARACTERES","")</f>
        <v/>
      </c>
      <c r="D530" s="53" t="str">
        <f aca="false">IF(PRESIONES!$C$22="NO","",IF(OR(LINEAS!$D$80="",LINEAS!$U$80=0,ABS(IF(OR(LINEAS!$U$80=1,LINEAS!$U$80=3),1,-1)*LINEAS!$AD$80*DATOS!$C$67)&lt;0.00005),"*",LINEAS!$D$80&amp;" UNI "&amp;IF(LINEAS!$U$80&lt;=2,"GZ","GX")&amp;" "&amp;TEXT(IF(OR(LINEAS!$U$80=1,LINEAS!$U$80=3),1,-1)*LINEAS!$AD$80*DATOS!$C$67,DATOS!$C$68)))</f>
        <v/>
      </c>
      <c r="E530" s="51" t="str">
        <f aca="false">IF(LEN($D530)&gt;79,"MÁS DE 79 CARACTERES","")</f>
        <v/>
      </c>
    </row>
    <row r="531" customFormat="false" ht="15" hidden="false" customHeight="true" outlineLevel="0" collapsed="false">
      <c r="B531" s="53" t="str">
        <f aca="false">IF(OR(LINEAS!$D$81="",LINEAS!$U$81=0,ABS(IF(OR(LINEAS!$U$81=1,LINEAS!$U$81=3),1,-1)*LINEAS!$AD$81*DATOS!$C$67)&lt;0.00005),"*",LINEAS!$D$81&amp;" UNI "&amp;IF(LINEAS!$U$81&lt;=2,"GZ","GX")&amp;" "&amp;TEXT(IF(OR(LINEAS!$U$81=1,LINEAS!$U$81=3),1,-1)*LINEAS!$AD$81*DATOS!$C$67,DATOS!$C$68))</f>
        <v>300 UNI GX 0.0516</v>
      </c>
      <c r="C531" s="51" t="str">
        <f aca="false">IF(LEN($B531)&gt;79,"MÁS DE 79 CARACTERES","")</f>
        <v/>
      </c>
      <c r="D531" s="53" t="str">
        <f aca="false">IF(PRESIONES!$C$22="NO","",IF(OR(LINEAS!$D$81="",LINEAS!$U$81=0,ABS(IF(OR(LINEAS!$U$81=1,LINEAS!$U$81=3),1,-1)*LINEAS!$AD$81*DATOS!$C$67)&lt;0.00005),"*",LINEAS!$D$81&amp;" UNI "&amp;IF(LINEAS!$U$81&lt;=2,"GZ","GX")&amp;" "&amp;TEXT(IF(OR(LINEAS!$U$81=1,LINEAS!$U$81=3),1,-1)*LINEAS!$AD$81*DATOS!$C$67,DATOS!$C$68)))</f>
        <v/>
      </c>
      <c r="E531" s="51" t="str">
        <f aca="false">IF(LEN($D531)&gt;79,"MÁS DE 79 CARACTERES","")</f>
        <v/>
      </c>
    </row>
    <row r="532" customFormat="false" ht="15" hidden="false" customHeight="true" outlineLevel="0" collapsed="false">
      <c r="B532" s="53" t="str">
        <f aca="false">IF(OR(LINEAS!$D$82="",LINEAS!$U$82=0,ABS(IF(OR(LINEAS!$U$82=1,LINEAS!$U$82=3),1,-1)*LINEAS!$AD$82*DATOS!$C$67)&lt;0.00005),"*",LINEAS!$D$82&amp;" UNI "&amp;IF(LINEAS!$U$82&lt;=2,"GZ","GX")&amp;" "&amp;TEXT(IF(OR(LINEAS!$U$82=1,LINEAS!$U$82=3),1,-1)*LINEAS!$AD$82*DATOS!$C$67,DATOS!$C$68))</f>
        <v>301 UNI GX 0.0516</v>
      </c>
      <c r="C532" s="51" t="str">
        <f aca="false">IF(LEN($B532)&gt;79,"MÁS DE 79 CARACTERES","")</f>
        <v/>
      </c>
      <c r="D532" s="53" t="str">
        <f aca="false">IF(PRESIONES!$C$22="NO","",IF(OR(LINEAS!$D$82="",LINEAS!$U$82=0,ABS(IF(OR(LINEAS!$U$82=1,LINEAS!$U$82=3),1,-1)*LINEAS!$AD$82*DATOS!$C$67)&lt;0.00005),"*",LINEAS!$D$82&amp;" UNI "&amp;IF(LINEAS!$U$82&lt;=2,"GZ","GX")&amp;" "&amp;TEXT(IF(OR(LINEAS!$U$82=1,LINEAS!$U$82=3),1,-1)*LINEAS!$AD$82*DATOS!$C$67,DATOS!$C$68)))</f>
        <v/>
      </c>
      <c r="E532" s="51" t="str">
        <f aca="false">IF(LEN($D532)&gt;79,"MÁS DE 79 CARACTERES","")</f>
        <v/>
      </c>
    </row>
    <row r="533" customFormat="false" ht="15" hidden="false" customHeight="true" outlineLevel="0" collapsed="false">
      <c r="B533" s="53" t="str">
        <f aca="false">IF(OR(LINEAS!$D$83="",LINEAS!$U$83=0,ABS(IF(OR(LINEAS!$U$83=1,LINEAS!$U$83=3),1,-1)*LINEAS!$AD$83*DATOS!$C$67)&lt;0.00005),"*",LINEAS!$D$83&amp;" UNI "&amp;IF(LINEAS!$U$83&lt;=2,"GZ","GX")&amp;" "&amp;TEXT(IF(OR(LINEAS!$U$83=1,LINEAS!$U$83=3),1,-1)*LINEAS!$AD$83*DATOS!$C$67,DATOS!$C$68))</f>
        <v>302 UNI GX 0.0516</v>
      </c>
      <c r="C533" s="51" t="str">
        <f aca="false">IF(LEN($B533)&gt;79,"MÁS DE 79 CARACTERES","")</f>
        <v/>
      </c>
      <c r="D533" s="53" t="str">
        <f aca="false">IF(PRESIONES!$C$22="NO","",IF(OR(LINEAS!$D$83="",LINEAS!$U$83=0,ABS(IF(OR(LINEAS!$U$83=1,LINEAS!$U$83=3),1,-1)*LINEAS!$AD$83*DATOS!$C$67)&lt;0.00005),"*",LINEAS!$D$83&amp;" UNI "&amp;IF(LINEAS!$U$83&lt;=2,"GZ","GX")&amp;" "&amp;TEXT(IF(OR(LINEAS!$U$83=1,LINEAS!$U$83=3),1,-1)*LINEAS!$AD$83*DATOS!$C$67,DATOS!$C$68)))</f>
        <v/>
      </c>
      <c r="E533" s="51" t="str">
        <f aca="false">IF(LEN($D533)&gt;79,"MÁS DE 79 CARACTERES","")</f>
        <v/>
      </c>
    </row>
    <row r="534" customFormat="false" ht="15" hidden="false" customHeight="true" outlineLevel="0" collapsed="false">
      <c r="B534" s="53" t="str">
        <f aca="false">IF(OR(LINEAS!$D$84="",LINEAS!$U$84=0,ABS(IF(OR(LINEAS!$U$84=1,LINEAS!$U$84=3),1,-1)*LINEAS!$AD$84*DATOS!$C$67)&lt;0.00005),"*",LINEAS!$D$84&amp;" UNI "&amp;IF(LINEAS!$U$84&lt;=2,"GZ","GX")&amp;" "&amp;TEXT(IF(OR(LINEAS!$U$84=1,LINEAS!$U$84=3),1,-1)*LINEAS!$AD$84*DATOS!$C$67,DATOS!$C$68))</f>
        <v>307 UNI GX 0.0516</v>
      </c>
      <c r="C534" s="51" t="str">
        <f aca="false">IF(LEN($B534)&gt;79,"MÁS DE 79 CARACTERES","")</f>
        <v/>
      </c>
      <c r="D534" s="53" t="str">
        <f aca="false">IF(PRESIONES!$C$22="NO","",IF(OR(LINEAS!$D$84="",LINEAS!$U$84=0,ABS(IF(OR(LINEAS!$U$84=1,LINEAS!$U$84=3),1,-1)*LINEAS!$AD$84*DATOS!$C$67)&lt;0.00005),"*",LINEAS!$D$84&amp;" UNI "&amp;IF(LINEAS!$U$84&lt;=2,"GZ","GX")&amp;" "&amp;TEXT(IF(OR(LINEAS!$U$84=1,LINEAS!$U$84=3),1,-1)*LINEAS!$AD$84*DATOS!$C$67,DATOS!$C$68)))</f>
        <v/>
      </c>
      <c r="E534" s="51" t="str">
        <f aca="false">IF(LEN($D534)&gt;79,"MÁS DE 79 CARACTERES","")</f>
        <v/>
      </c>
    </row>
    <row r="535" customFormat="false" ht="15" hidden="false" customHeight="true" outlineLevel="0" collapsed="false">
      <c r="B535" s="53" t="str">
        <f aca="false">IF(OR(LINEAS!$D$85="",LINEAS!$U$85=0,ABS(IF(OR(LINEAS!$U$85=1,LINEAS!$U$85=3),1,-1)*LINEAS!$AD$85*DATOS!$C$67)&lt;0.00005),"*",LINEAS!$D$85&amp;" UNI "&amp;IF(LINEAS!$U$85&lt;=2,"GZ","GX")&amp;" "&amp;TEXT(IF(OR(LINEAS!$U$85=1,LINEAS!$U$85=3),1,-1)*LINEAS!$AD$85*DATOS!$C$67,DATOS!$C$68))</f>
        <v>308 UNI GX 0.0516</v>
      </c>
      <c r="C535" s="51" t="str">
        <f aca="false">IF(LEN($B535)&gt;79,"MÁS DE 79 CARACTERES","")</f>
        <v/>
      </c>
      <c r="D535" s="53" t="str">
        <f aca="false">IF(PRESIONES!$C$22="NO","",IF(OR(LINEAS!$D$85="",LINEAS!$U$85=0,ABS(IF(OR(LINEAS!$U$85=1,LINEAS!$U$85=3),1,-1)*LINEAS!$AD$85*DATOS!$C$67)&lt;0.00005),"*",LINEAS!$D$85&amp;" UNI "&amp;IF(LINEAS!$U$85&lt;=2,"GZ","GX")&amp;" "&amp;TEXT(IF(OR(LINEAS!$U$85=1,LINEAS!$U$85=3),1,-1)*LINEAS!$AD$85*DATOS!$C$67,DATOS!$C$68)))</f>
        <v/>
      </c>
      <c r="E535" s="51" t="str">
        <f aca="false">IF(LEN($D535)&gt;79,"MÁS DE 79 CARACTERES","")</f>
        <v/>
      </c>
    </row>
    <row r="536" customFormat="false" ht="15" hidden="false" customHeight="true" outlineLevel="0" collapsed="false">
      <c r="B536" s="53" t="str">
        <f aca="false">IF(OR(LINEAS!$D$86="",LINEAS!$U$86=0,ABS(IF(OR(LINEAS!$U$86=1,LINEAS!$U$86=3),1,-1)*LINEAS!$AD$86*DATOS!$C$67)&lt;0.00005),"*",LINEAS!$D$86&amp;" UNI "&amp;IF(LINEAS!$U$86&lt;=2,"GZ","GX")&amp;" "&amp;TEXT(IF(OR(LINEAS!$U$86=1,LINEAS!$U$86=3),1,-1)*LINEAS!$AD$86*DATOS!$C$67,DATOS!$C$68))</f>
        <v>309 UNI GX 0.0516</v>
      </c>
      <c r="C536" s="51" t="str">
        <f aca="false">IF(LEN($B536)&gt;79,"MÁS DE 79 CARACTERES","")</f>
        <v/>
      </c>
      <c r="D536" s="53" t="str">
        <f aca="false">IF(PRESIONES!$C$22="NO","",IF(OR(LINEAS!$D$86="",LINEAS!$U$86=0,ABS(IF(OR(LINEAS!$U$86=1,LINEAS!$U$86=3),1,-1)*LINEAS!$AD$86*DATOS!$C$67)&lt;0.00005),"*",LINEAS!$D$86&amp;" UNI "&amp;IF(LINEAS!$U$86&lt;=2,"GZ","GX")&amp;" "&amp;TEXT(IF(OR(LINEAS!$U$86=1,LINEAS!$U$86=3),1,-1)*LINEAS!$AD$86*DATOS!$C$67,DATOS!$C$68)))</f>
        <v/>
      </c>
      <c r="E536" s="51" t="str">
        <f aca="false">IF(LEN($D536)&gt;79,"MÁS DE 79 CARACTERES","")</f>
        <v/>
      </c>
    </row>
    <row r="537" customFormat="false" ht="15" hidden="false" customHeight="true" outlineLevel="0" collapsed="false">
      <c r="B537" s="53" t="str">
        <f aca="false">IF(OR(LINEAS!$D$87="",LINEAS!$U$87=0,ABS(IF(OR(LINEAS!$U$87=1,LINEAS!$U$87=3),1,-1)*LINEAS!$AD$87*DATOS!$C$67)&lt;0.00005),"*",LINEAS!$D$87&amp;" UNI "&amp;IF(LINEAS!$U$87&lt;=2,"GZ","GX")&amp;" "&amp;TEXT(IF(OR(LINEAS!$U$87=1,LINEAS!$U$87=3),1,-1)*LINEAS!$AD$87*DATOS!$C$67,DATOS!$C$68))</f>
        <v>318 UNI GX 0.0516</v>
      </c>
      <c r="C537" s="51" t="str">
        <f aca="false">IF(LEN($B537)&gt;79,"MÁS DE 79 CARACTERES","")</f>
        <v/>
      </c>
      <c r="D537" s="53" t="str">
        <f aca="false">IF(PRESIONES!$C$22="NO","",IF(OR(LINEAS!$D$87="",LINEAS!$U$87=0,ABS(IF(OR(LINEAS!$U$87=1,LINEAS!$U$87=3),1,-1)*LINEAS!$AD$87*DATOS!$C$67)&lt;0.00005),"*",LINEAS!$D$87&amp;" UNI "&amp;IF(LINEAS!$U$87&lt;=2,"GZ","GX")&amp;" "&amp;TEXT(IF(OR(LINEAS!$U$87=1,LINEAS!$U$87=3),1,-1)*LINEAS!$AD$87*DATOS!$C$67,DATOS!$C$68)))</f>
        <v/>
      </c>
      <c r="E537" s="51" t="str">
        <f aca="false">IF(LEN($D537)&gt;79,"MÁS DE 79 CARACTERES","")</f>
        <v/>
      </c>
    </row>
    <row r="538" customFormat="false" ht="15" hidden="false" customHeight="true" outlineLevel="0" collapsed="false">
      <c r="B538" s="53" t="str">
        <f aca="false">IF(OR(LINEAS!$D$88="",LINEAS!$U$88=0,ABS(IF(OR(LINEAS!$U$88=1,LINEAS!$U$88=3),1,-1)*LINEAS!$AD$88*DATOS!$C$67)&lt;0.00005),"*",LINEAS!$D$88&amp;" UNI "&amp;IF(LINEAS!$U$88&lt;=2,"GZ","GX")&amp;" "&amp;TEXT(IF(OR(LINEAS!$U$88=1,LINEAS!$U$88=3),1,-1)*LINEAS!$AD$88*DATOS!$C$67,DATOS!$C$68))</f>
        <v>311 UNI GX 0.0516</v>
      </c>
      <c r="C538" s="51" t="str">
        <f aca="false">IF(LEN($B538)&gt;79,"MÁS DE 79 CARACTERES","")</f>
        <v/>
      </c>
      <c r="D538" s="53" t="str">
        <f aca="false">IF(PRESIONES!$C$22="NO","",IF(OR(LINEAS!$D$88="",LINEAS!$U$88=0,ABS(IF(OR(LINEAS!$U$88=1,LINEAS!$U$88=3),1,-1)*LINEAS!$AD$88*DATOS!$C$67)&lt;0.00005),"*",LINEAS!$D$88&amp;" UNI "&amp;IF(LINEAS!$U$88&lt;=2,"GZ","GX")&amp;" "&amp;TEXT(IF(OR(LINEAS!$U$88=1,LINEAS!$U$88=3),1,-1)*LINEAS!$AD$88*DATOS!$C$67,DATOS!$C$68)))</f>
        <v/>
      </c>
      <c r="E538" s="51" t="str">
        <f aca="false">IF(LEN($D538)&gt;79,"MÁS DE 79 CARACTERES","")</f>
        <v/>
      </c>
    </row>
    <row r="539" customFormat="false" ht="15" hidden="false" customHeight="true" outlineLevel="0" collapsed="false">
      <c r="B539" s="53" t="str">
        <f aca="false">IF(OR(LINEAS!$D$89="",LINEAS!$U$89=0,ABS(IF(OR(LINEAS!$U$89=1,LINEAS!$U$89=3),1,-1)*LINEAS!$AD$89*DATOS!$C$67)&lt;0.00005),"*",LINEAS!$D$89&amp;" UNI "&amp;IF(LINEAS!$U$89&lt;=2,"GZ","GX")&amp;" "&amp;TEXT(IF(OR(LINEAS!$U$89=1,LINEAS!$U$89=3),1,-1)*LINEAS!$AD$89*DATOS!$C$67,DATOS!$C$68))</f>
        <v>310 UNI GX 0.0516</v>
      </c>
      <c r="C539" s="51" t="str">
        <f aca="false">IF(LEN($B539)&gt;79,"MÁS DE 79 CARACTERES","")</f>
        <v/>
      </c>
      <c r="D539" s="53" t="str">
        <f aca="false">IF(PRESIONES!$C$22="NO","",IF(OR(LINEAS!$D$89="",LINEAS!$U$89=0,ABS(IF(OR(LINEAS!$U$89=1,LINEAS!$U$89=3),1,-1)*LINEAS!$AD$89*DATOS!$C$67)&lt;0.00005),"*",LINEAS!$D$89&amp;" UNI "&amp;IF(LINEAS!$U$89&lt;=2,"GZ","GX")&amp;" "&amp;TEXT(IF(OR(LINEAS!$U$89=1,LINEAS!$U$89=3),1,-1)*LINEAS!$AD$89*DATOS!$C$67,DATOS!$C$68)))</f>
        <v/>
      </c>
      <c r="E539" s="51" t="str">
        <f aca="false">IF(LEN($D539)&gt;79,"MÁS DE 79 CARACTERES","")</f>
        <v/>
      </c>
    </row>
    <row r="540" customFormat="false" ht="15" hidden="false" customHeight="true" outlineLevel="0" collapsed="false">
      <c r="B540" s="53" t="str">
        <f aca="false">IF(OR(LINEAS!$D$90="",LINEAS!$U$90=0,ABS(IF(OR(LINEAS!$U$90=1,LINEAS!$U$90=3),1,-1)*LINEAS!$AD$90*DATOS!$C$67)&lt;0.00005),"*",LINEAS!$D$90&amp;" UNI "&amp;IF(LINEAS!$U$90&lt;=2,"GZ","GX")&amp;" "&amp;TEXT(IF(OR(LINEAS!$U$90=1,LINEAS!$U$90=3),1,-1)*LINEAS!$AD$90*DATOS!$C$67,DATOS!$C$68))</f>
        <v>321 UNI GX 0.0441</v>
      </c>
      <c r="C540" s="51" t="str">
        <f aca="false">IF(LEN($B540)&gt;79,"MÁS DE 79 CARACTERES","")</f>
        <v/>
      </c>
      <c r="D540" s="53" t="str">
        <f aca="false">IF(PRESIONES!$C$22="NO","",IF(OR(LINEAS!$D$90="",LINEAS!$U$90=0,ABS(IF(OR(LINEAS!$U$90=1,LINEAS!$U$90=3),1,-1)*LINEAS!$AD$90*DATOS!$C$67)&lt;0.00005),"*",LINEAS!$D$90&amp;" UNI "&amp;IF(LINEAS!$U$90&lt;=2,"GZ","GX")&amp;" "&amp;TEXT(IF(OR(LINEAS!$U$90=1,LINEAS!$U$90=3),1,-1)*LINEAS!$AD$90*DATOS!$C$67,DATOS!$C$68)))</f>
        <v/>
      </c>
      <c r="E540" s="51" t="str">
        <f aca="false">IF(LEN($D540)&gt;79,"MÁS DE 79 CARACTERES","")</f>
        <v/>
      </c>
    </row>
    <row r="541" customFormat="false" ht="15" hidden="false" customHeight="true" outlineLevel="0" collapsed="false">
      <c r="B541" s="53" t="str">
        <f aca="false">IF(OR(LINEAS!$D$91="",LINEAS!$U$91=0,ABS(IF(OR(LINEAS!$U$91=1,LINEAS!$U$91=3),1,-1)*LINEAS!$AD$91*DATOS!$C$67)&lt;0.00005),"*",LINEAS!$D$91&amp;" UNI "&amp;IF(LINEAS!$U$91&lt;=2,"GZ","GX")&amp;" "&amp;TEXT(IF(OR(LINEAS!$U$91=1,LINEAS!$U$91=3),1,-1)*LINEAS!$AD$91*DATOS!$C$67,DATOS!$C$68))</f>
        <v>320 UNI GX 0.0368</v>
      </c>
      <c r="C541" s="51" t="str">
        <f aca="false">IF(LEN($B541)&gt;79,"MÁS DE 79 CARACTERES","")</f>
        <v/>
      </c>
      <c r="D541" s="53" t="str">
        <f aca="false">IF(PRESIONES!$C$22="NO","",IF(OR(LINEAS!$D$91="",LINEAS!$U$91=0,ABS(IF(OR(LINEAS!$U$91=1,LINEAS!$U$91=3),1,-1)*LINEAS!$AD$91*DATOS!$C$67)&lt;0.00005),"*",LINEAS!$D$91&amp;" UNI "&amp;IF(LINEAS!$U$91&lt;=2,"GZ","GX")&amp;" "&amp;TEXT(IF(OR(LINEAS!$U$91=1,LINEAS!$U$91=3),1,-1)*LINEAS!$AD$91*DATOS!$C$67,DATOS!$C$68)))</f>
        <v/>
      </c>
      <c r="E541" s="51" t="str">
        <f aca="false">IF(LEN($D541)&gt;79,"MÁS DE 79 CARACTERES","")</f>
        <v/>
      </c>
    </row>
    <row r="542" customFormat="false" ht="15" hidden="false" customHeight="true" outlineLevel="0" collapsed="false">
      <c r="B542" s="53" t="str">
        <f aca="false">IF(OR(LINEAS!$D$92="",LINEAS!$U$92=0,ABS(IF(OR(LINEAS!$U$92=1,LINEAS!$U$92=3),1,-1)*LINEAS!$AD$92*DATOS!$C$67)&lt;0.00005),"*",LINEAS!$D$92&amp;" UNI "&amp;IF(LINEAS!$U$92&lt;=2,"GZ","GX")&amp;" "&amp;TEXT(IF(OR(LINEAS!$U$92=1,LINEAS!$U$92=3),1,-1)*LINEAS!$AD$92*DATOS!$C$67,DATOS!$C$68))</f>
        <v>319 UNI GX 0.0318</v>
      </c>
      <c r="C542" s="51" t="str">
        <f aca="false">IF(LEN($B542)&gt;79,"MÁS DE 79 CARACTERES","")</f>
        <v/>
      </c>
      <c r="D542" s="53" t="str">
        <f aca="false">IF(PRESIONES!$C$22="NO","",IF(OR(LINEAS!$D$92="",LINEAS!$U$92=0,ABS(IF(OR(LINEAS!$U$92=1,LINEAS!$U$92=3),1,-1)*LINEAS!$AD$92*DATOS!$C$67)&lt;0.00005),"*",LINEAS!$D$92&amp;" UNI "&amp;IF(LINEAS!$U$92&lt;=2,"GZ","GX")&amp;" "&amp;TEXT(IF(OR(LINEAS!$U$92=1,LINEAS!$U$92=3),1,-1)*LINEAS!$AD$92*DATOS!$C$67,DATOS!$C$68)))</f>
        <v/>
      </c>
      <c r="E542" s="51" t="str">
        <f aca="false">IF(LEN($D542)&gt;79,"MÁS DE 79 CARACTERES","")</f>
        <v/>
      </c>
    </row>
    <row r="543" customFormat="false" ht="15" hidden="false" customHeight="true" outlineLevel="0" collapsed="false">
      <c r="B543" s="53" t="str">
        <f aca="false">IF(OR(LINEAS!$D$93="",LINEAS!$U$93=0,ABS(IF(OR(LINEAS!$U$93=1,LINEAS!$U$93=3),1,-1)*LINEAS!$AD$93*DATOS!$C$67)&lt;0.00005),"*",LINEAS!$D$93&amp;" UNI "&amp;IF(LINEAS!$U$93&lt;=2,"GZ","GX")&amp;" "&amp;TEXT(IF(OR(LINEAS!$U$93=1,LINEAS!$U$93=3),1,-1)*LINEAS!$AD$93*DATOS!$C$67,DATOS!$C$68))</f>
        <v>60 UNI GX -0.0212</v>
      </c>
      <c r="C543" s="51" t="str">
        <f aca="false">IF(LEN($B543)&gt;79,"MÁS DE 79 CARACTERES","")</f>
        <v/>
      </c>
      <c r="D543" s="53" t="str">
        <f aca="false">IF(PRESIONES!$C$22="NO","",IF(OR(LINEAS!$D$93="",LINEAS!$U$93=0,ABS(IF(OR(LINEAS!$U$93=1,LINEAS!$U$93=3),1,-1)*LINEAS!$AD$93*DATOS!$C$67)&lt;0.00005),"*",LINEAS!$D$93&amp;" UNI "&amp;IF(LINEAS!$U$93&lt;=2,"GZ","GX")&amp;" "&amp;TEXT(IF(OR(LINEAS!$U$93=1,LINEAS!$U$93=3),1,-1)*LINEAS!$AD$93*DATOS!$C$67,DATOS!$C$68)))</f>
        <v/>
      </c>
      <c r="E543" s="51" t="str">
        <f aca="false">IF(LEN($D543)&gt;79,"MÁS DE 79 CARACTERES","")</f>
        <v/>
      </c>
    </row>
    <row r="544" customFormat="false" ht="15" hidden="false" customHeight="true" outlineLevel="0" collapsed="false">
      <c r="B544" s="53" t="str">
        <f aca="false">IF(OR(LINEAS!$D$94="",LINEAS!$U$94=0,ABS(IF(OR(LINEAS!$U$94=1,LINEAS!$U$94=3),1,-1)*LINEAS!$AD$94*DATOS!$C$67)&lt;0.00005),"*",LINEAS!$D$94&amp;" UNI "&amp;IF(LINEAS!$U$94&lt;=2,"GZ","GX")&amp;" "&amp;TEXT(IF(OR(LINEAS!$U$94=1,LINEAS!$U$94=3),1,-1)*LINEAS!$AD$94*DATOS!$C$67,DATOS!$C$68))</f>
        <v>59 UNI GX -0.0198</v>
      </c>
      <c r="C544" s="51" t="str">
        <f aca="false">IF(LEN($B544)&gt;79,"MÁS DE 79 CARACTERES","")</f>
        <v/>
      </c>
      <c r="D544" s="53" t="str">
        <f aca="false">IF(PRESIONES!$C$22="NO","",IF(OR(LINEAS!$D$94="",LINEAS!$U$94=0,ABS(IF(OR(LINEAS!$U$94=1,LINEAS!$U$94=3),1,-1)*LINEAS!$AD$94*DATOS!$C$67)&lt;0.00005),"*",LINEAS!$D$94&amp;" UNI "&amp;IF(LINEAS!$U$94&lt;=2,"GZ","GX")&amp;" "&amp;TEXT(IF(OR(LINEAS!$U$94=1,LINEAS!$U$94=3),1,-1)*LINEAS!$AD$94*DATOS!$C$67,DATOS!$C$68)))</f>
        <v/>
      </c>
      <c r="E544" s="51" t="str">
        <f aca="false">IF(LEN($D544)&gt;79,"MÁS DE 79 CARACTERES","")</f>
        <v/>
      </c>
    </row>
    <row r="545" customFormat="false" ht="15" hidden="false" customHeight="true" outlineLevel="0" collapsed="false">
      <c r="B545" s="53" t="str">
        <f aca="false">IF(OR(LINEAS!$D$95="",LINEAS!$U$95=0,ABS(IF(OR(LINEAS!$U$95=1,LINEAS!$U$95=3),1,-1)*LINEAS!$AD$95*DATOS!$C$67)&lt;0.00005),"*",LINEAS!$D$95&amp;" UNI "&amp;IF(LINEAS!$U$95&lt;=2,"GZ","GX")&amp;" "&amp;TEXT(IF(OR(LINEAS!$U$95=1,LINEAS!$U$95=3),1,-1)*LINEAS!$AD$95*DATOS!$C$67,DATOS!$C$68))</f>
        <v>58 UNI GX -0.0183</v>
      </c>
      <c r="C545" s="51" t="str">
        <f aca="false">IF(LEN($B545)&gt;79,"MÁS DE 79 CARACTERES","")</f>
        <v/>
      </c>
      <c r="D545" s="53" t="str">
        <f aca="false">IF(PRESIONES!$C$22="NO","",IF(OR(LINEAS!$D$95="",LINEAS!$U$95=0,ABS(IF(OR(LINEAS!$U$95=1,LINEAS!$U$95=3),1,-1)*LINEAS!$AD$95*DATOS!$C$67)&lt;0.00005),"*",LINEAS!$D$95&amp;" UNI "&amp;IF(LINEAS!$U$95&lt;=2,"GZ","GX")&amp;" "&amp;TEXT(IF(OR(LINEAS!$U$95=1,LINEAS!$U$95=3),1,-1)*LINEAS!$AD$95*DATOS!$C$67,DATOS!$C$68)))</f>
        <v/>
      </c>
      <c r="E545" s="51" t="str">
        <f aca="false">IF(LEN($D545)&gt;79,"MÁS DE 79 CARACTERES","")</f>
        <v/>
      </c>
    </row>
    <row r="546" customFormat="false" ht="15" hidden="false" customHeight="true" outlineLevel="0" collapsed="false">
      <c r="B546" s="53" t="str">
        <f aca="false">IF(OR(LINEAS!$D$96="",LINEAS!$U$96=0,ABS(IF(OR(LINEAS!$U$96=1,LINEAS!$U$96=3),1,-1)*LINEAS!$AD$96*DATOS!$C$67)&lt;0.00005),"*",LINEAS!$D$96&amp;" UNI "&amp;IF(LINEAS!$U$96&lt;=2,"GZ","GX")&amp;" "&amp;TEXT(IF(OR(LINEAS!$U$96=1,LINEAS!$U$96=3),1,-1)*LINEAS!$AD$96*DATOS!$C$67,DATOS!$C$68))</f>
        <v>57 UNI GX -0.0169</v>
      </c>
      <c r="C546" s="51" t="str">
        <f aca="false">IF(LEN($B546)&gt;79,"MÁS DE 79 CARACTERES","")</f>
        <v/>
      </c>
      <c r="D546" s="53" t="str">
        <f aca="false">IF(PRESIONES!$C$22="NO","",IF(OR(LINEAS!$D$96="",LINEAS!$U$96=0,ABS(IF(OR(LINEAS!$U$96=1,LINEAS!$U$96=3),1,-1)*LINEAS!$AD$96*DATOS!$C$67)&lt;0.00005),"*",LINEAS!$D$96&amp;" UNI "&amp;IF(LINEAS!$U$96&lt;=2,"GZ","GX")&amp;" "&amp;TEXT(IF(OR(LINEAS!$U$96=1,LINEAS!$U$96=3),1,-1)*LINEAS!$AD$96*DATOS!$C$67,DATOS!$C$68)))</f>
        <v/>
      </c>
      <c r="E546" s="51" t="str">
        <f aca="false">IF(LEN($D546)&gt;79,"MÁS DE 79 CARACTERES","")</f>
        <v/>
      </c>
    </row>
    <row r="547" customFormat="false" ht="15" hidden="false" customHeight="true" outlineLevel="0" collapsed="false">
      <c r="B547" s="53" t="str">
        <f aca="false">IF(OR(LINEAS!$D$97="",LINEAS!$U$97=0,ABS(IF(OR(LINEAS!$U$97=1,LINEAS!$U$97=3),1,-1)*LINEAS!$AD$97*DATOS!$C$67)&lt;0.00005),"*",LINEAS!$D$97&amp;" UNI "&amp;IF(LINEAS!$U$97&lt;=2,"GZ","GX")&amp;" "&amp;TEXT(IF(OR(LINEAS!$U$97=1,LINEAS!$U$97=3),1,-1)*LINEAS!$AD$97*DATOS!$C$67,DATOS!$C$68))</f>
        <v>10 UNI GX -0.0154</v>
      </c>
      <c r="C547" s="51" t="str">
        <f aca="false">IF(LEN($B547)&gt;79,"MÁS DE 79 CARACTERES","")</f>
        <v/>
      </c>
      <c r="D547" s="53" t="str">
        <f aca="false">IF(PRESIONES!$C$22="NO","",IF(OR(LINEAS!$D$97="",LINEAS!$U$97=0,ABS(IF(OR(LINEAS!$U$97=1,LINEAS!$U$97=3),1,-1)*LINEAS!$AD$97*DATOS!$C$67)&lt;0.00005),"*",LINEAS!$D$97&amp;" UNI "&amp;IF(LINEAS!$U$97&lt;=2,"GZ","GX")&amp;" "&amp;TEXT(IF(OR(LINEAS!$U$97=1,LINEAS!$U$97=3),1,-1)*LINEAS!$AD$97*DATOS!$C$67,DATOS!$C$68)))</f>
        <v/>
      </c>
      <c r="E547" s="51" t="str">
        <f aca="false">IF(LEN($D547)&gt;79,"MÁS DE 79 CARACTERES","")</f>
        <v/>
      </c>
    </row>
    <row r="548" customFormat="false" ht="15" hidden="false" customHeight="true" outlineLevel="0" collapsed="false">
      <c r="B548" s="53" t="str">
        <f aca="false">IF(OR(LINEAS!$D$98="",LINEAS!$U$98=0,ABS(IF(OR(LINEAS!$U$98=1,LINEAS!$U$98=3),1,-1)*LINEAS!$AD$98*DATOS!$C$67)&lt;0.00005),"*",LINEAS!$D$98&amp;" UNI "&amp;IF(LINEAS!$U$98&lt;=2,"GZ","GX")&amp;" "&amp;TEXT(IF(OR(LINEAS!$U$98=1,LINEAS!$U$98=3),1,-1)*LINEAS!$AD$98*DATOS!$C$67,DATOS!$C$68))</f>
        <v>68 UNI GX -0.0139</v>
      </c>
      <c r="C548" s="51" t="str">
        <f aca="false">IF(LEN($B548)&gt;79,"MÁS DE 79 CARACTERES","")</f>
        <v/>
      </c>
      <c r="D548" s="53" t="str">
        <f aca="false">IF(PRESIONES!$C$22="NO","",IF(OR(LINEAS!$D$98="",LINEAS!$U$98=0,ABS(IF(OR(LINEAS!$U$98=1,LINEAS!$U$98=3),1,-1)*LINEAS!$AD$98*DATOS!$C$67)&lt;0.00005),"*",LINEAS!$D$98&amp;" UNI "&amp;IF(LINEAS!$U$98&lt;=2,"GZ","GX")&amp;" "&amp;TEXT(IF(OR(LINEAS!$U$98=1,LINEAS!$U$98=3),1,-1)*LINEAS!$AD$98*DATOS!$C$67,DATOS!$C$68)))</f>
        <v/>
      </c>
      <c r="E548" s="51" t="str">
        <f aca="false">IF(LEN($D548)&gt;79,"MÁS DE 79 CARACTERES","")</f>
        <v/>
      </c>
    </row>
    <row r="549" customFormat="false" ht="15" hidden="false" customHeight="true" outlineLevel="0" collapsed="false">
      <c r="B549" s="53" t="str">
        <f aca="false">IF(OR(LINEAS!$D$99="",LINEAS!$U$99=0,ABS(IF(OR(LINEAS!$U$99=1,LINEAS!$U$99=3),1,-1)*LINEAS!$AD$99*DATOS!$C$67)&lt;0.00005),"*",LINEAS!$D$99&amp;" UNI "&amp;IF(LINEAS!$U$99&lt;=2,"GZ","GX")&amp;" "&amp;TEXT(IF(OR(LINEAS!$U$99=1,LINEAS!$U$99=3),1,-1)*LINEAS!$AD$99*DATOS!$C$67,DATOS!$C$68))</f>
        <v>67 UNI GX -0.0125</v>
      </c>
      <c r="C549" s="51" t="str">
        <f aca="false">IF(LEN($B549)&gt;79,"MÁS DE 79 CARACTERES","")</f>
        <v/>
      </c>
      <c r="D549" s="53" t="str">
        <f aca="false">IF(PRESIONES!$C$22="NO","",IF(OR(LINEAS!$D$99="",LINEAS!$U$99=0,ABS(IF(OR(LINEAS!$U$99=1,LINEAS!$U$99=3),1,-1)*LINEAS!$AD$99*DATOS!$C$67)&lt;0.00005),"*",LINEAS!$D$99&amp;" UNI "&amp;IF(LINEAS!$U$99&lt;=2,"GZ","GX")&amp;" "&amp;TEXT(IF(OR(LINEAS!$U$99=1,LINEAS!$U$99=3),1,-1)*LINEAS!$AD$99*DATOS!$C$67,DATOS!$C$68)))</f>
        <v/>
      </c>
      <c r="E549" s="51" t="str">
        <f aca="false">IF(LEN($D549)&gt;79,"MÁS DE 79 CARACTERES","")</f>
        <v/>
      </c>
    </row>
    <row r="550" customFormat="false" ht="15" hidden="false" customHeight="true" outlineLevel="0" collapsed="false">
      <c r="B550" s="53" t="str">
        <f aca="false">IF(OR(LINEAS!$D$100="",LINEAS!$U$100=0,ABS(IF(OR(LINEAS!$U$100=1,LINEAS!$U$100=3),1,-1)*LINEAS!$AD$100*DATOS!$C$67)&lt;0.00005),"*",LINEAS!$D$100&amp;" UNI "&amp;IF(LINEAS!$U$100&lt;=2,"GZ","GX")&amp;" "&amp;TEXT(IF(OR(LINEAS!$U$100=1,LINEAS!$U$100=3),1,-1)*LINEAS!$AD$100*DATOS!$C$67,DATOS!$C$68))</f>
        <v>66 UNI GX -0.0110</v>
      </c>
      <c r="C550" s="51" t="str">
        <f aca="false">IF(LEN($B550)&gt;79,"MÁS DE 79 CARACTERES","")</f>
        <v/>
      </c>
      <c r="D550" s="53" t="str">
        <f aca="false">IF(PRESIONES!$C$22="NO","",IF(OR(LINEAS!$D$100="",LINEAS!$U$100=0,ABS(IF(OR(LINEAS!$U$100=1,LINEAS!$U$100=3),1,-1)*LINEAS!$AD$100*DATOS!$C$67)&lt;0.00005),"*",LINEAS!$D$100&amp;" UNI "&amp;IF(LINEAS!$U$100&lt;=2,"GZ","GX")&amp;" "&amp;TEXT(IF(OR(LINEAS!$U$100=1,LINEAS!$U$100=3),1,-1)*LINEAS!$AD$100*DATOS!$C$67,DATOS!$C$68)))</f>
        <v/>
      </c>
      <c r="E550" s="51" t="str">
        <f aca="false">IF(LEN($D550)&gt;79,"MÁS DE 79 CARACTERES","")</f>
        <v/>
      </c>
    </row>
    <row r="551" customFormat="false" ht="15" hidden="false" customHeight="true" outlineLevel="0" collapsed="false">
      <c r="B551" s="53" t="str">
        <f aca="false">IF(OR(LINEAS!$D$101="",LINEAS!$U$101=0,ABS(IF(OR(LINEAS!$U$101=1,LINEAS!$U$101=3),1,-1)*LINEAS!$AD$101*DATOS!$C$67)&lt;0.00005),"*",LINEAS!$D$101&amp;" UNI "&amp;IF(LINEAS!$U$101&lt;=2,"GZ","GX")&amp;" "&amp;TEXT(IF(OR(LINEAS!$U$101=1,LINEAS!$U$101=3),1,-1)*LINEAS!$AD$101*DATOS!$C$67,DATOS!$C$68))</f>
        <v>65 UNI GX -0.0096</v>
      </c>
      <c r="C551" s="51" t="str">
        <f aca="false">IF(LEN($B551)&gt;79,"MÁS DE 79 CARACTERES","")</f>
        <v/>
      </c>
      <c r="D551" s="53" t="str">
        <f aca="false">IF(PRESIONES!$C$22="NO","",IF(OR(LINEAS!$D$101="",LINEAS!$U$101=0,ABS(IF(OR(LINEAS!$U$101=1,LINEAS!$U$101=3),1,-1)*LINEAS!$AD$101*DATOS!$C$67)&lt;0.00005),"*",LINEAS!$D$101&amp;" UNI "&amp;IF(LINEAS!$U$101&lt;=2,"GZ","GX")&amp;" "&amp;TEXT(IF(OR(LINEAS!$U$101=1,LINEAS!$U$101=3),1,-1)*LINEAS!$AD$101*DATOS!$C$67,DATOS!$C$68)))</f>
        <v/>
      </c>
      <c r="E551" s="51" t="str">
        <f aca="false">IF(LEN($D551)&gt;79,"MÁS DE 79 CARACTERES","")</f>
        <v/>
      </c>
    </row>
    <row r="552" customFormat="false" ht="15" hidden="false" customHeight="true" outlineLevel="0" collapsed="false">
      <c r="B552" s="53" t="str">
        <f aca="false">IF(OR(LINEAS!$D$102="",LINEAS!$U$102=0,ABS(IF(OR(LINEAS!$U$102=1,LINEAS!$U$102=3),1,-1)*LINEAS!$AD$102*DATOS!$C$67)&lt;0.00005),"*",LINEAS!$D$102&amp;" UNI "&amp;IF(LINEAS!$U$102&lt;=2,"GZ","GX")&amp;" "&amp;TEXT(IF(OR(LINEAS!$U$102=1,LINEAS!$U$102=3),1,-1)*LINEAS!$AD$102*DATOS!$C$67,DATOS!$C$68))</f>
        <v>43 UNI GX -0.0081</v>
      </c>
      <c r="C552" s="51" t="str">
        <f aca="false">IF(LEN($B552)&gt;79,"MÁS DE 79 CARACTERES","")</f>
        <v/>
      </c>
      <c r="D552" s="53" t="str">
        <f aca="false">IF(PRESIONES!$C$22="NO","",IF(OR(LINEAS!$D$102="",LINEAS!$U$102=0,ABS(IF(OR(LINEAS!$U$102=1,LINEAS!$U$102=3),1,-1)*LINEAS!$AD$102*DATOS!$C$67)&lt;0.00005),"*",LINEAS!$D$102&amp;" UNI "&amp;IF(LINEAS!$U$102&lt;=2,"GZ","GX")&amp;" "&amp;TEXT(IF(OR(LINEAS!$U$102=1,LINEAS!$U$102=3),1,-1)*LINEAS!$AD$102*DATOS!$C$67,DATOS!$C$68)))</f>
        <v/>
      </c>
      <c r="E552" s="51" t="str">
        <f aca="false">IF(LEN($D552)&gt;79,"MÁS DE 79 CARACTERES","")</f>
        <v/>
      </c>
    </row>
    <row r="553" customFormat="false" ht="15" hidden="false" customHeight="true" outlineLevel="0" collapsed="false">
      <c r="B553" s="53" t="str">
        <f aca="false">IF(OR(LINEAS!$D$103="",LINEAS!$U$103=0,ABS(IF(OR(LINEAS!$U$103=1,LINEAS!$U$103=3),1,-1)*LINEAS!$AD$103*DATOS!$C$67)&lt;0.00005),"*",LINEAS!$D$103&amp;" UNI "&amp;IF(LINEAS!$U$103&lt;=2,"GZ","GX")&amp;" "&amp;TEXT(IF(OR(LINEAS!$U$103=1,LINEAS!$U$103=3),1,-1)*LINEAS!$AD$103*DATOS!$C$67,DATOS!$C$68))</f>
        <v>47 UNI GX -0.0067</v>
      </c>
      <c r="C553" s="51" t="str">
        <f aca="false">IF(LEN($B553)&gt;79,"MÁS DE 79 CARACTERES","")</f>
        <v/>
      </c>
      <c r="D553" s="53" t="str">
        <f aca="false">IF(PRESIONES!$C$22="NO","",IF(OR(LINEAS!$D$103="",LINEAS!$U$103=0,ABS(IF(OR(LINEAS!$U$103=1,LINEAS!$U$103=3),1,-1)*LINEAS!$AD$103*DATOS!$C$67)&lt;0.00005),"*",LINEAS!$D$103&amp;" UNI "&amp;IF(LINEAS!$U$103&lt;=2,"GZ","GX")&amp;" "&amp;TEXT(IF(OR(LINEAS!$U$103=1,LINEAS!$U$103=3),1,-1)*LINEAS!$AD$103*DATOS!$C$67,DATOS!$C$68)))</f>
        <v/>
      </c>
      <c r="E553" s="51" t="str">
        <f aca="false">IF(LEN($D553)&gt;79,"MÁS DE 79 CARACTERES","")</f>
        <v/>
      </c>
    </row>
    <row r="554" customFormat="false" ht="15" hidden="false" customHeight="true" outlineLevel="0" collapsed="false">
      <c r="B554" s="53" t="str">
        <f aca="false">IF(OR(LINEAS!$D$104="",LINEAS!$U$104=0,ABS(IF(OR(LINEAS!$U$104=1,LINEAS!$U$104=3),1,-1)*LINEAS!$AD$104*DATOS!$C$67)&lt;0.00005),"*",LINEAS!$D$104&amp;" UNI "&amp;IF(LINEAS!$U$104&lt;=2,"GZ","GX")&amp;" "&amp;TEXT(IF(OR(LINEAS!$U$104=1,LINEAS!$U$104=3),1,-1)*LINEAS!$AD$104*DATOS!$C$67,DATOS!$C$68))</f>
        <v>54 UNI GX -0.0054</v>
      </c>
      <c r="C554" s="51" t="str">
        <f aca="false">IF(LEN($B554)&gt;79,"MÁS DE 79 CARACTERES","")</f>
        <v/>
      </c>
      <c r="D554" s="53" t="str">
        <f aca="false">IF(PRESIONES!$C$22="NO","",IF(OR(LINEAS!$D$104="",LINEAS!$U$104=0,ABS(IF(OR(LINEAS!$U$104=1,LINEAS!$U$104=3),1,-1)*LINEAS!$AD$104*DATOS!$C$67)&lt;0.00005),"*",LINEAS!$D$104&amp;" UNI "&amp;IF(LINEAS!$U$104&lt;=2,"GZ","GX")&amp;" "&amp;TEXT(IF(OR(LINEAS!$U$104=1,LINEAS!$U$104=3),1,-1)*LINEAS!$AD$104*DATOS!$C$67,DATOS!$C$68)))</f>
        <v/>
      </c>
      <c r="E554" s="51" t="str">
        <f aca="false">IF(LEN($D554)&gt;79,"MÁS DE 79 CARACTERES","")</f>
        <v/>
      </c>
    </row>
    <row r="555" customFormat="false" ht="15" hidden="false" customHeight="true" outlineLevel="0" collapsed="false">
      <c r="B555" s="53" t="str">
        <f aca="false">IF(OR(LINEAS!$D$105="",LINEAS!$U$105=0,ABS(IF(OR(LINEAS!$U$105=1,LINEAS!$U$105=3),1,-1)*LINEAS!$AD$105*DATOS!$C$67)&lt;0.00005),"*",LINEAS!$D$105&amp;" UNI "&amp;IF(LINEAS!$U$105&lt;=2,"GZ","GX")&amp;" "&amp;TEXT(IF(OR(LINEAS!$U$105=1,LINEAS!$U$105=3),1,-1)*LINEAS!$AD$105*DATOS!$C$67,DATOS!$C$68))</f>
        <v>64 UNI GX 0.0212</v>
      </c>
      <c r="C555" s="51" t="str">
        <f aca="false">IF(LEN($B555)&gt;79,"MÁS DE 79 CARACTERES","")</f>
        <v/>
      </c>
      <c r="D555" s="53" t="str">
        <f aca="false">IF(PRESIONES!$C$22="NO","",IF(OR(LINEAS!$D$105="",LINEAS!$U$105=0,ABS(IF(OR(LINEAS!$U$105=1,LINEAS!$U$105=3),1,-1)*LINEAS!$AD$105*DATOS!$C$67)&lt;0.00005),"*",LINEAS!$D$105&amp;" UNI "&amp;IF(LINEAS!$U$105&lt;=2,"GZ","GX")&amp;" "&amp;TEXT(IF(OR(LINEAS!$U$105=1,LINEAS!$U$105=3),1,-1)*LINEAS!$AD$105*DATOS!$C$67,DATOS!$C$68)))</f>
        <v/>
      </c>
      <c r="E555" s="51" t="str">
        <f aca="false">IF(LEN($D555)&gt;79,"MÁS DE 79 CARACTERES","")</f>
        <v/>
      </c>
    </row>
    <row r="556" customFormat="false" ht="15" hidden="false" customHeight="true" outlineLevel="0" collapsed="false">
      <c r="B556" s="53" t="str">
        <f aca="false">IF(OR(LINEAS!$D$106="",LINEAS!$U$106=0,ABS(IF(OR(LINEAS!$U$106=1,LINEAS!$U$106=3),1,-1)*LINEAS!$AD$106*DATOS!$C$67)&lt;0.00005),"*",LINEAS!$D$106&amp;" UNI "&amp;IF(LINEAS!$U$106&lt;=2,"GZ","GX")&amp;" "&amp;TEXT(IF(OR(LINEAS!$U$106=1,LINEAS!$U$106=3),1,-1)*LINEAS!$AD$106*DATOS!$C$67,DATOS!$C$68))</f>
        <v>63 UNI GX 0.0198</v>
      </c>
      <c r="C556" s="51" t="str">
        <f aca="false">IF(LEN($B556)&gt;79,"MÁS DE 79 CARACTERES","")</f>
        <v/>
      </c>
      <c r="D556" s="53" t="str">
        <f aca="false">IF(PRESIONES!$C$22="NO","",IF(OR(LINEAS!$D$106="",LINEAS!$U$106=0,ABS(IF(OR(LINEAS!$U$106=1,LINEAS!$U$106=3),1,-1)*LINEAS!$AD$106*DATOS!$C$67)&lt;0.00005),"*",LINEAS!$D$106&amp;" UNI "&amp;IF(LINEAS!$U$106&lt;=2,"GZ","GX")&amp;" "&amp;TEXT(IF(OR(LINEAS!$U$106=1,LINEAS!$U$106=3),1,-1)*LINEAS!$AD$106*DATOS!$C$67,DATOS!$C$68)))</f>
        <v/>
      </c>
      <c r="E556" s="51" t="str">
        <f aca="false">IF(LEN($D556)&gt;79,"MÁS DE 79 CARACTERES","")</f>
        <v/>
      </c>
    </row>
    <row r="557" customFormat="false" ht="15" hidden="false" customHeight="true" outlineLevel="0" collapsed="false">
      <c r="B557" s="53" t="str">
        <f aca="false">IF(OR(LINEAS!$D$107="",LINEAS!$U$107=0,ABS(IF(OR(LINEAS!$U$107=1,LINEAS!$U$107=3),1,-1)*LINEAS!$AD$107*DATOS!$C$67)&lt;0.00005),"*",LINEAS!$D$107&amp;" UNI "&amp;IF(LINEAS!$U$107&lt;=2,"GZ","GX")&amp;" "&amp;TEXT(IF(OR(LINEAS!$U$107=1,LINEAS!$U$107=3),1,-1)*LINEAS!$AD$107*DATOS!$C$67,DATOS!$C$68))</f>
        <v>62 UNI GX 0.0183</v>
      </c>
      <c r="C557" s="51" t="str">
        <f aca="false">IF(LEN($B557)&gt;79,"MÁS DE 79 CARACTERES","")</f>
        <v/>
      </c>
      <c r="D557" s="53" t="str">
        <f aca="false">IF(PRESIONES!$C$22="NO","",IF(OR(LINEAS!$D$107="",LINEAS!$U$107=0,ABS(IF(OR(LINEAS!$U$107=1,LINEAS!$U$107=3),1,-1)*LINEAS!$AD$107*DATOS!$C$67)&lt;0.00005),"*",LINEAS!$D$107&amp;" UNI "&amp;IF(LINEAS!$U$107&lt;=2,"GZ","GX")&amp;" "&amp;TEXT(IF(OR(LINEAS!$U$107=1,LINEAS!$U$107=3),1,-1)*LINEAS!$AD$107*DATOS!$C$67,DATOS!$C$68)))</f>
        <v/>
      </c>
      <c r="E557" s="51" t="str">
        <f aca="false">IF(LEN($D557)&gt;79,"MÁS DE 79 CARACTERES","")</f>
        <v/>
      </c>
    </row>
    <row r="558" customFormat="false" ht="15" hidden="false" customHeight="true" outlineLevel="0" collapsed="false">
      <c r="B558" s="53" t="str">
        <f aca="false">IF(OR(LINEAS!$D$108="",LINEAS!$U$108=0,ABS(IF(OR(LINEAS!$U$108=1,LINEAS!$U$108=3),1,-1)*LINEAS!$AD$108*DATOS!$C$67)&lt;0.00005),"*",LINEAS!$D$108&amp;" UNI "&amp;IF(LINEAS!$U$108&lt;=2,"GZ","GX")&amp;" "&amp;TEXT(IF(OR(LINEAS!$U$108=1,LINEAS!$U$108=3),1,-1)*LINEAS!$AD$108*DATOS!$C$67,DATOS!$C$68))</f>
        <v>61 UNI GX 0.0169</v>
      </c>
      <c r="C558" s="51" t="str">
        <f aca="false">IF(LEN($B558)&gt;79,"MÁS DE 79 CARACTERES","")</f>
        <v/>
      </c>
      <c r="D558" s="53" t="str">
        <f aca="false">IF(PRESIONES!$C$22="NO","",IF(OR(LINEAS!$D$108="",LINEAS!$U$108=0,ABS(IF(OR(LINEAS!$U$108=1,LINEAS!$U$108=3),1,-1)*LINEAS!$AD$108*DATOS!$C$67)&lt;0.00005),"*",LINEAS!$D$108&amp;" UNI "&amp;IF(LINEAS!$U$108&lt;=2,"GZ","GX")&amp;" "&amp;TEXT(IF(OR(LINEAS!$U$108=1,LINEAS!$U$108=3),1,-1)*LINEAS!$AD$108*DATOS!$C$67,DATOS!$C$68)))</f>
        <v/>
      </c>
      <c r="E558" s="51" t="str">
        <f aca="false">IF(LEN($D558)&gt;79,"MÁS DE 79 CARACTERES","")</f>
        <v/>
      </c>
    </row>
    <row r="559" customFormat="false" ht="15" hidden="false" customHeight="true" outlineLevel="0" collapsed="false">
      <c r="B559" s="53" t="str">
        <f aca="false">IF(OR(LINEAS!$D$109="",LINEAS!$U$109=0,ABS(IF(OR(LINEAS!$U$109=1,LINEAS!$U$109=3),1,-1)*LINEAS!$AD$109*DATOS!$C$67)&lt;0.00005),"*",LINEAS!$D$109&amp;" UNI "&amp;IF(LINEAS!$U$109&lt;=2,"GZ","GX")&amp;" "&amp;TEXT(IF(OR(LINEAS!$U$109=1,LINEAS!$U$109=3),1,-1)*LINEAS!$AD$109*DATOS!$C$67,DATOS!$C$68))</f>
        <v>12 UNI GX 0.0154</v>
      </c>
      <c r="C559" s="51" t="str">
        <f aca="false">IF(LEN($B559)&gt;79,"MÁS DE 79 CARACTERES","")</f>
        <v/>
      </c>
      <c r="D559" s="53" t="str">
        <f aca="false">IF(PRESIONES!$C$22="NO","",IF(OR(LINEAS!$D$109="",LINEAS!$U$109=0,ABS(IF(OR(LINEAS!$U$109=1,LINEAS!$U$109=3),1,-1)*LINEAS!$AD$109*DATOS!$C$67)&lt;0.00005),"*",LINEAS!$D$109&amp;" UNI "&amp;IF(LINEAS!$U$109&lt;=2,"GZ","GX")&amp;" "&amp;TEXT(IF(OR(LINEAS!$U$109=1,LINEAS!$U$109=3),1,-1)*LINEAS!$AD$109*DATOS!$C$67,DATOS!$C$68)))</f>
        <v/>
      </c>
      <c r="E559" s="51" t="str">
        <f aca="false">IF(LEN($D559)&gt;79,"MÁS DE 79 CARACTERES","")</f>
        <v/>
      </c>
    </row>
    <row r="560" customFormat="false" ht="15" hidden="false" customHeight="true" outlineLevel="0" collapsed="false">
      <c r="B560" s="53" t="str">
        <f aca="false">IF(OR(LINEAS!$D$110="",LINEAS!$U$110=0,ABS(IF(OR(LINEAS!$U$110=1,LINEAS!$U$110=3),1,-1)*LINEAS!$AD$110*DATOS!$C$67)&lt;0.00005),"*",LINEAS!$D$110&amp;" UNI "&amp;IF(LINEAS!$U$110&lt;=2,"GZ","GX")&amp;" "&amp;TEXT(IF(OR(LINEAS!$U$110=1,LINEAS!$U$110=3),1,-1)*LINEAS!$AD$110*DATOS!$C$67,DATOS!$C$68))</f>
        <v>72 UNI GX 0.0139</v>
      </c>
      <c r="C560" s="51" t="str">
        <f aca="false">IF(LEN($B560)&gt;79,"MÁS DE 79 CARACTERES","")</f>
        <v/>
      </c>
      <c r="D560" s="53" t="str">
        <f aca="false">IF(PRESIONES!$C$22="NO","",IF(OR(LINEAS!$D$110="",LINEAS!$U$110=0,ABS(IF(OR(LINEAS!$U$110=1,LINEAS!$U$110=3),1,-1)*LINEAS!$AD$110*DATOS!$C$67)&lt;0.00005),"*",LINEAS!$D$110&amp;" UNI "&amp;IF(LINEAS!$U$110&lt;=2,"GZ","GX")&amp;" "&amp;TEXT(IF(OR(LINEAS!$U$110=1,LINEAS!$U$110=3),1,-1)*LINEAS!$AD$110*DATOS!$C$67,DATOS!$C$68)))</f>
        <v/>
      </c>
      <c r="E560" s="51" t="str">
        <f aca="false">IF(LEN($D560)&gt;79,"MÁS DE 79 CARACTERES","")</f>
        <v/>
      </c>
    </row>
    <row r="561" customFormat="false" ht="15" hidden="false" customHeight="true" outlineLevel="0" collapsed="false">
      <c r="B561" s="53" t="str">
        <f aca="false">IF(OR(LINEAS!$D$111="",LINEAS!$U$111=0,ABS(IF(OR(LINEAS!$U$111=1,LINEAS!$U$111=3),1,-1)*LINEAS!$AD$111*DATOS!$C$67)&lt;0.00005),"*",LINEAS!$D$111&amp;" UNI "&amp;IF(LINEAS!$U$111&lt;=2,"GZ","GX")&amp;" "&amp;TEXT(IF(OR(LINEAS!$U$111=1,LINEAS!$U$111=3),1,-1)*LINEAS!$AD$111*DATOS!$C$67,DATOS!$C$68))</f>
        <v>71 UNI GX 0.0125</v>
      </c>
      <c r="C561" s="51" t="str">
        <f aca="false">IF(LEN($B561)&gt;79,"MÁS DE 79 CARACTERES","")</f>
        <v/>
      </c>
      <c r="D561" s="53" t="str">
        <f aca="false">IF(PRESIONES!$C$22="NO","",IF(OR(LINEAS!$D$111="",LINEAS!$U$111=0,ABS(IF(OR(LINEAS!$U$111=1,LINEAS!$U$111=3),1,-1)*LINEAS!$AD$111*DATOS!$C$67)&lt;0.00005),"*",LINEAS!$D$111&amp;" UNI "&amp;IF(LINEAS!$U$111&lt;=2,"GZ","GX")&amp;" "&amp;TEXT(IF(OR(LINEAS!$U$111=1,LINEAS!$U$111=3),1,-1)*LINEAS!$AD$111*DATOS!$C$67,DATOS!$C$68)))</f>
        <v/>
      </c>
      <c r="E561" s="51" t="str">
        <f aca="false">IF(LEN($D561)&gt;79,"MÁS DE 79 CARACTERES","")</f>
        <v/>
      </c>
    </row>
    <row r="562" customFormat="false" ht="15" hidden="false" customHeight="true" outlineLevel="0" collapsed="false">
      <c r="B562" s="53" t="str">
        <f aca="false">IF(OR(LINEAS!$D$112="",LINEAS!$U$112=0,ABS(IF(OR(LINEAS!$U$112=1,LINEAS!$U$112=3),1,-1)*LINEAS!$AD$112*DATOS!$C$67)&lt;0.00005),"*",LINEAS!$D$112&amp;" UNI "&amp;IF(LINEAS!$U$112&lt;=2,"GZ","GX")&amp;" "&amp;TEXT(IF(OR(LINEAS!$U$112=1,LINEAS!$U$112=3),1,-1)*LINEAS!$AD$112*DATOS!$C$67,DATOS!$C$68))</f>
        <v>70 UNI GX 0.0110</v>
      </c>
      <c r="C562" s="51" t="str">
        <f aca="false">IF(LEN($B562)&gt;79,"MÁS DE 79 CARACTERES","")</f>
        <v/>
      </c>
      <c r="D562" s="53" t="str">
        <f aca="false">IF(PRESIONES!$C$22="NO","",IF(OR(LINEAS!$D$112="",LINEAS!$U$112=0,ABS(IF(OR(LINEAS!$U$112=1,LINEAS!$U$112=3),1,-1)*LINEAS!$AD$112*DATOS!$C$67)&lt;0.00005),"*",LINEAS!$D$112&amp;" UNI "&amp;IF(LINEAS!$U$112&lt;=2,"GZ","GX")&amp;" "&amp;TEXT(IF(OR(LINEAS!$U$112=1,LINEAS!$U$112=3),1,-1)*LINEAS!$AD$112*DATOS!$C$67,DATOS!$C$68)))</f>
        <v/>
      </c>
      <c r="E562" s="51" t="str">
        <f aca="false">IF(LEN($D562)&gt;79,"MÁS DE 79 CARACTERES","")</f>
        <v/>
      </c>
    </row>
    <row r="563" customFormat="false" ht="15" hidden="false" customHeight="true" outlineLevel="0" collapsed="false">
      <c r="B563" s="53" t="str">
        <f aca="false">IF(OR(LINEAS!$D$113="",LINEAS!$U$113=0,ABS(IF(OR(LINEAS!$U$113=1,LINEAS!$U$113=3),1,-1)*LINEAS!$AD$113*DATOS!$C$67)&lt;0.00005),"*",LINEAS!$D$113&amp;" UNI "&amp;IF(LINEAS!$U$113&lt;=2,"GZ","GX")&amp;" "&amp;TEXT(IF(OR(LINEAS!$U$113=1,LINEAS!$U$113=3),1,-1)*LINEAS!$AD$113*DATOS!$C$67,DATOS!$C$68))</f>
        <v>69 UNI GX 0.0096</v>
      </c>
      <c r="C563" s="51" t="str">
        <f aca="false">IF(LEN($B563)&gt;79,"MÁS DE 79 CARACTERES","")</f>
        <v/>
      </c>
      <c r="D563" s="53" t="str">
        <f aca="false">IF(PRESIONES!$C$22="NO","",IF(OR(LINEAS!$D$113="",LINEAS!$U$113=0,ABS(IF(OR(LINEAS!$U$113=1,LINEAS!$U$113=3),1,-1)*LINEAS!$AD$113*DATOS!$C$67)&lt;0.00005),"*",LINEAS!$D$113&amp;" UNI "&amp;IF(LINEAS!$U$113&lt;=2,"GZ","GX")&amp;" "&amp;TEXT(IF(OR(LINEAS!$U$113=1,LINEAS!$U$113=3),1,-1)*LINEAS!$AD$113*DATOS!$C$67,DATOS!$C$68)))</f>
        <v/>
      </c>
      <c r="E563" s="51" t="str">
        <f aca="false">IF(LEN($D563)&gt;79,"MÁS DE 79 CARACTERES","")</f>
        <v/>
      </c>
    </row>
    <row r="564" customFormat="false" ht="15" hidden="false" customHeight="true" outlineLevel="0" collapsed="false">
      <c r="B564" s="53" t="str">
        <f aca="false">IF(OR(LINEAS!$D$114="",LINEAS!$U$114=0,ABS(IF(OR(LINEAS!$U$114=1,LINEAS!$U$114=3),1,-1)*LINEAS!$AD$114*DATOS!$C$67)&lt;0.00005),"*",LINEAS!$D$114&amp;" UNI "&amp;IF(LINEAS!$U$114&lt;=2,"GZ","GX")&amp;" "&amp;TEXT(IF(OR(LINEAS!$U$114=1,LINEAS!$U$114=3),1,-1)*LINEAS!$AD$114*DATOS!$C$67,DATOS!$C$68))</f>
        <v>50 UNI GX 0.0081</v>
      </c>
      <c r="C564" s="51" t="str">
        <f aca="false">IF(LEN($B564)&gt;79,"MÁS DE 79 CARACTERES","")</f>
        <v/>
      </c>
      <c r="D564" s="53" t="str">
        <f aca="false">IF(PRESIONES!$C$22="NO","",IF(OR(LINEAS!$D$114="",LINEAS!$U$114=0,ABS(IF(OR(LINEAS!$U$114=1,LINEAS!$U$114=3),1,-1)*LINEAS!$AD$114*DATOS!$C$67)&lt;0.00005),"*",LINEAS!$D$114&amp;" UNI "&amp;IF(LINEAS!$U$114&lt;=2,"GZ","GX")&amp;" "&amp;TEXT(IF(OR(LINEAS!$U$114=1,LINEAS!$U$114=3),1,-1)*LINEAS!$AD$114*DATOS!$C$67,DATOS!$C$68)))</f>
        <v/>
      </c>
      <c r="E564" s="51" t="str">
        <f aca="false">IF(LEN($D564)&gt;79,"MÁS DE 79 CARACTERES","")</f>
        <v/>
      </c>
    </row>
    <row r="565" customFormat="false" ht="15" hidden="false" customHeight="true" outlineLevel="0" collapsed="false">
      <c r="B565" s="53" t="str">
        <f aca="false">IF(OR(LINEAS!$D$115="",LINEAS!$U$115=0,ABS(IF(OR(LINEAS!$U$115=1,LINEAS!$U$115=3),1,-1)*LINEAS!$AD$115*DATOS!$C$67)&lt;0.00005),"*",LINEAS!$D$115&amp;" UNI "&amp;IF(LINEAS!$U$115&lt;=2,"GZ","GX")&amp;" "&amp;TEXT(IF(OR(LINEAS!$U$115=1,LINEAS!$U$115=3),1,-1)*LINEAS!$AD$115*DATOS!$C$67,DATOS!$C$68))</f>
        <v>53 UNI GX 0.0067</v>
      </c>
      <c r="C565" s="51" t="str">
        <f aca="false">IF(LEN($B565)&gt;79,"MÁS DE 79 CARACTERES","")</f>
        <v/>
      </c>
      <c r="D565" s="53" t="str">
        <f aca="false">IF(PRESIONES!$C$22="NO","",IF(OR(LINEAS!$D$115="",LINEAS!$U$115=0,ABS(IF(OR(LINEAS!$U$115=1,LINEAS!$U$115=3),1,-1)*LINEAS!$AD$115*DATOS!$C$67)&lt;0.00005),"*",LINEAS!$D$115&amp;" UNI "&amp;IF(LINEAS!$U$115&lt;=2,"GZ","GX")&amp;" "&amp;TEXT(IF(OR(LINEAS!$U$115=1,LINEAS!$U$115=3),1,-1)*LINEAS!$AD$115*DATOS!$C$67,DATOS!$C$68)))</f>
        <v/>
      </c>
      <c r="E565" s="51" t="str">
        <f aca="false">IF(LEN($D565)&gt;79,"MÁS DE 79 CARACTERES","")</f>
        <v/>
      </c>
    </row>
    <row r="566" customFormat="false" ht="15" hidden="false" customHeight="true" outlineLevel="0" collapsed="false">
      <c r="B566" s="53" t="str">
        <f aca="false">IF(OR(LINEAS!$D$116="",LINEAS!$U$116=0,ABS(IF(OR(LINEAS!$U$116=1,LINEAS!$U$116=3),1,-1)*LINEAS!$AD$116*DATOS!$C$67)&lt;0.00005),"*",LINEAS!$D$116&amp;" UNI "&amp;IF(LINEAS!$U$116&lt;=2,"GZ","GX")&amp;" "&amp;TEXT(IF(OR(LINEAS!$U$116=1,LINEAS!$U$116=3),1,-1)*LINEAS!$AD$116*DATOS!$C$67,DATOS!$C$68))</f>
        <v>55 UNI GX 0.0054</v>
      </c>
      <c r="C566" s="51" t="str">
        <f aca="false">IF(LEN($B566)&gt;79,"MÁS DE 79 CARACTERES","")</f>
        <v/>
      </c>
      <c r="D566" s="53" t="str">
        <f aca="false">IF(PRESIONES!$C$22="NO","",IF(OR(LINEAS!$D$116="",LINEAS!$U$116=0,ABS(IF(OR(LINEAS!$U$116=1,LINEAS!$U$116=3),1,-1)*LINEAS!$AD$116*DATOS!$C$67)&lt;0.00005),"*",LINEAS!$D$116&amp;" UNI "&amp;IF(LINEAS!$U$116&lt;=2,"GZ","GX")&amp;" "&amp;TEXT(IF(OR(LINEAS!$U$116=1,LINEAS!$U$116=3),1,-1)*LINEAS!$AD$116*DATOS!$C$67,DATOS!$C$68)))</f>
        <v/>
      </c>
      <c r="E566" s="51" t="str">
        <f aca="false">IF(LEN($D566)&gt;79,"MÁS DE 79 CARACTERES","")</f>
        <v/>
      </c>
    </row>
    <row r="567" customFormat="false" ht="15" hidden="false" customHeight="true" outlineLevel="0" collapsed="false">
      <c r="B567" s="53" t="str">
        <f aca="false">IF(OR(LINEAS!$D$117="",LINEAS!$U$117=0,ABS(IF(OR(LINEAS!$U$117=1,LINEAS!$U$117=3),1,-1)*LINEAS!$AD$117*DATOS!$C$67)&lt;0.00005),"*",LINEAS!$D$117&amp;" UNI "&amp;IF(LINEAS!$U$117&lt;=2,"GZ","GX")&amp;" "&amp;TEXT(IF(OR(LINEAS!$U$117=1,LINEAS!$U$117=3),1,-1)*LINEAS!$AD$117*DATOS!$C$67,DATOS!$C$68))</f>
        <v>262 UNI GZ 0.8124</v>
      </c>
      <c r="C567" s="51" t="str">
        <f aca="false">IF(LEN($B567)&gt;79,"MÁS DE 79 CARACTERES","")</f>
        <v/>
      </c>
      <c r="D567" s="53" t="str">
        <f aca="false">IF(PRESIONES!$C$22="NO","",IF(OR(LINEAS!$D$117="",LINEAS!$U$117=0,ABS(IF(OR(LINEAS!$U$117=1,LINEAS!$U$117=3),1,-1)*LINEAS!$AD$117*DATOS!$C$67)&lt;0.00005),"*",LINEAS!$D$117&amp;" UNI "&amp;IF(LINEAS!$U$117&lt;=2,"GZ","GX")&amp;" "&amp;TEXT(IF(OR(LINEAS!$U$117=1,LINEAS!$U$117=3),1,-1)*LINEAS!$AD$117*DATOS!$C$67,DATOS!$C$68)))</f>
        <v/>
      </c>
      <c r="E567" s="51" t="str">
        <f aca="false">IF(LEN($D567)&gt;79,"MÁS DE 79 CARACTERES","")</f>
        <v/>
      </c>
    </row>
    <row r="568" customFormat="false" ht="15" hidden="false" customHeight="true" outlineLevel="0" collapsed="false">
      <c r="B568" s="53" t="str">
        <f aca="false">IF(OR(LINEAS!$D$118="",LINEAS!$U$118=0,ABS(IF(OR(LINEAS!$U$118=1,LINEAS!$U$118=3),1,-1)*LINEAS!$AD$118*DATOS!$C$67)&lt;0.00005),"*",LINEAS!$D$118&amp;" UNI "&amp;IF(LINEAS!$U$118&lt;=2,"GZ","GX")&amp;" "&amp;TEXT(IF(OR(LINEAS!$U$118=1,LINEAS!$U$118=3),1,-1)*LINEAS!$AD$118*DATOS!$C$67,DATOS!$C$68))</f>
        <v>263 UNI GZ 0.8124</v>
      </c>
      <c r="C568" s="51" t="str">
        <f aca="false">IF(LEN($B568)&gt;79,"MÁS DE 79 CARACTERES","")</f>
        <v/>
      </c>
      <c r="D568" s="53" t="str">
        <f aca="false">IF(PRESIONES!$C$22="NO","",IF(OR(LINEAS!$D$118="",LINEAS!$U$118=0,ABS(IF(OR(LINEAS!$U$118=1,LINEAS!$U$118=3),1,-1)*LINEAS!$AD$118*DATOS!$C$67)&lt;0.00005),"*",LINEAS!$D$118&amp;" UNI "&amp;IF(LINEAS!$U$118&lt;=2,"GZ","GX")&amp;" "&amp;TEXT(IF(OR(LINEAS!$U$118=1,LINEAS!$U$118=3),1,-1)*LINEAS!$AD$118*DATOS!$C$67,DATOS!$C$68)))</f>
        <v/>
      </c>
      <c r="E568" s="51" t="str">
        <f aca="false">IF(LEN($D568)&gt;79,"MÁS DE 79 CARACTERES","")</f>
        <v/>
      </c>
    </row>
    <row r="569" customFormat="false" ht="15" hidden="false" customHeight="true" outlineLevel="0" collapsed="false">
      <c r="B569" s="53" t="str">
        <f aca="false">IF(OR(LINEAS!$D$119="",LINEAS!$U$119=0,ABS(IF(OR(LINEAS!$U$119=1,LINEAS!$U$119=3),1,-1)*LINEAS!$AD$119*DATOS!$C$67)&lt;0.00005),"*",LINEAS!$D$119&amp;" UNI "&amp;IF(LINEAS!$U$119&lt;=2,"GZ","GX")&amp;" "&amp;TEXT(IF(OR(LINEAS!$U$119=1,LINEAS!$U$119=3),1,-1)*LINEAS!$AD$119*DATOS!$C$67,DATOS!$C$68))</f>
        <v>264 UNI GZ 0.8124</v>
      </c>
      <c r="C569" s="51" t="str">
        <f aca="false">IF(LEN($B569)&gt;79,"MÁS DE 79 CARACTERES","")</f>
        <v/>
      </c>
      <c r="D569" s="53" t="str">
        <f aca="false">IF(PRESIONES!$C$22="NO","",IF(OR(LINEAS!$D$119="",LINEAS!$U$119=0,ABS(IF(OR(LINEAS!$U$119=1,LINEAS!$U$119=3),1,-1)*LINEAS!$AD$119*DATOS!$C$67)&lt;0.00005),"*",LINEAS!$D$119&amp;" UNI "&amp;IF(LINEAS!$U$119&lt;=2,"GZ","GX")&amp;" "&amp;TEXT(IF(OR(LINEAS!$U$119=1,LINEAS!$U$119=3),1,-1)*LINEAS!$AD$119*DATOS!$C$67,DATOS!$C$68)))</f>
        <v/>
      </c>
      <c r="E569" s="51" t="str">
        <f aca="false">IF(LEN($D569)&gt;79,"MÁS DE 79 CARACTERES","")</f>
        <v/>
      </c>
    </row>
    <row r="570" customFormat="false" ht="15" hidden="false" customHeight="true" outlineLevel="0" collapsed="false">
      <c r="B570" s="53" t="str">
        <f aca="false">IF(OR(LINEAS!$D$120="",LINEAS!$U$120=0,ABS(IF(OR(LINEAS!$U$120=1,LINEAS!$U$120=3),1,-1)*LINEAS!$AD$120*DATOS!$C$67)&lt;0.00005),"*",LINEAS!$D$120&amp;" UNI "&amp;IF(LINEAS!$U$120&lt;=2,"GZ","GX")&amp;" "&amp;TEXT(IF(OR(LINEAS!$U$120=1,LINEAS!$U$120=3),1,-1)*LINEAS!$AD$120*DATOS!$C$67,DATOS!$C$68))</f>
        <v>271 UNI GZ 0.8124</v>
      </c>
      <c r="C570" s="51" t="str">
        <f aca="false">IF(LEN($B570)&gt;79,"MÁS DE 79 CARACTERES","")</f>
        <v/>
      </c>
      <c r="D570" s="53" t="str">
        <f aca="false">IF(PRESIONES!$C$22="NO","",IF(OR(LINEAS!$D$120="",LINEAS!$U$120=0,ABS(IF(OR(LINEAS!$U$120=1,LINEAS!$U$120=3),1,-1)*LINEAS!$AD$120*DATOS!$C$67)&lt;0.00005),"*",LINEAS!$D$120&amp;" UNI "&amp;IF(LINEAS!$U$120&lt;=2,"GZ","GX")&amp;" "&amp;TEXT(IF(OR(LINEAS!$U$120=1,LINEAS!$U$120=3),1,-1)*LINEAS!$AD$120*DATOS!$C$67,DATOS!$C$68)))</f>
        <v/>
      </c>
      <c r="E570" s="51" t="str">
        <f aca="false">IF(LEN($D570)&gt;79,"MÁS DE 79 CARACTERES","")</f>
        <v/>
      </c>
    </row>
    <row r="571" customFormat="false" ht="15" hidden="false" customHeight="true" outlineLevel="0" collapsed="false">
      <c r="B571" s="53" t="str">
        <f aca="false">IF(OR(LINEAS!$D$121="",LINEAS!$U$121=0,ABS(IF(OR(LINEAS!$U$121=1,LINEAS!$U$121=3),1,-1)*LINEAS!$AD$121*DATOS!$C$67)&lt;0.00005),"*",LINEAS!$D$121&amp;" UNI "&amp;IF(LINEAS!$U$121&lt;=2,"GZ","GX")&amp;" "&amp;TEXT(IF(OR(LINEAS!$U$121=1,LINEAS!$U$121=3),1,-1)*LINEAS!$AD$121*DATOS!$C$67,DATOS!$C$68))</f>
        <v>286 UNI GZ 1.2186</v>
      </c>
      <c r="C571" s="51" t="str">
        <f aca="false">IF(LEN($B571)&gt;79,"MÁS DE 79 CARACTERES","")</f>
        <v/>
      </c>
      <c r="D571" s="53" t="str">
        <f aca="false">IF(PRESIONES!$C$22="NO","",IF(OR(LINEAS!$D$121="",LINEAS!$U$121=0,ABS(IF(OR(LINEAS!$U$121=1,LINEAS!$U$121=3),1,-1)*LINEAS!$AD$121*DATOS!$C$67)&lt;0.00005),"*",LINEAS!$D$121&amp;" UNI "&amp;IF(LINEAS!$U$121&lt;=2,"GZ","GX")&amp;" "&amp;TEXT(IF(OR(LINEAS!$U$121=1,LINEAS!$U$121=3),1,-1)*LINEAS!$AD$121*DATOS!$C$67,DATOS!$C$68)))</f>
        <v/>
      </c>
      <c r="E571" s="51" t="str">
        <f aca="false">IF(LEN($D571)&gt;79,"MÁS DE 79 CARACTERES","")</f>
        <v/>
      </c>
    </row>
    <row r="572" customFormat="false" ht="15" hidden="false" customHeight="true" outlineLevel="0" collapsed="false">
      <c r="B572" s="53" t="str">
        <f aca="false">IF(OR(LINEAS!$D$122="",LINEAS!$U$122=0,ABS(IF(OR(LINEAS!$U$122=1,LINEAS!$U$122=3),1,-1)*LINEAS!$AD$122*DATOS!$C$67)&lt;0.00005),"*",LINEAS!$D$122&amp;" UNI "&amp;IF(LINEAS!$U$122&lt;=2,"GZ","GX")&amp;" "&amp;TEXT(IF(OR(LINEAS!$U$122=1,LINEAS!$U$122=3),1,-1)*LINEAS!$AD$122*DATOS!$C$67,DATOS!$C$68))</f>
        <v>272 UNI GZ 0.8124</v>
      </c>
      <c r="C572" s="51" t="str">
        <f aca="false">IF(LEN($B572)&gt;79,"MÁS DE 79 CARACTERES","")</f>
        <v/>
      </c>
      <c r="D572" s="53" t="str">
        <f aca="false">IF(PRESIONES!$C$22="NO","",IF(OR(LINEAS!$D$122="",LINEAS!$U$122=0,ABS(IF(OR(LINEAS!$U$122=1,LINEAS!$U$122=3),1,-1)*LINEAS!$AD$122*DATOS!$C$67)&lt;0.00005),"*",LINEAS!$D$122&amp;" UNI "&amp;IF(LINEAS!$U$122&lt;=2,"GZ","GX")&amp;" "&amp;TEXT(IF(OR(LINEAS!$U$122=1,LINEAS!$U$122=3),1,-1)*LINEAS!$AD$122*DATOS!$C$67,DATOS!$C$68)))</f>
        <v/>
      </c>
      <c r="E572" s="51" t="str">
        <f aca="false">IF(LEN($D572)&gt;79,"MÁS DE 79 CARACTERES","")</f>
        <v/>
      </c>
    </row>
    <row r="573" customFormat="false" ht="15" hidden="false" customHeight="true" outlineLevel="0" collapsed="false">
      <c r="B573" s="53" t="str">
        <f aca="false">IF(OR(LINEAS!$D$123="",LINEAS!$U$123=0,ABS(IF(OR(LINEAS!$U$123=1,LINEAS!$U$123=3),1,-1)*LINEAS!$AD$123*DATOS!$C$67)&lt;0.00005),"*",LINEAS!$D$123&amp;" UNI "&amp;IF(LINEAS!$U$123&lt;=2,"GZ","GX")&amp;" "&amp;TEXT(IF(OR(LINEAS!$U$123=1,LINEAS!$U$123=3),1,-1)*LINEAS!$AD$123*DATOS!$C$67,DATOS!$C$68))</f>
        <v>273 UNI GZ 0.8124</v>
      </c>
      <c r="C573" s="51" t="str">
        <f aca="false">IF(LEN($B573)&gt;79,"MÁS DE 79 CARACTERES","")</f>
        <v/>
      </c>
      <c r="D573" s="53" t="str">
        <f aca="false">IF(PRESIONES!$C$22="NO","",IF(OR(LINEAS!$D$123="",LINEAS!$U$123=0,ABS(IF(OR(LINEAS!$U$123=1,LINEAS!$U$123=3),1,-1)*LINEAS!$AD$123*DATOS!$C$67)&lt;0.00005),"*",LINEAS!$D$123&amp;" UNI "&amp;IF(LINEAS!$U$123&lt;=2,"GZ","GX")&amp;" "&amp;TEXT(IF(OR(LINEAS!$U$123=1,LINEAS!$U$123=3),1,-1)*LINEAS!$AD$123*DATOS!$C$67,DATOS!$C$68)))</f>
        <v/>
      </c>
      <c r="E573" s="51" t="str">
        <f aca="false">IF(LEN($D573)&gt;79,"MÁS DE 79 CARACTERES","")</f>
        <v/>
      </c>
    </row>
    <row r="574" customFormat="false" ht="15" hidden="false" customHeight="true" outlineLevel="0" collapsed="false">
      <c r="B574" s="53" t="str">
        <f aca="false">IF(OR(LINEAS!$D$124="",LINEAS!$U$124=0,ABS(IF(OR(LINEAS!$U$124=1,LINEAS!$U$124=3),1,-1)*LINEAS!$AD$124*DATOS!$C$67)&lt;0.00005),"*",LINEAS!$D$124&amp;" UNI "&amp;IF(LINEAS!$U$124&lt;=2,"GZ","GX")&amp;" "&amp;TEXT(IF(OR(LINEAS!$U$124=1,LINEAS!$U$124=3),1,-1)*LINEAS!$AD$124*DATOS!$C$67,DATOS!$C$68))</f>
        <v>280 UNI GZ 0.8124</v>
      </c>
      <c r="C574" s="51" t="str">
        <f aca="false">IF(LEN($B574)&gt;79,"MÁS DE 79 CARACTERES","")</f>
        <v/>
      </c>
      <c r="D574" s="53" t="str">
        <f aca="false">IF(PRESIONES!$C$22="NO","",IF(OR(LINEAS!$D$124="",LINEAS!$U$124=0,ABS(IF(OR(LINEAS!$U$124=1,LINEAS!$U$124=3),1,-1)*LINEAS!$AD$124*DATOS!$C$67)&lt;0.00005),"*",LINEAS!$D$124&amp;" UNI "&amp;IF(LINEAS!$U$124&lt;=2,"GZ","GX")&amp;" "&amp;TEXT(IF(OR(LINEAS!$U$124=1,LINEAS!$U$124=3),1,-1)*LINEAS!$AD$124*DATOS!$C$67,DATOS!$C$68)))</f>
        <v/>
      </c>
      <c r="E574" s="51" t="str">
        <f aca="false">IF(LEN($D574)&gt;79,"MÁS DE 79 CARACTERES","")</f>
        <v/>
      </c>
    </row>
    <row r="575" customFormat="false" ht="15" hidden="false" customHeight="true" outlineLevel="0" collapsed="false">
      <c r="B575" s="53" t="str">
        <f aca="false">IF(OR(LINEAS!$D$125="",LINEAS!$U$125=0,ABS(IF(OR(LINEAS!$U$125=1,LINEAS!$U$125=3),1,-1)*LINEAS!$AD$125*DATOS!$C$67)&lt;0.00005),"*",LINEAS!$D$125&amp;" UNI "&amp;IF(LINEAS!$U$125&lt;=2,"GZ","GX")&amp;" "&amp;TEXT(IF(OR(LINEAS!$U$125=1,LINEAS!$U$125=3),1,-1)*LINEAS!$AD$125*DATOS!$C$67,DATOS!$C$68))</f>
        <v>282 UNI GZ 0.8124</v>
      </c>
      <c r="C575" s="51" t="str">
        <f aca="false">IF(LEN($B575)&gt;79,"MÁS DE 79 CARACTERES","")</f>
        <v/>
      </c>
      <c r="D575" s="53" t="str">
        <f aca="false">IF(PRESIONES!$C$22="NO","",IF(OR(LINEAS!$D$125="",LINEAS!$U$125=0,ABS(IF(OR(LINEAS!$U$125=1,LINEAS!$U$125=3),1,-1)*LINEAS!$AD$125*DATOS!$C$67)&lt;0.00005),"*",LINEAS!$D$125&amp;" UNI "&amp;IF(LINEAS!$U$125&lt;=2,"GZ","GX")&amp;" "&amp;TEXT(IF(OR(LINEAS!$U$125=1,LINEAS!$U$125=3),1,-1)*LINEAS!$AD$125*DATOS!$C$67,DATOS!$C$68)))</f>
        <v/>
      </c>
      <c r="E575" s="51" t="str">
        <f aca="false">IF(LEN($D575)&gt;79,"MÁS DE 79 CARACTERES","")</f>
        <v/>
      </c>
    </row>
    <row r="576" customFormat="false" ht="15" hidden="false" customHeight="true" outlineLevel="0" collapsed="false">
      <c r="B576" s="53" t="str">
        <f aca="false">IF(OR(LINEAS!$D$126="",LINEAS!$U$126=0,ABS(IF(OR(LINEAS!$U$126=1,LINEAS!$U$126=3),1,-1)*LINEAS!$AD$126*DATOS!$C$67)&lt;0.00005),"*",LINEAS!$D$126&amp;" UNI "&amp;IF(LINEAS!$U$126&lt;=2,"GZ","GX")&amp;" "&amp;TEXT(IF(OR(LINEAS!$U$126=1,LINEAS!$U$126=3),1,-1)*LINEAS!$AD$126*DATOS!$C$67,DATOS!$C$68))</f>
        <v>290 UNI GZ 0.8124</v>
      </c>
      <c r="C576" s="51" t="str">
        <f aca="false">IF(LEN($B576)&gt;79,"MÁS DE 79 CARACTERES","")</f>
        <v/>
      </c>
      <c r="D576" s="53" t="str">
        <f aca="false">IF(PRESIONES!$C$22="NO","",IF(OR(LINEAS!$D$126="",LINEAS!$U$126=0,ABS(IF(OR(LINEAS!$U$126=1,LINEAS!$U$126=3),1,-1)*LINEAS!$AD$126*DATOS!$C$67)&lt;0.00005),"*",LINEAS!$D$126&amp;" UNI "&amp;IF(LINEAS!$U$126&lt;=2,"GZ","GX")&amp;" "&amp;TEXT(IF(OR(LINEAS!$U$126=1,LINEAS!$U$126=3),1,-1)*LINEAS!$AD$126*DATOS!$C$67,DATOS!$C$68)))</f>
        <v/>
      </c>
      <c r="E576" s="51" t="str">
        <f aca="false">IF(LEN($D576)&gt;79,"MÁS DE 79 CARACTERES","")</f>
        <v/>
      </c>
    </row>
    <row r="577" customFormat="false" ht="15" hidden="false" customHeight="true" outlineLevel="0" collapsed="false">
      <c r="B577" s="53" t="str">
        <f aca="false">IF(OR(LINEAS!$D$127="",LINEAS!$U$127=0,ABS(IF(OR(LINEAS!$U$127=1,LINEAS!$U$127=3),1,-1)*LINEAS!$AD$127*DATOS!$C$67)&lt;0.00005),"*",LINEAS!$D$127&amp;" UNI "&amp;IF(LINEAS!$U$127&lt;=2,"GZ","GX")&amp;" "&amp;TEXT(IF(OR(LINEAS!$U$127=1,LINEAS!$U$127=3),1,-1)*LINEAS!$AD$127*DATOS!$C$67,DATOS!$C$68))</f>
        <v>291 UNI GZ 0.8124</v>
      </c>
      <c r="C577" s="51" t="str">
        <f aca="false">IF(LEN($B577)&gt;79,"MÁS DE 79 CARACTERES","")</f>
        <v/>
      </c>
      <c r="D577" s="53" t="str">
        <f aca="false">IF(PRESIONES!$C$22="NO","",IF(OR(LINEAS!$D$127="",LINEAS!$U$127=0,ABS(IF(OR(LINEAS!$U$127=1,LINEAS!$U$127=3),1,-1)*LINEAS!$AD$127*DATOS!$C$67)&lt;0.00005),"*",LINEAS!$D$127&amp;" UNI "&amp;IF(LINEAS!$U$127&lt;=2,"GZ","GX")&amp;" "&amp;TEXT(IF(OR(LINEAS!$U$127=1,LINEAS!$U$127=3),1,-1)*LINEAS!$AD$127*DATOS!$C$67,DATOS!$C$68)))</f>
        <v/>
      </c>
      <c r="E577" s="51" t="str">
        <f aca="false">IF(LEN($D577)&gt;79,"MÁS DE 79 CARACTERES","")</f>
        <v/>
      </c>
    </row>
    <row r="578" customFormat="false" ht="15" hidden="false" customHeight="true" outlineLevel="0" collapsed="false">
      <c r="B578" s="53" t="str">
        <f aca="false">IF(OR(LINEAS!$D$128="",LINEAS!$U$128=0,ABS(IF(OR(LINEAS!$U$128=1,LINEAS!$U$128=3),1,-1)*LINEAS!$AD$128*DATOS!$C$67)&lt;0.00005),"*",LINEAS!$D$128&amp;" UNI "&amp;IF(LINEAS!$U$128&lt;=2,"GZ","GX")&amp;" "&amp;TEXT(IF(OR(LINEAS!$U$128=1,LINEAS!$U$128=3),1,-1)*LINEAS!$AD$128*DATOS!$C$67,DATOS!$C$68))</f>
        <v>298 UNI GZ 0.5179</v>
      </c>
      <c r="C578" s="51" t="str">
        <f aca="false">IF(LEN($B578)&gt;79,"MÁS DE 79 CARACTERES","")</f>
        <v/>
      </c>
      <c r="D578" s="53" t="str">
        <f aca="false">IF(PRESIONES!$C$22="NO","",IF(OR(LINEAS!$D$128="",LINEAS!$U$128=0,ABS(IF(OR(LINEAS!$U$128=1,LINEAS!$U$128=3),1,-1)*LINEAS!$AD$128*DATOS!$C$67)&lt;0.00005),"*",LINEAS!$D$128&amp;" UNI "&amp;IF(LINEAS!$U$128&lt;=2,"GZ","GX")&amp;" "&amp;TEXT(IF(OR(LINEAS!$U$128=1,LINEAS!$U$128=3),1,-1)*LINEAS!$AD$128*DATOS!$C$67,DATOS!$C$68)))</f>
        <v/>
      </c>
      <c r="E578" s="51" t="str">
        <f aca="false">IF(LEN($D578)&gt;79,"MÁS DE 79 CARACTERES","")</f>
        <v/>
      </c>
    </row>
    <row r="579" customFormat="false" ht="15" hidden="false" customHeight="true" outlineLevel="0" collapsed="false">
      <c r="B579" s="53" t="str">
        <f aca="false">IF(OR(LINEAS!$D$129="",LINEAS!$U$129=0,ABS(IF(OR(LINEAS!$U$129=1,LINEAS!$U$129=3),1,-1)*LINEAS!$AD$129*DATOS!$C$67)&lt;0.00005),"*",LINEAS!$D$129&amp;" UNI "&amp;IF(LINEAS!$U$129&lt;=2,"GZ","GX")&amp;" "&amp;TEXT(IF(OR(LINEAS!$U$129=1,LINEAS!$U$129=3),1,-1)*LINEAS!$AD$129*DATOS!$C$67,DATOS!$C$68))</f>
        <v>299 UNI GZ 0.5179</v>
      </c>
      <c r="C579" s="51" t="str">
        <f aca="false">IF(LEN($B579)&gt;79,"MÁS DE 79 CARACTERES","")</f>
        <v/>
      </c>
      <c r="D579" s="53" t="str">
        <f aca="false">IF(PRESIONES!$C$22="NO","",IF(OR(LINEAS!$D$129="",LINEAS!$U$129=0,ABS(IF(OR(LINEAS!$U$129=1,LINEAS!$U$129=3),1,-1)*LINEAS!$AD$129*DATOS!$C$67)&lt;0.00005),"*",LINEAS!$D$129&amp;" UNI "&amp;IF(LINEAS!$U$129&lt;=2,"GZ","GX")&amp;" "&amp;TEXT(IF(OR(LINEAS!$U$129=1,LINEAS!$U$129=3),1,-1)*LINEAS!$AD$129*DATOS!$C$67,DATOS!$C$68)))</f>
        <v/>
      </c>
      <c r="E579" s="51" t="str">
        <f aca="false">IF(LEN($D579)&gt;79,"MÁS DE 79 CARACTERES","")</f>
        <v/>
      </c>
    </row>
    <row r="580" customFormat="false" ht="15" hidden="false" customHeight="true" outlineLevel="0" collapsed="false">
      <c r="B580" s="53" t="str">
        <f aca="false">IF(OR(LINEAS!$D$130="",LINEAS!$U$130=0,ABS(IF(OR(LINEAS!$U$130=1,LINEAS!$U$130=3),1,-1)*LINEAS!$AD$130*DATOS!$C$67)&lt;0.00005),"*",LINEAS!$D$130&amp;" UNI "&amp;IF(LINEAS!$U$130&lt;=2,"GZ","GX")&amp;" "&amp;TEXT(IF(OR(LINEAS!$U$130=1,LINEAS!$U$130=3),1,-1)*LINEAS!$AD$130*DATOS!$C$67,DATOS!$C$68))</f>
        <v>326 UNI GZ 0.4062</v>
      </c>
      <c r="C580" s="51" t="str">
        <f aca="false">IF(LEN($B580)&gt;79,"MÁS DE 79 CARACTERES","")</f>
        <v/>
      </c>
      <c r="D580" s="53" t="str">
        <f aca="false">IF(PRESIONES!$C$22="NO","",IF(OR(LINEAS!$D$130="",LINEAS!$U$130=0,ABS(IF(OR(LINEAS!$U$130=1,LINEAS!$U$130=3),1,-1)*LINEAS!$AD$130*DATOS!$C$67)&lt;0.00005),"*",LINEAS!$D$130&amp;" UNI "&amp;IF(LINEAS!$U$130&lt;=2,"GZ","GX")&amp;" "&amp;TEXT(IF(OR(LINEAS!$U$130=1,LINEAS!$U$130=3),1,-1)*LINEAS!$AD$130*DATOS!$C$67,DATOS!$C$68)))</f>
        <v/>
      </c>
      <c r="E580" s="51" t="str">
        <f aca="false">IF(LEN($D580)&gt;79,"MÁS DE 79 CARACTERES","")</f>
        <v/>
      </c>
    </row>
    <row r="581" customFormat="false" ht="15" hidden="false" customHeight="true" outlineLevel="0" collapsed="false">
      <c r="B581" s="53" t="str">
        <f aca="false">IF(OR(LINEAS!$D$131="",LINEAS!$U$131=0,ABS(IF(OR(LINEAS!$U$131=1,LINEAS!$U$131=3),1,-1)*LINEAS!$AD$131*DATOS!$C$67)&lt;0.00005),"*",LINEAS!$D$131&amp;" UNI "&amp;IF(LINEAS!$U$131&lt;=2,"GZ","GX")&amp;" "&amp;TEXT(IF(OR(LINEAS!$U$131=1,LINEAS!$U$131=3),1,-1)*LINEAS!$AD$131*DATOS!$C$67,DATOS!$C$68))</f>
        <v>25 UNI GZ 0.2945</v>
      </c>
      <c r="C581" s="51" t="str">
        <f aca="false">IF(LEN($B581)&gt;79,"MÁS DE 79 CARACTERES","")</f>
        <v/>
      </c>
      <c r="D581" s="53" t="str">
        <f aca="false">IF(PRESIONES!$C$22="NO","",IF(OR(LINEAS!$D$131="",LINEAS!$U$131=0,ABS(IF(OR(LINEAS!$U$131=1,LINEAS!$U$131=3),1,-1)*LINEAS!$AD$131*DATOS!$C$67)&lt;0.00005),"*",LINEAS!$D$131&amp;" UNI "&amp;IF(LINEAS!$U$131&lt;=2,"GZ","GX")&amp;" "&amp;TEXT(IF(OR(LINEAS!$U$131=1,LINEAS!$U$131=3),1,-1)*LINEAS!$AD$131*DATOS!$C$67,DATOS!$C$68)))</f>
        <v/>
      </c>
      <c r="E581" s="51" t="str">
        <f aca="false">IF(LEN($D581)&gt;79,"MÁS DE 79 CARACTERES","")</f>
        <v/>
      </c>
    </row>
    <row r="582" customFormat="false" ht="15" hidden="false" customHeight="true" outlineLevel="0" collapsed="false">
      <c r="B582" s="53" t="str">
        <f aca="false">IF(OR(LINEAS!$D$132="",LINEAS!$U$132=0,ABS(IF(OR(LINEAS!$U$132=1,LINEAS!$U$132=3),1,-1)*LINEAS!$AD$132*DATOS!$C$67)&lt;0.00005),"*",LINEAS!$D$132&amp;" UNI "&amp;IF(LINEAS!$U$132&lt;=2,"GZ","GX")&amp;" "&amp;TEXT(IF(OR(LINEAS!$U$132=1,LINEAS!$U$132=3),1,-1)*LINEAS!$AD$132*DATOS!$C$67,DATOS!$C$68))</f>
        <v>327 UNI GZ 0.4062</v>
      </c>
      <c r="C582" s="51" t="str">
        <f aca="false">IF(LEN($B582)&gt;79,"MÁS DE 79 CARACTERES","")</f>
        <v/>
      </c>
      <c r="D582" s="53" t="str">
        <f aca="false">IF(PRESIONES!$C$22="NO","",IF(OR(LINEAS!$D$132="",LINEAS!$U$132=0,ABS(IF(OR(LINEAS!$U$132=1,LINEAS!$U$132=3),1,-1)*LINEAS!$AD$132*DATOS!$C$67)&lt;0.00005),"*",LINEAS!$D$132&amp;" UNI "&amp;IF(LINEAS!$U$132&lt;=2,"GZ","GX")&amp;" "&amp;TEXT(IF(OR(LINEAS!$U$132=1,LINEAS!$U$132=3),1,-1)*LINEAS!$AD$132*DATOS!$C$67,DATOS!$C$68)))</f>
        <v/>
      </c>
      <c r="E582" s="51" t="str">
        <f aca="false">IF(LEN($D582)&gt;79,"MÁS DE 79 CARACTERES","")</f>
        <v/>
      </c>
    </row>
    <row r="583" customFormat="false" ht="15" hidden="false" customHeight="true" outlineLevel="0" collapsed="false">
      <c r="B583" s="53" t="str">
        <f aca="false">IF(OR(LINEAS!$D$133="",LINEAS!$U$133=0,ABS(IF(OR(LINEAS!$U$133=1,LINEAS!$U$133=3),1,-1)*LINEAS!$AD$133*DATOS!$C$67)&lt;0.00005),"*",LINEAS!$D$133&amp;" UNI "&amp;IF(LINEAS!$U$133&lt;=2,"GZ","GX")&amp;" "&amp;TEXT(IF(OR(LINEAS!$U$133=1,LINEAS!$U$133=3),1,-1)*LINEAS!$AD$133*DATOS!$C$67,DATOS!$C$68))</f>
        <v>306 UNI GZ 0.7007</v>
      </c>
      <c r="C583" s="51" t="str">
        <f aca="false">IF(LEN($B583)&gt;79,"MÁS DE 79 CARACTERES","")</f>
        <v/>
      </c>
      <c r="D583" s="53" t="str">
        <f aca="false">IF(PRESIONES!$C$22="NO","",IF(OR(LINEAS!$D$133="",LINEAS!$U$133=0,ABS(IF(OR(LINEAS!$U$133=1,LINEAS!$U$133=3),1,-1)*LINEAS!$AD$133*DATOS!$C$67)&lt;0.00005),"*",LINEAS!$D$133&amp;" UNI "&amp;IF(LINEAS!$U$133&lt;=2,"GZ","GX")&amp;" "&amp;TEXT(IF(OR(LINEAS!$U$133=1,LINEAS!$U$133=3),1,-1)*LINEAS!$AD$133*DATOS!$C$67,DATOS!$C$68)))</f>
        <v/>
      </c>
      <c r="E583" s="51" t="str">
        <f aca="false">IF(LEN($D583)&gt;79,"MÁS DE 79 CARACTERES","")</f>
        <v/>
      </c>
    </row>
    <row r="584" customFormat="false" ht="15" hidden="false" customHeight="true" outlineLevel="0" collapsed="false">
      <c r="B584" s="53" t="str">
        <f aca="false">IF(OR(LINEAS!$D$134="",LINEAS!$U$134=0,ABS(IF(OR(LINEAS!$U$134=1,LINEAS!$U$134=3),1,-1)*LINEAS!$AD$134*DATOS!$C$67)&lt;0.00005),"*",LINEAS!$D$134&amp;" UNI "&amp;IF(LINEAS!$U$134&lt;=2,"GZ","GX")&amp;" "&amp;TEXT(IF(OR(LINEAS!$U$134=1,LINEAS!$U$134=3),1,-1)*LINEAS!$AD$134*DATOS!$C$67,DATOS!$C$68))</f>
        <v>322 UNI GZ 0.8124</v>
      </c>
      <c r="C584" s="51" t="str">
        <f aca="false">IF(LEN($B584)&gt;79,"MÁS DE 79 CARACTERES","")</f>
        <v/>
      </c>
      <c r="D584" s="53" t="str">
        <f aca="false">IF(PRESIONES!$C$22="NO","",IF(OR(LINEAS!$D$134="",LINEAS!$U$134=0,ABS(IF(OR(LINEAS!$U$134=1,LINEAS!$U$134=3),1,-1)*LINEAS!$AD$134*DATOS!$C$67)&lt;0.00005),"*",LINEAS!$D$134&amp;" UNI "&amp;IF(LINEAS!$U$134&lt;=2,"GZ","GX")&amp;" "&amp;TEXT(IF(OR(LINEAS!$U$134=1,LINEAS!$U$134=3),1,-1)*LINEAS!$AD$134*DATOS!$C$67,DATOS!$C$68)))</f>
        <v/>
      </c>
      <c r="E584" s="51" t="str">
        <f aca="false">IF(LEN($D584)&gt;79,"MÁS DE 79 CARACTERES","")</f>
        <v/>
      </c>
    </row>
    <row r="585" customFormat="false" ht="15" hidden="false" customHeight="true" outlineLevel="0" collapsed="false">
      <c r="B585" s="53" t="str">
        <f aca="false">IF(OR(LINEAS!$D$135="",LINEAS!$U$135=0,ABS(IF(OR(LINEAS!$U$135=1,LINEAS!$U$135=3),1,-1)*LINEAS!$AD$135*DATOS!$C$67)&lt;0.00005),"*",LINEAS!$D$135&amp;" UNI "&amp;IF(LINEAS!$U$135&lt;=2,"GZ","GX")&amp;" "&amp;TEXT(IF(OR(LINEAS!$U$135=1,LINEAS!$U$135=3),1,-1)*LINEAS!$AD$135*DATOS!$C$67,DATOS!$C$68))</f>
        <v>323 UNI GZ 0.7528</v>
      </c>
      <c r="C585" s="51" t="str">
        <f aca="false">IF(LEN($B585)&gt;79,"MÁS DE 79 CARACTERES","")</f>
        <v/>
      </c>
      <c r="D585" s="53" t="str">
        <f aca="false">IF(PRESIONES!$C$22="NO","",IF(OR(LINEAS!$D$135="",LINEAS!$U$135=0,ABS(IF(OR(LINEAS!$U$135=1,LINEAS!$U$135=3),1,-1)*LINEAS!$AD$135*DATOS!$C$67)&lt;0.00005),"*",LINEAS!$D$135&amp;" UNI "&amp;IF(LINEAS!$U$135&lt;=2,"GZ","GX")&amp;" "&amp;TEXT(IF(OR(LINEAS!$U$135=1,LINEAS!$U$135=3),1,-1)*LINEAS!$AD$135*DATOS!$C$67,DATOS!$C$68)))</f>
        <v/>
      </c>
      <c r="E585" s="51" t="str">
        <f aca="false">IF(LEN($D585)&gt;79,"MÁS DE 79 CARACTERES","")</f>
        <v/>
      </c>
    </row>
    <row r="586" customFormat="false" ht="15" hidden="false" customHeight="true" outlineLevel="0" collapsed="false">
      <c r="B586" s="53" t="str">
        <f aca="false">IF(OR(LINEAS!$D$136="",LINEAS!$U$136=0,ABS(IF(OR(LINEAS!$U$136=1,LINEAS!$U$136=3),1,-1)*LINEAS!$AD$136*DATOS!$C$67)&lt;0.00005),"*",LINEAS!$D$136&amp;" UNI "&amp;IF(LINEAS!$U$136&lt;=2,"GZ","GX")&amp;" "&amp;TEXT(IF(OR(LINEAS!$U$136=1,LINEAS!$U$136=3),1,-1)*LINEAS!$AD$136*DATOS!$C$67,DATOS!$C$68))</f>
        <v>22 85 TO 88 UNI GZ 0.3487</v>
      </c>
      <c r="C586" s="51" t="str">
        <f aca="false">IF(LEN($B586)&gt;79,"MÁS DE 79 CARACTERES","")</f>
        <v/>
      </c>
      <c r="D586" s="53" t="str">
        <f aca="false">IF(PRESIONES!$C$22="NO","",IF(OR(LINEAS!$D$136="",LINEAS!$U$136=0,ABS(IF(OR(LINEAS!$U$136=1,LINEAS!$U$136=3),1,-1)*LINEAS!$AD$136*DATOS!$C$67)&lt;0.00005),"*",LINEAS!$D$136&amp;" UNI "&amp;IF(LINEAS!$U$136&lt;=2,"GZ","GX")&amp;" "&amp;TEXT(IF(OR(LINEAS!$U$136=1,LINEAS!$U$136=3),1,-1)*LINEAS!$AD$136*DATOS!$C$67,DATOS!$C$68)))</f>
        <v/>
      </c>
      <c r="E586" s="51" t="str">
        <f aca="false">IF(LEN($D586)&gt;79,"MÁS DE 79 CARACTERES","")</f>
        <v/>
      </c>
    </row>
    <row r="587" customFormat="false" ht="15" hidden="false" customHeight="true" outlineLevel="0" collapsed="false">
      <c r="B587" s="53" t="str">
        <f aca="false">IF(OR(LINEAS!$D$137="",LINEAS!$U$137=0,ABS(IF(OR(LINEAS!$U$137=1,LINEAS!$U$137=3),1,-1)*LINEAS!$AD$137*DATOS!$C$67)&lt;0.00005),"*",LINEAS!$D$137&amp;" UNI "&amp;IF(LINEAS!$U$137&lt;=2,"GZ","GX")&amp;" "&amp;TEXT(IF(OR(LINEAS!$U$137=1,LINEAS!$U$137=3),1,-1)*LINEAS!$AD$137*DATOS!$C$67,DATOS!$C$68))</f>
        <v>17 191 203 213 223 233 UNI GZ 1.7269</v>
      </c>
      <c r="C587" s="51" t="str">
        <f aca="false">IF(LEN($B587)&gt;79,"MÁS DE 79 CARACTERES","")</f>
        <v/>
      </c>
      <c r="D587" s="53" t="str">
        <f aca="false">IF(PRESIONES!$C$22="NO","",IF(OR(LINEAS!$D$137="",LINEAS!$U$137=0,ABS(IF(OR(LINEAS!$U$137=1,LINEAS!$U$137=3),1,-1)*LINEAS!$AD$137*DATOS!$C$67)&lt;0.00005),"*",LINEAS!$D$137&amp;" UNI "&amp;IF(LINEAS!$U$137&lt;=2,"GZ","GX")&amp;" "&amp;TEXT(IF(OR(LINEAS!$U$137=1,LINEAS!$U$137=3),1,-1)*LINEAS!$AD$137*DATOS!$C$67,DATOS!$C$68)))</f>
        <v/>
      </c>
      <c r="E587" s="51" t="str">
        <f aca="false">IF(LEN($D587)&gt;79,"MÁS DE 79 CARACTERES","")</f>
        <v/>
      </c>
    </row>
    <row r="588" customFormat="false" ht="15" hidden="false" customHeight="true" outlineLevel="0" collapsed="false">
      <c r="B588" s="53" t="str">
        <f aca="false">IF(OR(LINEAS!$D$138="",LINEAS!$U$138=0,ABS(IF(OR(LINEAS!$U$138=1,LINEAS!$U$138=3),1,-1)*LINEAS!$AD$138*DATOS!$C$67)&lt;0.00005),"*",LINEAS!$D$138&amp;" UNI "&amp;IF(LINEAS!$U$138&lt;=2,"GZ","GX")&amp;" "&amp;TEXT(IF(OR(LINEAS!$U$138=1,LINEAS!$U$138=3),1,-1)*LINEAS!$AD$138*DATOS!$C$67,DATOS!$C$68))</f>
        <v>18 192 204 214 224 234 UNI GZ 1.7269</v>
      </c>
      <c r="C588" s="51" t="str">
        <f aca="false">IF(LEN($B588)&gt;79,"MÁS DE 79 CARACTERES","")</f>
        <v/>
      </c>
      <c r="D588" s="53" t="str">
        <f aca="false">IF(PRESIONES!$C$22="NO","",IF(OR(LINEAS!$D$138="",LINEAS!$U$138=0,ABS(IF(OR(LINEAS!$U$138=1,LINEAS!$U$138=3),1,-1)*LINEAS!$AD$138*DATOS!$C$67)&lt;0.00005),"*",LINEAS!$D$138&amp;" UNI "&amp;IF(LINEAS!$U$138&lt;=2,"GZ","GX")&amp;" "&amp;TEXT(IF(OR(LINEAS!$U$138=1,LINEAS!$U$138=3),1,-1)*LINEAS!$AD$138*DATOS!$C$67,DATOS!$C$68)))</f>
        <v/>
      </c>
      <c r="E588" s="51" t="str">
        <f aca="false">IF(LEN($D588)&gt;79,"MÁS DE 79 CARACTERES","")</f>
        <v/>
      </c>
    </row>
    <row r="589" customFormat="false" ht="15" hidden="false" customHeight="true" outlineLevel="0" collapsed="false">
      <c r="B589" s="53" t="str">
        <f aca="false">IF(OR(LINEAS!$D$139="",LINEAS!$U$139=0,ABS(IF(OR(LINEAS!$U$139=1,LINEAS!$U$139=3),1,-1)*LINEAS!$AD$139*DATOS!$C$67)&lt;0.00005),"*",LINEAS!$D$139&amp;" UNI "&amp;IF(LINEAS!$U$139&lt;=2,"GZ","GX")&amp;" "&amp;TEXT(IF(OR(LINEAS!$U$139=1,LINEAS!$U$139=3),1,-1)*LINEAS!$AD$139*DATOS!$C$67,DATOS!$C$68))</f>
        <v>*</v>
      </c>
      <c r="C589" s="51" t="str">
        <f aca="false">IF(LEN($B589)&gt;79,"MÁS DE 79 CARACTERES","")</f>
        <v/>
      </c>
      <c r="D589" s="53" t="str">
        <f aca="false">IF(PRESIONES!$C$22="NO","",IF(OR(LINEAS!$D$139="",LINEAS!$U$139=0,ABS(IF(OR(LINEAS!$U$139=1,LINEAS!$U$139=3),1,-1)*LINEAS!$AD$139*DATOS!$C$67)&lt;0.00005),"*",LINEAS!$D$139&amp;" UNI "&amp;IF(LINEAS!$U$139&lt;=2,"GZ","GX")&amp;" "&amp;TEXT(IF(OR(LINEAS!$U$139=1,LINEAS!$U$139=3),1,-1)*LINEAS!$AD$139*DATOS!$C$67,DATOS!$C$68)))</f>
        <v/>
      </c>
      <c r="E589" s="51" t="str">
        <f aca="false">IF(LEN($D589)&gt;79,"MÁS DE 79 CARACTERES","")</f>
        <v/>
      </c>
    </row>
    <row r="590" customFormat="false" ht="15" hidden="false" customHeight="true" outlineLevel="0" collapsed="false">
      <c r="B590" s="53" t="str">
        <f aca="false">IF(OR(LINEAS!$D$140="",LINEAS!$U$140=0,ABS(IF(OR(LINEAS!$U$140=1,LINEAS!$U$140=3),1,-1)*LINEAS!$AD$140*DATOS!$C$67)&lt;0.00005),"*",LINEAS!$D$140&amp;" UNI "&amp;IF(LINEAS!$U$140&lt;=2,"GZ","GX")&amp;" "&amp;TEXT(IF(OR(LINEAS!$U$140=1,LINEAS!$U$140=3),1,-1)*LINEAS!$AD$140*DATOS!$C$67,DATOS!$C$68))</f>
        <v>*</v>
      </c>
      <c r="C590" s="51" t="str">
        <f aca="false">IF(LEN($B590)&gt;79,"MÁS DE 79 CARACTERES","")</f>
        <v/>
      </c>
      <c r="D590" s="53" t="str">
        <f aca="false">IF(PRESIONES!$C$22="NO","",IF(OR(LINEAS!$D$140="",LINEAS!$U$140=0,ABS(IF(OR(LINEAS!$U$140=1,LINEAS!$U$140=3),1,-1)*LINEAS!$AD$140*DATOS!$C$67)&lt;0.00005),"*",LINEAS!$D$140&amp;" UNI "&amp;IF(LINEAS!$U$140&lt;=2,"GZ","GX")&amp;" "&amp;TEXT(IF(OR(LINEAS!$U$140=1,LINEAS!$U$140=3),1,-1)*LINEAS!$AD$140*DATOS!$C$67,DATOS!$C$68)))</f>
        <v/>
      </c>
      <c r="E590" s="51" t="str">
        <f aca="false">IF(LEN($D590)&gt;79,"MÁS DE 79 CARACTERES","")</f>
        <v/>
      </c>
    </row>
    <row r="591" customFormat="false" ht="15" hidden="false" customHeight="true" outlineLevel="0" collapsed="false">
      <c r="B591" s="53" t="str">
        <f aca="false">IF(OR(LINEAS!$D$141="",LINEAS!$U$141=0,ABS(IF(OR(LINEAS!$U$141=1,LINEAS!$U$141=3),1,-1)*LINEAS!$AD$141*DATOS!$C$67)&lt;0.00005),"*",LINEAS!$D$141&amp;" UNI "&amp;IF(LINEAS!$U$141&lt;=2,"GZ","GX")&amp;" "&amp;TEXT(IF(OR(LINEAS!$U$141=1,LINEAS!$U$141=3),1,-1)*LINEAS!$AD$141*DATOS!$C$67,DATOS!$C$68))</f>
        <v>*</v>
      </c>
      <c r="C591" s="51" t="str">
        <f aca="false">IF(LEN($B591)&gt;79,"MÁS DE 79 CARACTERES","")</f>
        <v/>
      </c>
      <c r="D591" s="53" t="str">
        <f aca="false">IF(PRESIONES!$C$22="NO","",IF(OR(LINEAS!$D$141="",LINEAS!$U$141=0,ABS(IF(OR(LINEAS!$U$141=1,LINEAS!$U$141=3),1,-1)*LINEAS!$AD$141*DATOS!$C$67)&lt;0.00005),"*",LINEAS!$D$141&amp;" UNI "&amp;IF(LINEAS!$U$141&lt;=2,"GZ","GX")&amp;" "&amp;TEXT(IF(OR(LINEAS!$U$141=1,LINEAS!$U$141=3),1,-1)*LINEAS!$AD$141*DATOS!$C$67,DATOS!$C$68)))</f>
        <v/>
      </c>
      <c r="E591" s="51" t="str">
        <f aca="false">IF(LEN($D591)&gt;79,"MÁS DE 79 CARACTERES","")</f>
        <v/>
      </c>
    </row>
    <row r="592" customFormat="false" ht="15" hidden="false" customHeight="true" outlineLevel="0" collapsed="false">
      <c r="B592" s="53" t="str">
        <f aca="false">IF(OR(LINEAS!$D$142="",LINEAS!$U$142=0,ABS(IF(OR(LINEAS!$U$142=1,LINEAS!$U$142=3),1,-1)*LINEAS!$AD$142*DATOS!$C$67)&lt;0.00005),"*",LINEAS!$D$142&amp;" UNI "&amp;IF(LINEAS!$U$142&lt;=2,"GZ","GX")&amp;" "&amp;TEXT(IF(OR(LINEAS!$U$142=1,LINEAS!$U$142=3),1,-1)*LINEAS!$AD$142*DATOS!$C$67,DATOS!$C$68))</f>
        <v>*</v>
      </c>
      <c r="C592" s="51" t="str">
        <f aca="false">IF(LEN($B592)&gt;79,"MÁS DE 79 CARACTERES","")</f>
        <v/>
      </c>
      <c r="D592" s="53" t="str">
        <f aca="false">IF(PRESIONES!$C$22="NO","",IF(OR(LINEAS!$D$142="",LINEAS!$U$142=0,ABS(IF(OR(LINEAS!$U$142=1,LINEAS!$U$142=3),1,-1)*LINEAS!$AD$142*DATOS!$C$67)&lt;0.00005),"*",LINEAS!$D$142&amp;" UNI "&amp;IF(LINEAS!$U$142&lt;=2,"GZ","GX")&amp;" "&amp;TEXT(IF(OR(LINEAS!$U$142=1,LINEAS!$U$142=3),1,-1)*LINEAS!$AD$142*DATOS!$C$67,DATOS!$C$68)))</f>
        <v/>
      </c>
      <c r="E592" s="51" t="str">
        <f aca="false">IF(LEN($D592)&gt;79,"MÁS DE 79 CARACTERES","")</f>
        <v/>
      </c>
    </row>
    <row r="593" customFormat="false" ht="15" hidden="false" customHeight="true" outlineLevel="0" collapsed="false">
      <c r="B593" s="53" t="str">
        <f aca="false">IF(OR(LINEAS!$D$143="",LINEAS!$U$143=0,ABS(IF(OR(LINEAS!$U$143=1,LINEAS!$U$143=3),1,-1)*LINEAS!$AD$143*DATOS!$C$67)&lt;0.00005),"*",LINEAS!$D$143&amp;" UNI "&amp;IF(LINEAS!$U$143&lt;=2,"GZ","GX")&amp;" "&amp;TEXT(IF(OR(LINEAS!$U$143=1,LINEAS!$U$143=3),1,-1)*LINEAS!$AD$143*DATOS!$C$67,DATOS!$C$68))</f>
        <v>*</v>
      </c>
      <c r="C593" s="51" t="str">
        <f aca="false">IF(LEN($B593)&gt;79,"MÁS DE 79 CARACTERES","")</f>
        <v/>
      </c>
      <c r="D593" s="53" t="str">
        <f aca="false">IF(PRESIONES!$C$22="NO","",IF(OR(LINEAS!$D$143="",LINEAS!$U$143=0,ABS(IF(OR(LINEAS!$U$143=1,LINEAS!$U$143=3),1,-1)*LINEAS!$AD$143*DATOS!$C$67)&lt;0.00005),"*",LINEAS!$D$143&amp;" UNI "&amp;IF(LINEAS!$U$143&lt;=2,"GZ","GX")&amp;" "&amp;TEXT(IF(OR(LINEAS!$U$143=1,LINEAS!$U$143=3),1,-1)*LINEAS!$AD$143*DATOS!$C$67,DATOS!$C$68)))</f>
        <v/>
      </c>
      <c r="E593" s="51" t="str">
        <f aca="false">IF(LEN($D593)&gt;79,"MÁS DE 79 CARACTERES","")</f>
        <v/>
      </c>
    </row>
    <row r="594" customFormat="false" ht="15" hidden="false" customHeight="true" outlineLevel="0" collapsed="false">
      <c r="B594" s="53" t="str">
        <f aca="false">IF(OR(LINEAS!$D$144="",LINEAS!$U$144=0,ABS(IF(OR(LINEAS!$U$144=1,LINEAS!$U$144=3),1,-1)*LINEAS!$AD$144*DATOS!$C$67)&lt;0.00005),"*",LINEAS!$D$144&amp;" UNI "&amp;IF(LINEAS!$U$144&lt;=2,"GZ","GX")&amp;" "&amp;TEXT(IF(OR(LINEAS!$U$144=1,LINEAS!$U$144=3),1,-1)*LINEAS!$AD$144*DATOS!$C$67,DATOS!$C$68))</f>
        <v>*</v>
      </c>
      <c r="C594" s="51" t="str">
        <f aca="false">IF(LEN($B594)&gt;79,"MÁS DE 79 CARACTERES","")</f>
        <v/>
      </c>
      <c r="D594" s="53" t="str">
        <f aca="false">IF(PRESIONES!$C$22="NO","",IF(OR(LINEAS!$D$144="",LINEAS!$U$144=0,ABS(IF(OR(LINEAS!$U$144=1,LINEAS!$U$144=3),1,-1)*LINEAS!$AD$144*DATOS!$C$67)&lt;0.00005),"*",LINEAS!$D$144&amp;" UNI "&amp;IF(LINEAS!$U$144&lt;=2,"GZ","GX")&amp;" "&amp;TEXT(IF(OR(LINEAS!$U$144=1,LINEAS!$U$144=3),1,-1)*LINEAS!$AD$144*DATOS!$C$67,DATOS!$C$68)))</f>
        <v/>
      </c>
      <c r="E594" s="51" t="str">
        <f aca="false">IF(LEN($D594)&gt;79,"MÁS DE 79 CARACTERES","")</f>
        <v/>
      </c>
    </row>
    <row r="595" customFormat="false" ht="15" hidden="false" customHeight="true" outlineLevel="0" collapsed="false">
      <c r="B595" s="53" t="str">
        <f aca="false">IF(OR(LINEAS!$D$145="",LINEAS!$U$145=0,ABS(IF(OR(LINEAS!$U$145=1,LINEAS!$U$145=3),1,-1)*LINEAS!$AD$145*DATOS!$C$67)&lt;0.00005),"*",LINEAS!$D$145&amp;" UNI "&amp;IF(LINEAS!$U$145&lt;=2,"GZ","GX")&amp;" "&amp;TEXT(IF(OR(LINEAS!$U$145=1,LINEAS!$U$145=3),1,-1)*LINEAS!$AD$145*DATOS!$C$67,DATOS!$C$68))</f>
        <v>*</v>
      </c>
      <c r="C595" s="51" t="str">
        <f aca="false">IF(LEN($B595)&gt;79,"MÁS DE 79 CARACTERES","")</f>
        <v/>
      </c>
      <c r="D595" s="53" t="str">
        <f aca="false">IF(PRESIONES!$C$22="NO","",IF(OR(LINEAS!$D$145="",LINEAS!$U$145=0,ABS(IF(OR(LINEAS!$U$145=1,LINEAS!$U$145=3),1,-1)*LINEAS!$AD$145*DATOS!$C$67)&lt;0.00005),"*",LINEAS!$D$145&amp;" UNI "&amp;IF(LINEAS!$U$145&lt;=2,"GZ","GX")&amp;" "&amp;TEXT(IF(OR(LINEAS!$U$145=1,LINEAS!$U$145=3),1,-1)*LINEAS!$AD$145*DATOS!$C$67,DATOS!$C$68)))</f>
        <v/>
      </c>
      <c r="E595" s="51" t="str">
        <f aca="false">IF(LEN($D595)&gt;79,"MÁS DE 79 CARACTERES","")</f>
        <v/>
      </c>
    </row>
    <row r="596" customFormat="false" ht="15" hidden="false" customHeight="true" outlineLevel="0" collapsed="false">
      <c r="B596" s="53" t="str">
        <f aca="false">IF(OR(LINEAS!$D$146="",LINEAS!$U$146=0,ABS(IF(OR(LINEAS!$U$146=1,LINEAS!$U$146=3),1,-1)*LINEAS!$AD$146*DATOS!$C$67)&lt;0.00005),"*",LINEAS!$D$146&amp;" UNI "&amp;IF(LINEAS!$U$146&lt;=2,"GZ","GX")&amp;" "&amp;TEXT(IF(OR(LINEAS!$U$146=1,LINEAS!$U$146=3),1,-1)*LINEAS!$AD$146*DATOS!$C$67,DATOS!$C$68))</f>
        <v>*</v>
      </c>
      <c r="C596" s="51" t="str">
        <f aca="false">IF(LEN($B596)&gt;79,"MÁS DE 79 CARACTERES","")</f>
        <v/>
      </c>
      <c r="D596" s="53" t="str">
        <f aca="false">IF(PRESIONES!$C$22="NO","",IF(OR(LINEAS!$D$146="",LINEAS!$U$146=0,ABS(IF(OR(LINEAS!$U$146=1,LINEAS!$U$146=3),1,-1)*LINEAS!$AD$146*DATOS!$C$67)&lt;0.00005),"*",LINEAS!$D$146&amp;" UNI "&amp;IF(LINEAS!$U$146&lt;=2,"GZ","GX")&amp;" "&amp;TEXT(IF(OR(LINEAS!$U$146=1,LINEAS!$U$146=3),1,-1)*LINEAS!$AD$146*DATOS!$C$67,DATOS!$C$68)))</f>
        <v/>
      </c>
      <c r="E596" s="51" t="str">
        <f aca="false">IF(LEN($D596)&gt;79,"MÁS DE 79 CARACTERES","")</f>
        <v/>
      </c>
    </row>
    <row r="597" customFormat="false" ht="15" hidden="false" customHeight="true" outlineLevel="0" collapsed="false">
      <c r="B597" s="53" t="str">
        <f aca="false">IF(OR(LINEAS!$D$147="",LINEAS!$U$147=0,ABS(IF(OR(LINEAS!$U$147=1,LINEAS!$U$147=3),1,-1)*LINEAS!$AD$147*DATOS!$C$67)&lt;0.00005),"*",LINEAS!$D$147&amp;" UNI "&amp;IF(LINEAS!$U$147&lt;=2,"GZ","GX")&amp;" "&amp;TEXT(IF(OR(LINEAS!$U$147=1,LINEAS!$U$147=3),1,-1)*LINEAS!$AD$147*DATOS!$C$67,DATOS!$C$68))</f>
        <v>*</v>
      </c>
      <c r="C597" s="51" t="str">
        <f aca="false">IF(LEN($B597)&gt;79,"MÁS DE 79 CARACTERES","")</f>
        <v/>
      </c>
      <c r="D597" s="53" t="str">
        <f aca="false">IF(PRESIONES!$C$22="NO","",IF(OR(LINEAS!$D$147="",LINEAS!$U$147=0,ABS(IF(OR(LINEAS!$U$147=1,LINEAS!$U$147=3),1,-1)*LINEAS!$AD$147*DATOS!$C$67)&lt;0.00005),"*",LINEAS!$D$147&amp;" UNI "&amp;IF(LINEAS!$U$147&lt;=2,"GZ","GX")&amp;" "&amp;TEXT(IF(OR(LINEAS!$U$147=1,LINEAS!$U$147=3),1,-1)*LINEAS!$AD$147*DATOS!$C$67,DATOS!$C$68)))</f>
        <v/>
      </c>
      <c r="E597" s="51" t="str">
        <f aca="false">IF(LEN($D597)&gt;79,"MÁS DE 79 CARACTERES","")</f>
        <v/>
      </c>
    </row>
    <row r="598" customFormat="false" ht="15" hidden="false" customHeight="true" outlineLevel="0" collapsed="false">
      <c r="B598" s="53" t="str">
        <f aca="false">IF(OR(LINEAS!$D$148="",LINEAS!$U$148=0,ABS(IF(OR(LINEAS!$U$148=1,LINEAS!$U$148=3),1,-1)*LINEAS!$AD$148*DATOS!$C$67)&lt;0.00005),"*",LINEAS!$D$148&amp;" UNI "&amp;IF(LINEAS!$U$148&lt;=2,"GZ","GX")&amp;" "&amp;TEXT(IF(OR(LINEAS!$U$148=1,LINEAS!$U$148=3),1,-1)*LINEAS!$AD$148*DATOS!$C$67,DATOS!$C$68))</f>
        <v>*</v>
      </c>
      <c r="C598" s="51" t="str">
        <f aca="false">IF(LEN($B598)&gt;79,"MÁS DE 79 CARACTERES","")</f>
        <v/>
      </c>
      <c r="D598" s="53" t="str">
        <f aca="false">IF(PRESIONES!$C$22="NO","",IF(OR(LINEAS!$D$148="",LINEAS!$U$148=0,ABS(IF(OR(LINEAS!$U$148=1,LINEAS!$U$148=3),1,-1)*LINEAS!$AD$148*DATOS!$C$67)&lt;0.00005),"*",LINEAS!$D$148&amp;" UNI "&amp;IF(LINEAS!$U$148&lt;=2,"GZ","GX")&amp;" "&amp;TEXT(IF(OR(LINEAS!$U$148=1,LINEAS!$U$148=3),1,-1)*LINEAS!$AD$148*DATOS!$C$67,DATOS!$C$68)))</f>
        <v/>
      </c>
      <c r="E598" s="51" t="str">
        <f aca="false">IF(LEN($D598)&gt;79,"MÁS DE 79 CARACTERES","")</f>
        <v/>
      </c>
    </row>
    <row r="599" customFormat="false" ht="15" hidden="false" customHeight="true" outlineLevel="0" collapsed="false">
      <c r="B599" s="53" t="str">
        <f aca="false">IF(OR(LINEAS!$D$149="",LINEAS!$U$149=0,ABS(IF(OR(LINEAS!$U$149=1,LINEAS!$U$149=3),1,-1)*LINEAS!$AD$149*DATOS!$C$67)&lt;0.00005),"*",LINEAS!$D$149&amp;" UNI "&amp;IF(LINEAS!$U$149&lt;=2,"GZ","GX")&amp;" "&amp;TEXT(IF(OR(LINEAS!$U$149=1,LINEAS!$U$149=3),1,-1)*LINEAS!$AD$149*DATOS!$C$67,DATOS!$C$68))</f>
        <v>*</v>
      </c>
      <c r="C599" s="51" t="str">
        <f aca="false">IF(LEN($B599)&gt;79,"MÁS DE 79 CARACTERES","")</f>
        <v/>
      </c>
      <c r="D599" s="53" t="str">
        <f aca="false">IF(PRESIONES!$C$22="NO","",IF(OR(LINEAS!$D$149="",LINEAS!$U$149=0,ABS(IF(OR(LINEAS!$U$149=1,LINEAS!$U$149=3),1,-1)*LINEAS!$AD$149*DATOS!$C$67)&lt;0.00005),"*",LINEAS!$D$149&amp;" UNI "&amp;IF(LINEAS!$U$149&lt;=2,"GZ","GX")&amp;" "&amp;TEXT(IF(OR(LINEAS!$U$149=1,LINEAS!$U$149=3),1,-1)*LINEAS!$AD$149*DATOS!$C$67,DATOS!$C$68)))</f>
        <v/>
      </c>
      <c r="E599" s="51" t="str">
        <f aca="false">IF(LEN($D599)&gt;79,"MÁS DE 79 CARACTERES","")</f>
        <v/>
      </c>
    </row>
    <row r="600" customFormat="false" ht="15" hidden="false" customHeight="true" outlineLevel="0" collapsed="false">
      <c r="B600" s="53" t="str">
        <f aca="false">IF(OR(LINEAS!$D$150="",LINEAS!$U$150=0,ABS(IF(OR(LINEAS!$U$150=1,LINEAS!$U$150=3),1,-1)*LINEAS!$AD$150*DATOS!$C$67)&lt;0.00005),"*",LINEAS!$D$150&amp;" UNI "&amp;IF(LINEAS!$U$150&lt;=2,"GZ","GX")&amp;" "&amp;TEXT(IF(OR(LINEAS!$U$150=1,LINEAS!$U$150=3),1,-1)*LINEAS!$AD$150*DATOS!$C$67,DATOS!$C$68))</f>
        <v>*</v>
      </c>
      <c r="C600" s="51" t="str">
        <f aca="false">IF(LEN($B600)&gt;79,"MÁS DE 79 CARACTERES","")</f>
        <v/>
      </c>
      <c r="D600" s="53" t="str">
        <f aca="false">IF(PRESIONES!$C$22="NO","",IF(OR(LINEAS!$D$150="",LINEAS!$U$150=0,ABS(IF(OR(LINEAS!$U$150=1,LINEAS!$U$150=3),1,-1)*LINEAS!$AD$150*DATOS!$C$67)&lt;0.00005),"*",LINEAS!$D$150&amp;" UNI "&amp;IF(LINEAS!$U$150&lt;=2,"GZ","GX")&amp;" "&amp;TEXT(IF(OR(LINEAS!$U$150=1,LINEAS!$U$150=3),1,-1)*LINEAS!$AD$150*DATOS!$C$67,DATOS!$C$68)))</f>
        <v/>
      </c>
      <c r="E600" s="51" t="str">
        <f aca="false">IF(LEN($D600)&gt;79,"MÁS DE 79 CARACTERES","")</f>
        <v/>
      </c>
    </row>
    <row r="601" customFormat="false" ht="15" hidden="false" customHeight="true" outlineLevel="0" collapsed="false">
      <c r="B601" s="53" t="str">
        <f aca="false">IF(OR(LINEAS!$D$151="",LINEAS!$U$151=0,ABS(IF(OR(LINEAS!$U$151=1,LINEAS!$U$151=3),1,-1)*LINEAS!$AD$151*DATOS!$C$67)&lt;0.00005),"*",LINEAS!$D$151&amp;" UNI "&amp;IF(LINEAS!$U$151&lt;=2,"GZ","GX")&amp;" "&amp;TEXT(IF(OR(LINEAS!$U$151=1,LINEAS!$U$151=3),1,-1)*LINEAS!$AD$151*DATOS!$C$67,DATOS!$C$68))</f>
        <v>*</v>
      </c>
      <c r="C601" s="51" t="str">
        <f aca="false">IF(LEN($B601)&gt;79,"MÁS DE 79 CARACTERES","")</f>
        <v/>
      </c>
      <c r="D601" s="53" t="str">
        <f aca="false">IF(PRESIONES!$C$22="NO","",IF(OR(LINEAS!$D$151="",LINEAS!$U$151=0,ABS(IF(OR(LINEAS!$U$151=1,LINEAS!$U$151=3),1,-1)*LINEAS!$AD$151*DATOS!$C$67)&lt;0.00005),"*",LINEAS!$D$151&amp;" UNI "&amp;IF(LINEAS!$U$151&lt;=2,"GZ","GX")&amp;" "&amp;TEXT(IF(OR(LINEAS!$U$151=1,LINEAS!$U$151=3),1,-1)*LINEAS!$AD$151*DATOS!$C$67,DATOS!$C$68)))</f>
        <v/>
      </c>
      <c r="E601" s="51" t="str">
        <f aca="false">IF(LEN($D601)&gt;79,"MÁS DE 79 CARACTERES","")</f>
        <v/>
      </c>
    </row>
    <row r="602" customFormat="false" ht="15" hidden="false" customHeight="true" outlineLevel="0" collapsed="false">
      <c r="B602" s="53" t="str">
        <f aca="false">IF(OR(LINEAS!$D$152="",LINEAS!$U$152=0,ABS(IF(OR(LINEAS!$U$152=1,LINEAS!$U$152=3),1,-1)*LINEAS!$AD$152*DATOS!$C$67)&lt;0.00005),"*",LINEAS!$D$152&amp;" UNI "&amp;IF(LINEAS!$U$152&lt;=2,"GZ","GX")&amp;" "&amp;TEXT(IF(OR(LINEAS!$U$152=1,LINEAS!$U$152=3),1,-1)*LINEAS!$AD$152*DATOS!$C$67,DATOS!$C$68))</f>
        <v>*</v>
      </c>
      <c r="C602" s="51" t="str">
        <f aca="false">IF(LEN($B602)&gt;79,"MÁS DE 79 CARACTERES","")</f>
        <v/>
      </c>
      <c r="D602" s="53" t="str">
        <f aca="false">IF(PRESIONES!$C$22="NO","",IF(OR(LINEAS!$D$152="",LINEAS!$U$152=0,ABS(IF(OR(LINEAS!$U$152=1,LINEAS!$U$152=3),1,-1)*LINEAS!$AD$152*DATOS!$C$67)&lt;0.00005),"*",LINEAS!$D$152&amp;" UNI "&amp;IF(LINEAS!$U$152&lt;=2,"GZ","GX")&amp;" "&amp;TEXT(IF(OR(LINEAS!$U$152=1,LINEAS!$U$152=3),1,-1)*LINEAS!$AD$152*DATOS!$C$67,DATOS!$C$68)))</f>
        <v/>
      </c>
      <c r="E602" s="51" t="str">
        <f aca="false">IF(LEN($D602)&gt;79,"MÁS DE 79 CARACTERES","")</f>
        <v/>
      </c>
    </row>
    <row r="603" customFormat="false" ht="15" hidden="false" customHeight="true" outlineLevel="0" collapsed="false">
      <c r="B603" s="53" t="str">
        <f aca="false">IF(OR(LINEAS!$D$153="",LINEAS!$U$153=0,ABS(IF(OR(LINEAS!$U$153=1,LINEAS!$U$153=3),1,-1)*LINEAS!$AD$153*DATOS!$C$67)&lt;0.00005),"*",LINEAS!$D$153&amp;" UNI "&amp;IF(LINEAS!$U$153&lt;=2,"GZ","GX")&amp;" "&amp;TEXT(IF(OR(LINEAS!$U$153=1,LINEAS!$U$153=3),1,-1)*LINEAS!$AD$153*DATOS!$C$67,DATOS!$C$68))</f>
        <v>*</v>
      </c>
      <c r="C603" s="51" t="str">
        <f aca="false">IF(LEN($B603)&gt;79,"MÁS DE 79 CARACTERES","")</f>
        <v/>
      </c>
      <c r="D603" s="53" t="str">
        <f aca="false">IF(PRESIONES!$C$22="NO","",IF(OR(LINEAS!$D$153="",LINEAS!$U$153=0,ABS(IF(OR(LINEAS!$U$153=1,LINEAS!$U$153=3),1,-1)*LINEAS!$AD$153*DATOS!$C$67)&lt;0.00005),"*",LINEAS!$D$153&amp;" UNI "&amp;IF(LINEAS!$U$153&lt;=2,"GZ","GX")&amp;" "&amp;TEXT(IF(OR(LINEAS!$U$153=1,LINEAS!$U$153=3),1,-1)*LINEAS!$AD$153*DATOS!$C$67,DATOS!$C$68)))</f>
        <v/>
      </c>
      <c r="E603" s="51" t="str">
        <f aca="false">IF(LEN($D603)&gt;79,"MÁS DE 79 CARACTERES","")</f>
        <v/>
      </c>
    </row>
    <row r="604" customFormat="false" ht="15" hidden="false" customHeight="true" outlineLevel="0" collapsed="false">
      <c r="B604" s="53" t="str">
        <f aca="false">IF(OR(LINEAS!$D$154="",LINEAS!$U$154=0,ABS(IF(OR(LINEAS!$U$154=1,LINEAS!$U$154=3),1,-1)*LINEAS!$AD$154*DATOS!$C$67)&lt;0.00005),"*",LINEAS!$D$154&amp;" UNI "&amp;IF(LINEAS!$U$154&lt;=2,"GZ","GX")&amp;" "&amp;TEXT(IF(OR(LINEAS!$U$154=1,LINEAS!$U$154=3),1,-1)*LINEAS!$AD$154*DATOS!$C$67,DATOS!$C$68))</f>
        <v>*</v>
      </c>
      <c r="C604" s="51" t="str">
        <f aca="false">IF(LEN($B604)&gt;79,"MÁS DE 79 CARACTERES","")</f>
        <v/>
      </c>
      <c r="D604" s="53" t="str">
        <f aca="false">IF(PRESIONES!$C$22="NO","",IF(OR(LINEAS!$D$154="",LINEAS!$U$154=0,ABS(IF(OR(LINEAS!$U$154=1,LINEAS!$U$154=3),1,-1)*LINEAS!$AD$154*DATOS!$C$67)&lt;0.00005),"*",LINEAS!$D$154&amp;" UNI "&amp;IF(LINEAS!$U$154&lt;=2,"GZ","GX")&amp;" "&amp;TEXT(IF(OR(LINEAS!$U$154=1,LINEAS!$U$154=3),1,-1)*LINEAS!$AD$154*DATOS!$C$67,DATOS!$C$68)))</f>
        <v/>
      </c>
      <c r="E604" s="51" t="str">
        <f aca="false">IF(LEN($D604)&gt;79,"MÁS DE 79 CARACTERES","")</f>
        <v/>
      </c>
    </row>
    <row r="605" customFormat="false" ht="15" hidden="false" customHeight="true" outlineLevel="0" collapsed="false">
      <c r="B605" s="53" t="str">
        <f aca="false">IF(OR(LINEAS!$D$155="",LINEAS!$U$155=0,ABS(IF(OR(LINEAS!$U$155=1,LINEAS!$U$155=3),1,-1)*LINEAS!$AD$155*DATOS!$C$67)&lt;0.00005),"*",LINEAS!$D$155&amp;" UNI "&amp;IF(LINEAS!$U$155&lt;=2,"GZ","GX")&amp;" "&amp;TEXT(IF(OR(LINEAS!$U$155=1,LINEAS!$U$155=3),1,-1)*LINEAS!$AD$155*DATOS!$C$67,DATOS!$C$68))</f>
        <v>*</v>
      </c>
      <c r="C605" s="51" t="str">
        <f aca="false">IF(LEN($B605)&gt;79,"MÁS DE 79 CARACTERES","")</f>
        <v/>
      </c>
      <c r="D605" s="53" t="str">
        <f aca="false">IF(PRESIONES!$C$22="NO","",IF(OR(LINEAS!$D$155="",LINEAS!$U$155=0,ABS(IF(OR(LINEAS!$U$155=1,LINEAS!$U$155=3),1,-1)*LINEAS!$AD$155*DATOS!$C$67)&lt;0.00005),"*",LINEAS!$D$155&amp;" UNI "&amp;IF(LINEAS!$U$155&lt;=2,"GZ","GX")&amp;" "&amp;TEXT(IF(OR(LINEAS!$U$155=1,LINEAS!$U$155=3),1,-1)*LINEAS!$AD$155*DATOS!$C$67,DATOS!$C$68)))</f>
        <v/>
      </c>
      <c r="E605" s="51" t="str">
        <f aca="false">IF(LEN($D605)&gt;79,"MÁS DE 79 CARACTERES","")</f>
        <v/>
      </c>
    </row>
    <row r="606" customFormat="false" ht="15" hidden="false" customHeight="true" outlineLevel="0" collapsed="false">
      <c r="B606" s="53" t="str">
        <f aca="false">IF(OR(LINEAS!$D$156="",LINEAS!$U$156=0,ABS(IF(OR(LINEAS!$U$156=1,LINEAS!$U$156=3),1,-1)*LINEAS!$AD$156*DATOS!$C$67)&lt;0.00005),"*",LINEAS!$D$156&amp;" UNI "&amp;IF(LINEAS!$U$156&lt;=2,"GZ","GX")&amp;" "&amp;TEXT(IF(OR(LINEAS!$U$156=1,LINEAS!$U$156=3),1,-1)*LINEAS!$AD$156*DATOS!$C$67,DATOS!$C$68))</f>
        <v>*</v>
      </c>
      <c r="C606" s="51" t="str">
        <f aca="false">IF(LEN($B606)&gt;79,"MÁS DE 79 CARACTERES","")</f>
        <v/>
      </c>
      <c r="D606" s="53" t="str">
        <f aca="false">IF(PRESIONES!$C$22="NO","",IF(OR(LINEAS!$D$156="",LINEAS!$U$156=0,ABS(IF(OR(LINEAS!$U$156=1,LINEAS!$U$156=3),1,-1)*LINEAS!$AD$156*DATOS!$C$67)&lt;0.00005),"*",LINEAS!$D$156&amp;" UNI "&amp;IF(LINEAS!$U$156&lt;=2,"GZ","GX")&amp;" "&amp;TEXT(IF(OR(LINEAS!$U$156=1,LINEAS!$U$156=3),1,-1)*LINEAS!$AD$156*DATOS!$C$67,DATOS!$C$68)))</f>
        <v/>
      </c>
      <c r="E606" s="51" t="str">
        <f aca="false">IF(LEN($D606)&gt;79,"MÁS DE 79 CARACTERES","")</f>
        <v/>
      </c>
    </row>
    <row r="607" customFormat="false" ht="15" hidden="false" customHeight="true" outlineLevel="0" collapsed="false">
      <c r="B607" s="53" t="str">
        <f aca="false">IF(OR(LINEAS!$D$157="",LINEAS!$U$157=0,ABS(IF(OR(LINEAS!$U$157=1,LINEAS!$U$157=3),1,-1)*LINEAS!$AD$157*DATOS!$C$67)&lt;0.00005),"*",LINEAS!$D$157&amp;" UNI "&amp;IF(LINEAS!$U$157&lt;=2,"GZ","GX")&amp;" "&amp;TEXT(IF(OR(LINEAS!$U$157=1,LINEAS!$U$157=3),1,-1)*LINEAS!$AD$157*DATOS!$C$67,DATOS!$C$68))</f>
        <v>*</v>
      </c>
      <c r="C607" s="51" t="str">
        <f aca="false">IF(LEN($B607)&gt;79,"MÁS DE 79 CARACTERES","")</f>
        <v/>
      </c>
      <c r="D607" s="53" t="str">
        <f aca="false">IF(PRESIONES!$C$22="NO","",IF(OR(LINEAS!$D$157="",LINEAS!$U$157=0,ABS(IF(OR(LINEAS!$U$157=1,LINEAS!$U$157=3),1,-1)*LINEAS!$AD$157*DATOS!$C$67)&lt;0.00005),"*",LINEAS!$D$157&amp;" UNI "&amp;IF(LINEAS!$U$157&lt;=2,"GZ","GX")&amp;" "&amp;TEXT(IF(OR(LINEAS!$U$157=1,LINEAS!$U$157=3),1,-1)*LINEAS!$AD$157*DATOS!$C$67,DATOS!$C$68)))</f>
        <v/>
      </c>
      <c r="E607" s="51" t="str">
        <f aca="false">IF(LEN($D607)&gt;79,"MÁS DE 79 CARACTERES","")</f>
        <v/>
      </c>
    </row>
    <row r="608" customFormat="false" ht="15" hidden="false" customHeight="true" outlineLevel="0" collapsed="false">
      <c r="B608" s="53" t="str">
        <f aca="false">IF(OR(LINEAS!$D$158="",LINEAS!$U$158=0,ABS(IF(OR(LINEAS!$U$158=1,LINEAS!$U$158=3),1,-1)*LINEAS!$AD$158*DATOS!$C$67)&lt;0.00005),"*",LINEAS!$D$158&amp;" UNI "&amp;IF(LINEAS!$U$158&lt;=2,"GZ","GX")&amp;" "&amp;TEXT(IF(OR(LINEAS!$U$158=1,LINEAS!$U$158=3),1,-1)*LINEAS!$AD$158*DATOS!$C$67,DATOS!$C$68))</f>
        <v>*</v>
      </c>
      <c r="C608" s="51" t="str">
        <f aca="false">IF(LEN($B608)&gt;79,"MÁS DE 79 CARACTERES","")</f>
        <v/>
      </c>
      <c r="D608" s="53" t="str">
        <f aca="false">IF(PRESIONES!$C$22="NO","",IF(OR(LINEAS!$D$158="",LINEAS!$U$158=0,ABS(IF(OR(LINEAS!$U$158=1,LINEAS!$U$158=3),1,-1)*LINEAS!$AD$158*DATOS!$C$67)&lt;0.00005),"*",LINEAS!$D$158&amp;" UNI "&amp;IF(LINEAS!$U$158&lt;=2,"GZ","GX")&amp;" "&amp;TEXT(IF(OR(LINEAS!$U$158=1,LINEAS!$U$158=3),1,-1)*LINEAS!$AD$158*DATOS!$C$67,DATOS!$C$68)))</f>
        <v/>
      </c>
      <c r="E608" s="51" t="str">
        <f aca="false">IF(LEN($D608)&gt;79,"MÁS DE 79 CARACTERES","")</f>
        <v/>
      </c>
    </row>
    <row r="609" customFormat="false" ht="15" hidden="false" customHeight="true" outlineLevel="0" collapsed="false">
      <c r="B609" s="53" t="str">
        <f aca="false">IF(OR(LINEAS!$D$159="",LINEAS!$U$159=0,ABS(IF(OR(LINEAS!$U$159=1,LINEAS!$U$159=3),1,-1)*LINEAS!$AD$159*DATOS!$C$67)&lt;0.00005),"*",LINEAS!$D$159&amp;" UNI "&amp;IF(LINEAS!$U$159&lt;=2,"GZ","GX")&amp;" "&amp;TEXT(IF(OR(LINEAS!$U$159=1,LINEAS!$U$159=3),1,-1)*LINEAS!$AD$159*DATOS!$C$67,DATOS!$C$68))</f>
        <v>*</v>
      </c>
      <c r="C609" s="51" t="str">
        <f aca="false">IF(LEN($B609)&gt;79,"MÁS DE 79 CARACTERES","")</f>
        <v/>
      </c>
      <c r="D609" s="53" t="str">
        <f aca="false">IF(PRESIONES!$C$22="NO","",IF(OR(LINEAS!$D$159="",LINEAS!$U$159=0,ABS(IF(OR(LINEAS!$U$159=1,LINEAS!$U$159=3),1,-1)*LINEAS!$AD$159*DATOS!$C$67)&lt;0.00005),"*",LINEAS!$D$159&amp;" UNI "&amp;IF(LINEAS!$U$159&lt;=2,"GZ","GX")&amp;" "&amp;TEXT(IF(OR(LINEAS!$U$159=1,LINEAS!$U$159=3),1,-1)*LINEAS!$AD$159*DATOS!$C$67,DATOS!$C$68)))</f>
        <v/>
      </c>
      <c r="E609" s="51" t="str">
        <f aca="false">IF(LEN($D609)&gt;79,"MÁS DE 79 CARACTERES","")</f>
        <v/>
      </c>
    </row>
    <row r="610" customFormat="false" ht="15" hidden="false" customHeight="true" outlineLevel="0" collapsed="false">
      <c r="B610" s="53" t="str">
        <f aca="false">IF(OR(LINEAS!$D$160="",LINEAS!$U$160=0,ABS(IF(OR(LINEAS!$U$160=1,LINEAS!$U$160=3),1,-1)*LINEAS!$AD$160*DATOS!$C$67)&lt;0.00005),"*",LINEAS!$D$160&amp;" UNI "&amp;IF(LINEAS!$U$160&lt;=2,"GZ","GX")&amp;" "&amp;TEXT(IF(OR(LINEAS!$U$160=1,LINEAS!$U$160=3),1,-1)*LINEAS!$AD$160*DATOS!$C$67,DATOS!$C$68))</f>
        <v>*</v>
      </c>
      <c r="C610" s="51" t="str">
        <f aca="false">IF(LEN($B610)&gt;79,"MÁS DE 79 CARACTERES","")</f>
        <v/>
      </c>
      <c r="D610" s="53" t="str">
        <f aca="false">IF(PRESIONES!$C$22="NO","",IF(OR(LINEAS!$D$160="",LINEAS!$U$160=0,ABS(IF(OR(LINEAS!$U$160=1,LINEAS!$U$160=3),1,-1)*LINEAS!$AD$160*DATOS!$C$67)&lt;0.00005),"*",LINEAS!$D$160&amp;" UNI "&amp;IF(LINEAS!$U$160&lt;=2,"GZ","GX")&amp;" "&amp;TEXT(IF(OR(LINEAS!$U$160=1,LINEAS!$U$160=3),1,-1)*LINEAS!$AD$160*DATOS!$C$67,DATOS!$C$68)))</f>
        <v/>
      </c>
      <c r="E610" s="51" t="str">
        <f aca="false">IF(LEN($D610)&gt;79,"MÁS DE 79 CARACTERES","")</f>
        <v/>
      </c>
    </row>
    <row r="611" customFormat="false" ht="15" hidden="false" customHeight="true" outlineLevel="0" collapsed="false">
      <c r="B611" s="53" t="str">
        <f aca="false">IF(OR(LINEAS!$D$161="",LINEAS!$U$161=0,ABS(IF(OR(LINEAS!$U$161=1,LINEAS!$U$161=3),1,-1)*LINEAS!$AD$161*DATOS!$C$67)&lt;0.00005),"*",LINEAS!$D$161&amp;" UNI "&amp;IF(LINEAS!$U$161&lt;=2,"GZ","GX")&amp;" "&amp;TEXT(IF(OR(LINEAS!$U$161=1,LINEAS!$U$161=3),1,-1)*LINEAS!$AD$161*DATOS!$C$67,DATOS!$C$68))</f>
        <v>*</v>
      </c>
      <c r="C611" s="51" t="str">
        <f aca="false">IF(LEN($B611)&gt;79,"MÁS DE 79 CARACTERES","")</f>
        <v/>
      </c>
      <c r="D611" s="53" t="str">
        <f aca="false">IF(PRESIONES!$C$22="NO","",IF(OR(LINEAS!$D$161="",LINEAS!$U$161=0,ABS(IF(OR(LINEAS!$U$161=1,LINEAS!$U$161=3),1,-1)*LINEAS!$AD$161*DATOS!$C$67)&lt;0.00005),"*",LINEAS!$D$161&amp;" UNI "&amp;IF(LINEAS!$U$161&lt;=2,"GZ","GX")&amp;" "&amp;TEXT(IF(OR(LINEAS!$U$161=1,LINEAS!$U$161=3),1,-1)*LINEAS!$AD$161*DATOS!$C$67,DATOS!$C$68)))</f>
        <v/>
      </c>
      <c r="E611" s="51" t="str">
        <f aca="false">IF(LEN($D611)&gt;79,"MÁS DE 79 CARACTERES","")</f>
        <v/>
      </c>
    </row>
    <row r="612" customFormat="false" ht="15" hidden="false" customHeight="true" outlineLevel="0" collapsed="false">
      <c r="B612" s="53" t="str">
        <f aca="false">IF(OR(LINEAS!$D$162="",LINEAS!$U$162=0,ABS(IF(OR(LINEAS!$U$162=1,LINEAS!$U$162=3),1,-1)*LINEAS!$AD$162*DATOS!$C$67)&lt;0.00005),"*",LINEAS!$D$162&amp;" UNI "&amp;IF(LINEAS!$U$162&lt;=2,"GZ","GX")&amp;" "&amp;TEXT(IF(OR(LINEAS!$U$162=1,LINEAS!$U$162=3),1,-1)*LINEAS!$AD$162*DATOS!$C$67,DATOS!$C$68))</f>
        <v>*</v>
      </c>
      <c r="C612" s="51" t="str">
        <f aca="false">IF(LEN($B612)&gt;79,"MÁS DE 79 CARACTERES","")</f>
        <v/>
      </c>
      <c r="D612" s="53" t="str">
        <f aca="false">IF(PRESIONES!$C$22="NO","",IF(OR(LINEAS!$D$162="",LINEAS!$U$162=0,ABS(IF(OR(LINEAS!$U$162=1,LINEAS!$U$162=3),1,-1)*LINEAS!$AD$162*DATOS!$C$67)&lt;0.00005),"*",LINEAS!$D$162&amp;" UNI "&amp;IF(LINEAS!$U$162&lt;=2,"GZ","GX")&amp;" "&amp;TEXT(IF(OR(LINEAS!$U$162=1,LINEAS!$U$162=3),1,-1)*LINEAS!$AD$162*DATOS!$C$67,DATOS!$C$68)))</f>
        <v/>
      </c>
      <c r="E612" s="51" t="str">
        <f aca="false">IF(LEN($D612)&gt;79,"MÁS DE 79 CARACTERES","")</f>
        <v/>
      </c>
    </row>
    <row r="613" customFormat="false" ht="15" hidden="false" customHeight="true" outlineLevel="0" collapsed="false">
      <c r="B613" s="53" t="str">
        <f aca="false">IF(OR(LINEAS!$D$163="",LINEAS!$U$163=0,ABS(IF(OR(LINEAS!$U$163=1,LINEAS!$U$163=3),1,-1)*LINEAS!$AD$163*DATOS!$C$67)&lt;0.00005),"*",LINEAS!$D$163&amp;" UNI "&amp;IF(LINEAS!$U$163&lt;=2,"GZ","GX")&amp;" "&amp;TEXT(IF(OR(LINEAS!$U$163=1,LINEAS!$U$163=3),1,-1)*LINEAS!$AD$163*DATOS!$C$67,DATOS!$C$68))</f>
        <v>*</v>
      </c>
      <c r="C613" s="51" t="str">
        <f aca="false">IF(LEN($B613)&gt;79,"MÁS DE 79 CARACTERES","")</f>
        <v/>
      </c>
      <c r="D613" s="53" t="str">
        <f aca="false">IF(PRESIONES!$C$22="NO","",IF(OR(LINEAS!$D$163="",LINEAS!$U$163=0,ABS(IF(OR(LINEAS!$U$163=1,LINEAS!$U$163=3),1,-1)*LINEAS!$AD$163*DATOS!$C$67)&lt;0.00005),"*",LINEAS!$D$163&amp;" UNI "&amp;IF(LINEAS!$U$163&lt;=2,"GZ","GX")&amp;" "&amp;TEXT(IF(OR(LINEAS!$U$163=1,LINEAS!$U$163=3),1,-1)*LINEAS!$AD$163*DATOS!$C$67,DATOS!$C$68)))</f>
        <v/>
      </c>
      <c r="E613" s="51" t="str">
        <f aca="false">IF(LEN($D613)&gt;79,"MÁS DE 79 CARACTERES","")</f>
        <v/>
      </c>
    </row>
    <row r="614" customFormat="false" ht="15" hidden="false" customHeight="true" outlineLevel="0" collapsed="false">
      <c r="B614" s="53" t="str">
        <f aca="false">IF(OR(LINEAS!$D$164="",LINEAS!$U$164=0,ABS(IF(OR(LINEAS!$U$164=1,LINEAS!$U$164=3),1,-1)*LINEAS!$AD$164*DATOS!$C$67)&lt;0.00005),"*",LINEAS!$D$164&amp;" UNI "&amp;IF(LINEAS!$U$164&lt;=2,"GZ","GX")&amp;" "&amp;TEXT(IF(OR(LINEAS!$U$164=1,LINEAS!$U$164=3),1,-1)*LINEAS!$AD$164*DATOS!$C$67,DATOS!$C$68))</f>
        <v>*</v>
      </c>
      <c r="C614" s="51" t="str">
        <f aca="false">IF(LEN($B614)&gt;79,"MÁS DE 79 CARACTERES","")</f>
        <v/>
      </c>
      <c r="D614" s="53" t="str">
        <f aca="false">IF(PRESIONES!$C$22="NO","",IF(OR(LINEAS!$D$164="",LINEAS!$U$164=0,ABS(IF(OR(LINEAS!$U$164=1,LINEAS!$U$164=3),1,-1)*LINEAS!$AD$164*DATOS!$C$67)&lt;0.00005),"*",LINEAS!$D$164&amp;" UNI "&amp;IF(LINEAS!$U$164&lt;=2,"GZ","GX")&amp;" "&amp;TEXT(IF(OR(LINEAS!$U$164=1,LINEAS!$U$164=3),1,-1)*LINEAS!$AD$164*DATOS!$C$67,DATOS!$C$68)))</f>
        <v/>
      </c>
      <c r="E614" s="51" t="str">
        <f aca="false">IF(LEN($D614)&gt;79,"MÁS DE 79 CARACTERES","")</f>
        <v/>
      </c>
    </row>
    <row r="615" customFormat="false" ht="15" hidden="false" customHeight="true" outlineLevel="0" collapsed="false">
      <c r="B615" s="53" t="str">
        <f aca="false">IF(OR(LINEAS!$D$165="",LINEAS!$U$165=0,ABS(IF(OR(LINEAS!$U$165=1,LINEAS!$U$165=3),1,-1)*LINEAS!$AD$165*DATOS!$C$67)&lt;0.00005),"*",LINEAS!$D$165&amp;" UNI "&amp;IF(LINEAS!$U$165&lt;=2,"GZ","GX")&amp;" "&amp;TEXT(IF(OR(LINEAS!$U$165=1,LINEAS!$U$165=3),1,-1)*LINEAS!$AD$165*DATOS!$C$67,DATOS!$C$68))</f>
        <v>*</v>
      </c>
      <c r="C615" s="51" t="str">
        <f aca="false">IF(LEN($B615)&gt;79,"MÁS DE 79 CARACTERES","")</f>
        <v/>
      </c>
      <c r="D615" s="53" t="str">
        <f aca="false">IF(PRESIONES!$C$22="NO","",IF(OR(LINEAS!$D$165="",LINEAS!$U$165=0,ABS(IF(OR(LINEAS!$U$165=1,LINEAS!$U$165=3),1,-1)*LINEAS!$AD$165*DATOS!$C$67)&lt;0.00005),"*",LINEAS!$D$165&amp;" UNI "&amp;IF(LINEAS!$U$165&lt;=2,"GZ","GX")&amp;" "&amp;TEXT(IF(OR(LINEAS!$U$165=1,LINEAS!$U$165=3),1,-1)*LINEAS!$AD$165*DATOS!$C$67,DATOS!$C$68)))</f>
        <v/>
      </c>
      <c r="E615" s="51" t="str">
        <f aca="false">IF(LEN($D615)&gt;79,"MÁS DE 79 CARACTERES","")</f>
        <v/>
      </c>
    </row>
    <row r="616" customFormat="false" ht="15" hidden="false" customHeight="true" outlineLevel="0" collapsed="false">
      <c r="B616" s="53" t="str">
        <f aca="false">IF(OR(LINEAS!$D$166="",LINEAS!$U$166=0,ABS(IF(OR(LINEAS!$U$166=1,LINEAS!$U$166=3),1,-1)*LINEAS!$AD$166*DATOS!$C$67)&lt;0.00005),"*",LINEAS!$D$166&amp;" UNI "&amp;IF(LINEAS!$U$166&lt;=2,"GZ","GX")&amp;" "&amp;TEXT(IF(OR(LINEAS!$U$166=1,LINEAS!$U$166=3),1,-1)*LINEAS!$AD$166*DATOS!$C$67,DATOS!$C$68))</f>
        <v>*</v>
      </c>
      <c r="C616" s="51" t="str">
        <f aca="false">IF(LEN($B616)&gt;79,"MÁS DE 79 CARACTERES","")</f>
        <v/>
      </c>
      <c r="D616" s="53" t="str">
        <f aca="false">IF(PRESIONES!$C$22="NO","",IF(OR(LINEAS!$D$166="",LINEAS!$U$166=0,ABS(IF(OR(LINEAS!$U$166=1,LINEAS!$U$166=3),1,-1)*LINEAS!$AD$166*DATOS!$C$67)&lt;0.00005),"*",LINEAS!$D$166&amp;" UNI "&amp;IF(LINEAS!$U$166&lt;=2,"GZ","GX")&amp;" "&amp;TEXT(IF(OR(LINEAS!$U$166=1,LINEAS!$U$166=3),1,-1)*LINEAS!$AD$166*DATOS!$C$67,DATOS!$C$68)))</f>
        <v/>
      </c>
      <c r="E616" s="51" t="str">
        <f aca="false">IF(LEN($D616)&gt;79,"MÁS DE 79 CARACTERES","")</f>
        <v/>
      </c>
    </row>
    <row r="617" customFormat="false" ht="15" hidden="false" customHeight="true" outlineLevel="0" collapsed="false">
      <c r="B617" s="53" t="str">
        <f aca="false">IF(OR(LINEAS!$D$167="",LINEAS!$U$167=0,ABS(IF(OR(LINEAS!$U$167=1,LINEAS!$U$167=3),1,-1)*LINEAS!$AD$167*DATOS!$C$67)&lt;0.00005),"*",LINEAS!$D$167&amp;" UNI "&amp;IF(LINEAS!$U$167&lt;=2,"GZ","GX")&amp;" "&amp;TEXT(IF(OR(LINEAS!$U$167=1,LINEAS!$U$167=3),1,-1)*LINEAS!$AD$167*DATOS!$C$67,DATOS!$C$68))</f>
        <v>*</v>
      </c>
      <c r="C617" s="51" t="str">
        <f aca="false">IF(LEN($B617)&gt;79,"MÁS DE 79 CARACTERES","")</f>
        <v/>
      </c>
      <c r="D617" s="53" t="str">
        <f aca="false">IF(PRESIONES!$C$22="NO","",IF(OR(LINEAS!$D$167="",LINEAS!$U$167=0,ABS(IF(OR(LINEAS!$U$167=1,LINEAS!$U$167=3),1,-1)*LINEAS!$AD$167*DATOS!$C$67)&lt;0.00005),"*",LINEAS!$D$167&amp;" UNI "&amp;IF(LINEAS!$U$167&lt;=2,"GZ","GX")&amp;" "&amp;TEXT(IF(OR(LINEAS!$U$167=1,LINEAS!$U$167=3),1,-1)*LINEAS!$AD$167*DATOS!$C$67,DATOS!$C$68)))</f>
        <v/>
      </c>
      <c r="E617" s="51" t="str">
        <f aca="false">IF(LEN($D617)&gt;79,"MÁS DE 79 CARACTERES","")</f>
        <v/>
      </c>
    </row>
    <row r="618" customFormat="false" ht="15" hidden="false" customHeight="true" outlineLevel="0" collapsed="false">
      <c r="B618" s="53" t="str">
        <f aca="false">IF(OR(LINEAS!$D$168="",LINEAS!$U$168=0,ABS(IF(OR(LINEAS!$U$168=1,LINEAS!$U$168=3),1,-1)*LINEAS!$AD$168*DATOS!$C$67)&lt;0.00005),"*",LINEAS!$D$168&amp;" UNI "&amp;IF(LINEAS!$U$168&lt;=2,"GZ","GX")&amp;" "&amp;TEXT(IF(OR(LINEAS!$U$168=1,LINEAS!$U$168=3),1,-1)*LINEAS!$AD$168*DATOS!$C$67,DATOS!$C$68))</f>
        <v>*</v>
      </c>
      <c r="C618" s="51" t="str">
        <f aca="false">IF(LEN($B618)&gt;79,"MÁS DE 79 CARACTERES","")</f>
        <v/>
      </c>
      <c r="D618" s="53" t="str">
        <f aca="false">IF(PRESIONES!$C$22="NO","",IF(OR(LINEAS!$D$168="",LINEAS!$U$168=0,ABS(IF(OR(LINEAS!$U$168=1,LINEAS!$U$168=3),1,-1)*LINEAS!$AD$168*DATOS!$C$67)&lt;0.00005),"*",LINEAS!$D$168&amp;" UNI "&amp;IF(LINEAS!$U$168&lt;=2,"GZ","GX")&amp;" "&amp;TEXT(IF(OR(LINEAS!$U$168=1,LINEAS!$U$168=3),1,-1)*LINEAS!$AD$168*DATOS!$C$67,DATOS!$C$68)))</f>
        <v/>
      </c>
      <c r="E618" s="51" t="str">
        <f aca="false">IF(LEN($D618)&gt;79,"MÁS DE 79 CARACTERES","")</f>
        <v/>
      </c>
    </row>
    <row r="619" customFormat="false" ht="15" hidden="false" customHeight="true" outlineLevel="0" collapsed="false">
      <c r="B619" s="53" t="str">
        <f aca="false">IF(OR(LINEAS!$D$169="",LINEAS!$U$169=0,ABS(IF(OR(LINEAS!$U$169=1,LINEAS!$U$169=3),1,-1)*LINEAS!$AD$169*DATOS!$C$67)&lt;0.00005),"*",LINEAS!$D$169&amp;" UNI "&amp;IF(LINEAS!$U$169&lt;=2,"GZ","GX")&amp;" "&amp;TEXT(IF(OR(LINEAS!$U$169=1,LINEAS!$U$169=3),1,-1)*LINEAS!$AD$169*DATOS!$C$67,DATOS!$C$68))</f>
        <v>*</v>
      </c>
      <c r="C619" s="51" t="str">
        <f aca="false">IF(LEN($B619)&gt;79,"MÁS DE 79 CARACTERES","")</f>
        <v/>
      </c>
      <c r="D619" s="53" t="str">
        <f aca="false">IF(PRESIONES!$C$22="NO","",IF(OR(LINEAS!$D$169="",LINEAS!$U$169=0,ABS(IF(OR(LINEAS!$U$169=1,LINEAS!$U$169=3),1,-1)*LINEAS!$AD$169*DATOS!$C$67)&lt;0.00005),"*",LINEAS!$D$169&amp;" UNI "&amp;IF(LINEAS!$U$169&lt;=2,"GZ","GX")&amp;" "&amp;TEXT(IF(OR(LINEAS!$U$169=1,LINEAS!$U$169=3),1,-1)*LINEAS!$AD$169*DATOS!$C$67,DATOS!$C$68)))</f>
        <v/>
      </c>
      <c r="E619" s="51" t="str">
        <f aca="false">IF(LEN($D619)&gt;79,"MÁS DE 79 CARACTERES","")</f>
        <v/>
      </c>
    </row>
    <row r="620" customFormat="false" ht="15" hidden="false" customHeight="true" outlineLevel="0" collapsed="false">
      <c r="B620" s="53" t="str">
        <f aca="false">IF(OR(LINEAS!$D$170="",LINEAS!$U$170=0,ABS(IF(OR(LINEAS!$U$170=1,LINEAS!$U$170=3),1,-1)*LINEAS!$AD$170*DATOS!$C$67)&lt;0.00005),"*",LINEAS!$D$170&amp;" UNI "&amp;IF(LINEAS!$U$170&lt;=2,"GZ","GX")&amp;" "&amp;TEXT(IF(OR(LINEAS!$U$170=1,LINEAS!$U$170=3),1,-1)*LINEAS!$AD$170*DATOS!$C$67,DATOS!$C$68))</f>
        <v>*</v>
      </c>
      <c r="C620" s="51" t="str">
        <f aca="false">IF(LEN($B620)&gt;79,"MÁS DE 79 CARACTERES","")</f>
        <v/>
      </c>
      <c r="D620" s="53" t="str">
        <f aca="false">IF(PRESIONES!$C$22="NO","",IF(OR(LINEAS!$D$170="",LINEAS!$U$170=0,ABS(IF(OR(LINEAS!$U$170=1,LINEAS!$U$170=3),1,-1)*LINEAS!$AD$170*DATOS!$C$67)&lt;0.00005),"*",LINEAS!$D$170&amp;" UNI "&amp;IF(LINEAS!$U$170&lt;=2,"GZ","GX")&amp;" "&amp;TEXT(IF(OR(LINEAS!$U$170=1,LINEAS!$U$170=3),1,-1)*LINEAS!$AD$170*DATOS!$C$67,DATOS!$C$68)))</f>
        <v/>
      </c>
      <c r="E620" s="51" t="str">
        <f aca="false">IF(LEN($D620)&gt;79,"MÁS DE 79 CARACTERES","")</f>
        <v/>
      </c>
    </row>
    <row r="621" customFormat="false" ht="15" hidden="false" customHeight="true" outlineLevel="0" collapsed="false">
      <c r="B621" s="53" t="str">
        <f aca="false">IF(OR(LINEAS!$D$171="",LINEAS!$U$171=0,ABS(IF(OR(LINEAS!$U$171=1,LINEAS!$U$171=3),1,-1)*LINEAS!$AD$171*DATOS!$C$67)&lt;0.00005),"*",LINEAS!$D$171&amp;" UNI "&amp;IF(LINEAS!$U$171&lt;=2,"GZ","GX")&amp;" "&amp;TEXT(IF(OR(LINEAS!$U$171=1,LINEAS!$U$171=3),1,-1)*LINEAS!$AD$171*DATOS!$C$67,DATOS!$C$68))</f>
        <v>*</v>
      </c>
      <c r="C621" s="51" t="str">
        <f aca="false">IF(LEN($B621)&gt;79,"MÁS DE 79 CARACTERES","")</f>
        <v/>
      </c>
      <c r="D621" s="53" t="str">
        <f aca="false">IF(PRESIONES!$C$22="NO","",IF(OR(LINEAS!$D$171="",LINEAS!$U$171=0,ABS(IF(OR(LINEAS!$U$171=1,LINEAS!$U$171=3),1,-1)*LINEAS!$AD$171*DATOS!$C$67)&lt;0.00005),"*",LINEAS!$D$171&amp;" UNI "&amp;IF(LINEAS!$U$171&lt;=2,"GZ","GX")&amp;" "&amp;TEXT(IF(OR(LINEAS!$U$171=1,LINEAS!$U$171=3),1,-1)*LINEAS!$AD$171*DATOS!$C$67,DATOS!$C$68)))</f>
        <v/>
      </c>
      <c r="E621" s="51" t="str">
        <f aca="false">IF(LEN($D621)&gt;79,"MÁS DE 79 CARACTERES","")</f>
        <v/>
      </c>
    </row>
    <row r="622" customFormat="false" ht="15" hidden="false" customHeight="true" outlineLevel="0" collapsed="false">
      <c r="B622" s="53" t="str">
        <f aca="false">IF(OR(LINEAS!$D$172="",LINEAS!$U$172=0,ABS(IF(OR(LINEAS!$U$172=1,LINEAS!$U$172=3),1,-1)*LINEAS!$AD$172*DATOS!$C$67)&lt;0.00005),"*",LINEAS!$D$172&amp;" UNI "&amp;IF(LINEAS!$U$172&lt;=2,"GZ","GX")&amp;" "&amp;TEXT(IF(OR(LINEAS!$U$172=1,LINEAS!$U$172=3),1,-1)*LINEAS!$AD$172*DATOS!$C$67,DATOS!$C$68))</f>
        <v>*</v>
      </c>
      <c r="C622" s="51" t="str">
        <f aca="false">IF(LEN($B622)&gt;79,"MÁS DE 79 CARACTERES","")</f>
        <v/>
      </c>
      <c r="D622" s="53" t="str">
        <f aca="false">IF(PRESIONES!$C$22="NO","",IF(OR(LINEAS!$D$172="",LINEAS!$U$172=0,ABS(IF(OR(LINEAS!$U$172=1,LINEAS!$U$172=3),1,-1)*LINEAS!$AD$172*DATOS!$C$67)&lt;0.00005),"*",LINEAS!$D$172&amp;" UNI "&amp;IF(LINEAS!$U$172&lt;=2,"GZ","GX")&amp;" "&amp;TEXT(IF(OR(LINEAS!$U$172=1,LINEAS!$U$172=3),1,-1)*LINEAS!$AD$172*DATOS!$C$67,DATOS!$C$68)))</f>
        <v/>
      </c>
      <c r="E622" s="51" t="str">
        <f aca="false">IF(LEN($D622)&gt;79,"MÁS DE 79 CARACTERES","")</f>
        <v/>
      </c>
    </row>
    <row r="623" customFormat="false" ht="15" hidden="false" customHeight="true" outlineLevel="0" collapsed="false">
      <c r="B623" s="53" t="str">
        <f aca="false">IF(OR(LINEAS!$D$173="",LINEAS!$U$173=0,ABS(IF(OR(LINEAS!$U$173=1,LINEAS!$U$173=3),1,-1)*LINEAS!$AD$173*DATOS!$C$67)&lt;0.00005),"*",LINEAS!$D$173&amp;" UNI "&amp;IF(LINEAS!$U$173&lt;=2,"GZ","GX")&amp;" "&amp;TEXT(IF(OR(LINEAS!$U$173=1,LINEAS!$U$173=3),1,-1)*LINEAS!$AD$173*DATOS!$C$67,DATOS!$C$68))</f>
        <v>*</v>
      </c>
      <c r="C623" s="51" t="str">
        <f aca="false">IF(LEN($B623)&gt;79,"MÁS DE 79 CARACTERES","")</f>
        <v/>
      </c>
      <c r="D623" s="53" t="str">
        <f aca="false">IF(PRESIONES!$C$22="NO","",IF(OR(LINEAS!$D$173="",LINEAS!$U$173=0,ABS(IF(OR(LINEAS!$U$173=1,LINEAS!$U$173=3),1,-1)*LINEAS!$AD$173*DATOS!$C$67)&lt;0.00005),"*",LINEAS!$D$173&amp;" UNI "&amp;IF(LINEAS!$U$173&lt;=2,"GZ","GX")&amp;" "&amp;TEXT(IF(OR(LINEAS!$U$173=1,LINEAS!$U$173=3),1,-1)*LINEAS!$AD$173*DATOS!$C$67,DATOS!$C$68)))</f>
        <v/>
      </c>
      <c r="E623" s="51" t="str">
        <f aca="false">IF(LEN($D623)&gt;79,"MÁS DE 79 CARACTERES","")</f>
        <v/>
      </c>
    </row>
    <row r="624" customFormat="false" ht="15" hidden="false" customHeight="true" outlineLevel="0" collapsed="false">
      <c r="B624" s="53" t="str">
        <f aca="false">IF(OR(LINEAS!$D$174="",LINEAS!$U$174=0,ABS(IF(OR(LINEAS!$U$174=1,LINEAS!$U$174=3),1,-1)*LINEAS!$AD$174*DATOS!$C$67)&lt;0.00005),"*",LINEAS!$D$174&amp;" UNI "&amp;IF(LINEAS!$U$174&lt;=2,"GZ","GX")&amp;" "&amp;TEXT(IF(OR(LINEAS!$U$174=1,LINEAS!$U$174=3),1,-1)*LINEAS!$AD$174*DATOS!$C$67,DATOS!$C$68))</f>
        <v>*</v>
      </c>
      <c r="C624" s="51" t="str">
        <f aca="false">IF(LEN($B624)&gt;79,"MÁS DE 79 CARACTERES","")</f>
        <v/>
      </c>
      <c r="D624" s="53" t="str">
        <f aca="false">IF(PRESIONES!$C$22="NO","",IF(OR(LINEAS!$D$174="",LINEAS!$U$174=0,ABS(IF(OR(LINEAS!$U$174=1,LINEAS!$U$174=3),1,-1)*LINEAS!$AD$174*DATOS!$C$67)&lt;0.00005),"*",LINEAS!$D$174&amp;" UNI "&amp;IF(LINEAS!$U$174&lt;=2,"GZ","GX")&amp;" "&amp;TEXT(IF(OR(LINEAS!$U$174=1,LINEAS!$U$174=3),1,-1)*LINEAS!$AD$174*DATOS!$C$67,DATOS!$C$68)))</f>
        <v/>
      </c>
      <c r="E624" s="51" t="str">
        <f aca="false">IF(LEN($D624)&gt;79,"MÁS DE 79 CARACTERES","")</f>
        <v/>
      </c>
    </row>
    <row r="625" customFormat="false" ht="15" hidden="false" customHeight="true" outlineLevel="0" collapsed="false">
      <c r="B625" s="53" t="str">
        <f aca="false">IF(OR(LINEAS!$D$175="",LINEAS!$U$175=0,ABS(IF(OR(LINEAS!$U$175=1,LINEAS!$U$175=3),1,-1)*LINEAS!$AD$175*DATOS!$C$67)&lt;0.00005),"*",LINEAS!$D$175&amp;" UNI "&amp;IF(LINEAS!$U$175&lt;=2,"GZ","GX")&amp;" "&amp;TEXT(IF(OR(LINEAS!$U$175=1,LINEAS!$U$175=3),1,-1)*LINEAS!$AD$175*DATOS!$C$67,DATOS!$C$68))</f>
        <v>*</v>
      </c>
      <c r="C625" s="51" t="str">
        <f aca="false">IF(LEN($B625)&gt;79,"MÁS DE 79 CARACTERES","")</f>
        <v/>
      </c>
      <c r="D625" s="53" t="str">
        <f aca="false">IF(PRESIONES!$C$22="NO","",IF(OR(LINEAS!$D$175="",LINEAS!$U$175=0,ABS(IF(OR(LINEAS!$U$175=1,LINEAS!$U$175=3),1,-1)*LINEAS!$AD$175*DATOS!$C$67)&lt;0.00005),"*",LINEAS!$D$175&amp;" UNI "&amp;IF(LINEAS!$U$175&lt;=2,"GZ","GX")&amp;" "&amp;TEXT(IF(OR(LINEAS!$U$175=1,LINEAS!$U$175=3),1,-1)*LINEAS!$AD$175*DATOS!$C$67,DATOS!$C$68)))</f>
        <v/>
      </c>
      <c r="E625" s="51" t="str">
        <f aca="false">IF(LEN($D625)&gt;79,"MÁS DE 79 CARACTERES","")</f>
        <v/>
      </c>
    </row>
    <row r="626" customFormat="false" ht="15" hidden="false" customHeight="true" outlineLevel="0" collapsed="false">
      <c r="B626" s="53" t="str">
        <f aca="false">IF(OR(LINEAS!$D$176="",LINEAS!$U$176=0,ABS(IF(OR(LINEAS!$U$176=1,LINEAS!$U$176=3),1,-1)*LINEAS!$AD$176*DATOS!$C$67)&lt;0.00005),"*",LINEAS!$D$176&amp;" UNI "&amp;IF(LINEAS!$U$176&lt;=2,"GZ","GX")&amp;" "&amp;TEXT(IF(OR(LINEAS!$U$176=1,LINEAS!$U$176=3),1,-1)*LINEAS!$AD$176*DATOS!$C$67,DATOS!$C$68))</f>
        <v>*</v>
      </c>
      <c r="C626" s="51" t="str">
        <f aca="false">IF(LEN($B626)&gt;79,"MÁS DE 79 CARACTERES","")</f>
        <v/>
      </c>
      <c r="D626" s="53" t="str">
        <f aca="false">IF(PRESIONES!$C$22="NO","",IF(OR(LINEAS!$D$176="",LINEAS!$U$176=0,ABS(IF(OR(LINEAS!$U$176=1,LINEAS!$U$176=3),1,-1)*LINEAS!$AD$176*DATOS!$C$67)&lt;0.00005),"*",LINEAS!$D$176&amp;" UNI "&amp;IF(LINEAS!$U$176&lt;=2,"GZ","GX")&amp;" "&amp;TEXT(IF(OR(LINEAS!$U$176=1,LINEAS!$U$176=3),1,-1)*LINEAS!$AD$176*DATOS!$C$67,DATOS!$C$68)))</f>
        <v/>
      </c>
      <c r="E626" s="51" t="str">
        <f aca="false">IF(LEN($D626)&gt;79,"MÁS DE 79 CARACTERES","")</f>
        <v/>
      </c>
    </row>
    <row r="627" customFormat="false" ht="15" hidden="false" customHeight="true" outlineLevel="0" collapsed="false">
      <c r="B627" s="53" t="str">
        <f aca="false">IF(OR(LINEAS!$D$177="",LINEAS!$U$177=0,ABS(IF(OR(LINEAS!$U$177=1,LINEAS!$U$177=3),1,-1)*LINEAS!$AD$177*DATOS!$C$67)&lt;0.00005),"*",LINEAS!$D$177&amp;" UNI "&amp;IF(LINEAS!$U$177&lt;=2,"GZ","GX")&amp;" "&amp;TEXT(IF(OR(LINEAS!$U$177=1,LINEAS!$U$177=3),1,-1)*LINEAS!$AD$177*DATOS!$C$67,DATOS!$C$68))</f>
        <v>*</v>
      </c>
      <c r="C627" s="51" t="str">
        <f aca="false">IF(LEN($B627)&gt;79,"MÁS DE 79 CARACTERES","")</f>
        <v/>
      </c>
      <c r="D627" s="53" t="str">
        <f aca="false">IF(PRESIONES!$C$22="NO","",IF(OR(LINEAS!$D$177="",LINEAS!$U$177=0,ABS(IF(OR(LINEAS!$U$177=1,LINEAS!$U$177=3),1,-1)*LINEAS!$AD$177*DATOS!$C$67)&lt;0.00005),"*",LINEAS!$D$177&amp;" UNI "&amp;IF(LINEAS!$U$177&lt;=2,"GZ","GX")&amp;" "&amp;TEXT(IF(OR(LINEAS!$U$177=1,LINEAS!$U$177=3),1,-1)*LINEAS!$AD$177*DATOS!$C$67,DATOS!$C$68)))</f>
        <v/>
      </c>
      <c r="E627" s="51" t="str">
        <f aca="false">IF(LEN($D627)&gt;79,"MÁS DE 79 CARACTERES","")</f>
        <v/>
      </c>
    </row>
    <row r="628" customFormat="false" ht="15" hidden="false" customHeight="true" outlineLevel="0" collapsed="false">
      <c r="B628" s="53" t="str">
        <f aca="false">IF(OR(LINEAS!$D$178="",LINEAS!$U$178=0,ABS(IF(OR(LINEAS!$U$178=1,LINEAS!$U$178=3),1,-1)*LINEAS!$AD$178*DATOS!$C$67)&lt;0.00005),"*",LINEAS!$D$178&amp;" UNI "&amp;IF(LINEAS!$U$178&lt;=2,"GZ","GX")&amp;" "&amp;TEXT(IF(OR(LINEAS!$U$178=1,LINEAS!$U$178=3),1,-1)*LINEAS!$AD$178*DATOS!$C$67,DATOS!$C$68))</f>
        <v>*</v>
      </c>
      <c r="C628" s="51" t="str">
        <f aca="false">IF(LEN($B628)&gt;79,"MÁS DE 79 CARACTERES","")</f>
        <v/>
      </c>
      <c r="D628" s="53" t="str">
        <f aca="false">IF(PRESIONES!$C$22="NO","",IF(OR(LINEAS!$D$178="",LINEAS!$U$178=0,ABS(IF(OR(LINEAS!$U$178=1,LINEAS!$U$178=3),1,-1)*LINEAS!$AD$178*DATOS!$C$67)&lt;0.00005),"*",LINEAS!$D$178&amp;" UNI "&amp;IF(LINEAS!$U$178&lt;=2,"GZ","GX")&amp;" "&amp;TEXT(IF(OR(LINEAS!$U$178=1,LINEAS!$U$178=3),1,-1)*LINEAS!$AD$178*DATOS!$C$67,DATOS!$C$68)))</f>
        <v/>
      </c>
      <c r="E628" s="51" t="str">
        <f aca="false">IF(LEN($D628)&gt;79,"MÁS DE 79 CARACTERES","")</f>
        <v/>
      </c>
    </row>
    <row r="629" customFormat="false" ht="15" hidden="false" customHeight="true" outlineLevel="0" collapsed="false">
      <c r="B629" s="53" t="str">
        <f aca="false">IF(OR(LINEAS!$D$179="",LINEAS!$U$179=0,ABS(IF(OR(LINEAS!$U$179=1,LINEAS!$U$179=3),1,-1)*LINEAS!$AD$179*DATOS!$C$67)&lt;0.00005),"*",LINEAS!$D$179&amp;" UNI "&amp;IF(LINEAS!$U$179&lt;=2,"GZ","GX")&amp;" "&amp;TEXT(IF(OR(LINEAS!$U$179=1,LINEAS!$U$179=3),1,-1)*LINEAS!$AD$179*DATOS!$C$67,DATOS!$C$68))</f>
        <v>*</v>
      </c>
      <c r="C629" s="51" t="str">
        <f aca="false">IF(LEN($B629)&gt;79,"MÁS DE 79 CARACTERES","")</f>
        <v/>
      </c>
      <c r="D629" s="53" t="str">
        <f aca="false">IF(PRESIONES!$C$22="NO","",IF(OR(LINEAS!$D$179="",LINEAS!$U$179=0,ABS(IF(OR(LINEAS!$U$179=1,LINEAS!$U$179=3),1,-1)*LINEAS!$AD$179*DATOS!$C$67)&lt;0.00005),"*",LINEAS!$D$179&amp;" UNI "&amp;IF(LINEAS!$U$179&lt;=2,"GZ","GX")&amp;" "&amp;TEXT(IF(OR(LINEAS!$U$179=1,LINEAS!$U$179=3),1,-1)*LINEAS!$AD$179*DATOS!$C$67,DATOS!$C$68)))</f>
        <v/>
      </c>
      <c r="E629" s="51" t="str">
        <f aca="false">IF(LEN($D629)&gt;79,"MÁS DE 79 CARACTERES","")</f>
        <v/>
      </c>
    </row>
    <row r="630" customFormat="false" ht="15" hidden="false" customHeight="true" outlineLevel="0" collapsed="false">
      <c r="B630" s="53" t="str">
        <f aca="false">IF(OR(LINEAS!$D$180="",LINEAS!$U$180=0,ABS(IF(OR(LINEAS!$U$180=1,LINEAS!$U$180=3),1,-1)*LINEAS!$AD$180*DATOS!$C$67)&lt;0.00005),"*",LINEAS!$D$180&amp;" UNI "&amp;IF(LINEAS!$U$180&lt;=2,"GZ","GX")&amp;" "&amp;TEXT(IF(OR(LINEAS!$U$180=1,LINEAS!$U$180=3),1,-1)*LINEAS!$AD$180*DATOS!$C$67,DATOS!$C$68))</f>
        <v>*</v>
      </c>
      <c r="C630" s="51" t="str">
        <f aca="false">IF(LEN($B630)&gt;79,"MÁS DE 79 CARACTERES","")</f>
        <v/>
      </c>
      <c r="D630" s="53" t="str">
        <f aca="false">IF(PRESIONES!$C$22="NO","",IF(OR(LINEAS!$D$180="",LINEAS!$U$180=0,ABS(IF(OR(LINEAS!$U$180=1,LINEAS!$U$180=3),1,-1)*LINEAS!$AD$180*DATOS!$C$67)&lt;0.00005),"*",LINEAS!$D$180&amp;" UNI "&amp;IF(LINEAS!$U$180&lt;=2,"GZ","GX")&amp;" "&amp;TEXT(IF(OR(LINEAS!$U$180=1,LINEAS!$U$180=3),1,-1)*LINEAS!$AD$180*DATOS!$C$67,DATOS!$C$68)))</f>
        <v/>
      </c>
      <c r="E630" s="51" t="str">
        <f aca="false">IF(LEN($D630)&gt;79,"MÁS DE 79 CARACTERES","")</f>
        <v/>
      </c>
    </row>
    <row r="631" customFormat="false" ht="15" hidden="false" customHeight="true" outlineLevel="0" collapsed="false">
      <c r="B631" s="53" t="str">
        <f aca="false">IF(OR(LINEAS!$D$181="",LINEAS!$U$181=0,ABS(IF(OR(LINEAS!$U$181=1,LINEAS!$U$181=3),1,-1)*LINEAS!$AD$181*DATOS!$C$67)&lt;0.00005),"*",LINEAS!$D$181&amp;" UNI "&amp;IF(LINEAS!$U$181&lt;=2,"GZ","GX")&amp;" "&amp;TEXT(IF(OR(LINEAS!$U$181=1,LINEAS!$U$181=3),1,-1)*LINEAS!$AD$181*DATOS!$C$67,DATOS!$C$68))</f>
        <v>*</v>
      </c>
      <c r="C631" s="51" t="str">
        <f aca="false">IF(LEN($B631)&gt;79,"MÁS DE 79 CARACTERES","")</f>
        <v/>
      </c>
      <c r="D631" s="53" t="str">
        <f aca="false">IF(PRESIONES!$C$22="NO","",IF(OR(LINEAS!$D$181="",LINEAS!$U$181=0,ABS(IF(OR(LINEAS!$U$181=1,LINEAS!$U$181=3),1,-1)*LINEAS!$AD$181*DATOS!$C$67)&lt;0.00005),"*",LINEAS!$D$181&amp;" UNI "&amp;IF(LINEAS!$U$181&lt;=2,"GZ","GX")&amp;" "&amp;TEXT(IF(OR(LINEAS!$U$181=1,LINEAS!$U$181=3),1,-1)*LINEAS!$AD$181*DATOS!$C$67,DATOS!$C$68)))</f>
        <v/>
      </c>
      <c r="E631" s="51" t="str">
        <f aca="false">IF(LEN($D631)&gt;79,"MÁS DE 79 CARACTERES","")</f>
        <v/>
      </c>
    </row>
    <row r="632" customFormat="false" ht="15" hidden="false" customHeight="true" outlineLevel="0" collapsed="false">
      <c r="B632" s="53" t="str">
        <f aca="false">IF(OR(LINEAS!$D$182="",LINEAS!$U$182=0,ABS(IF(OR(LINEAS!$U$182=1,LINEAS!$U$182=3),1,-1)*LINEAS!$AD$182*DATOS!$C$67)&lt;0.00005),"*",LINEAS!$D$182&amp;" UNI "&amp;IF(LINEAS!$U$182&lt;=2,"GZ","GX")&amp;" "&amp;TEXT(IF(OR(LINEAS!$U$182=1,LINEAS!$U$182=3),1,-1)*LINEAS!$AD$182*DATOS!$C$67,DATOS!$C$68))</f>
        <v>*</v>
      </c>
      <c r="C632" s="51" t="str">
        <f aca="false">IF(LEN($B632)&gt;79,"MÁS DE 79 CARACTERES","")</f>
        <v/>
      </c>
      <c r="D632" s="53" t="str">
        <f aca="false">IF(PRESIONES!$C$22="NO","",IF(OR(LINEAS!$D$182="",LINEAS!$U$182=0,ABS(IF(OR(LINEAS!$U$182=1,LINEAS!$U$182=3),1,-1)*LINEAS!$AD$182*DATOS!$C$67)&lt;0.00005),"*",LINEAS!$D$182&amp;" UNI "&amp;IF(LINEAS!$U$182&lt;=2,"GZ","GX")&amp;" "&amp;TEXT(IF(OR(LINEAS!$U$182=1,LINEAS!$U$182=3),1,-1)*LINEAS!$AD$182*DATOS!$C$67,DATOS!$C$68)))</f>
        <v/>
      </c>
      <c r="E632" s="51" t="str">
        <f aca="false">IF(LEN($D632)&gt;79,"MÁS DE 79 CARACTERES","")</f>
        <v/>
      </c>
    </row>
    <row r="633" customFormat="false" ht="15" hidden="false" customHeight="true" outlineLevel="0" collapsed="false">
      <c r="B633" s="53" t="str">
        <f aca="false">IF(OR(LINEAS!$D$183="",LINEAS!$U$183=0,ABS(IF(OR(LINEAS!$U$183=1,LINEAS!$U$183=3),1,-1)*LINEAS!$AD$183*DATOS!$C$67)&lt;0.00005),"*",LINEAS!$D$183&amp;" UNI "&amp;IF(LINEAS!$U$183&lt;=2,"GZ","GX")&amp;" "&amp;TEXT(IF(OR(LINEAS!$U$183=1,LINEAS!$U$183=3),1,-1)*LINEAS!$AD$183*DATOS!$C$67,DATOS!$C$68))</f>
        <v>*</v>
      </c>
      <c r="C633" s="51" t="str">
        <f aca="false">IF(LEN($B633)&gt;79,"MÁS DE 79 CARACTERES","")</f>
        <v/>
      </c>
      <c r="D633" s="53" t="str">
        <f aca="false">IF(PRESIONES!$C$22="NO","",IF(OR(LINEAS!$D$183="",LINEAS!$U$183=0,ABS(IF(OR(LINEAS!$U$183=1,LINEAS!$U$183=3),1,-1)*LINEAS!$AD$183*DATOS!$C$67)&lt;0.00005),"*",LINEAS!$D$183&amp;" UNI "&amp;IF(LINEAS!$U$183&lt;=2,"GZ","GX")&amp;" "&amp;TEXT(IF(OR(LINEAS!$U$183=1,LINEAS!$U$183=3),1,-1)*LINEAS!$AD$183*DATOS!$C$67,DATOS!$C$68)))</f>
        <v/>
      </c>
      <c r="E633" s="51" t="str">
        <f aca="false">IF(LEN($D633)&gt;79,"MÁS DE 79 CARACTERES","")</f>
        <v/>
      </c>
    </row>
    <row r="634" customFormat="false" ht="15" hidden="false" customHeight="true" outlineLevel="0" collapsed="false">
      <c r="B634" s="53" t="str">
        <f aca="false">IF(OR(LINEAS!$D$184="",LINEAS!$U$184=0,ABS(IF(OR(LINEAS!$U$184=1,LINEAS!$U$184=3),1,-1)*LINEAS!$AD$184*DATOS!$C$67)&lt;0.00005),"*",LINEAS!$D$184&amp;" UNI "&amp;IF(LINEAS!$U$184&lt;=2,"GZ","GX")&amp;" "&amp;TEXT(IF(OR(LINEAS!$U$184=1,LINEAS!$U$184=3),1,-1)*LINEAS!$AD$184*DATOS!$C$67,DATOS!$C$68))</f>
        <v>*</v>
      </c>
      <c r="C634" s="51" t="str">
        <f aca="false">IF(LEN($B634)&gt;79,"MÁS DE 79 CARACTERES","")</f>
        <v/>
      </c>
      <c r="D634" s="53" t="str">
        <f aca="false">IF(PRESIONES!$C$22="NO","",IF(OR(LINEAS!$D$184="",LINEAS!$U$184=0,ABS(IF(OR(LINEAS!$U$184=1,LINEAS!$U$184=3),1,-1)*LINEAS!$AD$184*DATOS!$C$67)&lt;0.00005),"*",LINEAS!$D$184&amp;" UNI "&amp;IF(LINEAS!$U$184&lt;=2,"GZ","GX")&amp;" "&amp;TEXT(IF(OR(LINEAS!$U$184=1,LINEAS!$U$184=3),1,-1)*LINEAS!$AD$184*DATOS!$C$67,DATOS!$C$68)))</f>
        <v/>
      </c>
      <c r="E634" s="51" t="str">
        <f aca="false">IF(LEN($D634)&gt;79,"MÁS DE 79 CARACTERES","")</f>
        <v/>
      </c>
    </row>
    <row r="635" customFormat="false" ht="15" hidden="false" customHeight="true" outlineLevel="0" collapsed="false">
      <c r="B635" s="53" t="str">
        <f aca="false">IF(OR(LINEAS!$D$185="",LINEAS!$U$185=0,ABS(IF(OR(LINEAS!$U$185=1,LINEAS!$U$185=3),1,-1)*LINEAS!$AD$185*DATOS!$C$67)&lt;0.00005),"*",LINEAS!$D$185&amp;" UNI "&amp;IF(LINEAS!$U$185&lt;=2,"GZ","GX")&amp;" "&amp;TEXT(IF(OR(LINEAS!$U$185=1,LINEAS!$U$185=3),1,-1)*LINEAS!$AD$185*DATOS!$C$67,DATOS!$C$68))</f>
        <v>*</v>
      </c>
      <c r="C635" s="51" t="str">
        <f aca="false">IF(LEN($B635)&gt;79,"MÁS DE 79 CARACTERES","")</f>
        <v/>
      </c>
      <c r="D635" s="53" t="str">
        <f aca="false">IF(PRESIONES!$C$22="NO","",IF(OR(LINEAS!$D$185="",LINEAS!$U$185=0,ABS(IF(OR(LINEAS!$U$185=1,LINEAS!$U$185=3),1,-1)*LINEAS!$AD$185*DATOS!$C$67)&lt;0.00005),"*",LINEAS!$D$185&amp;" UNI "&amp;IF(LINEAS!$U$185&lt;=2,"GZ","GX")&amp;" "&amp;TEXT(IF(OR(LINEAS!$U$185=1,LINEAS!$U$185=3),1,-1)*LINEAS!$AD$185*DATOS!$C$67,DATOS!$C$68)))</f>
        <v/>
      </c>
      <c r="E635" s="51" t="str">
        <f aca="false">IF(LEN($D635)&gt;79,"MÁS DE 79 CARACTERES","")</f>
        <v/>
      </c>
    </row>
    <row r="636" customFormat="false" ht="15" hidden="false" customHeight="true" outlineLevel="0" collapsed="false">
      <c r="B636" s="53" t="str">
        <f aca="false">IF(OR(LINEAS!$D$186="",LINEAS!$U$186=0,ABS(IF(OR(LINEAS!$U$186=1,LINEAS!$U$186=3),1,-1)*LINEAS!$AD$186*DATOS!$C$67)&lt;0.00005),"*",LINEAS!$D$186&amp;" UNI "&amp;IF(LINEAS!$U$186&lt;=2,"GZ","GX")&amp;" "&amp;TEXT(IF(OR(LINEAS!$U$186=1,LINEAS!$U$186=3),1,-1)*LINEAS!$AD$186*DATOS!$C$67,DATOS!$C$68))</f>
        <v>*</v>
      </c>
      <c r="C636" s="51" t="str">
        <f aca="false">IF(LEN($B636)&gt;79,"MÁS DE 79 CARACTERES","")</f>
        <v/>
      </c>
      <c r="D636" s="53" t="str">
        <f aca="false">IF(PRESIONES!$C$22="NO","",IF(OR(LINEAS!$D$186="",LINEAS!$U$186=0,ABS(IF(OR(LINEAS!$U$186=1,LINEAS!$U$186=3),1,-1)*LINEAS!$AD$186*DATOS!$C$67)&lt;0.00005),"*",LINEAS!$D$186&amp;" UNI "&amp;IF(LINEAS!$U$186&lt;=2,"GZ","GX")&amp;" "&amp;TEXT(IF(OR(LINEAS!$U$186=1,LINEAS!$U$186=3),1,-1)*LINEAS!$AD$186*DATOS!$C$67,DATOS!$C$68)))</f>
        <v/>
      </c>
      <c r="E636" s="51" t="str">
        <f aca="false">IF(LEN($D636)&gt;79,"MÁS DE 79 CARACTERES","")</f>
        <v/>
      </c>
    </row>
    <row r="637" customFormat="false" ht="15" hidden="false" customHeight="true" outlineLevel="0" collapsed="false">
      <c r="B637" s="53" t="str">
        <f aca="false">IF(OR(LINEAS!$D$187="",LINEAS!$U$187=0,ABS(IF(OR(LINEAS!$U$187=1,LINEAS!$U$187=3),1,-1)*LINEAS!$AD$187*DATOS!$C$67)&lt;0.00005),"*",LINEAS!$D$187&amp;" UNI "&amp;IF(LINEAS!$U$187&lt;=2,"GZ","GX")&amp;" "&amp;TEXT(IF(OR(LINEAS!$U$187=1,LINEAS!$U$187=3),1,-1)*LINEAS!$AD$187*DATOS!$C$67,DATOS!$C$68))</f>
        <v>*</v>
      </c>
      <c r="C637" s="51" t="str">
        <f aca="false">IF(LEN($B637)&gt;79,"MÁS DE 79 CARACTERES","")</f>
        <v/>
      </c>
      <c r="D637" s="53" t="str">
        <f aca="false">IF(PRESIONES!$C$22="NO","",IF(OR(LINEAS!$D$187="",LINEAS!$U$187=0,ABS(IF(OR(LINEAS!$U$187=1,LINEAS!$U$187=3),1,-1)*LINEAS!$AD$187*DATOS!$C$67)&lt;0.00005),"*",LINEAS!$D$187&amp;" UNI "&amp;IF(LINEAS!$U$187&lt;=2,"GZ","GX")&amp;" "&amp;TEXT(IF(OR(LINEAS!$U$187=1,LINEAS!$U$187=3),1,-1)*LINEAS!$AD$187*DATOS!$C$67,DATOS!$C$68)))</f>
        <v/>
      </c>
      <c r="E637" s="51" t="str">
        <f aca="false">IF(LEN($D637)&gt;79,"MÁS DE 79 CARACTERES","")</f>
        <v/>
      </c>
    </row>
    <row r="638" customFormat="false" ht="15" hidden="false" customHeight="true" outlineLevel="0" collapsed="false">
      <c r="B638" s="53" t="str">
        <f aca="false">IF(OR(LINEAS!$D$188="",LINEAS!$U$188=0,ABS(IF(OR(LINEAS!$U$188=1,LINEAS!$U$188=3),1,-1)*LINEAS!$AD$188*DATOS!$C$67)&lt;0.00005),"*",LINEAS!$D$188&amp;" UNI "&amp;IF(LINEAS!$U$188&lt;=2,"GZ","GX")&amp;" "&amp;TEXT(IF(OR(LINEAS!$U$188=1,LINEAS!$U$188=3),1,-1)*LINEAS!$AD$188*DATOS!$C$67,DATOS!$C$68))</f>
        <v>*</v>
      </c>
      <c r="C638" s="51" t="str">
        <f aca="false">IF(LEN($B638)&gt;79,"MÁS DE 79 CARACTERES","")</f>
        <v/>
      </c>
      <c r="D638" s="53" t="str">
        <f aca="false">IF(PRESIONES!$C$22="NO","",IF(OR(LINEAS!$D$188="",LINEAS!$U$188=0,ABS(IF(OR(LINEAS!$U$188=1,LINEAS!$U$188=3),1,-1)*LINEAS!$AD$188*DATOS!$C$67)&lt;0.00005),"*",LINEAS!$D$188&amp;" UNI "&amp;IF(LINEAS!$U$188&lt;=2,"GZ","GX")&amp;" "&amp;TEXT(IF(OR(LINEAS!$U$188=1,LINEAS!$U$188=3),1,-1)*LINEAS!$AD$188*DATOS!$C$67,DATOS!$C$68)))</f>
        <v/>
      </c>
      <c r="E638" s="51" t="str">
        <f aca="false">IF(LEN($D638)&gt;79,"MÁS DE 79 CARACTERES","")</f>
        <v/>
      </c>
    </row>
    <row r="639" customFormat="false" ht="15" hidden="false" customHeight="true" outlineLevel="0" collapsed="false">
      <c r="B639" s="53" t="str">
        <f aca="false">IF(OR(LINEAS!$D$189="",LINEAS!$U$189=0,ABS(IF(OR(LINEAS!$U$189=1,LINEAS!$U$189=3),1,-1)*LINEAS!$AD$189*DATOS!$C$67)&lt;0.00005),"*",LINEAS!$D$189&amp;" UNI "&amp;IF(LINEAS!$U$189&lt;=2,"GZ","GX")&amp;" "&amp;TEXT(IF(OR(LINEAS!$U$189=1,LINEAS!$U$189=3),1,-1)*LINEAS!$AD$189*DATOS!$C$67,DATOS!$C$68))</f>
        <v>*</v>
      </c>
      <c r="C639" s="51" t="str">
        <f aca="false">IF(LEN($B639)&gt;79,"MÁS DE 79 CARACTERES","")</f>
        <v/>
      </c>
      <c r="D639" s="53" t="str">
        <f aca="false">IF(PRESIONES!$C$22="NO","",IF(OR(LINEAS!$D$189="",LINEAS!$U$189=0,ABS(IF(OR(LINEAS!$U$189=1,LINEAS!$U$189=3),1,-1)*LINEAS!$AD$189*DATOS!$C$67)&lt;0.00005),"*",LINEAS!$D$189&amp;" UNI "&amp;IF(LINEAS!$U$189&lt;=2,"GZ","GX")&amp;" "&amp;TEXT(IF(OR(LINEAS!$U$189=1,LINEAS!$U$189=3),1,-1)*LINEAS!$AD$189*DATOS!$C$67,DATOS!$C$68)))</f>
        <v/>
      </c>
      <c r="E639" s="51" t="str">
        <f aca="false">IF(LEN($D639)&gt;79,"MÁS DE 79 CARACTERES","")</f>
        <v/>
      </c>
    </row>
    <row r="640" customFormat="false" ht="15" hidden="false" customHeight="true" outlineLevel="0" collapsed="false">
      <c r="B640" s="53" t="str">
        <f aca="false">IF(OR(LINEAS!$D$190="",LINEAS!$U$190=0,ABS(IF(OR(LINEAS!$U$190=1,LINEAS!$U$190=3),1,-1)*LINEAS!$AD$190*DATOS!$C$67)&lt;0.00005),"*",LINEAS!$D$190&amp;" UNI "&amp;IF(LINEAS!$U$190&lt;=2,"GZ","GX")&amp;" "&amp;TEXT(IF(OR(LINEAS!$U$190=1,LINEAS!$U$190=3),1,-1)*LINEAS!$AD$190*DATOS!$C$67,DATOS!$C$68))</f>
        <v>*</v>
      </c>
      <c r="C640" s="51" t="str">
        <f aca="false">IF(LEN($B640)&gt;79,"MÁS DE 79 CARACTERES","")</f>
        <v/>
      </c>
      <c r="D640" s="53" t="str">
        <f aca="false">IF(PRESIONES!$C$22="NO","",IF(OR(LINEAS!$D$190="",LINEAS!$U$190=0,ABS(IF(OR(LINEAS!$U$190=1,LINEAS!$U$190=3),1,-1)*LINEAS!$AD$190*DATOS!$C$67)&lt;0.00005),"*",LINEAS!$D$190&amp;" UNI "&amp;IF(LINEAS!$U$190&lt;=2,"GZ","GX")&amp;" "&amp;TEXT(IF(OR(LINEAS!$U$190=1,LINEAS!$U$190=3),1,-1)*LINEAS!$AD$190*DATOS!$C$67,DATOS!$C$68)))</f>
        <v/>
      </c>
      <c r="E640" s="51" t="str">
        <f aca="false">IF(LEN($D640)&gt;79,"MÁS DE 79 CARACTERES","")</f>
        <v/>
      </c>
    </row>
    <row r="641" customFormat="false" ht="15" hidden="false" customHeight="true" outlineLevel="0" collapsed="false">
      <c r="B641" s="53" t="str">
        <f aca="false">IF(OR(LINEAS!$D$191="",LINEAS!$U$191=0,ABS(IF(OR(LINEAS!$U$191=1,LINEAS!$U$191=3),1,-1)*LINEAS!$AD$191*DATOS!$C$67)&lt;0.00005),"*",LINEAS!$D$191&amp;" UNI "&amp;IF(LINEAS!$U$191&lt;=2,"GZ","GX")&amp;" "&amp;TEXT(IF(OR(LINEAS!$U$191=1,LINEAS!$U$191=3),1,-1)*LINEAS!$AD$191*DATOS!$C$67,DATOS!$C$68))</f>
        <v>*</v>
      </c>
      <c r="C641" s="51" t="str">
        <f aca="false">IF(LEN($B641)&gt;79,"MÁS DE 79 CARACTERES","")</f>
        <v/>
      </c>
      <c r="D641" s="53" t="str">
        <f aca="false">IF(PRESIONES!$C$22="NO","",IF(OR(LINEAS!$D$191="",LINEAS!$U$191=0,ABS(IF(OR(LINEAS!$U$191=1,LINEAS!$U$191=3),1,-1)*LINEAS!$AD$191*DATOS!$C$67)&lt;0.00005),"*",LINEAS!$D$191&amp;" UNI "&amp;IF(LINEAS!$U$191&lt;=2,"GZ","GX")&amp;" "&amp;TEXT(IF(OR(LINEAS!$U$191=1,LINEAS!$U$191=3),1,-1)*LINEAS!$AD$191*DATOS!$C$67,DATOS!$C$68)))</f>
        <v/>
      </c>
      <c r="E641" s="51" t="str">
        <f aca="false">IF(LEN($D641)&gt;79,"MÁS DE 79 CARACTERES","")</f>
        <v/>
      </c>
    </row>
    <row r="642" customFormat="false" ht="15" hidden="false" customHeight="true" outlineLevel="0" collapsed="false">
      <c r="B642" s="53" t="str">
        <f aca="false">IF(OR(LINEAS!$D$192="",LINEAS!$U$192=0,ABS(IF(OR(LINEAS!$U$192=1,LINEAS!$U$192=3),1,-1)*LINEAS!$AD$192*DATOS!$C$67)&lt;0.00005),"*",LINEAS!$D$192&amp;" UNI "&amp;IF(LINEAS!$U$192&lt;=2,"GZ","GX")&amp;" "&amp;TEXT(IF(OR(LINEAS!$U$192=1,LINEAS!$U$192=3),1,-1)*LINEAS!$AD$192*DATOS!$C$67,DATOS!$C$68))</f>
        <v>*</v>
      </c>
      <c r="C642" s="51" t="str">
        <f aca="false">IF(LEN($B642)&gt;79,"MÁS DE 79 CARACTERES","")</f>
        <v/>
      </c>
      <c r="D642" s="53" t="str">
        <f aca="false">IF(PRESIONES!$C$22="NO","",IF(OR(LINEAS!$D$192="",LINEAS!$U$192=0,ABS(IF(OR(LINEAS!$U$192=1,LINEAS!$U$192=3),1,-1)*LINEAS!$AD$192*DATOS!$C$67)&lt;0.00005),"*",LINEAS!$D$192&amp;" UNI "&amp;IF(LINEAS!$U$192&lt;=2,"GZ","GX")&amp;" "&amp;TEXT(IF(OR(LINEAS!$U$192=1,LINEAS!$U$192=3),1,-1)*LINEAS!$AD$192*DATOS!$C$67,DATOS!$C$68)))</f>
        <v/>
      </c>
      <c r="E642" s="51" t="str">
        <f aca="false">IF(LEN($D642)&gt;79,"MÁS DE 79 CARACTERES","")</f>
        <v/>
      </c>
    </row>
    <row r="643" customFormat="false" ht="15" hidden="false" customHeight="true" outlineLevel="0" collapsed="false">
      <c r="B643" s="53" t="str">
        <f aca="false">IF(OR(LINEAS!$D$193="",LINEAS!$U$193=0,ABS(IF(OR(LINEAS!$U$193=1,LINEAS!$U$193=3),1,-1)*LINEAS!$AD$193*DATOS!$C$67)&lt;0.00005),"*",LINEAS!$D$193&amp;" UNI "&amp;IF(LINEAS!$U$193&lt;=2,"GZ","GX")&amp;" "&amp;TEXT(IF(OR(LINEAS!$U$193=1,LINEAS!$U$193=3),1,-1)*LINEAS!$AD$193*DATOS!$C$67,DATOS!$C$68))</f>
        <v>*</v>
      </c>
      <c r="C643" s="51" t="str">
        <f aca="false">IF(LEN($B643)&gt;79,"MÁS DE 79 CARACTERES","")</f>
        <v/>
      </c>
      <c r="D643" s="53" t="str">
        <f aca="false">IF(PRESIONES!$C$22="NO","",IF(OR(LINEAS!$D$193="",LINEAS!$U$193=0,ABS(IF(OR(LINEAS!$U$193=1,LINEAS!$U$193=3),1,-1)*LINEAS!$AD$193*DATOS!$C$67)&lt;0.00005),"*",LINEAS!$D$193&amp;" UNI "&amp;IF(LINEAS!$U$193&lt;=2,"GZ","GX")&amp;" "&amp;TEXT(IF(OR(LINEAS!$U$193=1,LINEAS!$U$193=3),1,-1)*LINEAS!$AD$193*DATOS!$C$67,DATOS!$C$68)))</f>
        <v/>
      </c>
      <c r="E643" s="51" t="str">
        <f aca="false">IF(LEN($D643)&gt;79,"MÁS DE 79 CARACTERES","")</f>
        <v/>
      </c>
    </row>
    <row r="644" customFormat="false" ht="15" hidden="false" customHeight="true" outlineLevel="0" collapsed="false">
      <c r="B644" s="53" t="str">
        <f aca="false">IF(OR(LINEAS!$D$194="",LINEAS!$U$194=0,ABS(IF(OR(LINEAS!$U$194=1,LINEAS!$U$194=3),1,-1)*LINEAS!$AD$194*DATOS!$C$67)&lt;0.00005),"*",LINEAS!$D$194&amp;" UNI "&amp;IF(LINEAS!$U$194&lt;=2,"GZ","GX")&amp;" "&amp;TEXT(IF(OR(LINEAS!$U$194=1,LINEAS!$U$194=3),1,-1)*LINEAS!$AD$194*DATOS!$C$67,DATOS!$C$68))</f>
        <v>*</v>
      </c>
      <c r="C644" s="51" t="str">
        <f aca="false">IF(LEN($B644)&gt;79,"MÁS DE 79 CARACTERES","")</f>
        <v/>
      </c>
      <c r="D644" s="53" t="str">
        <f aca="false">IF(PRESIONES!$C$22="NO","",IF(OR(LINEAS!$D$194="",LINEAS!$U$194=0,ABS(IF(OR(LINEAS!$U$194=1,LINEAS!$U$194=3),1,-1)*LINEAS!$AD$194*DATOS!$C$67)&lt;0.00005),"*",LINEAS!$D$194&amp;" UNI "&amp;IF(LINEAS!$U$194&lt;=2,"GZ","GX")&amp;" "&amp;TEXT(IF(OR(LINEAS!$U$194=1,LINEAS!$U$194=3),1,-1)*LINEAS!$AD$194*DATOS!$C$67,DATOS!$C$68)))</f>
        <v/>
      </c>
      <c r="E644" s="51" t="str">
        <f aca="false">IF(LEN($D644)&gt;79,"MÁS DE 79 CARACTERES","")</f>
        <v/>
      </c>
    </row>
    <row r="645" customFormat="false" ht="15" hidden="false" customHeight="true" outlineLevel="0" collapsed="false">
      <c r="B645" s="52" t="str">
        <f aca="false">"LOAD "&amp;(DATOS!$C$66+3)&amp;" LOADTYPE Wind  TITLE "&amp;DATOS!$E$75</f>
        <v>LOAD 11 LOADTYPE Wind  TITLE VIENTO -Z</v>
      </c>
      <c r="C645" s="51" t="str">
        <f aca="false">IF(LEN($B645)&gt;79,"MÁS DE 79 CARACTERES","")</f>
        <v/>
      </c>
      <c r="D645" s="53" t="str">
        <f aca="false">IF(PRESIONES!$C$22="NO",IF(4=1,"* CASOS B = CASOS A (SIN ±0.4 NI +0.3 EN EL TECHO): NO HACE FALTA",""),"LOAD "&amp;(DATOS!$C$69+3)&amp;" LOADTYPE Wind  TITLE "&amp;DATOS!$E$75&amp;" B")</f>
        <v/>
      </c>
      <c r="E645" s="51" t="str">
        <f aca="false">IF(LEN($D645)&gt;79,"MÁS DE 79 CARACTERES","")</f>
        <v/>
      </c>
    </row>
    <row r="646" customFormat="false" ht="15" hidden="false" customHeight="true" outlineLevel="0" collapsed="false">
      <c r="B646" s="53" t="s">
        <v>634</v>
      </c>
      <c r="C646" s="51" t="str">
        <f aca="false">IF(LEN($B646)&gt;79,"MÁS DE 79 CARACTERES","")</f>
        <v/>
      </c>
      <c r="D646" s="53" t="str">
        <f aca="false">IF(PRESIONES!$C$22="NO","","MEMBER LOAD")</f>
        <v/>
      </c>
      <c r="E646" s="51" t="str">
        <f aca="false">IF(LEN($D646)&gt;79,"MÁS DE 79 CARACTERES","")</f>
        <v/>
      </c>
    </row>
    <row r="647" customFormat="false" ht="15" hidden="false" customHeight="true" outlineLevel="0" collapsed="false">
      <c r="B647" s="53" t="str">
        <f aca="false">IF(OR(LINEAS!$D$9="",ABS(-LINEAS!$AE$9*DATOS!$C$67)&lt;0.00005),"*",LINEAS!$D$9&amp;" UNI GY "&amp;TEXT(-LINEAS!$AE$9*DATOS!$C$67,DATOS!$C$68))</f>
        <v>22 85 TO 88 UNI GY 0.4779</v>
      </c>
      <c r="C647" s="51" t="str">
        <f aca="false">IF(LEN($B647)&gt;79,"MÁS DE 79 CARACTERES","")</f>
        <v/>
      </c>
      <c r="D647" s="53" t="str">
        <f aca="false">IF(PRESIONES!$C$22="NO","",IF(OR(LINEAS!$D$9="",ABS(-LINEAS!$AU$9*DATOS!$C$67)&lt;0.00005),"*",LINEAS!$D$9&amp;" UNI GY "&amp;TEXT(-LINEAS!$AU$9*DATOS!$C$67,DATOS!$C$68)))</f>
        <v/>
      </c>
      <c r="E647" s="51" t="str">
        <f aca="false">IF(LEN($D647)&gt;79,"MÁS DE 79 CARACTERES","")</f>
        <v/>
      </c>
    </row>
    <row r="648" customFormat="false" ht="15" hidden="false" customHeight="true" outlineLevel="0" collapsed="false">
      <c r="B648" s="53" t="str">
        <f aca="false">IF(OR(LINEAS!$D$9="",DATOS!$C$22="—",ABS(LINEAS!$AM$9*DATOS!$C$67)&lt;0.00005),"*",LINEAS!$D$9&amp;" UNI G"&amp;DATOS!$C$22&amp;" "&amp;TEXT(LINEAS!$AM$9*DATOS!$C$67,DATOS!$C$68))</f>
        <v>22 85 TO 88 UNI GZ 0.0239</v>
      </c>
      <c r="C648" s="51" t="str">
        <f aca="false">IF(LEN($B648)&gt;79,"MÁS DE 79 CARACTERES","")</f>
        <v/>
      </c>
      <c r="D648" s="53" t="str">
        <f aca="false">IF(PRESIONES!$C$22="NO","",IF(OR(LINEAS!$D$9="",DATOS!$C$22="—",ABS(LINEAS!$BC$9*DATOS!$C$67)&lt;0.00005),"*",LINEAS!$D$9&amp;" UNI G"&amp;DATOS!$C$22&amp;" "&amp;TEXT(LINEAS!$BC$9*DATOS!$C$67,DATOS!$C$68)))</f>
        <v/>
      </c>
      <c r="E648" s="51" t="str">
        <f aca="false">IF(LEN($D648)&gt;79,"MÁS DE 79 CARACTERES","")</f>
        <v/>
      </c>
    </row>
    <row r="649" customFormat="false" ht="15" hidden="false" customHeight="true" outlineLevel="0" collapsed="false">
      <c r="B649" s="53" t="str">
        <f aca="false">IF(OR(LINEAS!$D$10="",ABS(-LINEAS!$AE$10*DATOS!$C$67)&lt;0.00005),"*",LINEAS!$D$10&amp;" UNI GY "&amp;TEXT(-LINEAS!$AE$10*DATOS!$C$67,DATOS!$C$68))</f>
        <v>80 129 TO 132 UNI GY 0.9559</v>
      </c>
      <c r="C649" s="51" t="str">
        <f aca="false">IF(LEN($B649)&gt;79,"MÁS DE 79 CARACTERES","")</f>
        <v/>
      </c>
      <c r="D649" s="53" t="str">
        <f aca="false">IF(PRESIONES!$C$22="NO","",IF(OR(LINEAS!$D$10="",ABS(-LINEAS!$AU$10*DATOS!$C$67)&lt;0.00005),"*",LINEAS!$D$10&amp;" UNI GY "&amp;TEXT(-LINEAS!$AU$10*DATOS!$C$67,DATOS!$C$68)))</f>
        <v/>
      </c>
      <c r="E649" s="51" t="str">
        <f aca="false">IF(LEN($D649)&gt;79,"MÁS DE 79 CARACTERES","")</f>
        <v/>
      </c>
    </row>
    <row r="650" customFormat="false" ht="15" hidden="false" customHeight="true" outlineLevel="0" collapsed="false">
      <c r="B650" s="53" t="str">
        <f aca="false">IF(OR(LINEAS!$D$10="",DATOS!$C$22="—",ABS(LINEAS!$AM$10*DATOS!$C$67)&lt;0.00005),"*",LINEAS!$D$10&amp;" UNI G"&amp;DATOS!$C$22&amp;" "&amp;TEXT(LINEAS!$AM$10*DATOS!$C$67,DATOS!$C$68))</f>
        <v>80 129 TO 132 UNI GZ 0.0478</v>
      </c>
      <c r="C650" s="51" t="str">
        <f aca="false">IF(LEN($B650)&gt;79,"MÁS DE 79 CARACTERES","")</f>
        <v/>
      </c>
      <c r="D650" s="53" t="str">
        <f aca="false">IF(PRESIONES!$C$22="NO","",IF(OR(LINEAS!$D$10="",DATOS!$C$22="—",ABS(LINEAS!$BC$10*DATOS!$C$67)&lt;0.00005),"*",LINEAS!$D$10&amp;" UNI G"&amp;DATOS!$C$22&amp;" "&amp;TEXT(LINEAS!$BC$10*DATOS!$C$67,DATOS!$C$68)))</f>
        <v/>
      </c>
      <c r="E650" s="51" t="str">
        <f aca="false">IF(LEN($D650)&gt;79,"MÁS DE 79 CARACTERES","")</f>
        <v/>
      </c>
    </row>
    <row r="651" customFormat="false" ht="15" hidden="false" customHeight="true" outlineLevel="0" collapsed="false">
      <c r="B651" s="53" t="str">
        <f aca="false">IF(OR(LINEAS!$D$11="",ABS(-LINEAS!$AE$11*DATOS!$C$67)&lt;0.00005),"*",LINEAS!$D$11&amp;" UNI GY "&amp;TEXT(-LINEAS!$AE$11*DATOS!$C$67,DATOS!$C$68))</f>
        <v>79 125 TO 128 UNI GY 0.9559</v>
      </c>
      <c r="C651" s="51" t="str">
        <f aca="false">IF(LEN($B651)&gt;79,"MÁS DE 79 CARACTERES","")</f>
        <v/>
      </c>
      <c r="D651" s="53" t="str">
        <f aca="false">IF(PRESIONES!$C$22="NO","",IF(OR(LINEAS!$D$11="",ABS(-LINEAS!$AU$11*DATOS!$C$67)&lt;0.00005),"*",LINEAS!$D$11&amp;" UNI GY "&amp;TEXT(-LINEAS!$AU$11*DATOS!$C$67,DATOS!$C$68)))</f>
        <v/>
      </c>
      <c r="E651" s="51" t="str">
        <f aca="false">IF(LEN($D651)&gt;79,"MÁS DE 79 CARACTERES","")</f>
        <v/>
      </c>
    </row>
    <row r="652" customFormat="false" ht="15" hidden="false" customHeight="true" outlineLevel="0" collapsed="false">
      <c r="B652" s="53" t="str">
        <f aca="false">IF(OR(LINEAS!$D$11="",DATOS!$C$22="—",ABS(LINEAS!$AM$11*DATOS!$C$67)&lt;0.00005),"*",LINEAS!$D$11&amp;" UNI G"&amp;DATOS!$C$22&amp;" "&amp;TEXT(LINEAS!$AM$11*DATOS!$C$67,DATOS!$C$68))</f>
        <v>79 125 TO 128 UNI GZ 0.0478</v>
      </c>
      <c r="C652" s="51" t="str">
        <f aca="false">IF(LEN($B652)&gt;79,"MÁS DE 79 CARACTERES","")</f>
        <v/>
      </c>
      <c r="D652" s="53" t="str">
        <f aca="false">IF(PRESIONES!$C$22="NO","",IF(OR(LINEAS!$D$11="",DATOS!$C$22="—",ABS(LINEAS!$BC$11*DATOS!$C$67)&lt;0.00005),"*",LINEAS!$D$11&amp;" UNI G"&amp;DATOS!$C$22&amp;" "&amp;TEXT(LINEAS!$BC$11*DATOS!$C$67,DATOS!$C$68)))</f>
        <v/>
      </c>
      <c r="E652" s="51" t="str">
        <f aca="false">IF(LEN($D652)&gt;79,"MÁS DE 79 CARACTERES","")</f>
        <v/>
      </c>
    </row>
    <row r="653" customFormat="false" ht="15" hidden="false" customHeight="true" outlineLevel="0" collapsed="false">
      <c r="B653" s="53" t="str">
        <f aca="false">IF(OR(LINEAS!$D$12="",ABS(-LINEAS!$AE$12*DATOS!$C$67)&lt;0.00005),"*",LINEAS!$D$12&amp;" UNI GY "&amp;TEXT(-LINEAS!$AE$12*DATOS!$C$67,DATOS!$C$68))</f>
        <v>78 121 TO 124 UNI GY 0.9559</v>
      </c>
      <c r="C653" s="51" t="str">
        <f aca="false">IF(LEN($B653)&gt;79,"MÁS DE 79 CARACTERES","")</f>
        <v/>
      </c>
      <c r="D653" s="53" t="str">
        <f aca="false">IF(PRESIONES!$C$22="NO","",IF(OR(LINEAS!$D$12="",ABS(-LINEAS!$AU$12*DATOS!$C$67)&lt;0.00005),"*",LINEAS!$D$12&amp;" UNI GY "&amp;TEXT(-LINEAS!$AU$12*DATOS!$C$67,DATOS!$C$68)))</f>
        <v/>
      </c>
      <c r="E653" s="51" t="str">
        <f aca="false">IF(LEN($D653)&gt;79,"MÁS DE 79 CARACTERES","")</f>
        <v/>
      </c>
    </row>
    <row r="654" customFormat="false" ht="15" hidden="false" customHeight="true" outlineLevel="0" collapsed="false">
      <c r="B654" s="53" t="str">
        <f aca="false">IF(OR(LINEAS!$D$12="",DATOS!$C$22="—",ABS(LINEAS!$AM$12*DATOS!$C$67)&lt;0.00005),"*",LINEAS!$D$12&amp;" UNI G"&amp;DATOS!$C$22&amp;" "&amp;TEXT(LINEAS!$AM$12*DATOS!$C$67,DATOS!$C$68))</f>
        <v>78 121 TO 124 UNI GZ 0.0478</v>
      </c>
      <c r="C654" s="51" t="str">
        <f aca="false">IF(LEN($B654)&gt;79,"MÁS DE 79 CARACTERES","")</f>
        <v/>
      </c>
      <c r="D654" s="53" t="str">
        <f aca="false">IF(PRESIONES!$C$22="NO","",IF(OR(LINEAS!$D$12="",DATOS!$C$22="—",ABS(LINEAS!$BC$12*DATOS!$C$67)&lt;0.00005),"*",LINEAS!$D$12&amp;" UNI G"&amp;DATOS!$C$22&amp;" "&amp;TEXT(LINEAS!$BC$12*DATOS!$C$67,DATOS!$C$68)))</f>
        <v/>
      </c>
      <c r="E654" s="51" t="str">
        <f aca="false">IF(LEN($D654)&gt;79,"MÁS DE 79 CARACTERES","")</f>
        <v/>
      </c>
    </row>
    <row r="655" customFormat="false" ht="15" hidden="false" customHeight="true" outlineLevel="0" collapsed="false">
      <c r="B655" s="53" t="str">
        <f aca="false">IF(OR(LINEAS!$D$13="",ABS(-LINEAS!$AE$13*DATOS!$C$67)&lt;0.00005),"*",LINEAS!$D$13&amp;" UNI GY "&amp;TEXT(-LINEAS!$AE$13*DATOS!$C$67,DATOS!$C$68))</f>
        <v>77 117 TO 120 UNI GY 0.9559</v>
      </c>
      <c r="C655" s="51" t="str">
        <f aca="false">IF(LEN($B655)&gt;79,"MÁS DE 79 CARACTERES","")</f>
        <v/>
      </c>
      <c r="D655" s="53" t="str">
        <f aca="false">IF(PRESIONES!$C$22="NO","",IF(OR(LINEAS!$D$13="",ABS(-LINEAS!$AU$13*DATOS!$C$67)&lt;0.00005),"*",LINEAS!$D$13&amp;" UNI GY "&amp;TEXT(-LINEAS!$AU$13*DATOS!$C$67,DATOS!$C$68)))</f>
        <v/>
      </c>
      <c r="E655" s="51" t="str">
        <f aca="false">IF(LEN($D655)&gt;79,"MÁS DE 79 CARACTERES","")</f>
        <v/>
      </c>
    </row>
    <row r="656" customFormat="false" ht="15" hidden="false" customHeight="true" outlineLevel="0" collapsed="false">
      <c r="B656" s="53" t="str">
        <f aca="false">IF(OR(LINEAS!$D$13="",DATOS!$C$22="—",ABS(LINEAS!$AM$13*DATOS!$C$67)&lt;0.00005),"*",LINEAS!$D$13&amp;" UNI G"&amp;DATOS!$C$22&amp;" "&amp;TEXT(LINEAS!$AM$13*DATOS!$C$67,DATOS!$C$68))</f>
        <v>77 117 TO 120 UNI GZ 0.0478</v>
      </c>
      <c r="C656" s="51" t="str">
        <f aca="false">IF(LEN($B656)&gt;79,"MÁS DE 79 CARACTERES","")</f>
        <v/>
      </c>
      <c r="D656" s="53" t="str">
        <f aca="false">IF(PRESIONES!$C$22="NO","",IF(OR(LINEAS!$D$13="",DATOS!$C$22="—",ABS(LINEAS!$BC$13*DATOS!$C$67)&lt;0.00005),"*",LINEAS!$D$13&amp;" UNI G"&amp;DATOS!$C$22&amp;" "&amp;TEXT(LINEAS!$BC$13*DATOS!$C$67,DATOS!$C$68)))</f>
        <v/>
      </c>
      <c r="E656" s="51" t="str">
        <f aca="false">IF(LEN($D656)&gt;79,"MÁS DE 79 CARACTERES","")</f>
        <v/>
      </c>
    </row>
    <row r="657" customFormat="false" ht="15" hidden="false" customHeight="true" outlineLevel="0" collapsed="false">
      <c r="B657" s="53" t="str">
        <f aca="false">IF(OR(LINEAS!$D$14="",ABS(-LINEAS!$AE$14*DATOS!$C$67)&lt;0.00005),"*",LINEAS!$D$14&amp;" UNI GY "&amp;TEXT(-LINEAS!$AE$14*DATOS!$C$67,DATOS!$C$68))</f>
        <v>9 93 TO 96 UNI GY 0.9559</v>
      </c>
      <c r="C657" s="51" t="str">
        <f aca="false">IF(LEN($B657)&gt;79,"MÁS DE 79 CARACTERES","")</f>
        <v/>
      </c>
      <c r="D657" s="53" t="str">
        <f aca="false">IF(PRESIONES!$C$22="NO","",IF(OR(LINEAS!$D$14="",ABS(-LINEAS!$AU$14*DATOS!$C$67)&lt;0.00005),"*",LINEAS!$D$14&amp;" UNI GY "&amp;TEXT(-LINEAS!$AU$14*DATOS!$C$67,DATOS!$C$68)))</f>
        <v/>
      </c>
      <c r="E657" s="51" t="str">
        <f aca="false">IF(LEN($D657)&gt;79,"MÁS DE 79 CARACTERES","")</f>
        <v/>
      </c>
    </row>
    <row r="658" customFormat="false" ht="15" hidden="false" customHeight="true" outlineLevel="0" collapsed="false">
      <c r="B658" s="53" t="str">
        <f aca="false">IF(OR(LINEAS!$D$14="",DATOS!$C$22="—",ABS(LINEAS!$AM$14*DATOS!$C$67)&lt;0.00005),"*",LINEAS!$D$14&amp;" UNI G"&amp;DATOS!$C$22&amp;" "&amp;TEXT(LINEAS!$AM$14*DATOS!$C$67,DATOS!$C$68))</f>
        <v>9 93 TO 96 UNI GZ 0.0478</v>
      </c>
      <c r="C658" s="51" t="str">
        <f aca="false">IF(LEN($B658)&gt;79,"MÁS DE 79 CARACTERES","")</f>
        <v/>
      </c>
      <c r="D658" s="53" t="str">
        <f aca="false">IF(PRESIONES!$C$22="NO","",IF(OR(LINEAS!$D$14="",DATOS!$C$22="—",ABS(LINEAS!$BC$14*DATOS!$C$67)&lt;0.00005),"*",LINEAS!$D$14&amp;" UNI G"&amp;DATOS!$C$22&amp;" "&amp;TEXT(LINEAS!$BC$14*DATOS!$C$67,DATOS!$C$68)))</f>
        <v/>
      </c>
      <c r="E658" s="51" t="str">
        <f aca="false">IF(LEN($D658)&gt;79,"MÁS DE 79 CARACTERES","")</f>
        <v/>
      </c>
    </row>
    <row r="659" customFormat="false" ht="15" hidden="false" customHeight="true" outlineLevel="0" collapsed="false">
      <c r="B659" s="53" t="str">
        <f aca="false">IF(OR(LINEAS!$D$15="",ABS(-LINEAS!$AE$15*DATOS!$C$67)&lt;0.00005),"*",LINEAS!$D$15&amp;" UNI GY "&amp;TEXT(-LINEAS!$AE$15*DATOS!$C$67,DATOS!$C$68))</f>
        <v>76 113 TO 116 UNI GY 0.9559</v>
      </c>
      <c r="C659" s="51" t="str">
        <f aca="false">IF(LEN($B659)&gt;79,"MÁS DE 79 CARACTERES","")</f>
        <v/>
      </c>
      <c r="D659" s="53" t="str">
        <f aca="false">IF(PRESIONES!$C$22="NO","",IF(OR(LINEAS!$D$15="",ABS(-LINEAS!$AU$15*DATOS!$C$67)&lt;0.00005),"*",LINEAS!$D$15&amp;" UNI GY "&amp;TEXT(-LINEAS!$AU$15*DATOS!$C$67,DATOS!$C$68)))</f>
        <v/>
      </c>
      <c r="E659" s="51" t="str">
        <f aca="false">IF(LEN($D659)&gt;79,"MÁS DE 79 CARACTERES","")</f>
        <v/>
      </c>
    </row>
    <row r="660" customFormat="false" ht="15" hidden="false" customHeight="true" outlineLevel="0" collapsed="false">
      <c r="B660" s="53" t="str">
        <f aca="false">IF(OR(LINEAS!$D$15="",DATOS!$C$22="—",ABS(LINEAS!$AM$15*DATOS!$C$67)&lt;0.00005),"*",LINEAS!$D$15&amp;" UNI G"&amp;DATOS!$C$22&amp;" "&amp;TEXT(LINEAS!$AM$15*DATOS!$C$67,DATOS!$C$68))</f>
        <v>76 113 TO 116 UNI GZ 0.0478</v>
      </c>
      <c r="C660" s="51" t="str">
        <f aca="false">IF(LEN($B660)&gt;79,"MÁS DE 79 CARACTERES","")</f>
        <v/>
      </c>
      <c r="D660" s="53" t="str">
        <f aca="false">IF(PRESIONES!$C$22="NO","",IF(OR(LINEAS!$D$15="",DATOS!$C$22="—",ABS(LINEAS!$BC$15*DATOS!$C$67)&lt;0.00005),"*",LINEAS!$D$15&amp;" UNI G"&amp;DATOS!$C$22&amp;" "&amp;TEXT(LINEAS!$BC$15*DATOS!$C$67,DATOS!$C$68)))</f>
        <v/>
      </c>
      <c r="E660" s="51" t="str">
        <f aca="false">IF(LEN($D660)&gt;79,"MÁS DE 79 CARACTERES","")</f>
        <v/>
      </c>
    </row>
    <row r="661" customFormat="false" ht="15" hidden="false" customHeight="true" outlineLevel="0" collapsed="false">
      <c r="B661" s="53" t="str">
        <f aca="false">IF(OR(LINEAS!$D$16="",ABS(-LINEAS!$AE$16*DATOS!$C$67)&lt;0.00005),"*",LINEAS!$D$16&amp;" UNI GY "&amp;TEXT(-LINEAS!$AE$16*DATOS!$C$67,DATOS!$C$68))</f>
        <v>75 109 TO 112 UNI GY 0.9559</v>
      </c>
      <c r="C661" s="51" t="str">
        <f aca="false">IF(LEN($B661)&gt;79,"MÁS DE 79 CARACTERES","")</f>
        <v/>
      </c>
      <c r="D661" s="53" t="str">
        <f aca="false">IF(PRESIONES!$C$22="NO","",IF(OR(LINEAS!$D$16="",ABS(-LINEAS!$AU$16*DATOS!$C$67)&lt;0.00005),"*",LINEAS!$D$16&amp;" UNI GY "&amp;TEXT(-LINEAS!$AU$16*DATOS!$C$67,DATOS!$C$68)))</f>
        <v/>
      </c>
      <c r="E661" s="51" t="str">
        <f aca="false">IF(LEN($D661)&gt;79,"MÁS DE 79 CARACTERES","")</f>
        <v/>
      </c>
    </row>
    <row r="662" customFormat="false" ht="15" hidden="false" customHeight="true" outlineLevel="0" collapsed="false">
      <c r="B662" s="53" t="str">
        <f aca="false">IF(OR(LINEAS!$D$16="",DATOS!$C$22="—",ABS(LINEAS!$AM$16*DATOS!$C$67)&lt;0.00005),"*",LINEAS!$D$16&amp;" UNI G"&amp;DATOS!$C$22&amp;" "&amp;TEXT(LINEAS!$AM$16*DATOS!$C$67,DATOS!$C$68))</f>
        <v>75 109 TO 112 UNI GZ 0.0478</v>
      </c>
      <c r="C662" s="51" t="str">
        <f aca="false">IF(LEN($B662)&gt;79,"MÁS DE 79 CARACTERES","")</f>
        <v/>
      </c>
      <c r="D662" s="53" t="str">
        <f aca="false">IF(PRESIONES!$C$22="NO","",IF(OR(LINEAS!$D$16="",DATOS!$C$22="—",ABS(LINEAS!$BC$16*DATOS!$C$67)&lt;0.00005),"*",LINEAS!$D$16&amp;" UNI G"&amp;DATOS!$C$22&amp;" "&amp;TEXT(LINEAS!$BC$16*DATOS!$C$67,DATOS!$C$68)))</f>
        <v/>
      </c>
      <c r="E662" s="51" t="str">
        <f aca="false">IF(LEN($D662)&gt;79,"MÁS DE 79 CARACTERES","")</f>
        <v/>
      </c>
    </row>
    <row r="663" customFormat="false" ht="15" hidden="false" customHeight="true" outlineLevel="0" collapsed="false">
      <c r="B663" s="53" t="str">
        <f aca="false">IF(OR(LINEAS!$D$17="",ABS(-LINEAS!$AE$17*DATOS!$C$67)&lt;0.00005),"*",LINEAS!$D$17&amp;" UNI GY "&amp;TEXT(-LINEAS!$AE$17*DATOS!$C$67,DATOS!$C$68))</f>
        <v>74 105 TO 108 UNI GY 0.9559</v>
      </c>
      <c r="C663" s="51" t="str">
        <f aca="false">IF(LEN($B663)&gt;79,"MÁS DE 79 CARACTERES","")</f>
        <v/>
      </c>
      <c r="D663" s="53" t="str">
        <f aca="false">IF(PRESIONES!$C$22="NO","",IF(OR(LINEAS!$D$17="",ABS(-LINEAS!$AU$17*DATOS!$C$67)&lt;0.00005),"*",LINEAS!$D$17&amp;" UNI GY "&amp;TEXT(-LINEAS!$AU$17*DATOS!$C$67,DATOS!$C$68)))</f>
        <v/>
      </c>
      <c r="E663" s="51" t="str">
        <f aca="false">IF(LEN($D663)&gt;79,"MÁS DE 79 CARACTERES","")</f>
        <v/>
      </c>
    </row>
    <row r="664" customFormat="false" ht="15" hidden="false" customHeight="true" outlineLevel="0" collapsed="false">
      <c r="B664" s="53" t="str">
        <f aca="false">IF(OR(LINEAS!$D$17="",DATOS!$C$22="—",ABS(LINEAS!$AM$17*DATOS!$C$67)&lt;0.00005),"*",LINEAS!$D$17&amp;" UNI G"&amp;DATOS!$C$22&amp;" "&amp;TEXT(LINEAS!$AM$17*DATOS!$C$67,DATOS!$C$68))</f>
        <v>74 105 TO 108 UNI GZ 0.0478</v>
      </c>
      <c r="C664" s="51" t="str">
        <f aca="false">IF(LEN($B664)&gt;79,"MÁS DE 79 CARACTERES","")</f>
        <v/>
      </c>
      <c r="D664" s="53" t="str">
        <f aca="false">IF(PRESIONES!$C$22="NO","",IF(OR(LINEAS!$D$17="",DATOS!$C$22="—",ABS(LINEAS!$BC$17*DATOS!$C$67)&lt;0.00005),"*",LINEAS!$D$17&amp;" UNI G"&amp;DATOS!$C$22&amp;" "&amp;TEXT(LINEAS!$BC$17*DATOS!$C$67,DATOS!$C$68)))</f>
        <v/>
      </c>
      <c r="E664" s="51" t="str">
        <f aca="false">IF(LEN($D664)&gt;79,"MÁS DE 79 CARACTERES","")</f>
        <v/>
      </c>
    </row>
    <row r="665" customFormat="false" ht="15" hidden="false" customHeight="true" outlineLevel="0" collapsed="false">
      <c r="B665" s="53" t="str">
        <f aca="false">IF(OR(LINEAS!$D$18="",ABS(-LINEAS!$AE$18*DATOS!$C$67)&lt;0.00005),"*",LINEAS!$D$18&amp;" UNI GY "&amp;TEXT(-LINEAS!$AE$18*DATOS!$C$67,DATOS!$C$68))</f>
        <v>73 101 TO 104 UNI GY 0.9559</v>
      </c>
      <c r="C665" s="51" t="str">
        <f aca="false">IF(LEN($B665)&gt;79,"MÁS DE 79 CARACTERES","")</f>
        <v/>
      </c>
      <c r="D665" s="53" t="str">
        <f aca="false">IF(PRESIONES!$C$22="NO","",IF(OR(LINEAS!$D$18="",ABS(-LINEAS!$AU$18*DATOS!$C$67)&lt;0.00005),"*",LINEAS!$D$18&amp;" UNI GY "&amp;TEXT(-LINEAS!$AU$18*DATOS!$C$67,DATOS!$C$68)))</f>
        <v/>
      </c>
      <c r="E665" s="51" t="str">
        <f aca="false">IF(LEN($D665)&gt;79,"MÁS DE 79 CARACTERES","")</f>
        <v/>
      </c>
    </row>
    <row r="666" customFormat="false" ht="15" hidden="false" customHeight="true" outlineLevel="0" collapsed="false">
      <c r="B666" s="53" t="str">
        <f aca="false">IF(OR(LINEAS!$D$18="",DATOS!$C$22="—",ABS(LINEAS!$AM$18*DATOS!$C$67)&lt;0.00005),"*",LINEAS!$D$18&amp;" UNI G"&amp;DATOS!$C$22&amp;" "&amp;TEXT(LINEAS!$AM$18*DATOS!$C$67,DATOS!$C$68))</f>
        <v>73 101 TO 104 UNI GZ 0.0478</v>
      </c>
      <c r="C666" s="51" t="str">
        <f aca="false">IF(LEN($B666)&gt;79,"MÁS DE 79 CARACTERES","")</f>
        <v/>
      </c>
      <c r="D666" s="53" t="str">
        <f aca="false">IF(PRESIONES!$C$22="NO","",IF(OR(LINEAS!$D$18="",DATOS!$C$22="—",ABS(LINEAS!$BC$18*DATOS!$C$67)&lt;0.00005),"*",LINEAS!$D$18&amp;" UNI G"&amp;DATOS!$C$22&amp;" "&amp;TEXT(LINEAS!$BC$18*DATOS!$C$67,DATOS!$C$68)))</f>
        <v/>
      </c>
      <c r="E666" s="51" t="str">
        <f aca="false">IF(LEN($D666)&gt;79,"MÁS DE 79 CARACTERES","")</f>
        <v/>
      </c>
    </row>
    <row r="667" customFormat="false" ht="15" hidden="false" customHeight="true" outlineLevel="0" collapsed="false">
      <c r="B667" s="53" t="str">
        <f aca="false">IF(OR(LINEAS!$D$19="",ABS(-LINEAS!$AE$19*DATOS!$C$67)&lt;0.00005),"*",LINEAS!$D$19&amp;" UNI GY "&amp;TEXT(-LINEAS!$AE$19*DATOS!$C$67,DATOS!$C$68))</f>
        <v>8 89 TO 92 UNI GY 0.9205</v>
      </c>
      <c r="C667" s="51" t="str">
        <f aca="false">IF(LEN($B667)&gt;79,"MÁS DE 79 CARACTERES","")</f>
        <v/>
      </c>
      <c r="D667" s="53" t="str">
        <f aca="false">IF(PRESIONES!$C$22="NO","",IF(OR(LINEAS!$D$19="",ABS(-LINEAS!$AU$19*DATOS!$C$67)&lt;0.00005),"*",LINEAS!$D$19&amp;" UNI GY "&amp;TEXT(-LINEAS!$AU$19*DATOS!$C$67,DATOS!$C$68)))</f>
        <v/>
      </c>
      <c r="E667" s="51" t="str">
        <f aca="false">IF(LEN($D667)&gt;79,"MÁS DE 79 CARACTERES","")</f>
        <v/>
      </c>
    </row>
    <row r="668" customFormat="false" ht="15" hidden="false" customHeight="true" outlineLevel="0" collapsed="false">
      <c r="B668" s="53" t="str">
        <f aca="false">IF(OR(LINEAS!$D$19="",DATOS!$C$22="—",ABS(LINEAS!$AM$19*DATOS!$C$67)&lt;0.00005),"*",LINEAS!$D$19&amp;" UNI G"&amp;DATOS!$C$22&amp;" "&amp;TEXT(LINEAS!$AM$19*DATOS!$C$67,DATOS!$C$68))</f>
        <v>8 89 TO 92 UNI GZ 0.0460</v>
      </c>
      <c r="C668" s="51" t="str">
        <f aca="false">IF(LEN($B668)&gt;79,"MÁS DE 79 CARACTERES","")</f>
        <v/>
      </c>
      <c r="D668" s="53" t="str">
        <f aca="false">IF(PRESIONES!$C$22="NO","",IF(OR(LINEAS!$D$19="",DATOS!$C$22="—",ABS(LINEAS!$BC$19*DATOS!$C$67)&lt;0.00005),"*",LINEAS!$D$19&amp;" UNI G"&amp;DATOS!$C$22&amp;" "&amp;TEXT(LINEAS!$BC$19*DATOS!$C$67,DATOS!$C$68)))</f>
        <v/>
      </c>
      <c r="E668" s="51" t="str">
        <f aca="false">IF(LEN($D668)&gt;79,"MÁS DE 79 CARACTERES","")</f>
        <v/>
      </c>
    </row>
    <row r="669" customFormat="false" ht="15" hidden="false" customHeight="true" outlineLevel="0" collapsed="false">
      <c r="B669" s="53" t="str">
        <f aca="false">IF(OR(LINEAS!$D$20="",ABS(-LINEAS!$AE$20*DATOS!$C$67)&lt;0.00005),"*",LINEAS!$D$20&amp;" UNI GY "&amp;TEXT(-LINEAS!$AE$20*DATOS!$C$67,DATOS!$C$68))</f>
        <v>56 97 TO 100 UNI GY 0.8851</v>
      </c>
      <c r="C669" s="51" t="str">
        <f aca="false">IF(LEN($B669)&gt;79,"MÁS DE 79 CARACTERES","")</f>
        <v/>
      </c>
      <c r="D669" s="53" t="str">
        <f aca="false">IF(PRESIONES!$C$22="NO","",IF(OR(LINEAS!$D$20="",ABS(-LINEAS!$AU$20*DATOS!$C$67)&lt;0.00005),"*",LINEAS!$D$20&amp;" UNI GY "&amp;TEXT(-LINEAS!$AU$20*DATOS!$C$67,DATOS!$C$68)))</f>
        <v/>
      </c>
      <c r="E669" s="51" t="str">
        <f aca="false">IF(LEN($D669)&gt;79,"MÁS DE 79 CARACTERES","")</f>
        <v/>
      </c>
    </row>
    <row r="670" customFormat="false" ht="15" hidden="false" customHeight="true" outlineLevel="0" collapsed="false">
      <c r="B670" s="53" t="str">
        <f aca="false">IF(OR(LINEAS!$D$20="",DATOS!$C$22="—",ABS(LINEAS!$AM$20*DATOS!$C$67)&lt;0.00005),"*",LINEAS!$D$20&amp;" UNI G"&amp;DATOS!$C$22&amp;" "&amp;TEXT(LINEAS!$AM$20*DATOS!$C$67,DATOS!$C$68))</f>
        <v>56 97 TO 100 UNI GZ 0.0443</v>
      </c>
      <c r="C670" s="51" t="str">
        <f aca="false">IF(LEN($B670)&gt;79,"MÁS DE 79 CARACTERES","")</f>
        <v/>
      </c>
      <c r="D670" s="53" t="str">
        <f aca="false">IF(PRESIONES!$C$22="NO","",IF(OR(LINEAS!$D$20="",DATOS!$C$22="—",ABS(LINEAS!$BC$20*DATOS!$C$67)&lt;0.00005),"*",LINEAS!$D$20&amp;" UNI G"&amp;DATOS!$C$22&amp;" "&amp;TEXT(LINEAS!$BC$20*DATOS!$C$67,DATOS!$C$68)))</f>
        <v/>
      </c>
      <c r="E670" s="51" t="str">
        <f aca="false">IF(LEN($D670)&gt;79,"MÁS DE 79 CARACTERES","")</f>
        <v/>
      </c>
    </row>
    <row r="671" customFormat="false" ht="15" hidden="false" customHeight="true" outlineLevel="0" collapsed="false">
      <c r="B671" s="53" t="str">
        <f aca="false">IF(OR(LINEAS!$D$21="",ABS(-LINEAS!$AE$21*DATOS!$C$67)&lt;0.00005),"*",LINEAS!$D$21&amp;" UNI GY "&amp;TEXT(-LINEAS!$AE$21*DATOS!$C$67,DATOS!$C$68))</f>
        <v>7 81 TO 84 UNI GY 0.4425</v>
      </c>
      <c r="C671" s="51" t="str">
        <f aca="false">IF(LEN($B671)&gt;79,"MÁS DE 79 CARACTERES","")</f>
        <v/>
      </c>
      <c r="D671" s="53" t="str">
        <f aca="false">IF(PRESIONES!$C$22="NO","",IF(OR(LINEAS!$D$21="",ABS(-LINEAS!$AU$21*DATOS!$C$67)&lt;0.00005),"*",LINEAS!$D$21&amp;" UNI GY "&amp;TEXT(-LINEAS!$AU$21*DATOS!$C$67,DATOS!$C$68)))</f>
        <v/>
      </c>
      <c r="E671" s="51" t="str">
        <f aca="false">IF(LEN($D671)&gt;79,"MÁS DE 79 CARACTERES","")</f>
        <v/>
      </c>
    </row>
    <row r="672" customFormat="false" ht="15" hidden="false" customHeight="true" outlineLevel="0" collapsed="false">
      <c r="B672" s="53" t="str">
        <f aca="false">IF(OR(LINEAS!$D$21="",DATOS!$C$22="—",ABS(LINEAS!$AM$21*DATOS!$C$67)&lt;0.00005),"*",LINEAS!$D$21&amp;" UNI G"&amp;DATOS!$C$22&amp;" "&amp;TEXT(LINEAS!$AM$21*DATOS!$C$67,DATOS!$C$68))</f>
        <v>7 81 TO 84 UNI GZ 0.0221</v>
      </c>
      <c r="C672" s="51" t="str">
        <f aca="false">IF(LEN($B672)&gt;79,"MÁS DE 79 CARACTERES","")</f>
        <v/>
      </c>
      <c r="D672" s="53" t="str">
        <f aca="false">IF(PRESIONES!$C$22="NO","",IF(OR(LINEAS!$D$21="",DATOS!$C$22="—",ABS(LINEAS!$BC$21*DATOS!$C$67)&lt;0.00005),"*",LINEAS!$D$21&amp;" UNI G"&amp;DATOS!$C$22&amp;" "&amp;TEXT(LINEAS!$BC$21*DATOS!$C$67,DATOS!$C$68)))</f>
        <v/>
      </c>
      <c r="E672" s="51" t="str">
        <f aca="false">IF(LEN($D672)&gt;79,"MÁS DE 79 CARACTERES","")</f>
        <v/>
      </c>
    </row>
    <row r="673" customFormat="false" ht="15" hidden="false" customHeight="true" outlineLevel="0" collapsed="false">
      <c r="B673" s="53" t="str">
        <f aca="false">IF(OR(LINEAS!$D$22="",ABS(-LINEAS!$AE$22*DATOS!$C$67)&lt;0.00005),"*",LINEAS!$D$22&amp;" UNI GY "&amp;TEXT(-LINEAS!$AE$22*DATOS!$C$67,DATOS!$C$68))</f>
        <v>*</v>
      </c>
      <c r="C673" s="51" t="str">
        <f aca="false">IF(LEN($B673)&gt;79,"MÁS DE 79 CARACTERES","")</f>
        <v/>
      </c>
      <c r="D673" s="53" t="str">
        <f aca="false">IF(PRESIONES!$C$22="NO","",IF(OR(LINEAS!$D$22="",ABS(-LINEAS!$AU$22*DATOS!$C$67)&lt;0.00005),"*",LINEAS!$D$22&amp;" UNI GY "&amp;TEXT(-LINEAS!$AU$22*DATOS!$C$67,DATOS!$C$68)))</f>
        <v/>
      </c>
      <c r="E673" s="51" t="str">
        <f aca="false">IF(LEN($D673)&gt;79,"MÁS DE 79 CARACTERES","")</f>
        <v/>
      </c>
    </row>
    <row r="674" customFormat="false" ht="15" hidden="false" customHeight="true" outlineLevel="0" collapsed="false">
      <c r="B674" s="53" t="str">
        <f aca="false">IF(OR(LINEAS!$D$22="",DATOS!$C$22="—",ABS(LINEAS!$AM$22*DATOS!$C$67)&lt;0.00005),"*",LINEAS!$D$22&amp;" UNI G"&amp;DATOS!$C$22&amp;" "&amp;TEXT(LINEAS!$AM$22*DATOS!$C$67,DATOS!$C$68))</f>
        <v>*</v>
      </c>
      <c r="C674" s="51" t="str">
        <f aca="false">IF(LEN($B674)&gt;79,"MÁS DE 79 CARACTERES","")</f>
        <v/>
      </c>
      <c r="D674" s="53" t="str">
        <f aca="false">IF(PRESIONES!$C$22="NO","",IF(OR(LINEAS!$D$22="",DATOS!$C$22="—",ABS(LINEAS!$BC$22*DATOS!$C$67)&lt;0.00005),"*",LINEAS!$D$22&amp;" UNI G"&amp;DATOS!$C$22&amp;" "&amp;TEXT(LINEAS!$BC$22*DATOS!$C$67,DATOS!$C$68)))</f>
        <v/>
      </c>
      <c r="E674" s="51" t="str">
        <f aca="false">IF(LEN($D674)&gt;79,"MÁS DE 79 CARACTERES","")</f>
        <v/>
      </c>
    </row>
    <row r="675" customFormat="false" ht="15" hidden="false" customHeight="true" outlineLevel="0" collapsed="false">
      <c r="B675" s="53" t="str">
        <f aca="false">IF(OR(LINEAS!$D$23="",ABS(-LINEAS!$AE$23*DATOS!$C$67)&lt;0.00005),"*",LINEAS!$D$23&amp;" UNI GY "&amp;TEXT(-LINEAS!$AE$23*DATOS!$C$67,DATOS!$C$68))</f>
        <v>*</v>
      </c>
      <c r="C675" s="51" t="str">
        <f aca="false">IF(LEN($B675)&gt;79,"MÁS DE 79 CARACTERES","")</f>
        <v/>
      </c>
      <c r="D675" s="53" t="str">
        <f aca="false">IF(PRESIONES!$C$22="NO","",IF(OR(LINEAS!$D$23="",ABS(-LINEAS!$AU$23*DATOS!$C$67)&lt;0.00005),"*",LINEAS!$D$23&amp;" UNI GY "&amp;TEXT(-LINEAS!$AU$23*DATOS!$C$67,DATOS!$C$68)))</f>
        <v/>
      </c>
      <c r="E675" s="51" t="str">
        <f aca="false">IF(LEN($D675)&gt;79,"MÁS DE 79 CARACTERES","")</f>
        <v/>
      </c>
    </row>
    <row r="676" customFormat="false" ht="15" hidden="false" customHeight="true" outlineLevel="0" collapsed="false">
      <c r="B676" s="53" t="str">
        <f aca="false">IF(OR(LINEAS!$D$23="",DATOS!$C$22="—",ABS(LINEAS!$AM$23*DATOS!$C$67)&lt;0.00005),"*",LINEAS!$D$23&amp;" UNI G"&amp;DATOS!$C$22&amp;" "&amp;TEXT(LINEAS!$AM$23*DATOS!$C$67,DATOS!$C$68))</f>
        <v>*</v>
      </c>
      <c r="C676" s="51" t="str">
        <f aca="false">IF(LEN($B676)&gt;79,"MÁS DE 79 CARACTERES","")</f>
        <v/>
      </c>
      <c r="D676" s="53" t="str">
        <f aca="false">IF(PRESIONES!$C$22="NO","",IF(OR(LINEAS!$D$23="",DATOS!$C$22="—",ABS(LINEAS!$BC$23*DATOS!$C$67)&lt;0.00005),"*",LINEAS!$D$23&amp;" UNI G"&amp;DATOS!$C$22&amp;" "&amp;TEXT(LINEAS!$BC$23*DATOS!$C$67,DATOS!$C$68)))</f>
        <v/>
      </c>
      <c r="E676" s="51" t="str">
        <f aca="false">IF(LEN($D676)&gt;79,"MÁS DE 79 CARACTERES","")</f>
        <v/>
      </c>
    </row>
    <row r="677" customFormat="false" ht="15" hidden="false" customHeight="true" outlineLevel="0" collapsed="false">
      <c r="B677" s="53" t="str">
        <f aca="false">IF(OR(LINEAS!$D$24="",ABS(-LINEAS!$AE$24*DATOS!$C$67)&lt;0.00005),"*",LINEAS!$D$24&amp;" UNI GY "&amp;TEXT(-LINEAS!$AE$24*DATOS!$C$67,DATOS!$C$68))</f>
        <v>*</v>
      </c>
      <c r="C677" s="51" t="str">
        <f aca="false">IF(LEN($B677)&gt;79,"MÁS DE 79 CARACTERES","")</f>
        <v/>
      </c>
      <c r="D677" s="53" t="str">
        <f aca="false">IF(PRESIONES!$C$22="NO","",IF(OR(LINEAS!$D$24="",ABS(-LINEAS!$AU$24*DATOS!$C$67)&lt;0.00005),"*",LINEAS!$D$24&amp;" UNI GY "&amp;TEXT(-LINEAS!$AU$24*DATOS!$C$67,DATOS!$C$68)))</f>
        <v/>
      </c>
      <c r="E677" s="51" t="str">
        <f aca="false">IF(LEN($D677)&gt;79,"MÁS DE 79 CARACTERES","")</f>
        <v/>
      </c>
    </row>
    <row r="678" customFormat="false" ht="15" hidden="false" customHeight="true" outlineLevel="0" collapsed="false">
      <c r="B678" s="53" t="str">
        <f aca="false">IF(OR(LINEAS!$D$24="",DATOS!$C$22="—",ABS(LINEAS!$AM$24*DATOS!$C$67)&lt;0.00005),"*",LINEAS!$D$24&amp;" UNI G"&amp;DATOS!$C$22&amp;" "&amp;TEXT(LINEAS!$AM$24*DATOS!$C$67,DATOS!$C$68))</f>
        <v>*</v>
      </c>
      <c r="C678" s="51" t="str">
        <f aca="false">IF(LEN($B678)&gt;79,"MÁS DE 79 CARACTERES","")</f>
        <v/>
      </c>
      <c r="D678" s="53" t="str">
        <f aca="false">IF(PRESIONES!$C$22="NO","",IF(OR(LINEAS!$D$24="",DATOS!$C$22="—",ABS(LINEAS!$BC$24*DATOS!$C$67)&lt;0.00005),"*",LINEAS!$D$24&amp;" UNI G"&amp;DATOS!$C$22&amp;" "&amp;TEXT(LINEAS!$BC$24*DATOS!$C$67,DATOS!$C$68)))</f>
        <v/>
      </c>
      <c r="E678" s="51" t="str">
        <f aca="false">IF(LEN($D678)&gt;79,"MÁS DE 79 CARACTERES","")</f>
        <v/>
      </c>
    </row>
    <row r="679" customFormat="false" ht="15" hidden="false" customHeight="true" outlineLevel="0" collapsed="false">
      <c r="B679" s="53" t="str">
        <f aca="false">IF(OR(LINEAS!$D$25="",ABS(-LINEAS!$AE$25*DATOS!$C$67)&lt;0.00005),"*",LINEAS!$D$25&amp;" UNI GY "&amp;TEXT(-LINEAS!$AE$25*DATOS!$C$67,DATOS!$C$68))</f>
        <v>*</v>
      </c>
      <c r="C679" s="51" t="str">
        <f aca="false">IF(LEN($B679)&gt;79,"MÁS DE 79 CARACTERES","")</f>
        <v/>
      </c>
      <c r="D679" s="53" t="str">
        <f aca="false">IF(PRESIONES!$C$22="NO","",IF(OR(LINEAS!$D$25="",ABS(-LINEAS!$AU$25*DATOS!$C$67)&lt;0.00005),"*",LINEAS!$D$25&amp;" UNI GY "&amp;TEXT(-LINEAS!$AU$25*DATOS!$C$67,DATOS!$C$68)))</f>
        <v/>
      </c>
      <c r="E679" s="51" t="str">
        <f aca="false">IF(LEN($D679)&gt;79,"MÁS DE 79 CARACTERES","")</f>
        <v/>
      </c>
    </row>
    <row r="680" customFormat="false" ht="15" hidden="false" customHeight="true" outlineLevel="0" collapsed="false">
      <c r="B680" s="53" t="str">
        <f aca="false">IF(OR(LINEAS!$D$25="",DATOS!$C$22="—",ABS(LINEAS!$AM$25*DATOS!$C$67)&lt;0.00005),"*",LINEAS!$D$25&amp;" UNI G"&amp;DATOS!$C$22&amp;" "&amp;TEXT(LINEAS!$AM$25*DATOS!$C$67,DATOS!$C$68))</f>
        <v>*</v>
      </c>
      <c r="C680" s="51" t="str">
        <f aca="false">IF(LEN($B680)&gt;79,"MÁS DE 79 CARACTERES","")</f>
        <v/>
      </c>
      <c r="D680" s="53" t="str">
        <f aca="false">IF(PRESIONES!$C$22="NO","",IF(OR(LINEAS!$D$25="",DATOS!$C$22="—",ABS(LINEAS!$BC$25*DATOS!$C$67)&lt;0.00005),"*",LINEAS!$D$25&amp;" UNI G"&amp;DATOS!$C$22&amp;" "&amp;TEXT(LINEAS!$BC$25*DATOS!$C$67,DATOS!$C$68)))</f>
        <v/>
      </c>
      <c r="E680" s="51" t="str">
        <f aca="false">IF(LEN($D680)&gt;79,"MÁS DE 79 CARACTERES","")</f>
        <v/>
      </c>
    </row>
    <row r="681" customFormat="false" ht="15" hidden="false" customHeight="true" outlineLevel="0" collapsed="false">
      <c r="B681" s="53" t="str">
        <f aca="false">IF(OR(LINEAS!$D$26="",ABS(-LINEAS!$AE$26*DATOS!$C$67)&lt;0.00005),"*",LINEAS!$D$26&amp;" UNI GY "&amp;TEXT(-LINEAS!$AE$26*DATOS!$C$67,DATOS!$C$68))</f>
        <v>*</v>
      </c>
      <c r="C681" s="51" t="str">
        <f aca="false">IF(LEN($B681)&gt;79,"MÁS DE 79 CARACTERES","")</f>
        <v/>
      </c>
      <c r="D681" s="53" t="str">
        <f aca="false">IF(PRESIONES!$C$22="NO","",IF(OR(LINEAS!$D$26="",ABS(-LINEAS!$AU$26*DATOS!$C$67)&lt;0.00005),"*",LINEAS!$D$26&amp;" UNI GY "&amp;TEXT(-LINEAS!$AU$26*DATOS!$C$67,DATOS!$C$68)))</f>
        <v/>
      </c>
      <c r="E681" s="51" t="str">
        <f aca="false">IF(LEN($D681)&gt;79,"MÁS DE 79 CARACTERES","")</f>
        <v/>
      </c>
    </row>
    <row r="682" customFormat="false" ht="15" hidden="false" customHeight="true" outlineLevel="0" collapsed="false">
      <c r="B682" s="53" t="str">
        <f aca="false">IF(OR(LINEAS!$D$26="",DATOS!$C$22="—",ABS(LINEAS!$AM$26*DATOS!$C$67)&lt;0.00005),"*",LINEAS!$D$26&amp;" UNI G"&amp;DATOS!$C$22&amp;" "&amp;TEXT(LINEAS!$AM$26*DATOS!$C$67,DATOS!$C$68))</f>
        <v>*</v>
      </c>
      <c r="C682" s="51" t="str">
        <f aca="false">IF(LEN($B682)&gt;79,"MÁS DE 79 CARACTERES","")</f>
        <v/>
      </c>
      <c r="D682" s="53" t="str">
        <f aca="false">IF(PRESIONES!$C$22="NO","",IF(OR(LINEAS!$D$26="",DATOS!$C$22="—",ABS(LINEAS!$BC$26*DATOS!$C$67)&lt;0.00005),"*",LINEAS!$D$26&amp;" UNI G"&amp;DATOS!$C$22&amp;" "&amp;TEXT(LINEAS!$BC$26*DATOS!$C$67,DATOS!$C$68)))</f>
        <v/>
      </c>
      <c r="E682" s="51" t="str">
        <f aca="false">IF(LEN($D682)&gt;79,"MÁS DE 79 CARACTERES","")</f>
        <v/>
      </c>
    </row>
    <row r="683" customFormat="false" ht="15" hidden="false" customHeight="true" outlineLevel="0" collapsed="false">
      <c r="B683" s="53" t="str">
        <f aca="false">IF(OR(LINEAS!$D$27="",ABS(-LINEAS!$AE$27*DATOS!$C$67)&lt;0.00005),"*",LINEAS!$D$27&amp;" UNI GY "&amp;TEXT(-LINEAS!$AE$27*DATOS!$C$67,DATOS!$C$68))</f>
        <v>*</v>
      </c>
      <c r="C683" s="51" t="str">
        <f aca="false">IF(LEN($B683)&gt;79,"MÁS DE 79 CARACTERES","")</f>
        <v/>
      </c>
      <c r="D683" s="53" t="str">
        <f aca="false">IF(PRESIONES!$C$22="NO","",IF(OR(LINEAS!$D$27="",ABS(-LINEAS!$AU$27*DATOS!$C$67)&lt;0.00005),"*",LINEAS!$D$27&amp;" UNI GY "&amp;TEXT(-LINEAS!$AU$27*DATOS!$C$67,DATOS!$C$68)))</f>
        <v/>
      </c>
      <c r="E683" s="51" t="str">
        <f aca="false">IF(LEN($D683)&gt;79,"MÁS DE 79 CARACTERES","")</f>
        <v/>
      </c>
    </row>
    <row r="684" customFormat="false" ht="15" hidden="false" customHeight="true" outlineLevel="0" collapsed="false">
      <c r="B684" s="53" t="str">
        <f aca="false">IF(OR(LINEAS!$D$27="",DATOS!$C$22="—",ABS(LINEAS!$AM$27*DATOS!$C$67)&lt;0.00005),"*",LINEAS!$D$27&amp;" UNI G"&amp;DATOS!$C$22&amp;" "&amp;TEXT(LINEAS!$AM$27*DATOS!$C$67,DATOS!$C$68))</f>
        <v>*</v>
      </c>
      <c r="C684" s="51" t="str">
        <f aca="false">IF(LEN($B684)&gt;79,"MÁS DE 79 CARACTERES","")</f>
        <v/>
      </c>
      <c r="D684" s="53" t="str">
        <f aca="false">IF(PRESIONES!$C$22="NO","",IF(OR(LINEAS!$D$27="",DATOS!$C$22="—",ABS(LINEAS!$BC$27*DATOS!$C$67)&lt;0.00005),"*",LINEAS!$D$27&amp;" UNI G"&amp;DATOS!$C$22&amp;" "&amp;TEXT(LINEAS!$BC$27*DATOS!$C$67,DATOS!$C$68)))</f>
        <v/>
      </c>
      <c r="E684" s="51" t="str">
        <f aca="false">IF(LEN($D684)&gt;79,"MÁS DE 79 CARACTERES","")</f>
        <v/>
      </c>
    </row>
    <row r="685" customFormat="false" ht="15" hidden="false" customHeight="true" outlineLevel="0" collapsed="false">
      <c r="B685" s="53" t="str">
        <f aca="false">IF(OR(LINEAS!$D$28="",ABS(-LINEAS!$AE$28*DATOS!$C$67)&lt;0.00005),"*",LINEAS!$D$28&amp;" UNI GY "&amp;TEXT(-LINEAS!$AE$28*DATOS!$C$67,DATOS!$C$68))</f>
        <v>*</v>
      </c>
      <c r="C685" s="51" t="str">
        <f aca="false">IF(LEN($B685)&gt;79,"MÁS DE 79 CARACTERES","")</f>
        <v/>
      </c>
      <c r="D685" s="53" t="str">
        <f aca="false">IF(PRESIONES!$C$22="NO","",IF(OR(LINEAS!$D$28="",ABS(-LINEAS!$AU$28*DATOS!$C$67)&lt;0.00005),"*",LINEAS!$D$28&amp;" UNI GY "&amp;TEXT(-LINEAS!$AU$28*DATOS!$C$67,DATOS!$C$68)))</f>
        <v/>
      </c>
      <c r="E685" s="51" t="str">
        <f aca="false">IF(LEN($D685)&gt;79,"MÁS DE 79 CARACTERES","")</f>
        <v/>
      </c>
    </row>
    <row r="686" customFormat="false" ht="15" hidden="false" customHeight="true" outlineLevel="0" collapsed="false">
      <c r="B686" s="53" t="str">
        <f aca="false">IF(OR(LINEAS!$D$28="",DATOS!$C$22="—",ABS(LINEAS!$AM$28*DATOS!$C$67)&lt;0.00005),"*",LINEAS!$D$28&amp;" UNI G"&amp;DATOS!$C$22&amp;" "&amp;TEXT(LINEAS!$AM$28*DATOS!$C$67,DATOS!$C$68))</f>
        <v>*</v>
      </c>
      <c r="C686" s="51" t="str">
        <f aca="false">IF(LEN($B686)&gt;79,"MÁS DE 79 CARACTERES","")</f>
        <v/>
      </c>
      <c r="D686" s="53" t="str">
        <f aca="false">IF(PRESIONES!$C$22="NO","",IF(OR(LINEAS!$D$28="",DATOS!$C$22="—",ABS(LINEAS!$BC$28*DATOS!$C$67)&lt;0.00005),"*",LINEAS!$D$28&amp;" UNI G"&amp;DATOS!$C$22&amp;" "&amp;TEXT(LINEAS!$BC$28*DATOS!$C$67,DATOS!$C$68)))</f>
        <v/>
      </c>
      <c r="E686" s="51" t="str">
        <f aca="false">IF(LEN($D686)&gt;79,"MÁS DE 79 CARACTERES","")</f>
        <v/>
      </c>
    </row>
    <row r="687" customFormat="false" ht="15" hidden="false" customHeight="true" outlineLevel="0" collapsed="false">
      <c r="B687" s="53" t="str">
        <f aca="false">IF(OR(LINEAS!$D$29="",ABS(-LINEAS!$AE$29*DATOS!$C$67)&lt;0.00005),"*",LINEAS!$D$29&amp;" UNI GY "&amp;TEXT(-LINEAS!$AE$29*DATOS!$C$67,DATOS!$C$68))</f>
        <v>*</v>
      </c>
      <c r="C687" s="51" t="str">
        <f aca="false">IF(LEN($B687)&gt;79,"MÁS DE 79 CARACTERES","")</f>
        <v/>
      </c>
      <c r="D687" s="53" t="str">
        <f aca="false">IF(PRESIONES!$C$22="NO","",IF(OR(LINEAS!$D$29="",ABS(-LINEAS!$AU$29*DATOS!$C$67)&lt;0.00005),"*",LINEAS!$D$29&amp;" UNI GY "&amp;TEXT(-LINEAS!$AU$29*DATOS!$C$67,DATOS!$C$68)))</f>
        <v/>
      </c>
      <c r="E687" s="51" t="str">
        <f aca="false">IF(LEN($D687)&gt;79,"MÁS DE 79 CARACTERES","")</f>
        <v/>
      </c>
    </row>
    <row r="688" customFormat="false" ht="15" hidden="false" customHeight="true" outlineLevel="0" collapsed="false">
      <c r="B688" s="53" t="str">
        <f aca="false">IF(OR(LINEAS!$D$29="",DATOS!$C$22="—",ABS(LINEAS!$AM$29*DATOS!$C$67)&lt;0.00005),"*",LINEAS!$D$29&amp;" UNI G"&amp;DATOS!$C$22&amp;" "&amp;TEXT(LINEAS!$AM$29*DATOS!$C$67,DATOS!$C$68))</f>
        <v>*</v>
      </c>
      <c r="C688" s="51" t="str">
        <f aca="false">IF(LEN($B688)&gt;79,"MÁS DE 79 CARACTERES","")</f>
        <v/>
      </c>
      <c r="D688" s="53" t="str">
        <f aca="false">IF(PRESIONES!$C$22="NO","",IF(OR(LINEAS!$D$29="",DATOS!$C$22="—",ABS(LINEAS!$BC$29*DATOS!$C$67)&lt;0.00005),"*",LINEAS!$D$29&amp;" UNI G"&amp;DATOS!$C$22&amp;" "&amp;TEXT(LINEAS!$BC$29*DATOS!$C$67,DATOS!$C$68)))</f>
        <v/>
      </c>
      <c r="E688" s="51" t="str">
        <f aca="false">IF(LEN($D688)&gt;79,"MÁS DE 79 CARACTERES","")</f>
        <v/>
      </c>
    </row>
    <row r="689" customFormat="false" ht="15" hidden="false" customHeight="true" outlineLevel="0" collapsed="false">
      <c r="B689" s="53" t="str">
        <f aca="false">IF(OR(LINEAS!$D$30="",ABS(-LINEAS!$AE$30*DATOS!$C$67)&lt;0.00005),"*",LINEAS!$D$30&amp;" UNI GY "&amp;TEXT(-LINEAS!$AE$30*DATOS!$C$67,DATOS!$C$68))</f>
        <v>*</v>
      </c>
      <c r="C689" s="51" t="str">
        <f aca="false">IF(LEN($B689)&gt;79,"MÁS DE 79 CARACTERES","")</f>
        <v/>
      </c>
      <c r="D689" s="53" t="str">
        <f aca="false">IF(PRESIONES!$C$22="NO","",IF(OR(LINEAS!$D$30="",ABS(-LINEAS!$AU$30*DATOS!$C$67)&lt;0.00005),"*",LINEAS!$D$30&amp;" UNI GY "&amp;TEXT(-LINEAS!$AU$30*DATOS!$C$67,DATOS!$C$68)))</f>
        <v/>
      </c>
      <c r="E689" s="51" t="str">
        <f aca="false">IF(LEN($D689)&gt;79,"MÁS DE 79 CARACTERES","")</f>
        <v/>
      </c>
    </row>
    <row r="690" customFormat="false" ht="15" hidden="false" customHeight="true" outlineLevel="0" collapsed="false">
      <c r="B690" s="53" t="str">
        <f aca="false">IF(OR(LINEAS!$D$30="",DATOS!$C$22="—",ABS(LINEAS!$AM$30*DATOS!$C$67)&lt;0.00005),"*",LINEAS!$D$30&amp;" UNI G"&amp;DATOS!$C$22&amp;" "&amp;TEXT(LINEAS!$AM$30*DATOS!$C$67,DATOS!$C$68))</f>
        <v>*</v>
      </c>
      <c r="C690" s="51" t="str">
        <f aca="false">IF(LEN($B690)&gt;79,"MÁS DE 79 CARACTERES","")</f>
        <v/>
      </c>
      <c r="D690" s="53" t="str">
        <f aca="false">IF(PRESIONES!$C$22="NO","",IF(OR(LINEAS!$D$30="",DATOS!$C$22="—",ABS(LINEAS!$BC$30*DATOS!$C$67)&lt;0.00005),"*",LINEAS!$D$30&amp;" UNI G"&amp;DATOS!$C$22&amp;" "&amp;TEXT(LINEAS!$BC$30*DATOS!$C$67,DATOS!$C$68)))</f>
        <v/>
      </c>
      <c r="E690" s="51" t="str">
        <f aca="false">IF(LEN($D690)&gt;79,"MÁS DE 79 CARACTERES","")</f>
        <v/>
      </c>
    </row>
    <row r="691" customFormat="false" ht="15" hidden="false" customHeight="true" outlineLevel="0" collapsed="false">
      <c r="B691" s="53" t="str">
        <f aca="false">IF(OR(LINEAS!$D$31="",ABS(-LINEAS!$AE$31*DATOS!$C$67)&lt;0.00005),"*",LINEAS!$D$31&amp;" UNI GY "&amp;TEXT(-LINEAS!$AE$31*DATOS!$C$67,DATOS!$C$68))</f>
        <v>*</v>
      </c>
      <c r="C691" s="51" t="str">
        <f aca="false">IF(LEN($B691)&gt;79,"MÁS DE 79 CARACTERES","")</f>
        <v/>
      </c>
      <c r="D691" s="53" t="str">
        <f aca="false">IF(PRESIONES!$C$22="NO","",IF(OR(LINEAS!$D$31="",ABS(-LINEAS!$AU$31*DATOS!$C$67)&lt;0.00005),"*",LINEAS!$D$31&amp;" UNI GY "&amp;TEXT(-LINEAS!$AU$31*DATOS!$C$67,DATOS!$C$68)))</f>
        <v/>
      </c>
      <c r="E691" s="51" t="str">
        <f aca="false">IF(LEN($D691)&gt;79,"MÁS DE 79 CARACTERES","")</f>
        <v/>
      </c>
    </row>
    <row r="692" customFormat="false" ht="15" hidden="false" customHeight="true" outlineLevel="0" collapsed="false">
      <c r="B692" s="53" t="str">
        <f aca="false">IF(OR(LINEAS!$D$31="",DATOS!$C$22="—",ABS(LINEAS!$AM$31*DATOS!$C$67)&lt;0.00005),"*",LINEAS!$D$31&amp;" UNI G"&amp;DATOS!$C$22&amp;" "&amp;TEXT(LINEAS!$AM$31*DATOS!$C$67,DATOS!$C$68))</f>
        <v>*</v>
      </c>
      <c r="C692" s="51" t="str">
        <f aca="false">IF(LEN($B692)&gt;79,"MÁS DE 79 CARACTERES","")</f>
        <v/>
      </c>
      <c r="D692" s="53" t="str">
        <f aca="false">IF(PRESIONES!$C$22="NO","",IF(OR(LINEAS!$D$31="",DATOS!$C$22="—",ABS(LINEAS!$BC$31*DATOS!$C$67)&lt;0.00005),"*",LINEAS!$D$31&amp;" UNI G"&amp;DATOS!$C$22&amp;" "&amp;TEXT(LINEAS!$BC$31*DATOS!$C$67,DATOS!$C$68)))</f>
        <v/>
      </c>
      <c r="E692" s="51" t="str">
        <f aca="false">IF(LEN($D692)&gt;79,"MÁS DE 79 CARACTERES","")</f>
        <v/>
      </c>
    </row>
    <row r="693" customFormat="false" ht="15" hidden="false" customHeight="true" outlineLevel="0" collapsed="false">
      <c r="B693" s="53" t="str">
        <f aca="false">IF(OR(LINEAS!$D$32="",ABS(-LINEAS!$AE$32*DATOS!$C$67)&lt;0.00005),"*",LINEAS!$D$32&amp;" UNI GY "&amp;TEXT(-LINEAS!$AE$32*DATOS!$C$67,DATOS!$C$68))</f>
        <v>*</v>
      </c>
      <c r="C693" s="51" t="str">
        <f aca="false">IF(LEN($B693)&gt;79,"MÁS DE 79 CARACTERES","")</f>
        <v/>
      </c>
      <c r="D693" s="53" t="str">
        <f aca="false">IF(PRESIONES!$C$22="NO","",IF(OR(LINEAS!$D$32="",ABS(-LINEAS!$AU$32*DATOS!$C$67)&lt;0.00005),"*",LINEAS!$D$32&amp;" UNI GY "&amp;TEXT(-LINEAS!$AU$32*DATOS!$C$67,DATOS!$C$68)))</f>
        <v/>
      </c>
      <c r="E693" s="51" t="str">
        <f aca="false">IF(LEN($D693)&gt;79,"MÁS DE 79 CARACTERES","")</f>
        <v/>
      </c>
    </row>
    <row r="694" customFormat="false" ht="15" hidden="false" customHeight="true" outlineLevel="0" collapsed="false">
      <c r="B694" s="53" t="str">
        <f aca="false">IF(OR(LINEAS!$D$32="",DATOS!$C$22="—",ABS(LINEAS!$AM$32*DATOS!$C$67)&lt;0.00005),"*",LINEAS!$D$32&amp;" UNI G"&amp;DATOS!$C$22&amp;" "&amp;TEXT(LINEAS!$AM$32*DATOS!$C$67,DATOS!$C$68))</f>
        <v>*</v>
      </c>
      <c r="C694" s="51" t="str">
        <f aca="false">IF(LEN($B694)&gt;79,"MÁS DE 79 CARACTERES","")</f>
        <v/>
      </c>
      <c r="D694" s="53" t="str">
        <f aca="false">IF(PRESIONES!$C$22="NO","",IF(OR(LINEAS!$D$32="",DATOS!$C$22="—",ABS(LINEAS!$BC$32*DATOS!$C$67)&lt;0.00005),"*",LINEAS!$D$32&amp;" UNI G"&amp;DATOS!$C$22&amp;" "&amp;TEXT(LINEAS!$BC$32*DATOS!$C$67,DATOS!$C$68)))</f>
        <v/>
      </c>
      <c r="E694" s="51" t="str">
        <f aca="false">IF(LEN($D694)&gt;79,"MÁS DE 79 CARACTERES","")</f>
        <v/>
      </c>
    </row>
    <row r="695" customFormat="false" ht="15" hidden="false" customHeight="true" outlineLevel="0" collapsed="false">
      <c r="B695" s="53" t="str">
        <f aca="false">IF(OR(LINEAS!$D$33="",ABS(-LINEAS!$AE$33*DATOS!$C$67)&lt;0.00005),"*",LINEAS!$D$33&amp;" UNI GY "&amp;TEXT(-LINEAS!$AE$33*DATOS!$C$67,DATOS!$C$68))</f>
        <v>*</v>
      </c>
      <c r="C695" s="51" t="str">
        <f aca="false">IF(LEN($B695)&gt;79,"MÁS DE 79 CARACTERES","")</f>
        <v/>
      </c>
      <c r="D695" s="53" t="str">
        <f aca="false">IF(PRESIONES!$C$22="NO","",IF(OR(LINEAS!$D$33="",ABS(-LINEAS!$AU$33*DATOS!$C$67)&lt;0.00005),"*",LINEAS!$D$33&amp;" UNI GY "&amp;TEXT(-LINEAS!$AU$33*DATOS!$C$67,DATOS!$C$68)))</f>
        <v/>
      </c>
      <c r="E695" s="51" t="str">
        <f aca="false">IF(LEN($D695)&gt;79,"MÁS DE 79 CARACTERES","")</f>
        <v/>
      </c>
    </row>
    <row r="696" customFormat="false" ht="15" hidden="false" customHeight="true" outlineLevel="0" collapsed="false">
      <c r="B696" s="53" t="str">
        <f aca="false">IF(OR(LINEAS!$D$33="",DATOS!$C$22="—",ABS(LINEAS!$AM$33*DATOS!$C$67)&lt;0.00005),"*",LINEAS!$D$33&amp;" UNI G"&amp;DATOS!$C$22&amp;" "&amp;TEXT(LINEAS!$AM$33*DATOS!$C$67,DATOS!$C$68))</f>
        <v>*</v>
      </c>
      <c r="C696" s="51" t="str">
        <f aca="false">IF(LEN($B696)&gt;79,"MÁS DE 79 CARACTERES","")</f>
        <v/>
      </c>
      <c r="D696" s="53" t="str">
        <f aca="false">IF(PRESIONES!$C$22="NO","",IF(OR(LINEAS!$D$33="",DATOS!$C$22="—",ABS(LINEAS!$BC$33*DATOS!$C$67)&lt;0.00005),"*",LINEAS!$D$33&amp;" UNI G"&amp;DATOS!$C$22&amp;" "&amp;TEXT(LINEAS!$BC$33*DATOS!$C$67,DATOS!$C$68)))</f>
        <v/>
      </c>
      <c r="E696" s="51" t="str">
        <f aca="false">IF(LEN($D696)&gt;79,"MÁS DE 79 CARACTERES","")</f>
        <v/>
      </c>
    </row>
    <row r="697" customFormat="false" ht="15" hidden="false" customHeight="true" outlineLevel="0" collapsed="false">
      <c r="B697" s="53" t="str">
        <f aca="false">IF(OR(LINEAS!$D$34="",ABS(-LINEAS!$AE$34*DATOS!$C$67)&lt;0.00005),"*",LINEAS!$D$34&amp;" UNI GY "&amp;TEXT(-LINEAS!$AE$34*DATOS!$C$67,DATOS!$C$68))</f>
        <v>*</v>
      </c>
      <c r="C697" s="51" t="str">
        <f aca="false">IF(LEN($B697)&gt;79,"MÁS DE 79 CARACTERES","")</f>
        <v/>
      </c>
      <c r="D697" s="53" t="str">
        <f aca="false">IF(PRESIONES!$C$22="NO","",IF(OR(LINEAS!$D$34="",ABS(-LINEAS!$AU$34*DATOS!$C$67)&lt;0.00005),"*",LINEAS!$D$34&amp;" UNI GY "&amp;TEXT(-LINEAS!$AU$34*DATOS!$C$67,DATOS!$C$68)))</f>
        <v/>
      </c>
      <c r="E697" s="51" t="str">
        <f aca="false">IF(LEN($D697)&gt;79,"MÁS DE 79 CARACTERES","")</f>
        <v/>
      </c>
    </row>
    <row r="698" customFormat="false" ht="15" hidden="false" customHeight="true" outlineLevel="0" collapsed="false">
      <c r="B698" s="53" t="str">
        <f aca="false">IF(OR(LINEAS!$D$34="",DATOS!$C$22="—",ABS(LINEAS!$AM$34*DATOS!$C$67)&lt;0.00005),"*",LINEAS!$D$34&amp;" UNI G"&amp;DATOS!$C$22&amp;" "&amp;TEXT(LINEAS!$AM$34*DATOS!$C$67,DATOS!$C$68))</f>
        <v>*</v>
      </c>
      <c r="C698" s="51" t="str">
        <f aca="false">IF(LEN($B698)&gt;79,"MÁS DE 79 CARACTERES","")</f>
        <v/>
      </c>
      <c r="D698" s="53" t="str">
        <f aca="false">IF(PRESIONES!$C$22="NO","",IF(OR(LINEAS!$D$34="",DATOS!$C$22="—",ABS(LINEAS!$BC$34*DATOS!$C$67)&lt;0.00005),"*",LINEAS!$D$34&amp;" UNI G"&amp;DATOS!$C$22&amp;" "&amp;TEXT(LINEAS!$BC$34*DATOS!$C$67,DATOS!$C$68)))</f>
        <v/>
      </c>
      <c r="E698" s="51" t="str">
        <f aca="false">IF(LEN($D698)&gt;79,"MÁS DE 79 CARACTERES","")</f>
        <v/>
      </c>
    </row>
    <row r="699" customFormat="false" ht="15" hidden="false" customHeight="true" outlineLevel="0" collapsed="false">
      <c r="B699" s="53" t="str">
        <f aca="false">IF(OR(LINEAS!$D$35="",ABS(-LINEAS!$AE$35*DATOS!$C$67)&lt;0.00005),"*",LINEAS!$D$35&amp;" UNI GY "&amp;TEXT(-LINEAS!$AE$35*DATOS!$C$67,DATOS!$C$68))</f>
        <v>*</v>
      </c>
      <c r="C699" s="51" t="str">
        <f aca="false">IF(LEN($B699)&gt;79,"MÁS DE 79 CARACTERES","")</f>
        <v/>
      </c>
      <c r="D699" s="53" t="str">
        <f aca="false">IF(PRESIONES!$C$22="NO","",IF(OR(LINEAS!$D$35="",ABS(-LINEAS!$AU$35*DATOS!$C$67)&lt;0.00005),"*",LINEAS!$D$35&amp;" UNI GY "&amp;TEXT(-LINEAS!$AU$35*DATOS!$C$67,DATOS!$C$68)))</f>
        <v/>
      </c>
      <c r="E699" s="51" t="str">
        <f aca="false">IF(LEN($D699)&gt;79,"MÁS DE 79 CARACTERES","")</f>
        <v/>
      </c>
    </row>
    <row r="700" customFormat="false" ht="15" hidden="false" customHeight="true" outlineLevel="0" collapsed="false">
      <c r="B700" s="53" t="str">
        <f aca="false">IF(OR(LINEAS!$D$35="",DATOS!$C$22="—",ABS(LINEAS!$AM$35*DATOS!$C$67)&lt;0.00005),"*",LINEAS!$D$35&amp;" UNI G"&amp;DATOS!$C$22&amp;" "&amp;TEXT(LINEAS!$AM$35*DATOS!$C$67,DATOS!$C$68))</f>
        <v>*</v>
      </c>
      <c r="C700" s="51" t="str">
        <f aca="false">IF(LEN($B700)&gt;79,"MÁS DE 79 CARACTERES","")</f>
        <v/>
      </c>
      <c r="D700" s="53" t="str">
        <f aca="false">IF(PRESIONES!$C$22="NO","",IF(OR(LINEAS!$D$35="",DATOS!$C$22="—",ABS(LINEAS!$BC$35*DATOS!$C$67)&lt;0.00005),"*",LINEAS!$D$35&amp;" UNI G"&amp;DATOS!$C$22&amp;" "&amp;TEXT(LINEAS!$BC$35*DATOS!$C$67,DATOS!$C$68)))</f>
        <v/>
      </c>
      <c r="E700" s="51" t="str">
        <f aca="false">IF(LEN($D700)&gt;79,"MÁS DE 79 CARACTERES","")</f>
        <v/>
      </c>
    </row>
    <row r="701" customFormat="false" ht="15" hidden="false" customHeight="true" outlineLevel="0" collapsed="false">
      <c r="B701" s="53" t="str">
        <f aca="false">IF(OR(LINEAS!$D$36="",ABS(-LINEAS!$AE$36*DATOS!$C$67)&lt;0.00005),"*",LINEAS!$D$36&amp;" UNI GY "&amp;TEXT(-LINEAS!$AE$36*DATOS!$C$67,DATOS!$C$68))</f>
        <v>*</v>
      </c>
      <c r="C701" s="51" t="str">
        <f aca="false">IF(LEN($B701)&gt;79,"MÁS DE 79 CARACTERES","")</f>
        <v/>
      </c>
      <c r="D701" s="53" t="str">
        <f aca="false">IF(PRESIONES!$C$22="NO","",IF(OR(LINEAS!$D$36="",ABS(-LINEAS!$AU$36*DATOS!$C$67)&lt;0.00005),"*",LINEAS!$D$36&amp;" UNI GY "&amp;TEXT(-LINEAS!$AU$36*DATOS!$C$67,DATOS!$C$68)))</f>
        <v/>
      </c>
      <c r="E701" s="51" t="str">
        <f aca="false">IF(LEN($D701)&gt;79,"MÁS DE 79 CARACTERES","")</f>
        <v/>
      </c>
    </row>
    <row r="702" customFormat="false" ht="15" hidden="false" customHeight="true" outlineLevel="0" collapsed="false">
      <c r="B702" s="53" t="str">
        <f aca="false">IF(OR(LINEAS!$D$36="",DATOS!$C$22="—",ABS(LINEAS!$AM$36*DATOS!$C$67)&lt;0.00005),"*",LINEAS!$D$36&amp;" UNI G"&amp;DATOS!$C$22&amp;" "&amp;TEXT(LINEAS!$AM$36*DATOS!$C$67,DATOS!$C$68))</f>
        <v>*</v>
      </c>
      <c r="C702" s="51" t="str">
        <f aca="false">IF(LEN($B702)&gt;79,"MÁS DE 79 CARACTERES","")</f>
        <v/>
      </c>
      <c r="D702" s="53" t="str">
        <f aca="false">IF(PRESIONES!$C$22="NO","",IF(OR(LINEAS!$D$36="",DATOS!$C$22="—",ABS(LINEAS!$BC$36*DATOS!$C$67)&lt;0.00005),"*",LINEAS!$D$36&amp;" UNI G"&amp;DATOS!$C$22&amp;" "&amp;TEXT(LINEAS!$BC$36*DATOS!$C$67,DATOS!$C$68)))</f>
        <v/>
      </c>
      <c r="E702" s="51" t="str">
        <f aca="false">IF(LEN($D702)&gt;79,"MÁS DE 79 CARACTERES","")</f>
        <v/>
      </c>
    </row>
    <row r="703" customFormat="false" ht="15" hidden="false" customHeight="true" outlineLevel="0" collapsed="false">
      <c r="B703" s="53" t="str">
        <f aca="false">IF(OR(LINEAS!$D$37="",ABS(-LINEAS!$AE$37*DATOS!$C$67)&lt;0.00005),"*",LINEAS!$D$37&amp;" UNI GY "&amp;TEXT(-LINEAS!$AE$37*DATOS!$C$67,DATOS!$C$68))</f>
        <v>*</v>
      </c>
      <c r="C703" s="51" t="str">
        <f aca="false">IF(LEN($B703)&gt;79,"MÁS DE 79 CARACTERES","")</f>
        <v/>
      </c>
      <c r="D703" s="53" t="str">
        <f aca="false">IF(PRESIONES!$C$22="NO","",IF(OR(LINEAS!$D$37="",ABS(-LINEAS!$AU$37*DATOS!$C$67)&lt;0.00005),"*",LINEAS!$D$37&amp;" UNI GY "&amp;TEXT(-LINEAS!$AU$37*DATOS!$C$67,DATOS!$C$68)))</f>
        <v/>
      </c>
      <c r="E703" s="51" t="str">
        <f aca="false">IF(LEN($D703)&gt;79,"MÁS DE 79 CARACTERES","")</f>
        <v/>
      </c>
    </row>
    <row r="704" customFormat="false" ht="15" hidden="false" customHeight="true" outlineLevel="0" collapsed="false">
      <c r="B704" s="53" t="str">
        <f aca="false">IF(OR(LINEAS!$D$37="",DATOS!$C$22="—",ABS(LINEAS!$AM$37*DATOS!$C$67)&lt;0.00005),"*",LINEAS!$D$37&amp;" UNI G"&amp;DATOS!$C$22&amp;" "&amp;TEXT(LINEAS!$AM$37*DATOS!$C$67,DATOS!$C$68))</f>
        <v>*</v>
      </c>
      <c r="C704" s="51" t="str">
        <f aca="false">IF(LEN($B704)&gt;79,"MÁS DE 79 CARACTERES","")</f>
        <v/>
      </c>
      <c r="D704" s="53" t="str">
        <f aca="false">IF(PRESIONES!$C$22="NO","",IF(OR(LINEAS!$D$37="",DATOS!$C$22="—",ABS(LINEAS!$BC$37*DATOS!$C$67)&lt;0.00005),"*",LINEAS!$D$37&amp;" UNI G"&amp;DATOS!$C$22&amp;" "&amp;TEXT(LINEAS!$BC$37*DATOS!$C$67,DATOS!$C$68)))</f>
        <v/>
      </c>
      <c r="E704" s="51" t="str">
        <f aca="false">IF(LEN($D704)&gt;79,"MÁS DE 79 CARACTERES","")</f>
        <v/>
      </c>
    </row>
    <row r="705" customFormat="false" ht="15" hidden="false" customHeight="true" outlineLevel="0" collapsed="false">
      <c r="B705" s="53" t="str">
        <f aca="false">IF(OR(LINEAS!$D$38="",ABS(-LINEAS!$AE$38*DATOS!$C$67)&lt;0.00005),"*",LINEAS!$D$38&amp;" UNI GY "&amp;TEXT(-LINEAS!$AE$38*DATOS!$C$67,DATOS!$C$68))</f>
        <v>*</v>
      </c>
      <c r="C705" s="51" t="str">
        <f aca="false">IF(LEN($B705)&gt;79,"MÁS DE 79 CARACTERES","")</f>
        <v/>
      </c>
      <c r="D705" s="53" t="str">
        <f aca="false">IF(PRESIONES!$C$22="NO","",IF(OR(LINEAS!$D$38="",ABS(-LINEAS!$AU$38*DATOS!$C$67)&lt;0.00005),"*",LINEAS!$D$38&amp;" UNI GY "&amp;TEXT(-LINEAS!$AU$38*DATOS!$C$67,DATOS!$C$68)))</f>
        <v/>
      </c>
      <c r="E705" s="51" t="str">
        <f aca="false">IF(LEN($D705)&gt;79,"MÁS DE 79 CARACTERES","")</f>
        <v/>
      </c>
    </row>
    <row r="706" customFormat="false" ht="15" hidden="false" customHeight="true" outlineLevel="0" collapsed="false">
      <c r="B706" s="53" t="str">
        <f aca="false">IF(OR(LINEAS!$D$38="",DATOS!$C$22="—",ABS(LINEAS!$AM$38*DATOS!$C$67)&lt;0.00005),"*",LINEAS!$D$38&amp;" UNI G"&amp;DATOS!$C$22&amp;" "&amp;TEXT(LINEAS!$AM$38*DATOS!$C$67,DATOS!$C$68))</f>
        <v>*</v>
      </c>
      <c r="C706" s="51" t="str">
        <f aca="false">IF(LEN($B706)&gt;79,"MÁS DE 79 CARACTERES","")</f>
        <v/>
      </c>
      <c r="D706" s="53" t="str">
        <f aca="false">IF(PRESIONES!$C$22="NO","",IF(OR(LINEAS!$D$38="",DATOS!$C$22="—",ABS(LINEAS!$BC$38*DATOS!$C$67)&lt;0.00005),"*",LINEAS!$D$38&amp;" UNI G"&amp;DATOS!$C$22&amp;" "&amp;TEXT(LINEAS!$BC$38*DATOS!$C$67,DATOS!$C$68)))</f>
        <v/>
      </c>
      <c r="E706" s="51" t="str">
        <f aca="false">IF(LEN($D706)&gt;79,"MÁS DE 79 CARACTERES","")</f>
        <v/>
      </c>
    </row>
    <row r="707" customFormat="false" ht="15" hidden="false" customHeight="true" outlineLevel="0" collapsed="false">
      <c r="B707" s="53" t="str">
        <f aca="false">IF(OR(LINEAS!$D$45="",LINEAS!$U$45=0,ABS(IF(OR(LINEAS!$U$45=1,LINEAS!$U$45=3),1,-1)*LINEAS!$AE$45*DATOS!$C$67)&lt;0.00005),"*",LINEAS!$D$45&amp;" UNI "&amp;IF(LINEAS!$U$45&lt;=2,"GZ","GX")&amp;" "&amp;TEXT(IF(OR(LINEAS!$U$45=1,LINEAS!$U$45=3),1,-1)*LINEAS!$AE$45*DATOS!$C$67,DATOS!$C$68))</f>
        <v>261 UNI GX -0.8427</v>
      </c>
      <c r="C707" s="51" t="str">
        <f aca="false">IF(LEN($B707)&gt;79,"MÁS DE 79 CARACTERES","")</f>
        <v/>
      </c>
      <c r="D707" s="53" t="str">
        <f aca="false">IF(PRESIONES!$C$22="NO","",IF(OR(LINEAS!$D$45="",LINEAS!$U$45=0,ABS(IF(OR(LINEAS!$U$45=1,LINEAS!$U$45=3),1,-1)*LINEAS!$AE$45*DATOS!$C$67)&lt;0.00005),"*",LINEAS!$D$45&amp;" UNI "&amp;IF(LINEAS!$U$45&lt;=2,"GZ","GX")&amp;" "&amp;TEXT(IF(OR(LINEAS!$U$45=1,LINEAS!$U$45=3),1,-1)*LINEAS!$AE$45*DATOS!$C$67,DATOS!$C$68)))</f>
        <v/>
      </c>
      <c r="E707" s="51" t="str">
        <f aca="false">IF(LEN($D707)&gt;79,"MÁS DE 79 CARACTERES","")</f>
        <v/>
      </c>
    </row>
    <row r="708" customFormat="false" ht="15" hidden="false" customHeight="true" outlineLevel="0" collapsed="false">
      <c r="B708" s="53" t="str">
        <f aca="false">IF(OR(LINEAS!$D$46="",LINEAS!$U$46=0,ABS(IF(OR(LINEAS!$U$46=1,LINEAS!$U$46=3),1,-1)*LINEAS!$AE$46*DATOS!$C$67)&lt;0.00005),"*",LINEAS!$D$46&amp;" UNI "&amp;IF(LINEAS!$U$46&lt;=2,"GZ","GX")&amp;" "&amp;TEXT(IF(OR(LINEAS!$U$46=1,LINEAS!$U$46=3),1,-1)*LINEAS!$AE$46*DATOS!$C$67,DATOS!$C$68))</f>
        <v>260 UNI GX -0.8427</v>
      </c>
      <c r="C708" s="51" t="str">
        <f aca="false">IF(LEN($B708)&gt;79,"MÁS DE 79 CARACTERES","")</f>
        <v/>
      </c>
      <c r="D708" s="53" t="str">
        <f aca="false">IF(PRESIONES!$C$22="NO","",IF(OR(LINEAS!$D$46="",LINEAS!$U$46=0,ABS(IF(OR(LINEAS!$U$46=1,LINEAS!$U$46=3),1,-1)*LINEAS!$AE$46*DATOS!$C$67)&lt;0.00005),"*",LINEAS!$D$46&amp;" UNI "&amp;IF(LINEAS!$U$46&lt;=2,"GZ","GX")&amp;" "&amp;TEXT(IF(OR(LINEAS!$U$46=1,LINEAS!$U$46=3),1,-1)*LINEAS!$AE$46*DATOS!$C$67,DATOS!$C$68)))</f>
        <v/>
      </c>
      <c r="E708" s="51" t="str">
        <f aca="false">IF(LEN($D708)&gt;79,"MÁS DE 79 CARACTERES","")</f>
        <v/>
      </c>
    </row>
    <row r="709" customFormat="false" ht="15" hidden="false" customHeight="true" outlineLevel="0" collapsed="false">
      <c r="B709" s="53" t="str">
        <f aca="false">IF(OR(LINEAS!$D$47="",LINEAS!$U$47=0,ABS(IF(OR(LINEAS!$U$47=1,LINEAS!$U$47=3),1,-1)*LINEAS!$AE$47*DATOS!$C$67)&lt;0.00005),"*",LINEAS!$D$47&amp;" UNI "&amp;IF(LINEAS!$U$47&lt;=2,"GZ","GX")&amp;" "&amp;TEXT(IF(OR(LINEAS!$U$47=1,LINEAS!$U$47=3),1,-1)*LINEAS!$AE$47*DATOS!$C$67,DATOS!$C$68))</f>
        <v>259 UNI GX -0.8427</v>
      </c>
      <c r="C709" s="51" t="str">
        <f aca="false">IF(LEN($B709)&gt;79,"MÁS DE 79 CARACTERES","")</f>
        <v/>
      </c>
      <c r="D709" s="53" t="str">
        <f aca="false">IF(PRESIONES!$C$22="NO","",IF(OR(LINEAS!$D$47="",LINEAS!$U$47=0,ABS(IF(OR(LINEAS!$U$47=1,LINEAS!$U$47=3),1,-1)*LINEAS!$AE$47*DATOS!$C$67)&lt;0.00005),"*",LINEAS!$D$47&amp;" UNI "&amp;IF(LINEAS!$U$47&lt;=2,"GZ","GX")&amp;" "&amp;TEXT(IF(OR(LINEAS!$U$47=1,LINEAS!$U$47=3),1,-1)*LINEAS!$AE$47*DATOS!$C$67,DATOS!$C$68)))</f>
        <v/>
      </c>
      <c r="E709" s="51" t="str">
        <f aca="false">IF(LEN($D709)&gt;79,"MÁS DE 79 CARACTERES","")</f>
        <v/>
      </c>
    </row>
    <row r="710" customFormat="false" ht="15" hidden="false" customHeight="true" outlineLevel="0" collapsed="false">
      <c r="B710" s="53" t="str">
        <f aca="false">IF(OR(LINEAS!$D$48="",LINEAS!$U$48=0,ABS(IF(OR(LINEAS!$U$48=1,LINEAS!$U$48=3),1,-1)*LINEAS!$AE$48*DATOS!$C$67)&lt;0.00005),"*",LINEAS!$D$48&amp;" UNI "&amp;IF(LINEAS!$U$48&lt;=2,"GZ","GX")&amp;" "&amp;TEXT(IF(OR(LINEAS!$U$48=1,LINEAS!$U$48=3),1,-1)*LINEAS!$AE$48*DATOS!$C$67,DATOS!$C$68))</f>
        <v>270 UNI GX -0.8427</v>
      </c>
      <c r="C710" s="51" t="str">
        <f aca="false">IF(LEN($B710)&gt;79,"MÁS DE 79 CARACTERES","")</f>
        <v/>
      </c>
      <c r="D710" s="53" t="str">
        <f aca="false">IF(PRESIONES!$C$22="NO","",IF(OR(LINEAS!$D$48="",LINEAS!$U$48=0,ABS(IF(OR(LINEAS!$U$48=1,LINEAS!$U$48=3),1,-1)*LINEAS!$AE$48*DATOS!$C$67)&lt;0.00005),"*",LINEAS!$D$48&amp;" UNI "&amp;IF(LINEAS!$U$48&lt;=2,"GZ","GX")&amp;" "&amp;TEXT(IF(OR(LINEAS!$U$48=1,LINEAS!$U$48=3),1,-1)*LINEAS!$AE$48*DATOS!$C$67,DATOS!$C$68)))</f>
        <v/>
      </c>
      <c r="E710" s="51" t="str">
        <f aca="false">IF(LEN($D710)&gt;79,"MÁS DE 79 CARACTERES","")</f>
        <v/>
      </c>
    </row>
    <row r="711" customFormat="false" ht="15" hidden="false" customHeight="true" outlineLevel="0" collapsed="false">
      <c r="B711" s="53" t="str">
        <f aca="false">IF(OR(LINEAS!$D$49="",LINEAS!$U$49=0,ABS(IF(OR(LINEAS!$U$49=1,LINEAS!$U$49=3),1,-1)*LINEAS!$AE$49*DATOS!$C$67)&lt;0.00005),"*",LINEAS!$D$49&amp;" UNI "&amp;IF(LINEAS!$U$49&lt;=2,"GZ","GX")&amp;" "&amp;TEXT(IF(OR(LINEAS!$U$49=1,LINEAS!$U$49=3),1,-1)*LINEAS!$AE$49*DATOS!$C$67,DATOS!$C$68))</f>
        <v>269 UNI GX -0.8427</v>
      </c>
      <c r="C711" s="51" t="str">
        <f aca="false">IF(LEN($B711)&gt;79,"MÁS DE 79 CARACTERES","")</f>
        <v/>
      </c>
      <c r="D711" s="53" t="str">
        <f aca="false">IF(PRESIONES!$C$22="NO","",IF(OR(LINEAS!$D$49="",LINEAS!$U$49=0,ABS(IF(OR(LINEAS!$U$49=1,LINEAS!$U$49=3),1,-1)*LINEAS!$AE$49*DATOS!$C$67)&lt;0.00005),"*",LINEAS!$D$49&amp;" UNI "&amp;IF(LINEAS!$U$49&lt;=2,"GZ","GX")&amp;" "&amp;TEXT(IF(OR(LINEAS!$U$49=1,LINEAS!$U$49=3),1,-1)*LINEAS!$AE$49*DATOS!$C$67,DATOS!$C$68)))</f>
        <v/>
      </c>
      <c r="E711" s="51" t="str">
        <f aca="false">IF(LEN($D711)&gt;79,"MÁS DE 79 CARACTERES","")</f>
        <v/>
      </c>
    </row>
    <row r="712" customFormat="false" ht="15" hidden="false" customHeight="true" outlineLevel="0" collapsed="false">
      <c r="B712" s="53" t="str">
        <f aca="false">IF(OR(LINEAS!$D$50="",LINEAS!$U$50=0,ABS(IF(OR(LINEAS!$U$50=1,LINEAS!$U$50=3),1,-1)*LINEAS!$AE$50*DATOS!$C$67)&lt;0.00005),"*",LINEAS!$D$50&amp;" UNI "&amp;IF(LINEAS!$U$50&lt;=2,"GZ","GX")&amp;" "&amp;TEXT(IF(OR(LINEAS!$U$50=1,LINEAS!$U$50=3),1,-1)*LINEAS!$AE$50*DATOS!$C$67,DATOS!$C$68))</f>
        <v>268 UNI GX -0.8427</v>
      </c>
      <c r="C712" s="51" t="str">
        <f aca="false">IF(LEN($B712)&gt;79,"MÁS DE 79 CARACTERES","")</f>
        <v/>
      </c>
      <c r="D712" s="53" t="str">
        <f aca="false">IF(PRESIONES!$C$22="NO","",IF(OR(LINEAS!$D$50="",LINEAS!$U$50=0,ABS(IF(OR(LINEAS!$U$50=1,LINEAS!$U$50=3),1,-1)*LINEAS!$AE$50*DATOS!$C$67)&lt;0.00005),"*",LINEAS!$D$50&amp;" UNI "&amp;IF(LINEAS!$U$50&lt;=2,"GZ","GX")&amp;" "&amp;TEXT(IF(OR(LINEAS!$U$50=1,LINEAS!$U$50=3),1,-1)*LINEAS!$AE$50*DATOS!$C$67,DATOS!$C$68)))</f>
        <v/>
      </c>
      <c r="E712" s="51" t="str">
        <f aca="false">IF(LEN($D712)&gt;79,"MÁS DE 79 CARACTERES","")</f>
        <v/>
      </c>
    </row>
    <row r="713" customFormat="false" ht="15" hidden="false" customHeight="true" outlineLevel="0" collapsed="false">
      <c r="B713" s="53" t="str">
        <f aca="false">IF(OR(LINEAS!$D$51="",LINEAS!$U$51=0,ABS(IF(OR(LINEAS!$U$51=1,LINEAS!$U$51=3),1,-1)*LINEAS!$AE$51*DATOS!$C$67)&lt;0.00005),"*",LINEAS!$D$51&amp;" UNI "&amp;IF(LINEAS!$U$51&lt;=2,"GZ","GX")&amp;" "&amp;TEXT(IF(OR(LINEAS!$U$51=1,LINEAS!$U$51=3),1,-1)*LINEAS!$AE$51*DATOS!$C$67,DATOS!$C$68))</f>
        <v>279 UNI GX -0.8427</v>
      </c>
      <c r="C713" s="51" t="str">
        <f aca="false">IF(LEN($B713)&gt;79,"MÁS DE 79 CARACTERES","")</f>
        <v/>
      </c>
      <c r="D713" s="53" t="str">
        <f aca="false">IF(PRESIONES!$C$22="NO","",IF(OR(LINEAS!$D$51="",LINEAS!$U$51=0,ABS(IF(OR(LINEAS!$U$51=1,LINEAS!$U$51=3),1,-1)*LINEAS!$AE$51*DATOS!$C$67)&lt;0.00005),"*",LINEAS!$D$51&amp;" UNI "&amp;IF(LINEAS!$U$51&lt;=2,"GZ","GX")&amp;" "&amp;TEXT(IF(OR(LINEAS!$U$51=1,LINEAS!$U$51=3),1,-1)*LINEAS!$AE$51*DATOS!$C$67,DATOS!$C$68)))</f>
        <v/>
      </c>
      <c r="E713" s="51" t="str">
        <f aca="false">IF(LEN($D713)&gt;79,"MÁS DE 79 CARACTERES","")</f>
        <v/>
      </c>
    </row>
    <row r="714" customFormat="false" ht="15" hidden="false" customHeight="true" outlineLevel="0" collapsed="false">
      <c r="B714" s="53" t="str">
        <f aca="false">IF(OR(LINEAS!$D$52="",LINEAS!$U$52=0,ABS(IF(OR(LINEAS!$U$52=1,LINEAS!$U$52=3),1,-1)*LINEAS!$AE$52*DATOS!$C$67)&lt;0.00005),"*",LINEAS!$D$52&amp;" UNI "&amp;IF(LINEAS!$U$52&lt;=2,"GZ","GX")&amp;" "&amp;TEXT(IF(OR(LINEAS!$U$52=1,LINEAS!$U$52=3),1,-1)*LINEAS!$AE$52*DATOS!$C$67,DATOS!$C$68))</f>
        <v>278 UNI GX -0.8427</v>
      </c>
      <c r="C714" s="51" t="str">
        <f aca="false">IF(LEN($B714)&gt;79,"MÁS DE 79 CARACTERES","")</f>
        <v/>
      </c>
      <c r="D714" s="53" t="str">
        <f aca="false">IF(PRESIONES!$C$22="NO","",IF(OR(LINEAS!$D$52="",LINEAS!$U$52=0,ABS(IF(OR(LINEAS!$U$52=1,LINEAS!$U$52=3),1,-1)*LINEAS!$AE$52*DATOS!$C$67)&lt;0.00005),"*",LINEAS!$D$52&amp;" UNI "&amp;IF(LINEAS!$U$52&lt;=2,"GZ","GX")&amp;" "&amp;TEXT(IF(OR(LINEAS!$U$52=1,LINEAS!$U$52=3),1,-1)*LINEAS!$AE$52*DATOS!$C$67,DATOS!$C$68)))</f>
        <v/>
      </c>
      <c r="E714" s="51" t="str">
        <f aca="false">IF(LEN($D714)&gt;79,"MÁS DE 79 CARACTERES","")</f>
        <v/>
      </c>
    </row>
    <row r="715" customFormat="false" ht="15" hidden="false" customHeight="true" outlineLevel="0" collapsed="false">
      <c r="B715" s="53" t="str">
        <f aca="false">IF(OR(LINEAS!$D$53="",LINEAS!$U$53=0,ABS(IF(OR(LINEAS!$U$53=1,LINEAS!$U$53=3),1,-1)*LINEAS!$AE$53*DATOS!$C$67)&lt;0.00005),"*",LINEAS!$D$53&amp;" UNI "&amp;IF(LINEAS!$U$53&lt;=2,"GZ","GX")&amp;" "&amp;TEXT(IF(OR(LINEAS!$U$53=1,LINEAS!$U$53=3),1,-1)*LINEAS!$AE$53*DATOS!$C$67,DATOS!$C$68))</f>
        <v>277 UNI GX -0.8427</v>
      </c>
      <c r="C715" s="51" t="str">
        <f aca="false">IF(LEN($B715)&gt;79,"MÁS DE 79 CARACTERES","")</f>
        <v/>
      </c>
      <c r="D715" s="53" t="str">
        <f aca="false">IF(PRESIONES!$C$22="NO","",IF(OR(LINEAS!$D$53="",LINEAS!$U$53=0,ABS(IF(OR(LINEAS!$U$53=1,LINEAS!$U$53=3),1,-1)*LINEAS!$AE$53*DATOS!$C$67)&lt;0.00005),"*",LINEAS!$D$53&amp;" UNI "&amp;IF(LINEAS!$U$53&lt;=2,"GZ","GX")&amp;" "&amp;TEXT(IF(OR(LINEAS!$U$53=1,LINEAS!$U$53=3),1,-1)*LINEAS!$AE$53*DATOS!$C$67,DATOS!$C$68)))</f>
        <v/>
      </c>
      <c r="E715" s="51" t="str">
        <f aca="false">IF(LEN($D715)&gt;79,"MÁS DE 79 CARACTERES","")</f>
        <v/>
      </c>
    </row>
    <row r="716" customFormat="false" ht="15" hidden="false" customHeight="true" outlineLevel="0" collapsed="false">
      <c r="B716" s="53" t="str">
        <f aca="false">IF(OR(LINEAS!$D$54="",LINEAS!$U$54=0,ABS(IF(OR(LINEAS!$U$54=1,LINEAS!$U$54=3),1,-1)*LINEAS!$AE$54*DATOS!$C$67)&lt;0.00005),"*",LINEAS!$D$54&amp;" UNI "&amp;IF(LINEAS!$U$54&lt;=2,"GZ","GX")&amp;" "&amp;TEXT(IF(OR(LINEAS!$U$54=1,LINEAS!$U$54=3),1,-1)*LINEAS!$AE$54*DATOS!$C$67,DATOS!$C$68))</f>
        <v>289 UNI GX -0.8427</v>
      </c>
      <c r="C716" s="51" t="str">
        <f aca="false">IF(LEN($B716)&gt;79,"MÁS DE 79 CARACTERES","")</f>
        <v/>
      </c>
      <c r="D716" s="53" t="str">
        <f aca="false">IF(PRESIONES!$C$22="NO","",IF(OR(LINEAS!$D$54="",LINEAS!$U$54=0,ABS(IF(OR(LINEAS!$U$54=1,LINEAS!$U$54=3),1,-1)*LINEAS!$AE$54*DATOS!$C$67)&lt;0.00005),"*",LINEAS!$D$54&amp;" UNI "&amp;IF(LINEAS!$U$54&lt;=2,"GZ","GX")&amp;" "&amp;TEXT(IF(OR(LINEAS!$U$54=1,LINEAS!$U$54=3),1,-1)*LINEAS!$AE$54*DATOS!$C$67,DATOS!$C$68)))</f>
        <v/>
      </c>
      <c r="E716" s="51" t="str">
        <f aca="false">IF(LEN($D716)&gt;79,"MÁS DE 79 CARACTERES","")</f>
        <v/>
      </c>
    </row>
    <row r="717" customFormat="false" ht="15" hidden="false" customHeight="true" outlineLevel="0" collapsed="false">
      <c r="B717" s="53" t="str">
        <f aca="false">IF(OR(LINEAS!$D$55="",LINEAS!$U$55=0,ABS(IF(OR(LINEAS!$U$55=1,LINEAS!$U$55=3),1,-1)*LINEAS!$AE$55*DATOS!$C$67)&lt;0.00005),"*",LINEAS!$D$55&amp;" UNI "&amp;IF(LINEAS!$U$55&lt;=2,"GZ","GX")&amp;" "&amp;TEXT(IF(OR(LINEAS!$U$55=1,LINEAS!$U$55=3),1,-1)*LINEAS!$AE$55*DATOS!$C$67,DATOS!$C$68))</f>
        <v>288 UNI GX -0.8427</v>
      </c>
      <c r="C717" s="51" t="str">
        <f aca="false">IF(LEN($B717)&gt;79,"MÁS DE 79 CARACTERES","")</f>
        <v/>
      </c>
      <c r="D717" s="53" t="str">
        <f aca="false">IF(PRESIONES!$C$22="NO","",IF(OR(LINEAS!$D$55="",LINEAS!$U$55=0,ABS(IF(OR(LINEAS!$U$55=1,LINEAS!$U$55=3),1,-1)*LINEAS!$AE$55*DATOS!$C$67)&lt;0.00005),"*",LINEAS!$D$55&amp;" UNI "&amp;IF(LINEAS!$U$55&lt;=2,"GZ","GX")&amp;" "&amp;TEXT(IF(OR(LINEAS!$U$55=1,LINEAS!$U$55=3),1,-1)*LINEAS!$AE$55*DATOS!$C$67,DATOS!$C$68)))</f>
        <v/>
      </c>
      <c r="E717" s="51" t="str">
        <f aca="false">IF(LEN($D717)&gt;79,"MÁS DE 79 CARACTERES","")</f>
        <v/>
      </c>
    </row>
    <row r="718" customFormat="false" ht="15" hidden="false" customHeight="true" outlineLevel="0" collapsed="false">
      <c r="B718" s="53" t="str">
        <f aca="false">IF(OR(LINEAS!$D$56="",LINEAS!$U$56=0,ABS(IF(OR(LINEAS!$U$56=1,LINEAS!$U$56=3),1,-1)*LINEAS!$AE$56*DATOS!$C$67)&lt;0.00005),"*",LINEAS!$D$56&amp;" UNI "&amp;IF(LINEAS!$U$56&lt;=2,"GZ","GX")&amp;" "&amp;TEXT(IF(OR(LINEAS!$U$56=1,LINEAS!$U$56=3),1,-1)*LINEAS!$AE$56*DATOS!$C$67,DATOS!$C$68))</f>
        <v>287 UNI GX -0.8427</v>
      </c>
      <c r="C718" s="51" t="str">
        <f aca="false">IF(LEN($B718)&gt;79,"MÁS DE 79 CARACTERES","")</f>
        <v/>
      </c>
      <c r="D718" s="53" t="str">
        <f aca="false">IF(PRESIONES!$C$22="NO","",IF(OR(LINEAS!$D$56="",LINEAS!$U$56=0,ABS(IF(OR(LINEAS!$U$56=1,LINEAS!$U$56=3),1,-1)*LINEAS!$AE$56*DATOS!$C$67)&lt;0.00005),"*",LINEAS!$D$56&amp;" UNI "&amp;IF(LINEAS!$U$56&lt;=2,"GZ","GX")&amp;" "&amp;TEXT(IF(OR(LINEAS!$U$56=1,LINEAS!$U$56=3),1,-1)*LINEAS!$AE$56*DATOS!$C$67,DATOS!$C$68)))</f>
        <v/>
      </c>
      <c r="E718" s="51" t="str">
        <f aca="false">IF(LEN($D718)&gt;79,"MÁS DE 79 CARACTERES","")</f>
        <v/>
      </c>
    </row>
    <row r="719" customFormat="false" ht="15" hidden="false" customHeight="true" outlineLevel="0" collapsed="false">
      <c r="B719" s="53" t="str">
        <f aca="false">IF(OR(LINEAS!$D$57="",LINEAS!$U$57=0,ABS(IF(OR(LINEAS!$U$57=1,LINEAS!$U$57=3),1,-1)*LINEAS!$AE$57*DATOS!$C$67)&lt;0.00005),"*",LINEAS!$D$57&amp;" UNI "&amp;IF(LINEAS!$U$57&lt;=2,"GZ","GX")&amp;" "&amp;TEXT(IF(OR(LINEAS!$U$57=1,LINEAS!$U$57=3),1,-1)*LINEAS!$AE$57*DATOS!$C$67,DATOS!$C$68))</f>
        <v>297 UNI GX -0.8427</v>
      </c>
      <c r="C719" s="51" t="str">
        <f aca="false">IF(LEN($B719)&gt;79,"MÁS DE 79 CARACTERES","")</f>
        <v/>
      </c>
      <c r="D719" s="53" t="str">
        <f aca="false">IF(PRESIONES!$C$22="NO","",IF(OR(LINEAS!$D$57="",LINEAS!$U$57=0,ABS(IF(OR(LINEAS!$U$57=1,LINEAS!$U$57=3),1,-1)*LINEAS!$AE$57*DATOS!$C$67)&lt;0.00005),"*",LINEAS!$D$57&amp;" UNI "&amp;IF(LINEAS!$U$57&lt;=2,"GZ","GX")&amp;" "&amp;TEXT(IF(OR(LINEAS!$U$57=1,LINEAS!$U$57=3),1,-1)*LINEAS!$AE$57*DATOS!$C$67,DATOS!$C$68)))</f>
        <v/>
      </c>
      <c r="E719" s="51" t="str">
        <f aca="false">IF(LEN($D719)&gt;79,"MÁS DE 79 CARACTERES","")</f>
        <v/>
      </c>
    </row>
    <row r="720" customFormat="false" ht="15" hidden="false" customHeight="true" outlineLevel="0" collapsed="false">
      <c r="B720" s="53" t="str">
        <f aca="false">IF(OR(LINEAS!$D$58="",LINEAS!$U$58=0,ABS(IF(OR(LINEAS!$U$58=1,LINEAS!$U$58=3),1,-1)*LINEAS!$AE$58*DATOS!$C$67)&lt;0.00005),"*",LINEAS!$D$58&amp;" UNI "&amp;IF(LINEAS!$U$58&lt;=2,"GZ","GX")&amp;" "&amp;TEXT(IF(OR(LINEAS!$U$58=1,LINEAS!$U$58=3),1,-1)*LINEAS!$AE$58*DATOS!$C$67,DATOS!$C$68))</f>
        <v>296 UNI GX -0.8427</v>
      </c>
      <c r="C720" s="51" t="str">
        <f aca="false">IF(LEN($B720)&gt;79,"MÁS DE 79 CARACTERES","")</f>
        <v/>
      </c>
      <c r="D720" s="53" t="str">
        <f aca="false">IF(PRESIONES!$C$22="NO","",IF(OR(LINEAS!$D$58="",LINEAS!$U$58=0,ABS(IF(OR(LINEAS!$U$58=1,LINEAS!$U$58=3),1,-1)*LINEAS!$AE$58*DATOS!$C$67)&lt;0.00005),"*",LINEAS!$D$58&amp;" UNI "&amp;IF(LINEAS!$U$58&lt;=2,"GZ","GX")&amp;" "&amp;TEXT(IF(OR(LINEAS!$U$58=1,LINEAS!$U$58=3),1,-1)*LINEAS!$AE$58*DATOS!$C$67,DATOS!$C$68)))</f>
        <v/>
      </c>
      <c r="E720" s="51" t="str">
        <f aca="false">IF(LEN($D720)&gt;79,"MÁS DE 79 CARACTERES","")</f>
        <v/>
      </c>
    </row>
    <row r="721" customFormat="false" ht="15" hidden="false" customHeight="true" outlineLevel="0" collapsed="false">
      <c r="B721" s="53" t="str">
        <f aca="false">IF(OR(LINEAS!$D$59="",LINEAS!$U$59=0,ABS(IF(OR(LINEAS!$U$59=1,LINEAS!$U$59=3),1,-1)*LINEAS!$AE$59*DATOS!$C$67)&lt;0.00005),"*",LINEAS!$D$59&amp;" UNI "&amp;IF(LINEAS!$U$59&lt;=2,"GZ","GX")&amp;" "&amp;TEXT(IF(OR(LINEAS!$U$59=1,LINEAS!$U$59=3),1,-1)*LINEAS!$AE$59*DATOS!$C$67,DATOS!$C$68))</f>
        <v>295 UNI GX -0.8427</v>
      </c>
      <c r="C721" s="51" t="str">
        <f aca="false">IF(LEN($B721)&gt;79,"MÁS DE 79 CARACTERES","")</f>
        <v/>
      </c>
      <c r="D721" s="53" t="str">
        <f aca="false">IF(PRESIONES!$C$22="NO","",IF(OR(LINEAS!$D$59="",LINEAS!$U$59=0,ABS(IF(OR(LINEAS!$U$59=1,LINEAS!$U$59=3),1,-1)*LINEAS!$AE$59*DATOS!$C$67)&lt;0.00005),"*",LINEAS!$D$59&amp;" UNI "&amp;IF(LINEAS!$U$59&lt;=2,"GZ","GX")&amp;" "&amp;TEXT(IF(OR(LINEAS!$U$59=1,LINEAS!$U$59=3),1,-1)*LINEAS!$AE$59*DATOS!$C$67,DATOS!$C$68)))</f>
        <v/>
      </c>
      <c r="E721" s="51" t="str">
        <f aca="false">IF(LEN($D721)&gt;79,"MÁS DE 79 CARACTERES","")</f>
        <v/>
      </c>
    </row>
    <row r="722" customFormat="false" ht="15" hidden="false" customHeight="true" outlineLevel="0" collapsed="false">
      <c r="B722" s="53" t="str">
        <f aca="false">IF(OR(LINEAS!$D$60="",LINEAS!$U$60=0,ABS(IF(OR(LINEAS!$U$60=1,LINEAS!$U$60=3),1,-1)*LINEAS!$AE$60*DATOS!$C$67)&lt;0.00005),"*",LINEAS!$D$60&amp;" UNI "&amp;IF(LINEAS!$U$60&lt;=2,"GZ","GX")&amp;" "&amp;TEXT(IF(OR(LINEAS!$U$60=1,LINEAS!$U$60=3),1,-1)*LINEAS!$AE$60*DATOS!$C$67,DATOS!$C$68))</f>
        <v>305 UNI GX -0.8427</v>
      </c>
      <c r="C722" s="51" t="str">
        <f aca="false">IF(LEN($B722)&gt;79,"MÁS DE 79 CARACTERES","")</f>
        <v/>
      </c>
      <c r="D722" s="53" t="str">
        <f aca="false">IF(PRESIONES!$C$22="NO","",IF(OR(LINEAS!$D$60="",LINEAS!$U$60=0,ABS(IF(OR(LINEAS!$U$60=1,LINEAS!$U$60=3),1,-1)*LINEAS!$AE$60*DATOS!$C$67)&lt;0.00005),"*",LINEAS!$D$60&amp;" UNI "&amp;IF(LINEAS!$U$60&lt;=2,"GZ","GX")&amp;" "&amp;TEXT(IF(OR(LINEAS!$U$60=1,LINEAS!$U$60=3),1,-1)*LINEAS!$AE$60*DATOS!$C$67,DATOS!$C$68)))</f>
        <v/>
      </c>
      <c r="E722" s="51" t="str">
        <f aca="false">IF(LEN($D722)&gt;79,"MÁS DE 79 CARACTERES","")</f>
        <v/>
      </c>
    </row>
    <row r="723" customFormat="false" ht="15" hidden="false" customHeight="true" outlineLevel="0" collapsed="false">
      <c r="B723" s="53" t="str">
        <f aca="false">IF(OR(LINEAS!$D$61="",LINEAS!$U$61=0,ABS(IF(OR(LINEAS!$U$61=1,LINEAS!$U$61=3),1,-1)*LINEAS!$AE$61*DATOS!$C$67)&lt;0.00005),"*",LINEAS!$D$61&amp;" UNI "&amp;IF(LINEAS!$U$61&lt;=2,"GZ","GX")&amp;" "&amp;TEXT(IF(OR(LINEAS!$U$61=1,LINEAS!$U$61=3),1,-1)*LINEAS!$AE$61*DATOS!$C$67,DATOS!$C$68))</f>
        <v>304 UNI GX -0.8427</v>
      </c>
      <c r="C723" s="51" t="str">
        <f aca="false">IF(LEN($B723)&gt;79,"MÁS DE 79 CARACTERES","")</f>
        <v/>
      </c>
      <c r="D723" s="53" t="str">
        <f aca="false">IF(PRESIONES!$C$22="NO","",IF(OR(LINEAS!$D$61="",LINEAS!$U$61=0,ABS(IF(OR(LINEAS!$U$61=1,LINEAS!$U$61=3),1,-1)*LINEAS!$AE$61*DATOS!$C$67)&lt;0.00005),"*",LINEAS!$D$61&amp;" UNI "&amp;IF(LINEAS!$U$61&lt;=2,"GZ","GX")&amp;" "&amp;TEXT(IF(OR(LINEAS!$U$61=1,LINEAS!$U$61=3),1,-1)*LINEAS!$AE$61*DATOS!$C$67,DATOS!$C$68)))</f>
        <v/>
      </c>
      <c r="E723" s="51" t="str">
        <f aca="false">IF(LEN($D723)&gt;79,"MÁS DE 79 CARACTERES","")</f>
        <v/>
      </c>
    </row>
    <row r="724" customFormat="false" ht="15" hidden="false" customHeight="true" outlineLevel="0" collapsed="false">
      <c r="B724" s="53" t="str">
        <f aca="false">IF(OR(LINEAS!$D$62="",LINEAS!$U$62=0,ABS(IF(OR(LINEAS!$U$62=1,LINEAS!$U$62=3),1,-1)*LINEAS!$AE$62*DATOS!$C$67)&lt;0.00005),"*",LINEAS!$D$62&amp;" UNI "&amp;IF(LINEAS!$U$62&lt;=2,"GZ","GX")&amp;" "&amp;TEXT(IF(OR(LINEAS!$U$62=1,LINEAS!$U$62=3),1,-1)*LINEAS!$AE$62*DATOS!$C$67,DATOS!$C$68))</f>
        <v>303 UNI GX -0.8427</v>
      </c>
      <c r="C724" s="51" t="str">
        <f aca="false">IF(LEN($B724)&gt;79,"MÁS DE 79 CARACTERES","")</f>
        <v/>
      </c>
      <c r="D724" s="53" t="str">
        <f aca="false">IF(PRESIONES!$C$22="NO","",IF(OR(LINEAS!$D$62="",LINEAS!$U$62=0,ABS(IF(OR(LINEAS!$U$62=1,LINEAS!$U$62=3),1,-1)*LINEAS!$AE$62*DATOS!$C$67)&lt;0.00005),"*",LINEAS!$D$62&amp;" UNI "&amp;IF(LINEAS!$U$62&lt;=2,"GZ","GX")&amp;" "&amp;TEXT(IF(OR(LINEAS!$U$62=1,LINEAS!$U$62=3),1,-1)*LINEAS!$AE$62*DATOS!$C$67,DATOS!$C$68)))</f>
        <v/>
      </c>
      <c r="E724" s="51" t="str">
        <f aca="false">IF(LEN($D724)&gt;79,"MÁS DE 79 CARACTERES","")</f>
        <v/>
      </c>
    </row>
    <row r="725" customFormat="false" ht="15" hidden="false" customHeight="true" outlineLevel="0" collapsed="false">
      <c r="B725" s="53" t="str">
        <f aca="false">IF(OR(LINEAS!$D$63="",LINEAS!$U$63=0,ABS(IF(OR(LINEAS!$U$63=1,LINEAS!$U$63=3),1,-1)*LINEAS!$AE$63*DATOS!$C$67)&lt;0.00005),"*",LINEAS!$D$63&amp;" UNI "&amp;IF(LINEAS!$U$63&lt;=2,"GZ","GX")&amp;" "&amp;TEXT(IF(OR(LINEAS!$U$63=1,LINEAS!$U$63=3),1,-1)*LINEAS!$AE$63*DATOS!$C$67,DATOS!$C$68))</f>
        <v>314 UNI GX -0.8427</v>
      </c>
      <c r="C725" s="51" t="str">
        <f aca="false">IF(LEN($B725)&gt;79,"MÁS DE 79 CARACTERES","")</f>
        <v/>
      </c>
      <c r="D725" s="53" t="str">
        <f aca="false">IF(PRESIONES!$C$22="NO","",IF(OR(LINEAS!$D$63="",LINEAS!$U$63=0,ABS(IF(OR(LINEAS!$U$63=1,LINEAS!$U$63=3),1,-1)*LINEAS!$AE$63*DATOS!$C$67)&lt;0.00005),"*",LINEAS!$D$63&amp;" UNI "&amp;IF(LINEAS!$U$63&lt;=2,"GZ","GX")&amp;" "&amp;TEXT(IF(OR(LINEAS!$U$63=1,LINEAS!$U$63=3),1,-1)*LINEAS!$AE$63*DATOS!$C$67,DATOS!$C$68)))</f>
        <v/>
      </c>
      <c r="E725" s="51" t="str">
        <f aca="false">IF(LEN($D725)&gt;79,"MÁS DE 79 CARACTERES","")</f>
        <v/>
      </c>
    </row>
    <row r="726" customFormat="false" ht="15" hidden="false" customHeight="true" outlineLevel="0" collapsed="false">
      <c r="B726" s="53" t="str">
        <f aca="false">IF(OR(LINEAS!$D$64="",LINEAS!$U$64=0,ABS(IF(OR(LINEAS!$U$64=1,LINEAS!$U$64=3),1,-1)*LINEAS!$AE$64*DATOS!$C$67)&lt;0.00005),"*",LINEAS!$D$64&amp;" UNI "&amp;IF(LINEAS!$U$64&lt;=2,"GZ","GX")&amp;" "&amp;TEXT(IF(OR(LINEAS!$U$64=1,LINEAS!$U$64=3),1,-1)*LINEAS!$AE$64*DATOS!$C$67,DATOS!$C$68))</f>
        <v>313 UNI GX -0.8427</v>
      </c>
      <c r="C726" s="51" t="str">
        <f aca="false">IF(LEN($B726)&gt;79,"MÁS DE 79 CARACTERES","")</f>
        <v/>
      </c>
      <c r="D726" s="53" t="str">
        <f aca="false">IF(PRESIONES!$C$22="NO","",IF(OR(LINEAS!$D$64="",LINEAS!$U$64=0,ABS(IF(OR(LINEAS!$U$64=1,LINEAS!$U$64=3),1,-1)*LINEAS!$AE$64*DATOS!$C$67)&lt;0.00005),"*",LINEAS!$D$64&amp;" UNI "&amp;IF(LINEAS!$U$64&lt;=2,"GZ","GX")&amp;" "&amp;TEXT(IF(OR(LINEAS!$U$64=1,LINEAS!$U$64=3),1,-1)*LINEAS!$AE$64*DATOS!$C$67,DATOS!$C$68)))</f>
        <v/>
      </c>
      <c r="E726" s="51" t="str">
        <f aca="false">IF(LEN($D726)&gt;79,"MÁS DE 79 CARACTERES","")</f>
        <v/>
      </c>
    </row>
    <row r="727" customFormat="false" ht="15" hidden="false" customHeight="true" outlineLevel="0" collapsed="false">
      <c r="B727" s="53" t="str">
        <f aca="false">IF(OR(LINEAS!$D$65="",LINEAS!$U$65=0,ABS(IF(OR(LINEAS!$U$65=1,LINEAS!$U$65=3),1,-1)*LINEAS!$AE$65*DATOS!$C$67)&lt;0.00005),"*",LINEAS!$D$65&amp;" UNI "&amp;IF(LINEAS!$U$65&lt;=2,"GZ","GX")&amp;" "&amp;TEXT(IF(OR(LINEAS!$U$65=1,LINEAS!$U$65=3),1,-1)*LINEAS!$AE$65*DATOS!$C$67,DATOS!$C$68))</f>
        <v>312 UNI GX -0.8427</v>
      </c>
      <c r="C727" s="51" t="str">
        <f aca="false">IF(LEN($B727)&gt;79,"MÁS DE 79 CARACTERES","")</f>
        <v/>
      </c>
      <c r="D727" s="53" t="str">
        <f aca="false">IF(PRESIONES!$C$22="NO","",IF(OR(LINEAS!$D$65="",LINEAS!$U$65=0,ABS(IF(OR(LINEAS!$U$65=1,LINEAS!$U$65=3),1,-1)*LINEAS!$AE$65*DATOS!$C$67)&lt;0.00005),"*",LINEAS!$D$65&amp;" UNI "&amp;IF(LINEAS!$U$65&lt;=2,"GZ","GX")&amp;" "&amp;TEXT(IF(OR(LINEAS!$U$65=1,LINEAS!$U$65=3),1,-1)*LINEAS!$AE$65*DATOS!$C$67,DATOS!$C$68)))</f>
        <v/>
      </c>
      <c r="E727" s="51" t="str">
        <f aca="false">IF(LEN($D727)&gt;79,"MÁS DE 79 CARACTERES","")</f>
        <v/>
      </c>
    </row>
    <row r="728" customFormat="false" ht="15" hidden="false" customHeight="true" outlineLevel="0" collapsed="false">
      <c r="B728" s="53" t="str">
        <f aca="false">IF(OR(LINEAS!$D$66="",LINEAS!$U$66=0,ABS(IF(OR(LINEAS!$U$66=1,LINEAS!$U$66=3),1,-1)*LINEAS!$AE$66*DATOS!$C$67)&lt;0.00005),"*",LINEAS!$D$66&amp;" UNI "&amp;IF(LINEAS!$U$66&lt;=2,"GZ","GX")&amp;" "&amp;TEXT(IF(OR(LINEAS!$U$66=1,LINEAS!$U$66=3),1,-1)*LINEAS!$AE$66*DATOS!$C$67,DATOS!$C$68))</f>
        <v>317 UNI GX -0.7198</v>
      </c>
      <c r="C728" s="51" t="str">
        <f aca="false">IF(LEN($B728)&gt;79,"MÁS DE 79 CARACTERES","")</f>
        <v/>
      </c>
      <c r="D728" s="53" t="str">
        <f aca="false">IF(PRESIONES!$C$22="NO","",IF(OR(LINEAS!$D$66="",LINEAS!$U$66=0,ABS(IF(OR(LINEAS!$U$66=1,LINEAS!$U$66=3),1,-1)*LINEAS!$AE$66*DATOS!$C$67)&lt;0.00005),"*",LINEAS!$D$66&amp;" UNI "&amp;IF(LINEAS!$U$66&lt;=2,"GZ","GX")&amp;" "&amp;TEXT(IF(OR(LINEAS!$U$66=1,LINEAS!$U$66=3),1,-1)*LINEAS!$AE$66*DATOS!$C$67,DATOS!$C$68)))</f>
        <v/>
      </c>
      <c r="E728" s="51" t="str">
        <f aca="false">IF(LEN($D728)&gt;79,"MÁS DE 79 CARACTERES","")</f>
        <v/>
      </c>
    </row>
    <row r="729" customFormat="false" ht="15" hidden="false" customHeight="true" outlineLevel="0" collapsed="false">
      <c r="B729" s="53" t="str">
        <f aca="false">IF(OR(LINEAS!$D$67="",LINEAS!$U$67=0,ABS(IF(OR(LINEAS!$U$67=1,LINEAS!$U$67=3),1,-1)*LINEAS!$AE$67*DATOS!$C$67)&lt;0.00005),"*",LINEAS!$D$67&amp;" UNI "&amp;IF(LINEAS!$U$67&lt;=2,"GZ","GX")&amp;" "&amp;TEXT(IF(OR(LINEAS!$U$67=1,LINEAS!$U$67=3),1,-1)*LINEAS!$AE$67*DATOS!$C$67,DATOS!$C$68))</f>
        <v>316 UNI GX -0.6004</v>
      </c>
      <c r="C729" s="51" t="str">
        <f aca="false">IF(LEN($B729)&gt;79,"MÁS DE 79 CARACTERES","")</f>
        <v/>
      </c>
      <c r="D729" s="53" t="str">
        <f aca="false">IF(PRESIONES!$C$22="NO","",IF(OR(LINEAS!$D$67="",LINEAS!$U$67=0,ABS(IF(OR(LINEAS!$U$67=1,LINEAS!$U$67=3),1,-1)*LINEAS!$AE$67*DATOS!$C$67)&lt;0.00005),"*",LINEAS!$D$67&amp;" UNI "&amp;IF(LINEAS!$U$67&lt;=2,"GZ","GX")&amp;" "&amp;TEXT(IF(OR(LINEAS!$U$67=1,LINEAS!$U$67=3),1,-1)*LINEAS!$AE$67*DATOS!$C$67,DATOS!$C$68)))</f>
        <v/>
      </c>
      <c r="E729" s="51" t="str">
        <f aca="false">IF(LEN($D729)&gt;79,"MÁS DE 79 CARACTERES","")</f>
        <v/>
      </c>
    </row>
    <row r="730" customFormat="false" ht="15" hidden="false" customHeight="true" outlineLevel="0" collapsed="false">
      <c r="B730" s="53" t="str">
        <f aca="false">IF(OR(LINEAS!$D$68="",LINEAS!$U$68=0,ABS(IF(OR(LINEAS!$U$68=1,LINEAS!$U$68=3),1,-1)*LINEAS!$AE$68*DATOS!$C$67)&lt;0.00005),"*",LINEAS!$D$68&amp;" UNI "&amp;IF(LINEAS!$U$68&lt;=2,"GZ","GX")&amp;" "&amp;TEXT(IF(OR(LINEAS!$U$68=1,LINEAS!$U$68=3),1,-1)*LINEAS!$AE$68*DATOS!$C$67,DATOS!$C$68))</f>
        <v>315 UNI GX -0.5197</v>
      </c>
      <c r="C730" s="51" t="str">
        <f aca="false">IF(LEN($B730)&gt;79,"MÁS DE 79 CARACTERES","")</f>
        <v/>
      </c>
      <c r="D730" s="53" t="str">
        <f aca="false">IF(PRESIONES!$C$22="NO","",IF(OR(LINEAS!$D$68="",LINEAS!$U$68=0,ABS(IF(OR(LINEAS!$U$68=1,LINEAS!$U$68=3),1,-1)*LINEAS!$AE$68*DATOS!$C$67)&lt;0.00005),"*",LINEAS!$D$68&amp;" UNI "&amp;IF(LINEAS!$U$68&lt;=2,"GZ","GX")&amp;" "&amp;TEXT(IF(OR(LINEAS!$U$68=1,LINEAS!$U$68=3),1,-1)*LINEAS!$AE$68*DATOS!$C$67,DATOS!$C$68)))</f>
        <v/>
      </c>
      <c r="E730" s="51" t="str">
        <f aca="false">IF(LEN($D730)&gt;79,"MÁS DE 79 CARACTERES","")</f>
        <v/>
      </c>
    </row>
    <row r="731" customFormat="false" ht="15" hidden="false" customHeight="true" outlineLevel="0" collapsed="false">
      <c r="B731" s="53" t="str">
        <f aca="false">IF(OR(LINEAS!$D$69="",LINEAS!$U$69=0,ABS(IF(OR(LINEAS!$U$69=1,LINEAS!$U$69=3),1,-1)*LINEAS!$AE$69*DATOS!$C$67)&lt;0.00005),"*",LINEAS!$D$69&amp;" UNI "&amp;IF(LINEAS!$U$69&lt;=2,"GZ","GX")&amp;" "&amp;TEXT(IF(OR(LINEAS!$U$69=1,LINEAS!$U$69=3),1,-1)*LINEAS!$AE$69*DATOS!$C$67,DATOS!$C$68))</f>
        <v>265 UNI GX 0.8427</v>
      </c>
      <c r="C731" s="51" t="str">
        <f aca="false">IF(LEN($B731)&gt;79,"MÁS DE 79 CARACTERES","")</f>
        <v/>
      </c>
      <c r="D731" s="53" t="str">
        <f aca="false">IF(PRESIONES!$C$22="NO","",IF(OR(LINEAS!$D$69="",LINEAS!$U$69=0,ABS(IF(OR(LINEAS!$U$69=1,LINEAS!$U$69=3),1,-1)*LINEAS!$AE$69*DATOS!$C$67)&lt;0.00005),"*",LINEAS!$D$69&amp;" UNI "&amp;IF(LINEAS!$U$69&lt;=2,"GZ","GX")&amp;" "&amp;TEXT(IF(OR(LINEAS!$U$69=1,LINEAS!$U$69=3),1,-1)*LINEAS!$AE$69*DATOS!$C$67,DATOS!$C$68)))</f>
        <v/>
      </c>
      <c r="E731" s="51" t="str">
        <f aca="false">IF(LEN($D731)&gt;79,"MÁS DE 79 CARACTERES","")</f>
        <v/>
      </c>
    </row>
    <row r="732" customFormat="false" ht="15" hidden="false" customHeight="true" outlineLevel="0" collapsed="false">
      <c r="B732" s="53" t="str">
        <f aca="false">IF(OR(LINEAS!$D$70="",LINEAS!$U$70=0,ABS(IF(OR(LINEAS!$U$70=1,LINEAS!$U$70=3),1,-1)*LINEAS!$AE$70*DATOS!$C$67)&lt;0.00005),"*",LINEAS!$D$70&amp;" UNI "&amp;IF(LINEAS!$U$70&lt;=2,"GZ","GX")&amp;" "&amp;TEXT(IF(OR(LINEAS!$U$70=1,LINEAS!$U$70=3),1,-1)*LINEAS!$AE$70*DATOS!$C$67,DATOS!$C$68))</f>
        <v>266 UNI GX 0.8427</v>
      </c>
      <c r="C732" s="51" t="str">
        <f aca="false">IF(LEN($B732)&gt;79,"MÁS DE 79 CARACTERES","")</f>
        <v/>
      </c>
      <c r="D732" s="53" t="str">
        <f aca="false">IF(PRESIONES!$C$22="NO","",IF(OR(LINEAS!$D$70="",LINEAS!$U$70=0,ABS(IF(OR(LINEAS!$U$70=1,LINEAS!$U$70=3),1,-1)*LINEAS!$AE$70*DATOS!$C$67)&lt;0.00005),"*",LINEAS!$D$70&amp;" UNI "&amp;IF(LINEAS!$U$70&lt;=2,"GZ","GX")&amp;" "&amp;TEXT(IF(OR(LINEAS!$U$70=1,LINEAS!$U$70=3),1,-1)*LINEAS!$AE$70*DATOS!$C$67,DATOS!$C$68)))</f>
        <v/>
      </c>
      <c r="E732" s="51" t="str">
        <f aca="false">IF(LEN($D732)&gt;79,"MÁS DE 79 CARACTERES","")</f>
        <v/>
      </c>
    </row>
    <row r="733" customFormat="false" ht="15" hidden="false" customHeight="true" outlineLevel="0" collapsed="false">
      <c r="B733" s="53" t="str">
        <f aca="false">IF(OR(LINEAS!$D$71="",LINEAS!$U$71=0,ABS(IF(OR(LINEAS!$U$71=1,LINEAS!$U$71=3),1,-1)*LINEAS!$AE$71*DATOS!$C$67)&lt;0.00005),"*",LINEAS!$D$71&amp;" UNI "&amp;IF(LINEAS!$U$71&lt;=2,"GZ","GX")&amp;" "&amp;TEXT(IF(OR(LINEAS!$U$71=1,LINEAS!$U$71=3),1,-1)*LINEAS!$AE$71*DATOS!$C$67,DATOS!$C$68))</f>
        <v>267 UNI GX 0.8427</v>
      </c>
      <c r="C733" s="51" t="str">
        <f aca="false">IF(LEN($B733)&gt;79,"MÁS DE 79 CARACTERES","")</f>
        <v/>
      </c>
      <c r="D733" s="53" t="str">
        <f aca="false">IF(PRESIONES!$C$22="NO","",IF(OR(LINEAS!$D$71="",LINEAS!$U$71=0,ABS(IF(OR(LINEAS!$U$71=1,LINEAS!$U$71=3),1,-1)*LINEAS!$AE$71*DATOS!$C$67)&lt;0.00005),"*",LINEAS!$D$71&amp;" UNI "&amp;IF(LINEAS!$U$71&lt;=2,"GZ","GX")&amp;" "&amp;TEXT(IF(OR(LINEAS!$U$71=1,LINEAS!$U$71=3),1,-1)*LINEAS!$AE$71*DATOS!$C$67,DATOS!$C$68)))</f>
        <v/>
      </c>
      <c r="E733" s="51" t="str">
        <f aca="false">IF(LEN($D733)&gt;79,"MÁS DE 79 CARACTERES","")</f>
        <v/>
      </c>
    </row>
    <row r="734" customFormat="false" ht="15" hidden="false" customHeight="true" outlineLevel="0" collapsed="false">
      <c r="B734" s="53" t="str">
        <f aca="false">IF(OR(LINEAS!$D$72="",LINEAS!$U$72=0,ABS(IF(OR(LINEAS!$U$72=1,LINEAS!$U$72=3),1,-1)*LINEAS!$AE$72*DATOS!$C$67)&lt;0.00005),"*",LINEAS!$D$72&amp;" UNI "&amp;IF(LINEAS!$U$72&lt;=2,"GZ","GX")&amp;" "&amp;TEXT(IF(OR(LINEAS!$U$72=1,LINEAS!$U$72=3),1,-1)*LINEAS!$AE$72*DATOS!$C$67,DATOS!$C$68))</f>
        <v>274 UNI GX 0.8427</v>
      </c>
      <c r="C734" s="51" t="str">
        <f aca="false">IF(LEN($B734)&gt;79,"MÁS DE 79 CARACTERES","")</f>
        <v/>
      </c>
      <c r="D734" s="53" t="str">
        <f aca="false">IF(PRESIONES!$C$22="NO","",IF(OR(LINEAS!$D$72="",LINEAS!$U$72=0,ABS(IF(OR(LINEAS!$U$72=1,LINEAS!$U$72=3),1,-1)*LINEAS!$AE$72*DATOS!$C$67)&lt;0.00005),"*",LINEAS!$D$72&amp;" UNI "&amp;IF(LINEAS!$U$72&lt;=2,"GZ","GX")&amp;" "&amp;TEXT(IF(OR(LINEAS!$U$72=1,LINEAS!$U$72=3),1,-1)*LINEAS!$AE$72*DATOS!$C$67,DATOS!$C$68)))</f>
        <v/>
      </c>
      <c r="E734" s="51" t="str">
        <f aca="false">IF(LEN($D734)&gt;79,"MÁS DE 79 CARACTERES","")</f>
        <v/>
      </c>
    </row>
    <row r="735" customFormat="false" ht="15" hidden="false" customHeight="true" outlineLevel="0" collapsed="false">
      <c r="B735" s="53" t="str">
        <f aca="false">IF(OR(LINEAS!$D$73="",LINEAS!$U$73=0,ABS(IF(OR(LINEAS!$U$73=1,LINEAS!$U$73=3),1,-1)*LINEAS!$AE$73*DATOS!$C$67)&lt;0.00005),"*",LINEAS!$D$73&amp;" UNI "&amp;IF(LINEAS!$U$73&lt;=2,"GZ","GX")&amp;" "&amp;TEXT(IF(OR(LINEAS!$U$73=1,LINEAS!$U$73=3),1,-1)*LINEAS!$AE$73*DATOS!$C$67,DATOS!$C$68))</f>
        <v>275 UNI GX 0.8427</v>
      </c>
      <c r="C735" s="51" t="str">
        <f aca="false">IF(LEN($B735)&gt;79,"MÁS DE 79 CARACTERES","")</f>
        <v/>
      </c>
      <c r="D735" s="53" t="str">
        <f aca="false">IF(PRESIONES!$C$22="NO","",IF(OR(LINEAS!$D$73="",LINEAS!$U$73=0,ABS(IF(OR(LINEAS!$U$73=1,LINEAS!$U$73=3),1,-1)*LINEAS!$AE$73*DATOS!$C$67)&lt;0.00005),"*",LINEAS!$D$73&amp;" UNI "&amp;IF(LINEAS!$U$73&lt;=2,"GZ","GX")&amp;" "&amp;TEXT(IF(OR(LINEAS!$U$73=1,LINEAS!$U$73=3),1,-1)*LINEAS!$AE$73*DATOS!$C$67,DATOS!$C$68)))</f>
        <v/>
      </c>
      <c r="E735" s="51" t="str">
        <f aca="false">IF(LEN($D735)&gt;79,"MÁS DE 79 CARACTERES","")</f>
        <v/>
      </c>
    </row>
    <row r="736" customFormat="false" ht="15" hidden="false" customHeight="true" outlineLevel="0" collapsed="false">
      <c r="B736" s="53" t="str">
        <f aca="false">IF(OR(LINEAS!$D$74="",LINEAS!$U$74=0,ABS(IF(OR(LINEAS!$U$74=1,LINEAS!$U$74=3),1,-1)*LINEAS!$AE$74*DATOS!$C$67)&lt;0.00005),"*",LINEAS!$D$74&amp;" UNI "&amp;IF(LINEAS!$U$74&lt;=2,"GZ","GX")&amp;" "&amp;TEXT(IF(OR(LINEAS!$U$74=1,LINEAS!$U$74=3),1,-1)*LINEAS!$AE$74*DATOS!$C$67,DATOS!$C$68))</f>
        <v>276 UNI GX 0.8427</v>
      </c>
      <c r="C736" s="51" t="str">
        <f aca="false">IF(LEN($B736)&gt;79,"MÁS DE 79 CARACTERES","")</f>
        <v/>
      </c>
      <c r="D736" s="53" t="str">
        <f aca="false">IF(PRESIONES!$C$22="NO","",IF(OR(LINEAS!$D$74="",LINEAS!$U$74=0,ABS(IF(OR(LINEAS!$U$74=1,LINEAS!$U$74=3),1,-1)*LINEAS!$AE$74*DATOS!$C$67)&lt;0.00005),"*",LINEAS!$D$74&amp;" UNI "&amp;IF(LINEAS!$U$74&lt;=2,"GZ","GX")&amp;" "&amp;TEXT(IF(OR(LINEAS!$U$74=1,LINEAS!$U$74=3),1,-1)*LINEAS!$AE$74*DATOS!$C$67,DATOS!$C$68)))</f>
        <v/>
      </c>
      <c r="E736" s="51" t="str">
        <f aca="false">IF(LEN($D736)&gt;79,"MÁS DE 79 CARACTERES","")</f>
        <v/>
      </c>
    </row>
    <row r="737" customFormat="false" ht="15" hidden="false" customHeight="true" outlineLevel="0" collapsed="false">
      <c r="B737" s="53" t="str">
        <f aca="false">IF(OR(LINEAS!$D$75="",LINEAS!$U$75=0,ABS(IF(OR(LINEAS!$U$75=1,LINEAS!$U$75=3),1,-1)*LINEAS!$AE$75*DATOS!$C$67)&lt;0.00005),"*",LINEAS!$D$75&amp;" UNI "&amp;IF(LINEAS!$U$75&lt;=2,"GZ","GX")&amp;" "&amp;TEXT(IF(OR(LINEAS!$U$75=1,LINEAS!$U$75=3),1,-1)*LINEAS!$AE$75*DATOS!$C$67,DATOS!$C$68))</f>
        <v>283 UNI GX 0.8427</v>
      </c>
      <c r="C737" s="51" t="str">
        <f aca="false">IF(LEN($B737)&gt;79,"MÁS DE 79 CARACTERES","")</f>
        <v/>
      </c>
      <c r="D737" s="53" t="str">
        <f aca="false">IF(PRESIONES!$C$22="NO","",IF(OR(LINEAS!$D$75="",LINEAS!$U$75=0,ABS(IF(OR(LINEAS!$U$75=1,LINEAS!$U$75=3),1,-1)*LINEAS!$AE$75*DATOS!$C$67)&lt;0.00005),"*",LINEAS!$D$75&amp;" UNI "&amp;IF(LINEAS!$U$75&lt;=2,"GZ","GX")&amp;" "&amp;TEXT(IF(OR(LINEAS!$U$75=1,LINEAS!$U$75=3),1,-1)*LINEAS!$AE$75*DATOS!$C$67,DATOS!$C$68)))</f>
        <v/>
      </c>
      <c r="E737" s="51" t="str">
        <f aca="false">IF(LEN($D737)&gt;79,"MÁS DE 79 CARACTERES","")</f>
        <v/>
      </c>
    </row>
    <row r="738" customFormat="false" ht="15" hidden="false" customHeight="true" outlineLevel="0" collapsed="false">
      <c r="B738" s="53" t="str">
        <f aca="false">IF(OR(LINEAS!$D$76="",LINEAS!$U$76=0,ABS(IF(OR(LINEAS!$U$76=1,LINEAS!$U$76=3),1,-1)*LINEAS!$AE$76*DATOS!$C$67)&lt;0.00005),"*",LINEAS!$D$76&amp;" UNI "&amp;IF(LINEAS!$U$76&lt;=2,"GZ","GX")&amp;" "&amp;TEXT(IF(OR(LINEAS!$U$76=1,LINEAS!$U$76=3),1,-1)*LINEAS!$AE$76*DATOS!$C$67,DATOS!$C$68))</f>
        <v>284 UNI GX 0.8427</v>
      </c>
      <c r="C738" s="51" t="str">
        <f aca="false">IF(LEN($B738)&gt;79,"MÁS DE 79 CARACTERES","")</f>
        <v/>
      </c>
      <c r="D738" s="53" t="str">
        <f aca="false">IF(PRESIONES!$C$22="NO","",IF(OR(LINEAS!$D$76="",LINEAS!$U$76=0,ABS(IF(OR(LINEAS!$U$76=1,LINEAS!$U$76=3),1,-1)*LINEAS!$AE$76*DATOS!$C$67)&lt;0.00005),"*",LINEAS!$D$76&amp;" UNI "&amp;IF(LINEAS!$U$76&lt;=2,"GZ","GX")&amp;" "&amp;TEXT(IF(OR(LINEAS!$U$76=1,LINEAS!$U$76=3),1,-1)*LINEAS!$AE$76*DATOS!$C$67,DATOS!$C$68)))</f>
        <v/>
      </c>
      <c r="E738" s="51" t="str">
        <f aca="false">IF(LEN($D738)&gt;79,"MÁS DE 79 CARACTERES","")</f>
        <v/>
      </c>
    </row>
    <row r="739" customFormat="false" ht="15" hidden="false" customHeight="true" outlineLevel="0" collapsed="false">
      <c r="B739" s="53" t="str">
        <f aca="false">IF(OR(LINEAS!$D$77="",LINEAS!$U$77=0,ABS(IF(OR(LINEAS!$U$77=1,LINEAS!$U$77=3),1,-1)*LINEAS!$AE$77*DATOS!$C$67)&lt;0.00005),"*",LINEAS!$D$77&amp;" UNI "&amp;IF(LINEAS!$U$77&lt;=2,"GZ","GX")&amp;" "&amp;TEXT(IF(OR(LINEAS!$U$77=1,LINEAS!$U$77=3),1,-1)*LINEAS!$AE$77*DATOS!$C$67,DATOS!$C$68))</f>
        <v>285 UNI GX 0.8427</v>
      </c>
      <c r="C739" s="51" t="str">
        <f aca="false">IF(LEN($B739)&gt;79,"MÁS DE 79 CARACTERES","")</f>
        <v/>
      </c>
      <c r="D739" s="53" t="str">
        <f aca="false">IF(PRESIONES!$C$22="NO","",IF(OR(LINEAS!$D$77="",LINEAS!$U$77=0,ABS(IF(OR(LINEAS!$U$77=1,LINEAS!$U$77=3),1,-1)*LINEAS!$AE$77*DATOS!$C$67)&lt;0.00005),"*",LINEAS!$D$77&amp;" UNI "&amp;IF(LINEAS!$U$77&lt;=2,"GZ","GX")&amp;" "&amp;TEXT(IF(OR(LINEAS!$U$77=1,LINEAS!$U$77=3),1,-1)*LINEAS!$AE$77*DATOS!$C$67,DATOS!$C$68)))</f>
        <v/>
      </c>
      <c r="E739" s="51" t="str">
        <f aca="false">IF(LEN($D739)&gt;79,"MÁS DE 79 CARACTERES","")</f>
        <v/>
      </c>
    </row>
    <row r="740" customFormat="false" ht="15" hidden="false" customHeight="true" outlineLevel="0" collapsed="false">
      <c r="B740" s="53" t="str">
        <f aca="false">IF(OR(LINEAS!$D$78="",LINEAS!$U$78=0,ABS(IF(OR(LINEAS!$U$78=1,LINEAS!$U$78=3),1,-1)*LINEAS!$AE$78*DATOS!$C$67)&lt;0.00005),"*",LINEAS!$D$78&amp;" UNI "&amp;IF(LINEAS!$U$78&lt;=2,"GZ","GX")&amp;" "&amp;TEXT(IF(OR(LINEAS!$U$78=1,LINEAS!$U$78=3),1,-1)*LINEAS!$AE$78*DATOS!$C$67,DATOS!$C$68))</f>
        <v>292 UNI GX 0.8427</v>
      </c>
      <c r="C740" s="51" t="str">
        <f aca="false">IF(LEN($B740)&gt;79,"MÁS DE 79 CARACTERES","")</f>
        <v/>
      </c>
      <c r="D740" s="53" t="str">
        <f aca="false">IF(PRESIONES!$C$22="NO","",IF(OR(LINEAS!$D$78="",LINEAS!$U$78=0,ABS(IF(OR(LINEAS!$U$78=1,LINEAS!$U$78=3),1,-1)*LINEAS!$AE$78*DATOS!$C$67)&lt;0.00005),"*",LINEAS!$D$78&amp;" UNI "&amp;IF(LINEAS!$U$78&lt;=2,"GZ","GX")&amp;" "&amp;TEXT(IF(OR(LINEAS!$U$78=1,LINEAS!$U$78=3),1,-1)*LINEAS!$AE$78*DATOS!$C$67,DATOS!$C$68)))</f>
        <v/>
      </c>
      <c r="E740" s="51" t="str">
        <f aca="false">IF(LEN($D740)&gt;79,"MÁS DE 79 CARACTERES","")</f>
        <v/>
      </c>
    </row>
    <row r="741" customFormat="false" ht="15" hidden="false" customHeight="true" outlineLevel="0" collapsed="false">
      <c r="B741" s="53" t="str">
        <f aca="false">IF(OR(LINEAS!$D$79="",LINEAS!$U$79=0,ABS(IF(OR(LINEAS!$U$79=1,LINEAS!$U$79=3),1,-1)*LINEAS!$AE$79*DATOS!$C$67)&lt;0.00005),"*",LINEAS!$D$79&amp;" UNI "&amp;IF(LINEAS!$U$79&lt;=2,"GZ","GX")&amp;" "&amp;TEXT(IF(OR(LINEAS!$U$79=1,LINEAS!$U$79=3),1,-1)*LINEAS!$AE$79*DATOS!$C$67,DATOS!$C$68))</f>
        <v>293 UNI GX 0.8427</v>
      </c>
      <c r="C741" s="51" t="str">
        <f aca="false">IF(LEN($B741)&gt;79,"MÁS DE 79 CARACTERES","")</f>
        <v/>
      </c>
      <c r="D741" s="53" t="str">
        <f aca="false">IF(PRESIONES!$C$22="NO","",IF(OR(LINEAS!$D$79="",LINEAS!$U$79=0,ABS(IF(OR(LINEAS!$U$79=1,LINEAS!$U$79=3),1,-1)*LINEAS!$AE$79*DATOS!$C$67)&lt;0.00005),"*",LINEAS!$D$79&amp;" UNI "&amp;IF(LINEAS!$U$79&lt;=2,"GZ","GX")&amp;" "&amp;TEXT(IF(OR(LINEAS!$U$79=1,LINEAS!$U$79=3),1,-1)*LINEAS!$AE$79*DATOS!$C$67,DATOS!$C$68)))</f>
        <v/>
      </c>
      <c r="E741" s="51" t="str">
        <f aca="false">IF(LEN($D741)&gt;79,"MÁS DE 79 CARACTERES","")</f>
        <v/>
      </c>
    </row>
    <row r="742" customFormat="false" ht="15" hidden="false" customHeight="true" outlineLevel="0" collapsed="false">
      <c r="B742" s="53" t="str">
        <f aca="false">IF(OR(LINEAS!$D$80="",LINEAS!$U$80=0,ABS(IF(OR(LINEAS!$U$80=1,LINEAS!$U$80=3),1,-1)*LINEAS!$AE$80*DATOS!$C$67)&lt;0.00005),"*",LINEAS!$D$80&amp;" UNI "&amp;IF(LINEAS!$U$80&lt;=2,"GZ","GX")&amp;" "&amp;TEXT(IF(OR(LINEAS!$U$80=1,LINEAS!$U$80=3),1,-1)*LINEAS!$AE$80*DATOS!$C$67,DATOS!$C$68))</f>
        <v>294 UNI GX 0.8427</v>
      </c>
      <c r="C742" s="51" t="str">
        <f aca="false">IF(LEN($B742)&gt;79,"MÁS DE 79 CARACTERES","")</f>
        <v/>
      </c>
      <c r="D742" s="53" t="str">
        <f aca="false">IF(PRESIONES!$C$22="NO","",IF(OR(LINEAS!$D$80="",LINEAS!$U$80=0,ABS(IF(OR(LINEAS!$U$80=1,LINEAS!$U$80=3),1,-1)*LINEAS!$AE$80*DATOS!$C$67)&lt;0.00005),"*",LINEAS!$D$80&amp;" UNI "&amp;IF(LINEAS!$U$80&lt;=2,"GZ","GX")&amp;" "&amp;TEXT(IF(OR(LINEAS!$U$80=1,LINEAS!$U$80=3),1,-1)*LINEAS!$AE$80*DATOS!$C$67,DATOS!$C$68)))</f>
        <v/>
      </c>
      <c r="E742" s="51" t="str">
        <f aca="false">IF(LEN($D742)&gt;79,"MÁS DE 79 CARACTERES","")</f>
        <v/>
      </c>
    </row>
    <row r="743" customFormat="false" ht="15" hidden="false" customHeight="true" outlineLevel="0" collapsed="false">
      <c r="B743" s="53" t="str">
        <f aca="false">IF(OR(LINEAS!$D$81="",LINEAS!$U$81=0,ABS(IF(OR(LINEAS!$U$81=1,LINEAS!$U$81=3),1,-1)*LINEAS!$AE$81*DATOS!$C$67)&lt;0.00005),"*",LINEAS!$D$81&amp;" UNI "&amp;IF(LINEAS!$U$81&lt;=2,"GZ","GX")&amp;" "&amp;TEXT(IF(OR(LINEAS!$U$81=1,LINEAS!$U$81=3),1,-1)*LINEAS!$AE$81*DATOS!$C$67,DATOS!$C$68))</f>
        <v>300 UNI GX 0.8427</v>
      </c>
      <c r="C743" s="51" t="str">
        <f aca="false">IF(LEN($B743)&gt;79,"MÁS DE 79 CARACTERES","")</f>
        <v/>
      </c>
      <c r="D743" s="53" t="str">
        <f aca="false">IF(PRESIONES!$C$22="NO","",IF(OR(LINEAS!$D$81="",LINEAS!$U$81=0,ABS(IF(OR(LINEAS!$U$81=1,LINEAS!$U$81=3),1,-1)*LINEAS!$AE$81*DATOS!$C$67)&lt;0.00005),"*",LINEAS!$D$81&amp;" UNI "&amp;IF(LINEAS!$U$81&lt;=2,"GZ","GX")&amp;" "&amp;TEXT(IF(OR(LINEAS!$U$81=1,LINEAS!$U$81=3),1,-1)*LINEAS!$AE$81*DATOS!$C$67,DATOS!$C$68)))</f>
        <v/>
      </c>
      <c r="E743" s="51" t="str">
        <f aca="false">IF(LEN($D743)&gt;79,"MÁS DE 79 CARACTERES","")</f>
        <v/>
      </c>
    </row>
    <row r="744" customFormat="false" ht="15" hidden="false" customHeight="true" outlineLevel="0" collapsed="false">
      <c r="B744" s="53" t="str">
        <f aca="false">IF(OR(LINEAS!$D$82="",LINEAS!$U$82=0,ABS(IF(OR(LINEAS!$U$82=1,LINEAS!$U$82=3),1,-1)*LINEAS!$AE$82*DATOS!$C$67)&lt;0.00005),"*",LINEAS!$D$82&amp;" UNI "&amp;IF(LINEAS!$U$82&lt;=2,"GZ","GX")&amp;" "&amp;TEXT(IF(OR(LINEAS!$U$82=1,LINEAS!$U$82=3),1,-1)*LINEAS!$AE$82*DATOS!$C$67,DATOS!$C$68))</f>
        <v>301 UNI GX 0.8427</v>
      </c>
      <c r="C744" s="51" t="str">
        <f aca="false">IF(LEN($B744)&gt;79,"MÁS DE 79 CARACTERES","")</f>
        <v/>
      </c>
      <c r="D744" s="53" t="str">
        <f aca="false">IF(PRESIONES!$C$22="NO","",IF(OR(LINEAS!$D$82="",LINEAS!$U$82=0,ABS(IF(OR(LINEAS!$U$82=1,LINEAS!$U$82=3),1,-1)*LINEAS!$AE$82*DATOS!$C$67)&lt;0.00005),"*",LINEAS!$D$82&amp;" UNI "&amp;IF(LINEAS!$U$82&lt;=2,"GZ","GX")&amp;" "&amp;TEXT(IF(OR(LINEAS!$U$82=1,LINEAS!$U$82=3),1,-1)*LINEAS!$AE$82*DATOS!$C$67,DATOS!$C$68)))</f>
        <v/>
      </c>
      <c r="E744" s="51" t="str">
        <f aca="false">IF(LEN($D744)&gt;79,"MÁS DE 79 CARACTERES","")</f>
        <v/>
      </c>
    </row>
    <row r="745" customFormat="false" ht="15" hidden="false" customHeight="true" outlineLevel="0" collapsed="false">
      <c r="B745" s="53" t="str">
        <f aca="false">IF(OR(LINEAS!$D$83="",LINEAS!$U$83=0,ABS(IF(OR(LINEAS!$U$83=1,LINEAS!$U$83=3),1,-1)*LINEAS!$AE$83*DATOS!$C$67)&lt;0.00005),"*",LINEAS!$D$83&amp;" UNI "&amp;IF(LINEAS!$U$83&lt;=2,"GZ","GX")&amp;" "&amp;TEXT(IF(OR(LINEAS!$U$83=1,LINEAS!$U$83=3),1,-1)*LINEAS!$AE$83*DATOS!$C$67,DATOS!$C$68))</f>
        <v>302 UNI GX 0.8427</v>
      </c>
      <c r="C745" s="51" t="str">
        <f aca="false">IF(LEN($B745)&gt;79,"MÁS DE 79 CARACTERES","")</f>
        <v/>
      </c>
      <c r="D745" s="53" t="str">
        <f aca="false">IF(PRESIONES!$C$22="NO","",IF(OR(LINEAS!$D$83="",LINEAS!$U$83=0,ABS(IF(OR(LINEAS!$U$83=1,LINEAS!$U$83=3),1,-1)*LINEAS!$AE$83*DATOS!$C$67)&lt;0.00005),"*",LINEAS!$D$83&amp;" UNI "&amp;IF(LINEAS!$U$83&lt;=2,"GZ","GX")&amp;" "&amp;TEXT(IF(OR(LINEAS!$U$83=1,LINEAS!$U$83=3),1,-1)*LINEAS!$AE$83*DATOS!$C$67,DATOS!$C$68)))</f>
        <v/>
      </c>
      <c r="E745" s="51" t="str">
        <f aca="false">IF(LEN($D745)&gt;79,"MÁS DE 79 CARACTERES","")</f>
        <v/>
      </c>
    </row>
    <row r="746" customFormat="false" ht="15" hidden="false" customHeight="true" outlineLevel="0" collapsed="false">
      <c r="B746" s="53" t="str">
        <f aca="false">IF(OR(LINEAS!$D$84="",LINEAS!$U$84=0,ABS(IF(OR(LINEAS!$U$84=1,LINEAS!$U$84=3),1,-1)*LINEAS!$AE$84*DATOS!$C$67)&lt;0.00005),"*",LINEAS!$D$84&amp;" UNI "&amp;IF(LINEAS!$U$84&lt;=2,"GZ","GX")&amp;" "&amp;TEXT(IF(OR(LINEAS!$U$84=1,LINEAS!$U$84=3),1,-1)*LINEAS!$AE$84*DATOS!$C$67,DATOS!$C$68))</f>
        <v>307 UNI GX 0.8427</v>
      </c>
      <c r="C746" s="51" t="str">
        <f aca="false">IF(LEN($B746)&gt;79,"MÁS DE 79 CARACTERES","")</f>
        <v/>
      </c>
      <c r="D746" s="53" t="str">
        <f aca="false">IF(PRESIONES!$C$22="NO","",IF(OR(LINEAS!$D$84="",LINEAS!$U$84=0,ABS(IF(OR(LINEAS!$U$84=1,LINEAS!$U$84=3),1,-1)*LINEAS!$AE$84*DATOS!$C$67)&lt;0.00005),"*",LINEAS!$D$84&amp;" UNI "&amp;IF(LINEAS!$U$84&lt;=2,"GZ","GX")&amp;" "&amp;TEXT(IF(OR(LINEAS!$U$84=1,LINEAS!$U$84=3),1,-1)*LINEAS!$AE$84*DATOS!$C$67,DATOS!$C$68)))</f>
        <v/>
      </c>
      <c r="E746" s="51" t="str">
        <f aca="false">IF(LEN($D746)&gt;79,"MÁS DE 79 CARACTERES","")</f>
        <v/>
      </c>
    </row>
    <row r="747" customFormat="false" ht="15" hidden="false" customHeight="true" outlineLevel="0" collapsed="false">
      <c r="B747" s="53" t="str">
        <f aca="false">IF(OR(LINEAS!$D$85="",LINEAS!$U$85=0,ABS(IF(OR(LINEAS!$U$85=1,LINEAS!$U$85=3),1,-1)*LINEAS!$AE$85*DATOS!$C$67)&lt;0.00005),"*",LINEAS!$D$85&amp;" UNI "&amp;IF(LINEAS!$U$85&lt;=2,"GZ","GX")&amp;" "&amp;TEXT(IF(OR(LINEAS!$U$85=1,LINEAS!$U$85=3),1,-1)*LINEAS!$AE$85*DATOS!$C$67,DATOS!$C$68))</f>
        <v>308 UNI GX 0.8427</v>
      </c>
      <c r="C747" s="51" t="str">
        <f aca="false">IF(LEN($B747)&gt;79,"MÁS DE 79 CARACTERES","")</f>
        <v/>
      </c>
      <c r="D747" s="53" t="str">
        <f aca="false">IF(PRESIONES!$C$22="NO","",IF(OR(LINEAS!$D$85="",LINEAS!$U$85=0,ABS(IF(OR(LINEAS!$U$85=1,LINEAS!$U$85=3),1,-1)*LINEAS!$AE$85*DATOS!$C$67)&lt;0.00005),"*",LINEAS!$D$85&amp;" UNI "&amp;IF(LINEAS!$U$85&lt;=2,"GZ","GX")&amp;" "&amp;TEXT(IF(OR(LINEAS!$U$85=1,LINEAS!$U$85=3),1,-1)*LINEAS!$AE$85*DATOS!$C$67,DATOS!$C$68)))</f>
        <v/>
      </c>
      <c r="E747" s="51" t="str">
        <f aca="false">IF(LEN($D747)&gt;79,"MÁS DE 79 CARACTERES","")</f>
        <v/>
      </c>
    </row>
    <row r="748" customFormat="false" ht="15" hidden="false" customHeight="true" outlineLevel="0" collapsed="false">
      <c r="B748" s="53" t="str">
        <f aca="false">IF(OR(LINEAS!$D$86="",LINEAS!$U$86=0,ABS(IF(OR(LINEAS!$U$86=1,LINEAS!$U$86=3),1,-1)*LINEAS!$AE$86*DATOS!$C$67)&lt;0.00005),"*",LINEAS!$D$86&amp;" UNI "&amp;IF(LINEAS!$U$86&lt;=2,"GZ","GX")&amp;" "&amp;TEXT(IF(OR(LINEAS!$U$86=1,LINEAS!$U$86=3),1,-1)*LINEAS!$AE$86*DATOS!$C$67,DATOS!$C$68))</f>
        <v>309 UNI GX 0.8427</v>
      </c>
      <c r="C748" s="51" t="str">
        <f aca="false">IF(LEN($B748)&gt;79,"MÁS DE 79 CARACTERES","")</f>
        <v/>
      </c>
      <c r="D748" s="53" t="str">
        <f aca="false">IF(PRESIONES!$C$22="NO","",IF(OR(LINEAS!$D$86="",LINEAS!$U$86=0,ABS(IF(OR(LINEAS!$U$86=1,LINEAS!$U$86=3),1,-1)*LINEAS!$AE$86*DATOS!$C$67)&lt;0.00005),"*",LINEAS!$D$86&amp;" UNI "&amp;IF(LINEAS!$U$86&lt;=2,"GZ","GX")&amp;" "&amp;TEXT(IF(OR(LINEAS!$U$86=1,LINEAS!$U$86=3),1,-1)*LINEAS!$AE$86*DATOS!$C$67,DATOS!$C$68)))</f>
        <v/>
      </c>
      <c r="E748" s="51" t="str">
        <f aca="false">IF(LEN($D748)&gt;79,"MÁS DE 79 CARACTERES","")</f>
        <v/>
      </c>
    </row>
    <row r="749" customFormat="false" ht="15" hidden="false" customHeight="true" outlineLevel="0" collapsed="false">
      <c r="B749" s="53" t="str">
        <f aca="false">IF(OR(LINEAS!$D$87="",LINEAS!$U$87=0,ABS(IF(OR(LINEAS!$U$87=1,LINEAS!$U$87=3),1,-1)*LINEAS!$AE$87*DATOS!$C$67)&lt;0.00005),"*",LINEAS!$D$87&amp;" UNI "&amp;IF(LINEAS!$U$87&lt;=2,"GZ","GX")&amp;" "&amp;TEXT(IF(OR(LINEAS!$U$87=1,LINEAS!$U$87=3),1,-1)*LINEAS!$AE$87*DATOS!$C$67,DATOS!$C$68))</f>
        <v>318 UNI GX 0.8427</v>
      </c>
      <c r="C749" s="51" t="str">
        <f aca="false">IF(LEN($B749)&gt;79,"MÁS DE 79 CARACTERES","")</f>
        <v/>
      </c>
      <c r="D749" s="53" t="str">
        <f aca="false">IF(PRESIONES!$C$22="NO","",IF(OR(LINEAS!$D$87="",LINEAS!$U$87=0,ABS(IF(OR(LINEAS!$U$87=1,LINEAS!$U$87=3),1,-1)*LINEAS!$AE$87*DATOS!$C$67)&lt;0.00005),"*",LINEAS!$D$87&amp;" UNI "&amp;IF(LINEAS!$U$87&lt;=2,"GZ","GX")&amp;" "&amp;TEXT(IF(OR(LINEAS!$U$87=1,LINEAS!$U$87=3),1,-1)*LINEAS!$AE$87*DATOS!$C$67,DATOS!$C$68)))</f>
        <v/>
      </c>
      <c r="E749" s="51" t="str">
        <f aca="false">IF(LEN($D749)&gt;79,"MÁS DE 79 CARACTERES","")</f>
        <v/>
      </c>
    </row>
    <row r="750" customFormat="false" ht="15" hidden="false" customHeight="true" outlineLevel="0" collapsed="false">
      <c r="B750" s="53" t="str">
        <f aca="false">IF(OR(LINEAS!$D$88="",LINEAS!$U$88=0,ABS(IF(OR(LINEAS!$U$88=1,LINEAS!$U$88=3),1,-1)*LINEAS!$AE$88*DATOS!$C$67)&lt;0.00005),"*",LINEAS!$D$88&amp;" UNI "&amp;IF(LINEAS!$U$88&lt;=2,"GZ","GX")&amp;" "&amp;TEXT(IF(OR(LINEAS!$U$88=1,LINEAS!$U$88=3),1,-1)*LINEAS!$AE$88*DATOS!$C$67,DATOS!$C$68))</f>
        <v>311 UNI GX 0.8427</v>
      </c>
      <c r="C750" s="51" t="str">
        <f aca="false">IF(LEN($B750)&gt;79,"MÁS DE 79 CARACTERES","")</f>
        <v/>
      </c>
      <c r="D750" s="53" t="str">
        <f aca="false">IF(PRESIONES!$C$22="NO","",IF(OR(LINEAS!$D$88="",LINEAS!$U$88=0,ABS(IF(OR(LINEAS!$U$88=1,LINEAS!$U$88=3),1,-1)*LINEAS!$AE$88*DATOS!$C$67)&lt;0.00005),"*",LINEAS!$D$88&amp;" UNI "&amp;IF(LINEAS!$U$88&lt;=2,"GZ","GX")&amp;" "&amp;TEXT(IF(OR(LINEAS!$U$88=1,LINEAS!$U$88=3),1,-1)*LINEAS!$AE$88*DATOS!$C$67,DATOS!$C$68)))</f>
        <v/>
      </c>
      <c r="E750" s="51" t="str">
        <f aca="false">IF(LEN($D750)&gt;79,"MÁS DE 79 CARACTERES","")</f>
        <v/>
      </c>
    </row>
    <row r="751" customFormat="false" ht="15" hidden="false" customHeight="true" outlineLevel="0" collapsed="false">
      <c r="B751" s="53" t="str">
        <f aca="false">IF(OR(LINEAS!$D$89="",LINEAS!$U$89=0,ABS(IF(OR(LINEAS!$U$89=1,LINEAS!$U$89=3),1,-1)*LINEAS!$AE$89*DATOS!$C$67)&lt;0.00005),"*",LINEAS!$D$89&amp;" UNI "&amp;IF(LINEAS!$U$89&lt;=2,"GZ","GX")&amp;" "&amp;TEXT(IF(OR(LINEAS!$U$89=1,LINEAS!$U$89=3),1,-1)*LINEAS!$AE$89*DATOS!$C$67,DATOS!$C$68))</f>
        <v>310 UNI GX 0.8427</v>
      </c>
      <c r="C751" s="51" t="str">
        <f aca="false">IF(LEN($B751)&gt;79,"MÁS DE 79 CARACTERES","")</f>
        <v/>
      </c>
      <c r="D751" s="53" t="str">
        <f aca="false">IF(PRESIONES!$C$22="NO","",IF(OR(LINEAS!$D$89="",LINEAS!$U$89=0,ABS(IF(OR(LINEAS!$U$89=1,LINEAS!$U$89=3),1,-1)*LINEAS!$AE$89*DATOS!$C$67)&lt;0.00005),"*",LINEAS!$D$89&amp;" UNI "&amp;IF(LINEAS!$U$89&lt;=2,"GZ","GX")&amp;" "&amp;TEXT(IF(OR(LINEAS!$U$89=1,LINEAS!$U$89=3),1,-1)*LINEAS!$AE$89*DATOS!$C$67,DATOS!$C$68)))</f>
        <v/>
      </c>
      <c r="E751" s="51" t="str">
        <f aca="false">IF(LEN($D751)&gt;79,"MÁS DE 79 CARACTERES","")</f>
        <v/>
      </c>
    </row>
    <row r="752" customFormat="false" ht="15" hidden="false" customHeight="true" outlineLevel="0" collapsed="false">
      <c r="B752" s="53" t="str">
        <f aca="false">IF(OR(LINEAS!$D$90="",LINEAS!$U$90=0,ABS(IF(OR(LINEAS!$U$90=1,LINEAS!$U$90=3),1,-1)*LINEAS!$AE$90*DATOS!$C$67)&lt;0.00005),"*",LINEAS!$D$90&amp;" UNI "&amp;IF(LINEAS!$U$90&lt;=2,"GZ","GX")&amp;" "&amp;TEXT(IF(OR(LINEAS!$U$90=1,LINEAS!$U$90=3),1,-1)*LINEAS!$AE$90*DATOS!$C$67,DATOS!$C$68))</f>
        <v>321 UNI GX 0.7198</v>
      </c>
      <c r="C752" s="51" t="str">
        <f aca="false">IF(LEN($B752)&gt;79,"MÁS DE 79 CARACTERES","")</f>
        <v/>
      </c>
      <c r="D752" s="53" t="str">
        <f aca="false">IF(PRESIONES!$C$22="NO","",IF(OR(LINEAS!$D$90="",LINEAS!$U$90=0,ABS(IF(OR(LINEAS!$U$90=1,LINEAS!$U$90=3),1,-1)*LINEAS!$AE$90*DATOS!$C$67)&lt;0.00005),"*",LINEAS!$D$90&amp;" UNI "&amp;IF(LINEAS!$U$90&lt;=2,"GZ","GX")&amp;" "&amp;TEXT(IF(OR(LINEAS!$U$90=1,LINEAS!$U$90=3),1,-1)*LINEAS!$AE$90*DATOS!$C$67,DATOS!$C$68)))</f>
        <v/>
      </c>
      <c r="E752" s="51" t="str">
        <f aca="false">IF(LEN($D752)&gt;79,"MÁS DE 79 CARACTERES","")</f>
        <v/>
      </c>
    </row>
    <row r="753" customFormat="false" ht="15" hidden="false" customHeight="true" outlineLevel="0" collapsed="false">
      <c r="B753" s="53" t="str">
        <f aca="false">IF(OR(LINEAS!$D$91="",LINEAS!$U$91=0,ABS(IF(OR(LINEAS!$U$91=1,LINEAS!$U$91=3),1,-1)*LINEAS!$AE$91*DATOS!$C$67)&lt;0.00005),"*",LINEAS!$D$91&amp;" UNI "&amp;IF(LINEAS!$U$91&lt;=2,"GZ","GX")&amp;" "&amp;TEXT(IF(OR(LINEAS!$U$91=1,LINEAS!$U$91=3),1,-1)*LINEAS!$AE$91*DATOS!$C$67,DATOS!$C$68))</f>
        <v>320 UNI GX 0.6004</v>
      </c>
      <c r="C753" s="51" t="str">
        <f aca="false">IF(LEN($B753)&gt;79,"MÁS DE 79 CARACTERES","")</f>
        <v/>
      </c>
      <c r="D753" s="53" t="str">
        <f aca="false">IF(PRESIONES!$C$22="NO","",IF(OR(LINEAS!$D$91="",LINEAS!$U$91=0,ABS(IF(OR(LINEAS!$U$91=1,LINEAS!$U$91=3),1,-1)*LINEAS!$AE$91*DATOS!$C$67)&lt;0.00005),"*",LINEAS!$D$91&amp;" UNI "&amp;IF(LINEAS!$U$91&lt;=2,"GZ","GX")&amp;" "&amp;TEXT(IF(OR(LINEAS!$U$91=1,LINEAS!$U$91=3),1,-1)*LINEAS!$AE$91*DATOS!$C$67,DATOS!$C$68)))</f>
        <v/>
      </c>
      <c r="E753" s="51" t="str">
        <f aca="false">IF(LEN($D753)&gt;79,"MÁS DE 79 CARACTERES","")</f>
        <v/>
      </c>
    </row>
    <row r="754" customFormat="false" ht="15" hidden="false" customHeight="true" outlineLevel="0" collapsed="false">
      <c r="B754" s="53" t="str">
        <f aca="false">IF(OR(LINEAS!$D$92="",LINEAS!$U$92=0,ABS(IF(OR(LINEAS!$U$92=1,LINEAS!$U$92=3),1,-1)*LINEAS!$AE$92*DATOS!$C$67)&lt;0.00005),"*",LINEAS!$D$92&amp;" UNI "&amp;IF(LINEAS!$U$92&lt;=2,"GZ","GX")&amp;" "&amp;TEXT(IF(OR(LINEAS!$U$92=1,LINEAS!$U$92=3),1,-1)*LINEAS!$AE$92*DATOS!$C$67,DATOS!$C$68))</f>
        <v>319 UNI GX 0.5197</v>
      </c>
      <c r="C754" s="51" t="str">
        <f aca="false">IF(LEN($B754)&gt;79,"MÁS DE 79 CARACTERES","")</f>
        <v/>
      </c>
      <c r="D754" s="53" t="str">
        <f aca="false">IF(PRESIONES!$C$22="NO","",IF(OR(LINEAS!$D$92="",LINEAS!$U$92=0,ABS(IF(OR(LINEAS!$U$92=1,LINEAS!$U$92=3),1,-1)*LINEAS!$AE$92*DATOS!$C$67)&lt;0.00005),"*",LINEAS!$D$92&amp;" UNI "&amp;IF(LINEAS!$U$92&lt;=2,"GZ","GX")&amp;" "&amp;TEXT(IF(OR(LINEAS!$U$92=1,LINEAS!$U$92=3),1,-1)*LINEAS!$AE$92*DATOS!$C$67,DATOS!$C$68)))</f>
        <v/>
      </c>
      <c r="E754" s="51" t="str">
        <f aca="false">IF(LEN($D754)&gt;79,"MÁS DE 79 CARACTERES","")</f>
        <v/>
      </c>
    </row>
    <row r="755" customFormat="false" ht="15" hidden="false" customHeight="true" outlineLevel="0" collapsed="false">
      <c r="B755" s="53" t="str">
        <f aca="false">IF(OR(LINEAS!$D$93="",LINEAS!$U$93=0,ABS(IF(OR(LINEAS!$U$93=1,LINEAS!$U$93=3),1,-1)*LINEAS!$AE$93*DATOS!$C$67)&lt;0.00005),"*",LINEAS!$D$93&amp;" UNI "&amp;IF(LINEAS!$U$93&lt;=2,"GZ","GX")&amp;" "&amp;TEXT(IF(OR(LINEAS!$U$93=1,LINEAS!$U$93=3),1,-1)*LINEAS!$AE$93*DATOS!$C$67,DATOS!$C$68))</f>
        <v>60 UNI GX -0.3463</v>
      </c>
      <c r="C755" s="51" t="str">
        <f aca="false">IF(LEN($B755)&gt;79,"MÁS DE 79 CARACTERES","")</f>
        <v/>
      </c>
      <c r="D755" s="53" t="str">
        <f aca="false">IF(PRESIONES!$C$22="NO","",IF(OR(LINEAS!$D$93="",LINEAS!$U$93=0,ABS(IF(OR(LINEAS!$U$93=1,LINEAS!$U$93=3),1,-1)*LINEAS!$AE$93*DATOS!$C$67)&lt;0.00005),"*",LINEAS!$D$93&amp;" UNI "&amp;IF(LINEAS!$U$93&lt;=2,"GZ","GX")&amp;" "&amp;TEXT(IF(OR(LINEAS!$U$93=1,LINEAS!$U$93=3),1,-1)*LINEAS!$AE$93*DATOS!$C$67,DATOS!$C$68)))</f>
        <v/>
      </c>
      <c r="E755" s="51" t="str">
        <f aca="false">IF(LEN($D755)&gt;79,"MÁS DE 79 CARACTERES","")</f>
        <v/>
      </c>
    </row>
    <row r="756" customFormat="false" ht="15" hidden="false" customHeight="true" outlineLevel="0" collapsed="false">
      <c r="B756" s="53" t="str">
        <f aca="false">IF(OR(LINEAS!$D$94="",LINEAS!$U$94=0,ABS(IF(OR(LINEAS!$U$94=1,LINEAS!$U$94=3),1,-1)*LINEAS!$AE$94*DATOS!$C$67)&lt;0.00005),"*",LINEAS!$D$94&amp;" UNI "&amp;IF(LINEAS!$U$94&lt;=2,"GZ","GX")&amp;" "&amp;TEXT(IF(OR(LINEAS!$U$94=1,LINEAS!$U$94=3),1,-1)*LINEAS!$AE$94*DATOS!$C$67,DATOS!$C$68))</f>
        <v>59 UNI GX -0.3226</v>
      </c>
      <c r="C756" s="51" t="str">
        <f aca="false">IF(LEN($B756)&gt;79,"MÁS DE 79 CARACTERES","")</f>
        <v/>
      </c>
      <c r="D756" s="53" t="str">
        <f aca="false">IF(PRESIONES!$C$22="NO","",IF(OR(LINEAS!$D$94="",LINEAS!$U$94=0,ABS(IF(OR(LINEAS!$U$94=1,LINEAS!$U$94=3),1,-1)*LINEAS!$AE$94*DATOS!$C$67)&lt;0.00005),"*",LINEAS!$D$94&amp;" UNI "&amp;IF(LINEAS!$U$94&lt;=2,"GZ","GX")&amp;" "&amp;TEXT(IF(OR(LINEAS!$U$94=1,LINEAS!$U$94=3),1,-1)*LINEAS!$AE$94*DATOS!$C$67,DATOS!$C$68)))</f>
        <v/>
      </c>
      <c r="E756" s="51" t="str">
        <f aca="false">IF(LEN($D756)&gt;79,"MÁS DE 79 CARACTERES","")</f>
        <v/>
      </c>
    </row>
    <row r="757" customFormat="false" ht="15" hidden="false" customHeight="true" outlineLevel="0" collapsed="false">
      <c r="B757" s="53" t="str">
        <f aca="false">IF(OR(LINEAS!$D$95="",LINEAS!$U$95=0,ABS(IF(OR(LINEAS!$U$95=1,LINEAS!$U$95=3),1,-1)*LINEAS!$AE$95*DATOS!$C$67)&lt;0.00005),"*",LINEAS!$D$95&amp;" UNI "&amp;IF(LINEAS!$U$95&lt;=2,"GZ","GX")&amp;" "&amp;TEXT(IF(OR(LINEAS!$U$95=1,LINEAS!$U$95=3),1,-1)*LINEAS!$AE$95*DATOS!$C$67,DATOS!$C$68))</f>
        <v>58 UNI GX -0.2989</v>
      </c>
      <c r="C757" s="51" t="str">
        <f aca="false">IF(LEN($B757)&gt;79,"MÁS DE 79 CARACTERES","")</f>
        <v/>
      </c>
      <c r="D757" s="53" t="str">
        <f aca="false">IF(PRESIONES!$C$22="NO","",IF(OR(LINEAS!$D$95="",LINEAS!$U$95=0,ABS(IF(OR(LINEAS!$U$95=1,LINEAS!$U$95=3),1,-1)*LINEAS!$AE$95*DATOS!$C$67)&lt;0.00005),"*",LINEAS!$D$95&amp;" UNI "&amp;IF(LINEAS!$U$95&lt;=2,"GZ","GX")&amp;" "&amp;TEXT(IF(OR(LINEAS!$U$95=1,LINEAS!$U$95=3),1,-1)*LINEAS!$AE$95*DATOS!$C$67,DATOS!$C$68)))</f>
        <v/>
      </c>
      <c r="E757" s="51" t="str">
        <f aca="false">IF(LEN($D757)&gt;79,"MÁS DE 79 CARACTERES","")</f>
        <v/>
      </c>
    </row>
    <row r="758" customFormat="false" ht="15" hidden="false" customHeight="true" outlineLevel="0" collapsed="false">
      <c r="B758" s="53" t="str">
        <f aca="false">IF(OR(LINEAS!$D$96="",LINEAS!$U$96=0,ABS(IF(OR(LINEAS!$U$96=1,LINEAS!$U$96=3),1,-1)*LINEAS!$AE$96*DATOS!$C$67)&lt;0.00005),"*",LINEAS!$D$96&amp;" UNI "&amp;IF(LINEAS!$U$96&lt;=2,"GZ","GX")&amp;" "&amp;TEXT(IF(OR(LINEAS!$U$96=1,LINEAS!$U$96=3),1,-1)*LINEAS!$AE$96*DATOS!$C$67,DATOS!$C$68))</f>
        <v>57 UNI GX -0.2752</v>
      </c>
      <c r="C758" s="51" t="str">
        <f aca="false">IF(LEN($B758)&gt;79,"MÁS DE 79 CARACTERES","")</f>
        <v/>
      </c>
      <c r="D758" s="53" t="str">
        <f aca="false">IF(PRESIONES!$C$22="NO","",IF(OR(LINEAS!$D$96="",LINEAS!$U$96=0,ABS(IF(OR(LINEAS!$U$96=1,LINEAS!$U$96=3),1,-1)*LINEAS!$AE$96*DATOS!$C$67)&lt;0.00005),"*",LINEAS!$D$96&amp;" UNI "&amp;IF(LINEAS!$U$96&lt;=2,"GZ","GX")&amp;" "&amp;TEXT(IF(OR(LINEAS!$U$96=1,LINEAS!$U$96=3),1,-1)*LINEAS!$AE$96*DATOS!$C$67,DATOS!$C$68)))</f>
        <v/>
      </c>
      <c r="E758" s="51" t="str">
        <f aca="false">IF(LEN($D758)&gt;79,"MÁS DE 79 CARACTERES","")</f>
        <v/>
      </c>
    </row>
    <row r="759" customFormat="false" ht="15" hidden="false" customHeight="true" outlineLevel="0" collapsed="false">
      <c r="B759" s="53" t="str">
        <f aca="false">IF(OR(LINEAS!$D$97="",LINEAS!$U$97=0,ABS(IF(OR(LINEAS!$U$97=1,LINEAS!$U$97=3),1,-1)*LINEAS!$AE$97*DATOS!$C$67)&lt;0.00005),"*",LINEAS!$D$97&amp;" UNI "&amp;IF(LINEAS!$U$97&lt;=2,"GZ","GX")&amp;" "&amp;TEXT(IF(OR(LINEAS!$U$97=1,LINEAS!$U$97=3),1,-1)*LINEAS!$AE$97*DATOS!$C$67,DATOS!$C$68))</f>
        <v>10 UNI GX -0.2515</v>
      </c>
      <c r="C759" s="51" t="str">
        <f aca="false">IF(LEN($B759)&gt;79,"MÁS DE 79 CARACTERES","")</f>
        <v/>
      </c>
      <c r="D759" s="53" t="str">
        <f aca="false">IF(PRESIONES!$C$22="NO","",IF(OR(LINEAS!$D$97="",LINEAS!$U$97=0,ABS(IF(OR(LINEAS!$U$97=1,LINEAS!$U$97=3),1,-1)*LINEAS!$AE$97*DATOS!$C$67)&lt;0.00005),"*",LINEAS!$D$97&amp;" UNI "&amp;IF(LINEAS!$U$97&lt;=2,"GZ","GX")&amp;" "&amp;TEXT(IF(OR(LINEAS!$U$97=1,LINEAS!$U$97=3),1,-1)*LINEAS!$AE$97*DATOS!$C$67,DATOS!$C$68)))</f>
        <v/>
      </c>
      <c r="E759" s="51" t="str">
        <f aca="false">IF(LEN($D759)&gt;79,"MÁS DE 79 CARACTERES","")</f>
        <v/>
      </c>
    </row>
    <row r="760" customFormat="false" ht="15" hidden="false" customHeight="true" outlineLevel="0" collapsed="false">
      <c r="B760" s="53" t="str">
        <f aca="false">IF(OR(LINEAS!$D$98="",LINEAS!$U$98=0,ABS(IF(OR(LINEAS!$U$98=1,LINEAS!$U$98=3),1,-1)*LINEAS!$AE$98*DATOS!$C$67)&lt;0.00005),"*",LINEAS!$D$98&amp;" UNI "&amp;IF(LINEAS!$U$98&lt;=2,"GZ","GX")&amp;" "&amp;TEXT(IF(OR(LINEAS!$U$98=1,LINEAS!$U$98=3),1,-1)*LINEAS!$AE$98*DATOS!$C$67,DATOS!$C$68))</f>
        <v>68 UNI GX -0.2278</v>
      </c>
      <c r="C760" s="51" t="str">
        <f aca="false">IF(LEN($B760)&gt;79,"MÁS DE 79 CARACTERES","")</f>
        <v/>
      </c>
      <c r="D760" s="53" t="str">
        <f aca="false">IF(PRESIONES!$C$22="NO","",IF(OR(LINEAS!$D$98="",LINEAS!$U$98=0,ABS(IF(OR(LINEAS!$U$98=1,LINEAS!$U$98=3),1,-1)*LINEAS!$AE$98*DATOS!$C$67)&lt;0.00005),"*",LINEAS!$D$98&amp;" UNI "&amp;IF(LINEAS!$U$98&lt;=2,"GZ","GX")&amp;" "&amp;TEXT(IF(OR(LINEAS!$U$98=1,LINEAS!$U$98=3),1,-1)*LINEAS!$AE$98*DATOS!$C$67,DATOS!$C$68)))</f>
        <v/>
      </c>
      <c r="E760" s="51" t="str">
        <f aca="false">IF(LEN($D760)&gt;79,"MÁS DE 79 CARACTERES","")</f>
        <v/>
      </c>
    </row>
    <row r="761" customFormat="false" ht="15" hidden="false" customHeight="true" outlineLevel="0" collapsed="false">
      <c r="B761" s="53" t="str">
        <f aca="false">IF(OR(LINEAS!$D$99="",LINEAS!$U$99=0,ABS(IF(OR(LINEAS!$U$99=1,LINEAS!$U$99=3),1,-1)*LINEAS!$AE$99*DATOS!$C$67)&lt;0.00005),"*",LINEAS!$D$99&amp;" UNI "&amp;IF(LINEAS!$U$99&lt;=2,"GZ","GX")&amp;" "&amp;TEXT(IF(OR(LINEAS!$U$99=1,LINEAS!$U$99=3),1,-1)*LINEAS!$AE$99*DATOS!$C$67,DATOS!$C$68))</f>
        <v>67 UNI GX -0.2041</v>
      </c>
      <c r="C761" s="51" t="str">
        <f aca="false">IF(LEN($B761)&gt;79,"MÁS DE 79 CARACTERES","")</f>
        <v/>
      </c>
      <c r="D761" s="53" t="str">
        <f aca="false">IF(PRESIONES!$C$22="NO","",IF(OR(LINEAS!$D$99="",LINEAS!$U$99=0,ABS(IF(OR(LINEAS!$U$99=1,LINEAS!$U$99=3),1,-1)*LINEAS!$AE$99*DATOS!$C$67)&lt;0.00005),"*",LINEAS!$D$99&amp;" UNI "&amp;IF(LINEAS!$U$99&lt;=2,"GZ","GX")&amp;" "&amp;TEXT(IF(OR(LINEAS!$U$99=1,LINEAS!$U$99=3),1,-1)*LINEAS!$AE$99*DATOS!$C$67,DATOS!$C$68)))</f>
        <v/>
      </c>
      <c r="E761" s="51" t="str">
        <f aca="false">IF(LEN($D761)&gt;79,"MÁS DE 79 CARACTERES","")</f>
        <v/>
      </c>
    </row>
    <row r="762" customFormat="false" ht="15" hidden="false" customHeight="true" outlineLevel="0" collapsed="false">
      <c r="B762" s="53" t="str">
        <f aca="false">IF(OR(LINEAS!$D$100="",LINEAS!$U$100=0,ABS(IF(OR(LINEAS!$U$100=1,LINEAS!$U$100=3),1,-1)*LINEAS!$AE$100*DATOS!$C$67)&lt;0.00005),"*",LINEAS!$D$100&amp;" UNI "&amp;IF(LINEAS!$U$100&lt;=2,"GZ","GX")&amp;" "&amp;TEXT(IF(OR(LINEAS!$U$100=1,LINEAS!$U$100=3),1,-1)*LINEAS!$AE$100*DATOS!$C$67,DATOS!$C$68))</f>
        <v>66 UNI GX -0.1804</v>
      </c>
      <c r="C762" s="51" t="str">
        <f aca="false">IF(LEN($B762)&gt;79,"MÁS DE 79 CARACTERES","")</f>
        <v/>
      </c>
      <c r="D762" s="53" t="str">
        <f aca="false">IF(PRESIONES!$C$22="NO","",IF(OR(LINEAS!$D$100="",LINEAS!$U$100=0,ABS(IF(OR(LINEAS!$U$100=1,LINEAS!$U$100=3),1,-1)*LINEAS!$AE$100*DATOS!$C$67)&lt;0.00005),"*",LINEAS!$D$100&amp;" UNI "&amp;IF(LINEAS!$U$100&lt;=2,"GZ","GX")&amp;" "&amp;TEXT(IF(OR(LINEAS!$U$100=1,LINEAS!$U$100=3),1,-1)*LINEAS!$AE$100*DATOS!$C$67,DATOS!$C$68)))</f>
        <v/>
      </c>
      <c r="E762" s="51" t="str">
        <f aca="false">IF(LEN($D762)&gt;79,"MÁS DE 79 CARACTERES","")</f>
        <v/>
      </c>
    </row>
    <row r="763" customFormat="false" ht="15" hidden="false" customHeight="true" outlineLevel="0" collapsed="false">
      <c r="B763" s="53" t="str">
        <f aca="false">IF(OR(LINEAS!$D$101="",LINEAS!$U$101=0,ABS(IF(OR(LINEAS!$U$101=1,LINEAS!$U$101=3),1,-1)*LINEAS!$AE$101*DATOS!$C$67)&lt;0.00005),"*",LINEAS!$D$101&amp;" UNI "&amp;IF(LINEAS!$U$101&lt;=2,"GZ","GX")&amp;" "&amp;TEXT(IF(OR(LINEAS!$U$101=1,LINEAS!$U$101=3),1,-1)*LINEAS!$AE$101*DATOS!$C$67,DATOS!$C$68))</f>
        <v>65 UNI GX -0.1567</v>
      </c>
      <c r="C763" s="51" t="str">
        <f aca="false">IF(LEN($B763)&gt;79,"MÁS DE 79 CARACTERES","")</f>
        <v/>
      </c>
      <c r="D763" s="53" t="str">
        <f aca="false">IF(PRESIONES!$C$22="NO","",IF(OR(LINEAS!$D$101="",LINEAS!$U$101=0,ABS(IF(OR(LINEAS!$U$101=1,LINEAS!$U$101=3),1,-1)*LINEAS!$AE$101*DATOS!$C$67)&lt;0.00005),"*",LINEAS!$D$101&amp;" UNI "&amp;IF(LINEAS!$U$101&lt;=2,"GZ","GX")&amp;" "&amp;TEXT(IF(OR(LINEAS!$U$101=1,LINEAS!$U$101=3),1,-1)*LINEAS!$AE$101*DATOS!$C$67,DATOS!$C$68)))</f>
        <v/>
      </c>
      <c r="E763" s="51" t="str">
        <f aca="false">IF(LEN($D763)&gt;79,"MÁS DE 79 CARACTERES","")</f>
        <v/>
      </c>
    </row>
    <row r="764" customFormat="false" ht="15" hidden="false" customHeight="true" outlineLevel="0" collapsed="false">
      <c r="B764" s="53" t="str">
        <f aca="false">IF(OR(LINEAS!$D$102="",LINEAS!$U$102=0,ABS(IF(OR(LINEAS!$U$102=1,LINEAS!$U$102=3),1,-1)*LINEAS!$AE$102*DATOS!$C$67)&lt;0.00005),"*",LINEAS!$D$102&amp;" UNI "&amp;IF(LINEAS!$U$102&lt;=2,"GZ","GX")&amp;" "&amp;TEXT(IF(OR(LINEAS!$U$102=1,LINEAS!$U$102=3),1,-1)*LINEAS!$AE$102*DATOS!$C$67,DATOS!$C$68))</f>
        <v>43 UNI GX -0.1330</v>
      </c>
      <c r="C764" s="51" t="str">
        <f aca="false">IF(LEN($B764)&gt;79,"MÁS DE 79 CARACTERES","")</f>
        <v/>
      </c>
      <c r="D764" s="53" t="str">
        <f aca="false">IF(PRESIONES!$C$22="NO","",IF(OR(LINEAS!$D$102="",LINEAS!$U$102=0,ABS(IF(OR(LINEAS!$U$102=1,LINEAS!$U$102=3),1,-1)*LINEAS!$AE$102*DATOS!$C$67)&lt;0.00005),"*",LINEAS!$D$102&amp;" UNI "&amp;IF(LINEAS!$U$102&lt;=2,"GZ","GX")&amp;" "&amp;TEXT(IF(OR(LINEAS!$U$102=1,LINEAS!$U$102=3),1,-1)*LINEAS!$AE$102*DATOS!$C$67,DATOS!$C$68)))</f>
        <v/>
      </c>
      <c r="E764" s="51" t="str">
        <f aca="false">IF(LEN($D764)&gt;79,"MÁS DE 79 CARACTERES","")</f>
        <v/>
      </c>
    </row>
    <row r="765" customFormat="false" ht="15" hidden="false" customHeight="true" outlineLevel="0" collapsed="false">
      <c r="B765" s="53" t="str">
        <f aca="false">IF(OR(LINEAS!$D$103="",LINEAS!$U$103=0,ABS(IF(OR(LINEAS!$U$103=1,LINEAS!$U$103=3),1,-1)*LINEAS!$AE$103*DATOS!$C$67)&lt;0.00005),"*",LINEAS!$D$103&amp;" UNI "&amp;IF(LINEAS!$U$103&lt;=2,"GZ","GX")&amp;" "&amp;TEXT(IF(OR(LINEAS!$U$103=1,LINEAS!$U$103=3),1,-1)*LINEAS!$AE$103*DATOS!$C$67,DATOS!$C$68))</f>
        <v>47 UNI GX -0.1101</v>
      </c>
      <c r="C765" s="51" t="str">
        <f aca="false">IF(LEN($B765)&gt;79,"MÁS DE 79 CARACTERES","")</f>
        <v/>
      </c>
      <c r="D765" s="53" t="str">
        <f aca="false">IF(PRESIONES!$C$22="NO","",IF(OR(LINEAS!$D$103="",LINEAS!$U$103=0,ABS(IF(OR(LINEAS!$U$103=1,LINEAS!$U$103=3),1,-1)*LINEAS!$AE$103*DATOS!$C$67)&lt;0.00005),"*",LINEAS!$D$103&amp;" UNI "&amp;IF(LINEAS!$U$103&lt;=2,"GZ","GX")&amp;" "&amp;TEXT(IF(OR(LINEAS!$U$103=1,LINEAS!$U$103=3),1,-1)*LINEAS!$AE$103*DATOS!$C$67,DATOS!$C$68)))</f>
        <v/>
      </c>
      <c r="E765" s="51" t="str">
        <f aca="false">IF(LEN($D765)&gt;79,"MÁS DE 79 CARACTERES","")</f>
        <v/>
      </c>
    </row>
    <row r="766" customFormat="false" ht="15" hidden="false" customHeight="true" outlineLevel="0" collapsed="false">
      <c r="B766" s="53" t="str">
        <f aca="false">IF(OR(LINEAS!$D$104="",LINEAS!$U$104=0,ABS(IF(OR(LINEAS!$U$104=1,LINEAS!$U$104=3),1,-1)*LINEAS!$AE$104*DATOS!$C$67)&lt;0.00005),"*",LINEAS!$D$104&amp;" UNI "&amp;IF(LINEAS!$U$104&lt;=2,"GZ","GX")&amp;" "&amp;TEXT(IF(OR(LINEAS!$U$104=1,LINEAS!$U$104=3),1,-1)*LINEAS!$AE$104*DATOS!$C$67,DATOS!$C$68))</f>
        <v>54 UNI GX -0.0882</v>
      </c>
      <c r="C766" s="51" t="str">
        <f aca="false">IF(LEN($B766)&gt;79,"MÁS DE 79 CARACTERES","")</f>
        <v/>
      </c>
      <c r="D766" s="53" t="str">
        <f aca="false">IF(PRESIONES!$C$22="NO","",IF(OR(LINEAS!$D$104="",LINEAS!$U$104=0,ABS(IF(OR(LINEAS!$U$104=1,LINEAS!$U$104=3),1,-1)*LINEAS!$AE$104*DATOS!$C$67)&lt;0.00005),"*",LINEAS!$D$104&amp;" UNI "&amp;IF(LINEAS!$U$104&lt;=2,"GZ","GX")&amp;" "&amp;TEXT(IF(OR(LINEAS!$U$104=1,LINEAS!$U$104=3),1,-1)*LINEAS!$AE$104*DATOS!$C$67,DATOS!$C$68)))</f>
        <v/>
      </c>
      <c r="E766" s="51" t="str">
        <f aca="false">IF(LEN($D766)&gt;79,"MÁS DE 79 CARACTERES","")</f>
        <v/>
      </c>
    </row>
    <row r="767" customFormat="false" ht="15" hidden="false" customHeight="true" outlineLevel="0" collapsed="false">
      <c r="B767" s="53" t="str">
        <f aca="false">IF(OR(LINEAS!$D$105="",LINEAS!$U$105=0,ABS(IF(OR(LINEAS!$U$105=1,LINEAS!$U$105=3),1,-1)*LINEAS!$AE$105*DATOS!$C$67)&lt;0.00005),"*",LINEAS!$D$105&amp;" UNI "&amp;IF(LINEAS!$U$105&lt;=2,"GZ","GX")&amp;" "&amp;TEXT(IF(OR(LINEAS!$U$105=1,LINEAS!$U$105=3),1,-1)*LINEAS!$AE$105*DATOS!$C$67,DATOS!$C$68))</f>
        <v>64 UNI GX 0.3463</v>
      </c>
      <c r="C767" s="51" t="str">
        <f aca="false">IF(LEN($B767)&gt;79,"MÁS DE 79 CARACTERES","")</f>
        <v/>
      </c>
      <c r="D767" s="53" t="str">
        <f aca="false">IF(PRESIONES!$C$22="NO","",IF(OR(LINEAS!$D$105="",LINEAS!$U$105=0,ABS(IF(OR(LINEAS!$U$105=1,LINEAS!$U$105=3),1,-1)*LINEAS!$AE$105*DATOS!$C$67)&lt;0.00005),"*",LINEAS!$D$105&amp;" UNI "&amp;IF(LINEAS!$U$105&lt;=2,"GZ","GX")&amp;" "&amp;TEXT(IF(OR(LINEAS!$U$105=1,LINEAS!$U$105=3),1,-1)*LINEAS!$AE$105*DATOS!$C$67,DATOS!$C$68)))</f>
        <v/>
      </c>
      <c r="E767" s="51" t="str">
        <f aca="false">IF(LEN($D767)&gt;79,"MÁS DE 79 CARACTERES","")</f>
        <v/>
      </c>
    </row>
    <row r="768" customFormat="false" ht="15" hidden="false" customHeight="true" outlineLevel="0" collapsed="false">
      <c r="B768" s="53" t="str">
        <f aca="false">IF(OR(LINEAS!$D$106="",LINEAS!$U$106=0,ABS(IF(OR(LINEAS!$U$106=1,LINEAS!$U$106=3),1,-1)*LINEAS!$AE$106*DATOS!$C$67)&lt;0.00005),"*",LINEAS!$D$106&amp;" UNI "&amp;IF(LINEAS!$U$106&lt;=2,"GZ","GX")&amp;" "&amp;TEXT(IF(OR(LINEAS!$U$106=1,LINEAS!$U$106=3),1,-1)*LINEAS!$AE$106*DATOS!$C$67,DATOS!$C$68))</f>
        <v>63 UNI GX 0.3226</v>
      </c>
      <c r="C768" s="51" t="str">
        <f aca="false">IF(LEN($B768)&gt;79,"MÁS DE 79 CARACTERES","")</f>
        <v/>
      </c>
      <c r="D768" s="53" t="str">
        <f aca="false">IF(PRESIONES!$C$22="NO","",IF(OR(LINEAS!$D$106="",LINEAS!$U$106=0,ABS(IF(OR(LINEAS!$U$106=1,LINEAS!$U$106=3),1,-1)*LINEAS!$AE$106*DATOS!$C$67)&lt;0.00005),"*",LINEAS!$D$106&amp;" UNI "&amp;IF(LINEAS!$U$106&lt;=2,"GZ","GX")&amp;" "&amp;TEXT(IF(OR(LINEAS!$U$106=1,LINEAS!$U$106=3),1,-1)*LINEAS!$AE$106*DATOS!$C$67,DATOS!$C$68)))</f>
        <v/>
      </c>
      <c r="E768" s="51" t="str">
        <f aca="false">IF(LEN($D768)&gt;79,"MÁS DE 79 CARACTERES","")</f>
        <v/>
      </c>
    </row>
    <row r="769" customFormat="false" ht="15" hidden="false" customHeight="true" outlineLevel="0" collapsed="false">
      <c r="B769" s="53" t="str">
        <f aca="false">IF(OR(LINEAS!$D$107="",LINEAS!$U$107=0,ABS(IF(OR(LINEAS!$U$107=1,LINEAS!$U$107=3),1,-1)*LINEAS!$AE$107*DATOS!$C$67)&lt;0.00005),"*",LINEAS!$D$107&amp;" UNI "&amp;IF(LINEAS!$U$107&lt;=2,"GZ","GX")&amp;" "&amp;TEXT(IF(OR(LINEAS!$U$107=1,LINEAS!$U$107=3),1,-1)*LINEAS!$AE$107*DATOS!$C$67,DATOS!$C$68))</f>
        <v>62 UNI GX 0.2989</v>
      </c>
      <c r="C769" s="51" t="str">
        <f aca="false">IF(LEN($B769)&gt;79,"MÁS DE 79 CARACTERES","")</f>
        <v/>
      </c>
      <c r="D769" s="53" t="str">
        <f aca="false">IF(PRESIONES!$C$22="NO","",IF(OR(LINEAS!$D$107="",LINEAS!$U$107=0,ABS(IF(OR(LINEAS!$U$107=1,LINEAS!$U$107=3),1,-1)*LINEAS!$AE$107*DATOS!$C$67)&lt;0.00005),"*",LINEAS!$D$107&amp;" UNI "&amp;IF(LINEAS!$U$107&lt;=2,"GZ","GX")&amp;" "&amp;TEXT(IF(OR(LINEAS!$U$107=1,LINEAS!$U$107=3),1,-1)*LINEAS!$AE$107*DATOS!$C$67,DATOS!$C$68)))</f>
        <v/>
      </c>
      <c r="E769" s="51" t="str">
        <f aca="false">IF(LEN($D769)&gt;79,"MÁS DE 79 CARACTERES","")</f>
        <v/>
      </c>
    </row>
    <row r="770" customFormat="false" ht="15" hidden="false" customHeight="true" outlineLevel="0" collapsed="false">
      <c r="B770" s="53" t="str">
        <f aca="false">IF(OR(LINEAS!$D$108="",LINEAS!$U$108=0,ABS(IF(OR(LINEAS!$U$108=1,LINEAS!$U$108=3),1,-1)*LINEAS!$AE$108*DATOS!$C$67)&lt;0.00005),"*",LINEAS!$D$108&amp;" UNI "&amp;IF(LINEAS!$U$108&lt;=2,"GZ","GX")&amp;" "&amp;TEXT(IF(OR(LINEAS!$U$108=1,LINEAS!$U$108=3),1,-1)*LINEAS!$AE$108*DATOS!$C$67,DATOS!$C$68))</f>
        <v>61 UNI GX 0.2752</v>
      </c>
      <c r="C770" s="51" t="str">
        <f aca="false">IF(LEN($B770)&gt;79,"MÁS DE 79 CARACTERES","")</f>
        <v/>
      </c>
      <c r="D770" s="53" t="str">
        <f aca="false">IF(PRESIONES!$C$22="NO","",IF(OR(LINEAS!$D$108="",LINEAS!$U$108=0,ABS(IF(OR(LINEAS!$U$108=1,LINEAS!$U$108=3),1,-1)*LINEAS!$AE$108*DATOS!$C$67)&lt;0.00005),"*",LINEAS!$D$108&amp;" UNI "&amp;IF(LINEAS!$U$108&lt;=2,"GZ","GX")&amp;" "&amp;TEXT(IF(OR(LINEAS!$U$108=1,LINEAS!$U$108=3),1,-1)*LINEAS!$AE$108*DATOS!$C$67,DATOS!$C$68)))</f>
        <v/>
      </c>
      <c r="E770" s="51" t="str">
        <f aca="false">IF(LEN($D770)&gt;79,"MÁS DE 79 CARACTERES","")</f>
        <v/>
      </c>
    </row>
    <row r="771" customFormat="false" ht="15" hidden="false" customHeight="true" outlineLevel="0" collapsed="false">
      <c r="B771" s="53" t="str">
        <f aca="false">IF(OR(LINEAS!$D$109="",LINEAS!$U$109=0,ABS(IF(OR(LINEAS!$U$109=1,LINEAS!$U$109=3),1,-1)*LINEAS!$AE$109*DATOS!$C$67)&lt;0.00005),"*",LINEAS!$D$109&amp;" UNI "&amp;IF(LINEAS!$U$109&lt;=2,"GZ","GX")&amp;" "&amp;TEXT(IF(OR(LINEAS!$U$109=1,LINEAS!$U$109=3),1,-1)*LINEAS!$AE$109*DATOS!$C$67,DATOS!$C$68))</f>
        <v>12 UNI GX 0.2515</v>
      </c>
      <c r="C771" s="51" t="str">
        <f aca="false">IF(LEN($B771)&gt;79,"MÁS DE 79 CARACTERES","")</f>
        <v/>
      </c>
      <c r="D771" s="53" t="str">
        <f aca="false">IF(PRESIONES!$C$22="NO","",IF(OR(LINEAS!$D$109="",LINEAS!$U$109=0,ABS(IF(OR(LINEAS!$U$109=1,LINEAS!$U$109=3),1,-1)*LINEAS!$AE$109*DATOS!$C$67)&lt;0.00005),"*",LINEAS!$D$109&amp;" UNI "&amp;IF(LINEAS!$U$109&lt;=2,"GZ","GX")&amp;" "&amp;TEXT(IF(OR(LINEAS!$U$109=1,LINEAS!$U$109=3),1,-1)*LINEAS!$AE$109*DATOS!$C$67,DATOS!$C$68)))</f>
        <v/>
      </c>
      <c r="E771" s="51" t="str">
        <f aca="false">IF(LEN($D771)&gt;79,"MÁS DE 79 CARACTERES","")</f>
        <v/>
      </c>
    </row>
    <row r="772" customFormat="false" ht="15" hidden="false" customHeight="true" outlineLevel="0" collapsed="false">
      <c r="B772" s="53" t="str">
        <f aca="false">IF(OR(LINEAS!$D$110="",LINEAS!$U$110=0,ABS(IF(OR(LINEAS!$U$110=1,LINEAS!$U$110=3),1,-1)*LINEAS!$AE$110*DATOS!$C$67)&lt;0.00005),"*",LINEAS!$D$110&amp;" UNI "&amp;IF(LINEAS!$U$110&lt;=2,"GZ","GX")&amp;" "&amp;TEXT(IF(OR(LINEAS!$U$110=1,LINEAS!$U$110=3),1,-1)*LINEAS!$AE$110*DATOS!$C$67,DATOS!$C$68))</f>
        <v>72 UNI GX 0.2278</v>
      </c>
      <c r="C772" s="51" t="str">
        <f aca="false">IF(LEN($B772)&gt;79,"MÁS DE 79 CARACTERES","")</f>
        <v/>
      </c>
      <c r="D772" s="53" t="str">
        <f aca="false">IF(PRESIONES!$C$22="NO","",IF(OR(LINEAS!$D$110="",LINEAS!$U$110=0,ABS(IF(OR(LINEAS!$U$110=1,LINEAS!$U$110=3),1,-1)*LINEAS!$AE$110*DATOS!$C$67)&lt;0.00005),"*",LINEAS!$D$110&amp;" UNI "&amp;IF(LINEAS!$U$110&lt;=2,"GZ","GX")&amp;" "&amp;TEXT(IF(OR(LINEAS!$U$110=1,LINEAS!$U$110=3),1,-1)*LINEAS!$AE$110*DATOS!$C$67,DATOS!$C$68)))</f>
        <v/>
      </c>
      <c r="E772" s="51" t="str">
        <f aca="false">IF(LEN($D772)&gt;79,"MÁS DE 79 CARACTERES","")</f>
        <v/>
      </c>
    </row>
    <row r="773" customFormat="false" ht="15" hidden="false" customHeight="true" outlineLevel="0" collapsed="false">
      <c r="B773" s="53" t="str">
        <f aca="false">IF(OR(LINEAS!$D$111="",LINEAS!$U$111=0,ABS(IF(OR(LINEAS!$U$111=1,LINEAS!$U$111=3),1,-1)*LINEAS!$AE$111*DATOS!$C$67)&lt;0.00005),"*",LINEAS!$D$111&amp;" UNI "&amp;IF(LINEAS!$U$111&lt;=2,"GZ","GX")&amp;" "&amp;TEXT(IF(OR(LINEAS!$U$111=1,LINEAS!$U$111=3),1,-1)*LINEAS!$AE$111*DATOS!$C$67,DATOS!$C$68))</f>
        <v>71 UNI GX 0.2041</v>
      </c>
      <c r="C773" s="51" t="str">
        <f aca="false">IF(LEN($B773)&gt;79,"MÁS DE 79 CARACTERES","")</f>
        <v/>
      </c>
      <c r="D773" s="53" t="str">
        <f aca="false">IF(PRESIONES!$C$22="NO","",IF(OR(LINEAS!$D$111="",LINEAS!$U$111=0,ABS(IF(OR(LINEAS!$U$111=1,LINEAS!$U$111=3),1,-1)*LINEAS!$AE$111*DATOS!$C$67)&lt;0.00005),"*",LINEAS!$D$111&amp;" UNI "&amp;IF(LINEAS!$U$111&lt;=2,"GZ","GX")&amp;" "&amp;TEXT(IF(OR(LINEAS!$U$111=1,LINEAS!$U$111=3),1,-1)*LINEAS!$AE$111*DATOS!$C$67,DATOS!$C$68)))</f>
        <v/>
      </c>
      <c r="E773" s="51" t="str">
        <f aca="false">IF(LEN($D773)&gt;79,"MÁS DE 79 CARACTERES","")</f>
        <v/>
      </c>
    </row>
    <row r="774" customFormat="false" ht="15" hidden="false" customHeight="true" outlineLevel="0" collapsed="false">
      <c r="B774" s="53" t="str">
        <f aca="false">IF(OR(LINEAS!$D$112="",LINEAS!$U$112=0,ABS(IF(OR(LINEAS!$U$112=1,LINEAS!$U$112=3),1,-1)*LINEAS!$AE$112*DATOS!$C$67)&lt;0.00005),"*",LINEAS!$D$112&amp;" UNI "&amp;IF(LINEAS!$U$112&lt;=2,"GZ","GX")&amp;" "&amp;TEXT(IF(OR(LINEAS!$U$112=1,LINEAS!$U$112=3),1,-1)*LINEAS!$AE$112*DATOS!$C$67,DATOS!$C$68))</f>
        <v>70 UNI GX 0.1804</v>
      </c>
      <c r="C774" s="51" t="str">
        <f aca="false">IF(LEN($B774)&gt;79,"MÁS DE 79 CARACTERES","")</f>
        <v/>
      </c>
      <c r="D774" s="53" t="str">
        <f aca="false">IF(PRESIONES!$C$22="NO","",IF(OR(LINEAS!$D$112="",LINEAS!$U$112=0,ABS(IF(OR(LINEAS!$U$112=1,LINEAS!$U$112=3),1,-1)*LINEAS!$AE$112*DATOS!$C$67)&lt;0.00005),"*",LINEAS!$D$112&amp;" UNI "&amp;IF(LINEAS!$U$112&lt;=2,"GZ","GX")&amp;" "&amp;TEXT(IF(OR(LINEAS!$U$112=1,LINEAS!$U$112=3),1,-1)*LINEAS!$AE$112*DATOS!$C$67,DATOS!$C$68)))</f>
        <v/>
      </c>
      <c r="E774" s="51" t="str">
        <f aca="false">IF(LEN($D774)&gt;79,"MÁS DE 79 CARACTERES","")</f>
        <v/>
      </c>
    </row>
    <row r="775" customFormat="false" ht="15" hidden="false" customHeight="true" outlineLevel="0" collapsed="false">
      <c r="B775" s="53" t="str">
        <f aca="false">IF(OR(LINEAS!$D$113="",LINEAS!$U$113=0,ABS(IF(OR(LINEAS!$U$113=1,LINEAS!$U$113=3),1,-1)*LINEAS!$AE$113*DATOS!$C$67)&lt;0.00005),"*",LINEAS!$D$113&amp;" UNI "&amp;IF(LINEAS!$U$113&lt;=2,"GZ","GX")&amp;" "&amp;TEXT(IF(OR(LINEAS!$U$113=1,LINEAS!$U$113=3),1,-1)*LINEAS!$AE$113*DATOS!$C$67,DATOS!$C$68))</f>
        <v>69 UNI GX 0.1567</v>
      </c>
      <c r="C775" s="51" t="str">
        <f aca="false">IF(LEN($B775)&gt;79,"MÁS DE 79 CARACTERES","")</f>
        <v/>
      </c>
      <c r="D775" s="53" t="str">
        <f aca="false">IF(PRESIONES!$C$22="NO","",IF(OR(LINEAS!$D$113="",LINEAS!$U$113=0,ABS(IF(OR(LINEAS!$U$113=1,LINEAS!$U$113=3),1,-1)*LINEAS!$AE$113*DATOS!$C$67)&lt;0.00005),"*",LINEAS!$D$113&amp;" UNI "&amp;IF(LINEAS!$U$113&lt;=2,"GZ","GX")&amp;" "&amp;TEXT(IF(OR(LINEAS!$U$113=1,LINEAS!$U$113=3),1,-1)*LINEAS!$AE$113*DATOS!$C$67,DATOS!$C$68)))</f>
        <v/>
      </c>
      <c r="E775" s="51" t="str">
        <f aca="false">IF(LEN($D775)&gt;79,"MÁS DE 79 CARACTERES","")</f>
        <v/>
      </c>
    </row>
    <row r="776" customFormat="false" ht="15" hidden="false" customHeight="true" outlineLevel="0" collapsed="false">
      <c r="B776" s="53" t="str">
        <f aca="false">IF(OR(LINEAS!$D$114="",LINEAS!$U$114=0,ABS(IF(OR(LINEAS!$U$114=1,LINEAS!$U$114=3),1,-1)*LINEAS!$AE$114*DATOS!$C$67)&lt;0.00005),"*",LINEAS!$D$114&amp;" UNI "&amp;IF(LINEAS!$U$114&lt;=2,"GZ","GX")&amp;" "&amp;TEXT(IF(OR(LINEAS!$U$114=1,LINEAS!$U$114=3),1,-1)*LINEAS!$AE$114*DATOS!$C$67,DATOS!$C$68))</f>
        <v>50 UNI GX 0.1330</v>
      </c>
      <c r="C776" s="51" t="str">
        <f aca="false">IF(LEN($B776)&gt;79,"MÁS DE 79 CARACTERES","")</f>
        <v/>
      </c>
      <c r="D776" s="53" t="str">
        <f aca="false">IF(PRESIONES!$C$22="NO","",IF(OR(LINEAS!$D$114="",LINEAS!$U$114=0,ABS(IF(OR(LINEAS!$U$114=1,LINEAS!$U$114=3),1,-1)*LINEAS!$AE$114*DATOS!$C$67)&lt;0.00005),"*",LINEAS!$D$114&amp;" UNI "&amp;IF(LINEAS!$U$114&lt;=2,"GZ","GX")&amp;" "&amp;TEXT(IF(OR(LINEAS!$U$114=1,LINEAS!$U$114=3),1,-1)*LINEAS!$AE$114*DATOS!$C$67,DATOS!$C$68)))</f>
        <v/>
      </c>
      <c r="E776" s="51" t="str">
        <f aca="false">IF(LEN($D776)&gt;79,"MÁS DE 79 CARACTERES","")</f>
        <v/>
      </c>
    </row>
    <row r="777" customFormat="false" ht="15" hidden="false" customHeight="true" outlineLevel="0" collapsed="false">
      <c r="B777" s="53" t="str">
        <f aca="false">IF(OR(LINEAS!$D$115="",LINEAS!$U$115=0,ABS(IF(OR(LINEAS!$U$115=1,LINEAS!$U$115=3),1,-1)*LINEAS!$AE$115*DATOS!$C$67)&lt;0.00005),"*",LINEAS!$D$115&amp;" UNI "&amp;IF(LINEAS!$U$115&lt;=2,"GZ","GX")&amp;" "&amp;TEXT(IF(OR(LINEAS!$U$115=1,LINEAS!$U$115=3),1,-1)*LINEAS!$AE$115*DATOS!$C$67,DATOS!$C$68))</f>
        <v>53 UNI GX 0.1101</v>
      </c>
      <c r="C777" s="51" t="str">
        <f aca="false">IF(LEN($B777)&gt;79,"MÁS DE 79 CARACTERES","")</f>
        <v/>
      </c>
      <c r="D777" s="53" t="str">
        <f aca="false">IF(PRESIONES!$C$22="NO","",IF(OR(LINEAS!$D$115="",LINEAS!$U$115=0,ABS(IF(OR(LINEAS!$U$115=1,LINEAS!$U$115=3),1,-1)*LINEAS!$AE$115*DATOS!$C$67)&lt;0.00005),"*",LINEAS!$D$115&amp;" UNI "&amp;IF(LINEAS!$U$115&lt;=2,"GZ","GX")&amp;" "&amp;TEXT(IF(OR(LINEAS!$U$115=1,LINEAS!$U$115=3),1,-1)*LINEAS!$AE$115*DATOS!$C$67,DATOS!$C$68)))</f>
        <v/>
      </c>
      <c r="E777" s="51" t="str">
        <f aca="false">IF(LEN($D777)&gt;79,"MÁS DE 79 CARACTERES","")</f>
        <v/>
      </c>
    </row>
    <row r="778" customFormat="false" ht="15" hidden="false" customHeight="true" outlineLevel="0" collapsed="false">
      <c r="B778" s="53" t="str">
        <f aca="false">IF(OR(LINEAS!$D$116="",LINEAS!$U$116=0,ABS(IF(OR(LINEAS!$U$116=1,LINEAS!$U$116=3),1,-1)*LINEAS!$AE$116*DATOS!$C$67)&lt;0.00005),"*",LINEAS!$D$116&amp;" UNI "&amp;IF(LINEAS!$U$116&lt;=2,"GZ","GX")&amp;" "&amp;TEXT(IF(OR(LINEAS!$U$116=1,LINEAS!$U$116=3),1,-1)*LINEAS!$AE$116*DATOS!$C$67,DATOS!$C$68))</f>
        <v>55 UNI GX 0.0882</v>
      </c>
      <c r="C778" s="51" t="str">
        <f aca="false">IF(LEN($B778)&gt;79,"MÁS DE 79 CARACTERES","")</f>
        <v/>
      </c>
      <c r="D778" s="53" t="str">
        <f aca="false">IF(PRESIONES!$C$22="NO","",IF(OR(LINEAS!$D$116="",LINEAS!$U$116=0,ABS(IF(OR(LINEAS!$U$116=1,LINEAS!$U$116=3),1,-1)*LINEAS!$AE$116*DATOS!$C$67)&lt;0.00005),"*",LINEAS!$D$116&amp;" UNI "&amp;IF(LINEAS!$U$116&lt;=2,"GZ","GX")&amp;" "&amp;TEXT(IF(OR(LINEAS!$U$116=1,LINEAS!$U$116=3),1,-1)*LINEAS!$AE$116*DATOS!$C$67,DATOS!$C$68)))</f>
        <v/>
      </c>
      <c r="E778" s="51" t="str">
        <f aca="false">IF(LEN($D778)&gt;79,"MÁS DE 79 CARACTERES","")</f>
        <v/>
      </c>
    </row>
    <row r="779" customFormat="false" ht="15" hidden="false" customHeight="true" outlineLevel="0" collapsed="false">
      <c r="B779" s="53" t="str">
        <f aca="false">IF(OR(LINEAS!$D$117="",LINEAS!$U$117=0,ABS(IF(OR(LINEAS!$U$117=1,LINEAS!$U$117=3),1,-1)*LINEAS!$AE$117*DATOS!$C$67)&lt;0.00005),"*",LINEAS!$D$117&amp;" UNI "&amp;IF(LINEAS!$U$117&lt;=2,"GZ","GX")&amp;" "&amp;TEXT(IF(OR(LINEAS!$U$117=1,LINEAS!$U$117=3),1,-1)*LINEAS!$AE$117*DATOS!$C$67,DATOS!$C$68))</f>
        <v>262 UNI GZ -0.7275</v>
      </c>
      <c r="C779" s="51" t="str">
        <f aca="false">IF(LEN($B779)&gt;79,"MÁS DE 79 CARACTERES","")</f>
        <v/>
      </c>
      <c r="D779" s="53" t="str">
        <f aca="false">IF(PRESIONES!$C$22="NO","",IF(OR(LINEAS!$D$117="",LINEAS!$U$117=0,ABS(IF(OR(LINEAS!$U$117=1,LINEAS!$U$117=3),1,-1)*LINEAS!$AE$117*DATOS!$C$67)&lt;0.00005),"*",LINEAS!$D$117&amp;" UNI "&amp;IF(LINEAS!$U$117&lt;=2,"GZ","GX")&amp;" "&amp;TEXT(IF(OR(LINEAS!$U$117=1,LINEAS!$U$117=3),1,-1)*LINEAS!$AE$117*DATOS!$C$67,DATOS!$C$68)))</f>
        <v/>
      </c>
      <c r="E779" s="51" t="str">
        <f aca="false">IF(LEN($D779)&gt;79,"MÁS DE 79 CARACTERES","")</f>
        <v/>
      </c>
    </row>
    <row r="780" customFormat="false" ht="15" hidden="false" customHeight="true" outlineLevel="0" collapsed="false">
      <c r="B780" s="53" t="str">
        <f aca="false">IF(OR(LINEAS!$D$118="",LINEAS!$U$118=0,ABS(IF(OR(LINEAS!$U$118=1,LINEAS!$U$118=3),1,-1)*LINEAS!$AE$118*DATOS!$C$67)&lt;0.00005),"*",LINEAS!$D$118&amp;" UNI "&amp;IF(LINEAS!$U$118&lt;=2,"GZ","GX")&amp;" "&amp;TEXT(IF(OR(LINEAS!$U$118=1,LINEAS!$U$118=3),1,-1)*LINEAS!$AE$118*DATOS!$C$67,DATOS!$C$68))</f>
        <v>263 UNI GZ -0.7275</v>
      </c>
      <c r="C780" s="51" t="str">
        <f aca="false">IF(LEN($B780)&gt;79,"MÁS DE 79 CARACTERES","")</f>
        <v/>
      </c>
      <c r="D780" s="53" t="str">
        <f aca="false">IF(PRESIONES!$C$22="NO","",IF(OR(LINEAS!$D$118="",LINEAS!$U$118=0,ABS(IF(OR(LINEAS!$U$118=1,LINEAS!$U$118=3),1,-1)*LINEAS!$AE$118*DATOS!$C$67)&lt;0.00005),"*",LINEAS!$D$118&amp;" UNI "&amp;IF(LINEAS!$U$118&lt;=2,"GZ","GX")&amp;" "&amp;TEXT(IF(OR(LINEAS!$U$118=1,LINEAS!$U$118=3),1,-1)*LINEAS!$AE$118*DATOS!$C$67,DATOS!$C$68)))</f>
        <v/>
      </c>
      <c r="E780" s="51" t="str">
        <f aca="false">IF(LEN($D780)&gt;79,"MÁS DE 79 CARACTERES","")</f>
        <v/>
      </c>
    </row>
    <row r="781" customFormat="false" ht="15" hidden="false" customHeight="true" outlineLevel="0" collapsed="false">
      <c r="B781" s="53" t="str">
        <f aca="false">IF(OR(LINEAS!$D$119="",LINEAS!$U$119=0,ABS(IF(OR(LINEAS!$U$119=1,LINEAS!$U$119=3),1,-1)*LINEAS!$AE$119*DATOS!$C$67)&lt;0.00005),"*",LINEAS!$D$119&amp;" UNI "&amp;IF(LINEAS!$U$119&lt;=2,"GZ","GX")&amp;" "&amp;TEXT(IF(OR(LINEAS!$U$119=1,LINEAS!$U$119=3),1,-1)*LINEAS!$AE$119*DATOS!$C$67,DATOS!$C$68))</f>
        <v>264 UNI GZ -0.7275</v>
      </c>
      <c r="C781" s="51" t="str">
        <f aca="false">IF(LEN($B781)&gt;79,"MÁS DE 79 CARACTERES","")</f>
        <v/>
      </c>
      <c r="D781" s="53" t="str">
        <f aca="false">IF(PRESIONES!$C$22="NO","",IF(OR(LINEAS!$D$119="",LINEAS!$U$119=0,ABS(IF(OR(LINEAS!$U$119=1,LINEAS!$U$119=3),1,-1)*LINEAS!$AE$119*DATOS!$C$67)&lt;0.00005),"*",LINEAS!$D$119&amp;" UNI "&amp;IF(LINEAS!$U$119&lt;=2,"GZ","GX")&amp;" "&amp;TEXT(IF(OR(LINEAS!$U$119=1,LINEAS!$U$119=3),1,-1)*LINEAS!$AE$119*DATOS!$C$67,DATOS!$C$68)))</f>
        <v/>
      </c>
      <c r="E781" s="51" t="str">
        <f aca="false">IF(LEN($D781)&gt;79,"MÁS DE 79 CARACTERES","")</f>
        <v/>
      </c>
    </row>
    <row r="782" customFormat="false" ht="15" hidden="false" customHeight="true" outlineLevel="0" collapsed="false">
      <c r="B782" s="53" t="str">
        <f aca="false">IF(OR(LINEAS!$D$120="",LINEAS!$U$120=0,ABS(IF(OR(LINEAS!$U$120=1,LINEAS!$U$120=3),1,-1)*LINEAS!$AE$120*DATOS!$C$67)&lt;0.00005),"*",LINEAS!$D$120&amp;" UNI "&amp;IF(LINEAS!$U$120&lt;=2,"GZ","GX")&amp;" "&amp;TEXT(IF(OR(LINEAS!$U$120=1,LINEAS!$U$120=3),1,-1)*LINEAS!$AE$120*DATOS!$C$67,DATOS!$C$68))</f>
        <v>271 UNI GZ -0.7275</v>
      </c>
      <c r="C782" s="51" t="str">
        <f aca="false">IF(LEN($B782)&gt;79,"MÁS DE 79 CARACTERES","")</f>
        <v/>
      </c>
      <c r="D782" s="53" t="str">
        <f aca="false">IF(PRESIONES!$C$22="NO","",IF(OR(LINEAS!$D$120="",LINEAS!$U$120=0,ABS(IF(OR(LINEAS!$U$120=1,LINEAS!$U$120=3),1,-1)*LINEAS!$AE$120*DATOS!$C$67)&lt;0.00005),"*",LINEAS!$D$120&amp;" UNI "&amp;IF(LINEAS!$U$120&lt;=2,"GZ","GX")&amp;" "&amp;TEXT(IF(OR(LINEAS!$U$120=1,LINEAS!$U$120=3),1,-1)*LINEAS!$AE$120*DATOS!$C$67,DATOS!$C$68)))</f>
        <v/>
      </c>
      <c r="E782" s="51" t="str">
        <f aca="false">IF(LEN($D782)&gt;79,"MÁS DE 79 CARACTERES","")</f>
        <v/>
      </c>
    </row>
    <row r="783" customFormat="false" ht="15" hidden="false" customHeight="true" outlineLevel="0" collapsed="false">
      <c r="B783" s="53" t="str">
        <f aca="false">IF(OR(LINEAS!$D$121="",LINEAS!$U$121=0,ABS(IF(OR(LINEAS!$U$121=1,LINEAS!$U$121=3),1,-1)*LINEAS!$AE$121*DATOS!$C$67)&lt;0.00005),"*",LINEAS!$D$121&amp;" UNI "&amp;IF(LINEAS!$U$121&lt;=2,"GZ","GX")&amp;" "&amp;TEXT(IF(OR(LINEAS!$U$121=1,LINEAS!$U$121=3),1,-1)*LINEAS!$AE$121*DATOS!$C$67,DATOS!$C$68))</f>
        <v>286 UNI GZ -1.0912</v>
      </c>
      <c r="C783" s="51" t="str">
        <f aca="false">IF(LEN($B783)&gt;79,"MÁS DE 79 CARACTERES","")</f>
        <v/>
      </c>
      <c r="D783" s="53" t="str">
        <f aca="false">IF(PRESIONES!$C$22="NO","",IF(OR(LINEAS!$D$121="",LINEAS!$U$121=0,ABS(IF(OR(LINEAS!$U$121=1,LINEAS!$U$121=3),1,-1)*LINEAS!$AE$121*DATOS!$C$67)&lt;0.00005),"*",LINEAS!$D$121&amp;" UNI "&amp;IF(LINEAS!$U$121&lt;=2,"GZ","GX")&amp;" "&amp;TEXT(IF(OR(LINEAS!$U$121=1,LINEAS!$U$121=3),1,-1)*LINEAS!$AE$121*DATOS!$C$67,DATOS!$C$68)))</f>
        <v/>
      </c>
      <c r="E783" s="51" t="str">
        <f aca="false">IF(LEN($D783)&gt;79,"MÁS DE 79 CARACTERES","")</f>
        <v/>
      </c>
    </row>
    <row r="784" customFormat="false" ht="15" hidden="false" customHeight="true" outlineLevel="0" collapsed="false">
      <c r="B784" s="53" t="str">
        <f aca="false">IF(OR(LINEAS!$D$122="",LINEAS!$U$122=0,ABS(IF(OR(LINEAS!$U$122=1,LINEAS!$U$122=3),1,-1)*LINEAS!$AE$122*DATOS!$C$67)&lt;0.00005),"*",LINEAS!$D$122&amp;" UNI "&amp;IF(LINEAS!$U$122&lt;=2,"GZ","GX")&amp;" "&amp;TEXT(IF(OR(LINEAS!$U$122=1,LINEAS!$U$122=3),1,-1)*LINEAS!$AE$122*DATOS!$C$67,DATOS!$C$68))</f>
        <v>272 UNI GZ -0.7275</v>
      </c>
      <c r="C784" s="51" t="str">
        <f aca="false">IF(LEN($B784)&gt;79,"MÁS DE 79 CARACTERES","")</f>
        <v/>
      </c>
      <c r="D784" s="53" t="str">
        <f aca="false">IF(PRESIONES!$C$22="NO","",IF(OR(LINEAS!$D$122="",LINEAS!$U$122=0,ABS(IF(OR(LINEAS!$U$122=1,LINEAS!$U$122=3),1,-1)*LINEAS!$AE$122*DATOS!$C$67)&lt;0.00005),"*",LINEAS!$D$122&amp;" UNI "&amp;IF(LINEAS!$U$122&lt;=2,"GZ","GX")&amp;" "&amp;TEXT(IF(OR(LINEAS!$U$122=1,LINEAS!$U$122=3),1,-1)*LINEAS!$AE$122*DATOS!$C$67,DATOS!$C$68)))</f>
        <v/>
      </c>
      <c r="E784" s="51" t="str">
        <f aca="false">IF(LEN($D784)&gt;79,"MÁS DE 79 CARACTERES","")</f>
        <v/>
      </c>
    </row>
    <row r="785" customFormat="false" ht="15" hidden="false" customHeight="true" outlineLevel="0" collapsed="false">
      <c r="B785" s="53" t="str">
        <f aca="false">IF(OR(LINEAS!$D$123="",LINEAS!$U$123=0,ABS(IF(OR(LINEAS!$U$123=1,LINEAS!$U$123=3),1,-1)*LINEAS!$AE$123*DATOS!$C$67)&lt;0.00005),"*",LINEAS!$D$123&amp;" UNI "&amp;IF(LINEAS!$U$123&lt;=2,"GZ","GX")&amp;" "&amp;TEXT(IF(OR(LINEAS!$U$123=1,LINEAS!$U$123=3),1,-1)*LINEAS!$AE$123*DATOS!$C$67,DATOS!$C$68))</f>
        <v>273 UNI GZ -0.7275</v>
      </c>
      <c r="C785" s="51" t="str">
        <f aca="false">IF(LEN($B785)&gt;79,"MÁS DE 79 CARACTERES","")</f>
        <v/>
      </c>
      <c r="D785" s="53" t="str">
        <f aca="false">IF(PRESIONES!$C$22="NO","",IF(OR(LINEAS!$D$123="",LINEAS!$U$123=0,ABS(IF(OR(LINEAS!$U$123=1,LINEAS!$U$123=3),1,-1)*LINEAS!$AE$123*DATOS!$C$67)&lt;0.00005),"*",LINEAS!$D$123&amp;" UNI "&amp;IF(LINEAS!$U$123&lt;=2,"GZ","GX")&amp;" "&amp;TEXT(IF(OR(LINEAS!$U$123=1,LINEAS!$U$123=3),1,-1)*LINEAS!$AE$123*DATOS!$C$67,DATOS!$C$68)))</f>
        <v/>
      </c>
      <c r="E785" s="51" t="str">
        <f aca="false">IF(LEN($D785)&gt;79,"MÁS DE 79 CARACTERES","")</f>
        <v/>
      </c>
    </row>
    <row r="786" customFormat="false" ht="15" hidden="false" customHeight="true" outlineLevel="0" collapsed="false">
      <c r="B786" s="53" t="str">
        <f aca="false">IF(OR(LINEAS!$D$124="",LINEAS!$U$124=0,ABS(IF(OR(LINEAS!$U$124=1,LINEAS!$U$124=3),1,-1)*LINEAS!$AE$124*DATOS!$C$67)&lt;0.00005),"*",LINEAS!$D$124&amp;" UNI "&amp;IF(LINEAS!$U$124&lt;=2,"GZ","GX")&amp;" "&amp;TEXT(IF(OR(LINEAS!$U$124=1,LINEAS!$U$124=3),1,-1)*LINEAS!$AE$124*DATOS!$C$67,DATOS!$C$68))</f>
        <v>280 UNI GZ -0.7275</v>
      </c>
      <c r="C786" s="51" t="str">
        <f aca="false">IF(LEN($B786)&gt;79,"MÁS DE 79 CARACTERES","")</f>
        <v/>
      </c>
      <c r="D786" s="53" t="str">
        <f aca="false">IF(PRESIONES!$C$22="NO","",IF(OR(LINEAS!$D$124="",LINEAS!$U$124=0,ABS(IF(OR(LINEAS!$U$124=1,LINEAS!$U$124=3),1,-1)*LINEAS!$AE$124*DATOS!$C$67)&lt;0.00005),"*",LINEAS!$D$124&amp;" UNI "&amp;IF(LINEAS!$U$124&lt;=2,"GZ","GX")&amp;" "&amp;TEXT(IF(OR(LINEAS!$U$124=1,LINEAS!$U$124=3),1,-1)*LINEAS!$AE$124*DATOS!$C$67,DATOS!$C$68)))</f>
        <v/>
      </c>
      <c r="E786" s="51" t="str">
        <f aca="false">IF(LEN($D786)&gt;79,"MÁS DE 79 CARACTERES","")</f>
        <v/>
      </c>
    </row>
    <row r="787" customFormat="false" ht="15" hidden="false" customHeight="true" outlineLevel="0" collapsed="false">
      <c r="B787" s="53" t="str">
        <f aca="false">IF(OR(LINEAS!$D$125="",LINEAS!$U$125=0,ABS(IF(OR(LINEAS!$U$125=1,LINEAS!$U$125=3),1,-1)*LINEAS!$AE$125*DATOS!$C$67)&lt;0.00005),"*",LINEAS!$D$125&amp;" UNI "&amp;IF(LINEAS!$U$125&lt;=2,"GZ","GX")&amp;" "&amp;TEXT(IF(OR(LINEAS!$U$125=1,LINEAS!$U$125=3),1,-1)*LINEAS!$AE$125*DATOS!$C$67,DATOS!$C$68))</f>
        <v>282 UNI GZ -0.7275</v>
      </c>
      <c r="C787" s="51" t="str">
        <f aca="false">IF(LEN($B787)&gt;79,"MÁS DE 79 CARACTERES","")</f>
        <v/>
      </c>
      <c r="D787" s="53" t="str">
        <f aca="false">IF(PRESIONES!$C$22="NO","",IF(OR(LINEAS!$D$125="",LINEAS!$U$125=0,ABS(IF(OR(LINEAS!$U$125=1,LINEAS!$U$125=3),1,-1)*LINEAS!$AE$125*DATOS!$C$67)&lt;0.00005),"*",LINEAS!$D$125&amp;" UNI "&amp;IF(LINEAS!$U$125&lt;=2,"GZ","GX")&amp;" "&amp;TEXT(IF(OR(LINEAS!$U$125=1,LINEAS!$U$125=3),1,-1)*LINEAS!$AE$125*DATOS!$C$67,DATOS!$C$68)))</f>
        <v/>
      </c>
      <c r="E787" s="51" t="str">
        <f aca="false">IF(LEN($D787)&gt;79,"MÁS DE 79 CARACTERES","")</f>
        <v/>
      </c>
    </row>
    <row r="788" customFormat="false" ht="15" hidden="false" customHeight="true" outlineLevel="0" collapsed="false">
      <c r="B788" s="53" t="str">
        <f aca="false">IF(OR(LINEAS!$D$126="",LINEAS!$U$126=0,ABS(IF(OR(LINEAS!$U$126=1,LINEAS!$U$126=3),1,-1)*LINEAS!$AE$126*DATOS!$C$67)&lt;0.00005),"*",LINEAS!$D$126&amp;" UNI "&amp;IF(LINEAS!$U$126&lt;=2,"GZ","GX")&amp;" "&amp;TEXT(IF(OR(LINEAS!$U$126=1,LINEAS!$U$126=3),1,-1)*LINEAS!$AE$126*DATOS!$C$67,DATOS!$C$68))</f>
        <v>290 UNI GZ -0.7275</v>
      </c>
      <c r="C788" s="51" t="str">
        <f aca="false">IF(LEN($B788)&gt;79,"MÁS DE 79 CARACTERES","")</f>
        <v/>
      </c>
      <c r="D788" s="53" t="str">
        <f aca="false">IF(PRESIONES!$C$22="NO","",IF(OR(LINEAS!$D$126="",LINEAS!$U$126=0,ABS(IF(OR(LINEAS!$U$126=1,LINEAS!$U$126=3),1,-1)*LINEAS!$AE$126*DATOS!$C$67)&lt;0.00005),"*",LINEAS!$D$126&amp;" UNI "&amp;IF(LINEAS!$U$126&lt;=2,"GZ","GX")&amp;" "&amp;TEXT(IF(OR(LINEAS!$U$126=1,LINEAS!$U$126=3),1,-1)*LINEAS!$AE$126*DATOS!$C$67,DATOS!$C$68)))</f>
        <v/>
      </c>
      <c r="E788" s="51" t="str">
        <f aca="false">IF(LEN($D788)&gt;79,"MÁS DE 79 CARACTERES","")</f>
        <v/>
      </c>
    </row>
    <row r="789" customFormat="false" ht="15" hidden="false" customHeight="true" outlineLevel="0" collapsed="false">
      <c r="B789" s="53" t="str">
        <f aca="false">IF(OR(LINEAS!$D$127="",LINEAS!$U$127=0,ABS(IF(OR(LINEAS!$U$127=1,LINEAS!$U$127=3),1,-1)*LINEAS!$AE$127*DATOS!$C$67)&lt;0.00005),"*",LINEAS!$D$127&amp;" UNI "&amp;IF(LINEAS!$U$127&lt;=2,"GZ","GX")&amp;" "&amp;TEXT(IF(OR(LINEAS!$U$127=1,LINEAS!$U$127=3),1,-1)*LINEAS!$AE$127*DATOS!$C$67,DATOS!$C$68))</f>
        <v>291 UNI GZ -0.7275</v>
      </c>
      <c r="C789" s="51" t="str">
        <f aca="false">IF(LEN($B789)&gt;79,"MÁS DE 79 CARACTERES","")</f>
        <v/>
      </c>
      <c r="D789" s="53" t="str">
        <f aca="false">IF(PRESIONES!$C$22="NO","",IF(OR(LINEAS!$D$127="",LINEAS!$U$127=0,ABS(IF(OR(LINEAS!$U$127=1,LINEAS!$U$127=3),1,-1)*LINEAS!$AE$127*DATOS!$C$67)&lt;0.00005),"*",LINEAS!$D$127&amp;" UNI "&amp;IF(LINEAS!$U$127&lt;=2,"GZ","GX")&amp;" "&amp;TEXT(IF(OR(LINEAS!$U$127=1,LINEAS!$U$127=3),1,-1)*LINEAS!$AE$127*DATOS!$C$67,DATOS!$C$68)))</f>
        <v/>
      </c>
      <c r="E789" s="51" t="str">
        <f aca="false">IF(LEN($D789)&gt;79,"MÁS DE 79 CARACTERES","")</f>
        <v/>
      </c>
    </row>
    <row r="790" customFormat="false" ht="15" hidden="false" customHeight="true" outlineLevel="0" collapsed="false">
      <c r="B790" s="53" t="str">
        <f aca="false">IF(OR(LINEAS!$D$128="",LINEAS!$U$128=0,ABS(IF(OR(LINEAS!$U$128=1,LINEAS!$U$128=3),1,-1)*LINEAS!$AE$128*DATOS!$C$67)&lt;0.00005),"*",LINEAS!$D$128&amp;" UNI "&amp;IF(LINEAS!$U$128&lt;=2,"GZ","GX")&amp;" "&amp;TEXT(IF(OR(LINEAS!$U$128=1,LINEAS!$U$128=3),1,-1)*LINEAS!$AE$128*DATOS!$C$67,DATOS!$C$68))</f>
        <v>298 UNI GZ -0.4638</v>
      </c>
      <c r="C790" s="51" t="str">
        <f aca="false">IF(LEN($B790)&gt;79,"MÁS DE 79 CARACTERES","")</f>
        <v/>
      </c>
      <c r="D790" s="53" t="str">
        <f aca="false">IF(PRESIONES!$C$22="NO","",IF(OR(LINEAS!$D$128="",LINEAS!$U$128=0,ABS(IF(OR(LINEAS!$U$128=1,LINEAS!$U$128=3),1,-1)*LINEAS!$AE$128*DATOS!$C$67)&lt;0.00005),"*",LINEAS!$D$128&amp;" UNI "&amp;IF(LINEAS!$U$128&lt;=2,"GZ","GX")&amp;" "&amp;TEXT(IF(OR(LINEAS!$U$128=1,LINEAS!$U$128=3),1,-1)*LINEAS!$AE$128*DATOS!$C$67,DATOS!$C$68)))</f>
        <v/>
      </c>
      <c r="E790" s="51" t="str">
        <f aca="false">IF(LEN($D790)&gt;79,"MÁS DE 79 CARACTERES","")</f>
        <v/>
      </c>
    </row>
    <row r="791" customFormat="false" ht="15" hidden="false" customHeight="true" outlineLevel="0" collapsed="false">
      <c r="B791" s="53" t="str">
        <f aca="false">IF(OR(LINEAS!$D$129="",LINEAS!$U$129=0,ABS(IF(OR(LINEAS!$U$129=1,LINEAS!$U$129=3),1,-1)*LINEAS!$AE$129*DATOS!$C$67)&lt;0.00005),"*",LINEAS!$D$129&amp;" UNI "&amp;IF(LINEAS!$U$129&lt;=2,"GZ","GX")&amp;" "&amp;TEXT(IF(OR(LINEAS!$U$129=1,LINEAS!$U$129=3),1,-1)*LINEAS!$AE$129*DATOS!$C$67,DATOS!$C$68))</f>
        <v>299 UNI GZ -0.4638</v>
      </c>
      <c r="C791" s="51" t="str">
        <f aca="false">IF(LEN($B791)&gt;79,"MÁS DE 79 CARACTERES","")</f>
        <v/>
      </c>
      <c r="D791" s="53" t="str">
        <f aca="false">IF(PRESIONES!$C$22="NO","",IF(OR(LINEAS!$D$129="",LINEAS!$U$129=0,ABS(IF(OR(LINEAS!$U$129=1,LINEAS!$U$129=3),1,-1)*LINEAS!$AE$129*DATOS!$C$67)&lt;0.00005),"*",LINEAS!$D$129&amp;" UNI "&amp;IF(LINEAS!$U$129&lt;=2,"GZ","GX")&amp;" "&amp;TEXT(IF(OR(LINEAS!$U$129=1,LINEAS!$U$129=3),1,-1)*LINEAS!$AE$129*DATOS!$C$67,DATOS!$C$68)))</f>
        <v/>
      </c>
      <c r="E791" s="51" t="str">
        <f aca="false">IF(LEN($D791)&gt;79,"MÁS DE 79 CARACTERES","")</f>
        <v/>
      </c>
    </row>
    <row r="792" customFormat="false" ht="15" hidden="false" customHeight="true" outlineLevel="0" collapsed="false">
      <c r="B792" s="53" t="str">
        <f aca="false">IF(OR(LINEAS!$D$130="",LINEAS!$U$130=0,ABS(IF(OR(LINEAS!$U$130=1,LINEAS!$U$130=3),1,-1)*LINEAS!$AE$130*DATOS!$C$67)&lt;0.00005),"*",LINEAS!$D$130&amp;" UNI "&amp;IF(LINEAS!$U$130&lt;=2,"GZ","GX")&amp;" "&amp;TEXT(IF(OR(LINEAS!$U$130=1,LINEAS!$U$130=3),1,-1)*LINEAS!$AE$130*DATOS!$C$67,DATOS!$C$68))</f>
        <v>326 UNI GZ -0.3637</v>
      </c>
      <c r="C792" s="51" t="str">
        <f aca="false">IF(LEN($B792)&gt;79,"MÁS DE 79 CARACTERES","")</f>
        <v/>
      </c>
      <c r="D792" s="53" t="str">
        <f aca="false">IF(PRESIONES!$C$22="NO","",IF(OR(LINEAS!$D$130="",LINEAS!$U$130=0,ABS(IF(OR(LINEAS!$U$130=1,LINEAS!$U$130=3),1,-1)*LINEAS!$AE$130*DATOS!$C$67)&lt;0.00005),"*",LINEAS!$D$130&amp;" UNI "&amp;IF(LINEAS!$U$130&lt;=2,"GZ","GX")&amp;" "&amp;TEXT(IF(OR(LINEAS!$U$130=1,LINEAS!$U$130=3),1,-1)*LINEAS!$AE$130*DATOS!$C$67,DATOS!$C$68)))</f>
        <v/>
      </c>
      <c r="E792" s="51" t="str">
        <f aca="false">IF(LEN($D792)&gt;79,"MÁS DE 79 CARACTERES","")</f>
        <v/>
      </c>
    </row>
    <row r="793" customFormat="false" ht="15" hidden="false" customHeight="true" outlineLevel="0" collapsed="false">
      <c r="B793" s="53" t="str">
        <f aca="false">IF(OR(LINEAS!$D$131="",LINEAS!$U$131=0,ABS(IF(OR(LINEAS!$U$131=1,LINEAS!$U$131=3),1,-1)*LINEAS!$AE$131*DATOS!$C$67)&lt;0.00005),"*",LINEAS!$D$131&amp;" UNI "&amp;IF(LINEAS!$U$131&lt;=2,"GZ","GX")&amp;" "&amp;TEXT(IF(OR(LINEAS!$U$131=1,LINEAS!$U$131=3),1,-1)*LINEAS!$AE$131*DATOS!$C$67,DATOS!$C$68))</f>
        <v>25 UNI GZ -0.2637</v>
      </c>
      <c r="C793" s="51" t="str">
        <f aca="false">IF(LEN($B793)&gt;79,"MÁS DE 79 CARACTERES","")</f>
        <v/>
      </c>
      <c r="D793" s="53" t="str">
        <f aca="false">IF(PRESIONES!$C$22="NO","",IF(OR(LINEAS!$D$131="",LINEAS!$U$131=0,ABS(IF(OR(LINEAS!$U$131=1,LINEAS!$U$131=3),1,-1)*LINEAS!$AE$131*DATOS!$C$67)&lt;0.00005),"*",LINEAS!$D$131&amp;" UNI "&amp;IF(LINEAS!$U$131&lt;=2,"GZ","GX")&amp;" "&amp;TEXT(IF(OR(LINEAS!$U$131=1,LINEAS!$U$131=3),1,-1)*LINEAS!$AE$131*DATOS!$C$67,DATOS!$C$68)))</f>
        <v/>
      </c>
      <c r="E793" s="51" t="str">
        <f aca="false">IF(LEN($D793)&gt;79,"MÁS DE 79 CARACTERES","")</f>
        <v/>
      </c>
    </row>
    <row r="794" customFormat="false" ht="15" hidden="false" customHeight="true" outlineLevel="0" collapsed="false">
      <c r="B794" s="53" t="str">
        <f aca="false">IF(OR(LINEAS!$D$132="",LINEAS!$U$132=0,ABS(IF(OR(LINEAS!$U$132=1,LINEAS!$U$132=3),1,-1)*LINEAS!$AE$132*DATOS!$C$67)&lt;0.00005),"*",LINEAS!$D$132&amp;" UNI "&amp;IF(LINEAS!$U$132&lt;=2,"GZ","GX")&amp;" "&amp;TEXT(IF(OR(LINEAS!$U$132=1,LINEAS!$U$132=3),1,-1)*LINEAS!$AE$132*DATOS!$C$67,DATOS!$C$68))</f>
        <v>327 UNI GZ -0.3637</v>
      </c>
      <c r="C794" s="51" t="str">
        <f aca="false">IF(LEN($B794)&gt;79,"MÁS DE 79 CARACTERES","")</f>
        <v/>
      </c>
      <c r="D794" s="53" t="str">
        <f aca="false">IF(PRESIONES!$C$22="NO","",IF(OR(LINEAS!$D$132="",LINEAS!$U$132=0,ABS(IF(OR(LINEAS!$U$132=1,LINEAS!$U$132=3),1,-1)*LINEAS!$AE$132*DATOS!$C$67)&lt;0.00005),"*",LINEAS!$D$132&amp;" UNI "&amp;IF(LINEAS!$U$132&lt;=2,"GZ","GX")&amp;" "&amp;TEXT(IF(OR(LINEAS!$U$132=1,LINEAS!$U$132=3),1,-1)*LINEAS!$AE$132*DATOS!$C$67,DATOS!$C$68)))</f>
        <v/>
      </c>
      <c r="E794" s="51" t="str">
        <f aca="false">IF(LEN($D794)&gt;79,"MÁS DE 79 CARACTERES","")</f>
        <v/>
      </c>
    </row>
    <row r="795" customFormat="false" ht="15" hidden="false" customHeight="true" outlineLevel="0" collapsed="false">
      <c r="B795" s="53" t="str">
        <f aca="false">IF(OR(LINEAS!$D$133="",LINEAS!$U$133=0,ABS(IF(OR(LINEAS!$U$133=1,LINEAS!$U$133=3),1,-1)*LINEAS!$AE$133*DATOS!$C$67)&lt;0.00005),"*",LINEAS!$D$133&amp;" UNI "&amp;IF(LINEAS!$U$133&lt;=2,"GZ","GX")&amp;" "&amp;TEXT(IF(OR(LINEAS!$U$133=1,LINEAS!$U$133=3),1,-1)*LINEAS!$AE$133*DATOS!$C$67,DATOS!$C$68))</f>
        <v>306 UNI GZ -0.6275</v>
      </c>
      <c r="C795" s="51" t="str">
        <f aca="false">IF(LEN($B795)&gt;79,"MÁS DE 79 CARACTERES","")</f>
        <v/>
      </c>
      <c r="D795" s="53" t="str">
        <f aca="false">IF(PRESIONES!$C$22="NO","",IF(OR(LINEAS!$D$133="",LINEAS!$U$133=0,ABS(IF(OR(LINEAS!$U$133=1,LINEAS!$U$133=3),1,-1)*LINEAS!$AE$133*DATOS!$C$67)&lt;0.00005),"*",LINEAS!$D$133&amp;" UNI "&amp;IF(LINEAS!$U$133&lt;=2,"GZ","GX")&amp;" "&amp;TEXT(IF(OR(LINEAS!$U$133=1,LINEAS!$U$133=3),1,-1)*LINEAS!$AE$133*DATOS!$C$67,DATOS!$C$68)))</f>
        <v/>
      </c>
      <c r="E795" s="51" t="str">
        <f aca="false">IF(LEN($D795)&gt;79,"MÁS DE 79 CARACTERES","")</f>
        <v/>
      </c>
    </row>
    <row r="796" customFormat="false" ht="15" hidden="false" customHeight="true" outlineLevel="0" collapsed="false">
      <c r="B796" s="53" t="str">
        <f aca="false">IF(OR(LINEAS!$D$134="",LINEAS!$U$134=0,ABS(IF(OR(LINEAS!$U$134=1,LINEAS!$U$134=3),1,-1)*LINEAS!$AE$134*DATOS!$C$67)&lt;0.00005),"*",LINEAS!$D$134&amp;" UNI "&amp;IF(LINEAS!$U$134&lt;=2,"GZ","GX")&amp;" "&amp;TEXT(IF(OR(LINEAS!$U$134=1,LINEAS!$U$134=3),1,-1)*LINEAS!$AE$134*DATOS!$C$67,DATOS!$C$68))</f>
        <v>322 UNI GZ -0.7275</v>
      </c>
      <c r="C796" s="51" t="str">
        <f aca="false">IF(LEN($B796)&gt;79,"MÁS DE 79 CARACTERES","")</f>
        <v/>
      </c>
      <c r="D796" s="53" t="str">
        <f aca="false">IF(PRESIONES!$C$22="NO","",IF(OR(LINEAS!$D$134="",LINEAS!$U$134=0,ABS(IF(OR(LINEAS!$U$134=1,LINEAS!$U$134=3),1,-1)*LINEAS!$AE$134*DATOS!$C$67)&lt;0.00005),"*",LINEAS!$D$134&amp;" UNI "&amp;IF(LINEAS!$U$134&lt;=2,"GZ","GX")&amp;" "&amp;TEXT(IF(OR(LINEAS!$U$134=1,LINEAS!$U$134=3),1,-1)*LINEAS!$AE$134*DATOS!$C$67,DATOS!$C$68)))</f>
        <v/>
      </c>
      <c r="E796" s="51" t="str">
        <f aca="false">IF(LEN($D796)&gt;79,"MÁS DE 79 CARACTERES","")</f>
        <v/>
      </c>
    </row>
    <row r="797" customFormat="false" ht="15" hidden="false" customHeight="true" outlineLevel="0" collapsed="false">
      <c r="B797" s="53" t="str">
        <f aca="false">IF(OR(LINEAS!$D$135="",LINEAS!$U$135=0,ABS(IF(OR(LINEAS!$U$135=1,LINEAS!$U$135=3),1,-1)*LINEAS!$AE$135*DATOS!$C$67)&lt;0.00005),"*",LINEAS!$D$135&amp;" UNI "&amp;IF(LINEAS!$U$135&lt;=2,"GZ","GX")&amp;" "&amp;TEXT(IF(OR(LINEAS!$U$135=1,LINEAS!$U$135=3),1,-1)*LINEAS!$AE$135*DATOS!$C$67,DATOS!$C$68))</f>
        <v>323 UNI GZ -0.6729</v>
      </c>
      <c r="C797" s="51" t="str">
        <f aca="false">IF(LEN($B797)&gt;79,"MÁS DE 79 CARACTERES","")</f>
        <v/>
      </c>
      <c r="D797" s="53" t="str">
        <f aca="false">IF(PRESIONES!$C$22="NO","",IF(OR(LINEAS!$D$135="",LINEAS!$U$135=0,ABS(IF(OR(LINEAS!$U$135=1,LINEAS!$U$135=3),1,-1)*LINEAS!$AE$135*DATOS!$C$67)&lt;0.00005),"*",LINEAS!$D$135&amp;" UNI "&amp;IF(LINEAS!$U$135&lt;=2,"GZ","GX")&amp;" "&amp;TEXT(IF(OR(LINEAS!$U$135=1,LINEAS!$U$135=3),1,-1)*LINEAS!$AE$135*DATOS!$C$67,DATOS!$C$68)))</f>
        <v/>
      </c>
      <c r="E797" s="51" t="str">
        <f aca="false">IF(LEN($D797)&gt;79,"MÁS DE 79 CARACTERES","")</f>
        <v/>
      </c>
    </row>
    <row r="798" customFormat="false" ht="15" hidden="false" customHeight="true" outlineLevel="0" collapsed="false">
      <c r="B798" s="53" t="str">
        <f aca="false">IF(OR(LINEAS!$D$136="",LINEAS!$U$136=0,ABS(IF(OR(LINEAS!$U$136=1,LINEAS!$U$136=3),1,-1)*LINEAS!$AE$136*DATOS!$C$67)&lt;0.00005),"*",LINEAS!$D$136&amp;" UNI "&amp;IF(LINEAS!$U$136&lt;=2,"GZ","GX")&amp;" "&amp;TEXT(IF(OR(LINEAS!$U$136=1,LINEAS!$U$136=3),1,-1)*LINEAS!$AE$136*DATOS!$C$67,DATOS!$C$68))</f>
        <v>22 85 TO 88 UNI GZ -0.3092</v>
      </c>
      <c r="C798" s="51" t="str">
        <f aca="false">IF(LEN($B798)&gt;79,"MÁS DE 79 CARACTERES","")</f>
        <v/>
      </c>
      <c r="D798" s="53" t="str">
        <f aca="false">IF(PRESIONES!$C$22="NO","",IF(OR(LINEAS!$D$136="",LINEAS!$U$136=0,ABS(IF(OR(LINEAS!$U$136=1,LINEAS!$U$136=3),1,-1)*LINEAS!$AE$136*DATOS!$C$67)&lt;0.00005),"*",LINEAS!$D$136&amp;" UNI "&amp;IF(LINEAS!$U$136&lt;=2,"GZ","GX")&amp;" "&amp;TEXT(IF(OR(LINEAS!$U$136=1,LINEAS!$U$136=3),1,-1)*LINEAS!$AE$136*DATOS!$C$67,DATOS!$C$68)))</f>
        <v/>
      </c>
      <c r="E798" s="51" t="str">
        <f aca="false">IF(LEN($D798)&gt;79,"MÁS DE 79 CARACTERES","")</f>
        <v/>
      </c>
    </row>
    <row r="799" customFormat="false" ht="15" hidden="false" customHeight="true" outlineLevel="0" collapsed="false">
      <c r="B799" s="53" t="str">
        <f aca="false">IF(OR(LINEAS!$D$137="",LINEAS!$U$137=0,ABS(IF(OR(LINEAS!$U$137=1,LINEAS!$U$137=3),1,-1)*LINEAS!$AE$137*DATOS!$C$67)&lt;0.00005),"*",LINEAS!$D$137&amp;" UNI "&amp;IF(LINEAS!$U$137&lt;=2,"GZ","GX")&amp;" "&amp;TEXT(IF(OR(LINEAS!$U$137=1,LINEAS!$U$137=3),1,-1)*LINEAS!$AE$137*DATOS!$C$67,DATOS!$C$68))</f>
        <v>17 191 203 213 223 233 UNI GZ -1.5464</v>
      </c>
      <c r="C799" s="51" t="str">
        <f aca="false">IF(LEN($B799)&gt;79,"MÁS DE 79 CARACTERES","")</f>
        <v/>
      </c>
      <c r="D799" s="53" t="str">
        <f aca="false">IF(PRESIONES!$C$22="NO","",IF(OR(LINEAS!$D$137="",LINEAS!$U$137=0,ABS(IF(OR(LINEAS!$U$137=1,LINEAS!$U$137=3),1,-1)*LINEAS!$AE$137*DATOS!$C$67)&lt;0.00005),"*",LINEAS!$D$137&amp;" UNI "&amp;IF(LINEAS!$U$137&lt;=2,"GZ","GX")&amp;" "&amp;TEXT(IF(OR(LINEAS!$U$137=1,LINEAS!$U$137=3),1,-1)*LINEAS!$AE$137*DATOS!$C$67,DATOS!$C$68)))</f>
        <v/>
      </c>
      <c r="E799" s="51" t="str">
        <f aca="false">IF(LEN($D799)&gt;79,"MÁS DE 79 CARACTERES","")</f>
        <v/>
      </c>
    </row>
    <row r="800" customFormat="false" ht="15" hidden="false" customHeight="true" outlineLevel="0" collapsed="false">
      <c r="B800" s="53" t="str">
        <f aca="false">IF(OR(LINEAS!$D$138="",LINEAS!$U$138=0,ABS(IF(OR(LINEAS!$U$138=1,LINEAS!$U$138=3),1,-1)*LINEAS!$AE$138*DATOS!$C$67)&lt;0.00005),"*",LINEAS!$D$138&amp;" UNI "&amp;IF(LINEAS!$U$138&lt;=2,"GZ","GX")&amp;" "&amp;TEXT(IF(OR(LINEAS!$U$138=1,LINEAS!$U$138=3),1,-1)*LINEAS!$AE$138*DATOS!$C$67,DATOS!$C$68))</f>
        <v>18 192 204 214 224 234 UNI GZ -1.5464</v>
      </c>
      <c r="C800" s="51" t="str">
        <f aca="false">IF(LEN($B800)&gt;79,"MÁS DE 79 CARACTERES","")</f>
        <v/>
      </c>
      <c r="D800" s="53" t="str">
        <f aca="false">IF(PRESIONES!$C$22="NO","",IF(OR(LINEAS!$D$138="",LINEAS!$U$138=0,ABS(IF(OR(LINEAS!$U$138=1,LINEAS!$U$138=3),1,-1)*LINEAS!$AE$138*DATOS!$C$67)&lt;0.00005),"*",LINEAS!$D$138&amp;" UNI "&amp;IF(LINEAS!$U$138&lt;=2,"GZ","GX")&amp;" "&amp;TEXT(IF(OR(LINEAS!$U$138=1,LINEAS!$U$138=3),1,-1)*LINEAS!$AE$138*DATOS!$C$67,DATOS!$C$68)))</f>
        <v/>
      </c>
      <c r="E800" s="51" t="str">
        <f aca="false">IF(LEN($D800)&gt;79,"MÁS DE 79 CARACTERES","")</f>
        <v/>
      </c>
    </row>
    <row r="801" customFormat="false" ht="15" hidden="false" customHeight="true" outlineLevel="0" collapsed="false">
      <c r="B801" s="53" t="str">
        <f aca="false">IF(OR(LINEAS!$D$139="",LINEAS!$U$139=0,ABS(IF(OR(LINEAS!$U$139=1,LINEAS!$U$139=3),1,-1)*LINEAS!$AE$139*DATOS!$C$67)&lt;0.00005),"*",LINEAS!$D$139&amp;" UNI "&amp;IF(LINEAS!$U$139&lt;=2,"GZ","GX")&amp;" "&amp;TEXT(IF(OR(LINEAS!$U$139=1,LINEAS!$U$139=3),1,-1)*LINEAS!$AE$139*DATOS!$C$67,DATOS!$C$68))</f>
        <v>*</v>
      </c>
      <c r="C801" s="51" t="str">
        <f aca="false">IF(LEN($B801)&gt;79,"MÁS DE 79 CARACTERES","")</f>
        <v/>
      </c>
      <c r="D801" s="53" t="str">
        <f aca="false">IF(PRESIONES!$C$22="NO","",IF(OR(LINEAS!$D$139="",LINEAS!$U$139=0,ABS(IF(OR(LINEAS!$U$139=1,LINEAS!$U$139=3),1,-1)*LINEAS!$AE$139*DATOS!$C$67)&lt;0.00005),"*",LINEAS!$D$139&amp;" UNI "&amp;IF(LINEAS!$U$139&lt;=2,"GZ","GX")&amp;" "&amp;TEXT(IF(OR(LINEAS!$U$139=1,LINEAS!$U$139=3),1,-1)*LINEAS!$AE$139*DATOS!$C$67,DATOS!$C$68)))</f>
        <v/>
      </c>
      <c r="E801" s="51" t="str">
        <f aca="false">IF(LEN($D801)&gt;79,"MÁS DE 79 CARACTERES","")</f>
        <v/>
      </c>
    </row>
    <row r="802" customFormat="false" ht="15" hidden="false" customHeight="true" outlineLevel="0" collapsed="false">
      <c r="B802" s="53" t="str">
        <f aca="false">IF(OR(LINEAS!$D$140="",LINEAS!$U$140=0,ABS(IF(OR(LINEAS!$U$140=1,LINEAS!$U$140=3),1,-1)*LINEAS!$AE$140*DATOS!$C$67)&lt;0.00005),"*",LINEAS!$D$140&amp;" UNI "&amp;IF(LINEAS!$U$140&lt;=2,"GZ","GX")&amp;" "&amp;TEXT(IF(OR(LINEAS!$U$140=1,LINEAS!$U$140=3),1,-1)*LINEAS!$AE$140*DATOS!$C$67,DATOS!$C$68))</f>
        <v>*</v>
      </c>
      <c r="C802" s="51" t="str">
        <f aca="false">IF(LEN($B802)&gt;79,"MÁS DE 79 CARACTERES","")</f>
        <v/>
      </c>
      <c r="D802" s="53" t="str">
        <f aca="false">IF(PRESIONES!$C$22="NO","",IF(OR(LINEAS!$D$140="",LINEAS!$U$140=0,ABS(IF(OR(LINEAS!$U$140=1,LINEAS!$U$140=3),1,-1)*LINEAS!$AE$140*DATOS!$C$67)&lt;0.00005),"*",LINEAS!$D$140&amp;" UNI "&amp;IF(LINEAS!$U$140&lt;=2,"GZ","GX")&amp;" "&amp;TEXT(IF(OR(LINEAS!$U$140=1,LINEAS!$U$140=3),1,-1)*LINEAS!$AE$140*DATOS!$C$67,DATOS!$C$68)))</f>
        <v/>
      </c>
      <c r="E802" s="51" t="str">
        <f aca="false">IF(LEN($D802)&gt;79,"MÁS DE 79 CARACTERES","")</f>
        <v/>
      </c>
    </row>
    <row r="803" customFormat="false" ht="15" hidden="false" customHeight="true" outlineLevel="0" collapsed="false">
      <c r="B803" s="53" t="str">
        <f aca="false">IF(OR(LINEAS!$D$141="",LINEAS!$U$141=0,ABS(IF(OR(LINEAS!$U$141=1,LINEAS!$U$141=3),1,-1)*LINEAS!$AE$141*DATOS!$C$67)&lt;0.00005),"*",LINEAS!$D$141&amp;" UNI "&amp;IF(LINEAS!$U$141&lt;=2,"GZ","GX")&amp;" "&amp;TEXT(IF(OR(LINEAS!$U$141=1,LINEAS!$U$141=3),1,-1)*LINEAS!$AE$141*DATOS!$C$67,DATOS!$C$68))</f>
        <v>*</v>
      </c>
      <c r="C803" s="51" t="str">
        <f aca="false">IF(LEN($B803)&gt;79,"MÁS DE 79 CARACTERES","")</f>
        <v/>
      </c>
      <c r="D803" s="53" t="str">
        <f aca="false">IF(PRESIONES!$C$22="NO","",IF(OR(LINEAS!$D$141="",LINEAS!$U$141=0,ABS(IF(OR(LINEAS!$U$141=1,LINEAS!$U$141=3),1,-1)*LINEAS!$AE$141*DATOS!$C$67)&lt;0.00005),"*",LINEAS!$D$141&amp;" UNI "&amp;IF(LINEAS!$U$141&lt;=2,"GZ","GX")&amp;" "&amp;TEXT(IF(OR(LINEAS!$U$141=1,LINEAS!$U$141=3),1,-1)*LINEAS!$AE$141*DATOS!$C$67,DATOS!$C$68)))</f>
        <v/>
      </c>
      <c r="E803" s="51" t="str">
        <f aca="false">IF(LEN($D803)&gt;79,"MÁS DE 79 CARACTERES","")</f>
        <v/>
      </c>
    </row>
    <row r="804" customFormat="false" ht="15" hidden="false" customHeight="true" outlineLevel="0" collapsed="false">
      <c r="B804" s="53" t="str">
        <f aca="false">IF(OR(LINEAS!$D$142="",LINEAS!$U$142=0,ABS(IF(OR(LINEAS!$U$142=1,LINEAS!$U$142=3),1,-1)*LINEAS!$AE$142*DATOS!$C$67)&lt;0.00005),"*",LINEAS!$D$142&amp;" UNI "&amp;IF(LINEAS!$U$142&lt;=2,"GZ","GX")&amp;" "&amp;TEXT(IF(OR(LINEAS!$U$142=1,LINEAS!$U$142=3),1,-1)*LINEAS!$AE$142*DATOS!$C$67,DATOS!$C$68))</f>
        <v>*</v>
      </c>
      <c r="C804" s="51" t="str">
        <f aca="false">IF(LEN($B804)&gt;79,"MÁS DE 79 CARACTERES","")</f>
        <v/>
      </c>
      <c r="D804" s="53" t="str">
        <f aca="false">IF(PRESIONES!$C$22="NO","",IF(OR(LINEAS!$D$142="",LINEAS!$U$142=0,ABS(IF(OR(LINEAS!$U$142=1,LINEAS!$U$142=3),1,-1)*LINEAS!$AE$142*DATOS!$C$67)&lt;0.00005),"*",LINEAS!$D$142&amp;" UNI "&amp;IF(LINEAS!$U$142&lt;=2,"GZ","GX")&amp;" "&amp;TEXT(IF(OR(LINEAS!$U$142=1,LINEAS!$U$142=3),1,-1)*LINEAS!$AE$142*DATOS!$C$67,DATOS!$C$68)))</f>
        <v/>
      </c>
      <c r="E804" s="51" t="str">
        <f aca="false">IF(LEN($D804)&gt;79,"MÁS DE 79 CARACTERES","")</f>
        <v/>
      </c>
    </row>
    <row r="805" customFormat="false" ht="15" hidden="false" customHeight="true" outlineLevel="0" collapsed="false">
      <c r="B805" s="53" t="str">
        <f aca="false">IF(OR(LINEAS!$D$143="",LINEAS!$U$143=0,ABS(IF(OR(LINEAS!$U$143=1,LINEAS!$U$143=3),1,-1)*LINEAS!$AE$143*DATOS!$C$67)&lt;0.00005),"*",LINEAS!$D$143&amp;" UNI "&amp;IF(LINEAS!$U$143&lt;=2,"GZ","GX")&amp;" "&amp;TEXT(IF(OR(LINEAS!$U$143=1,LINEAS!$U$143=3),1,-1)*LINEAS!$AE$143*DATOS!$C$67,DATOS!$C$68))</f>
        <v>*</v>
      </c>
      <c r="C805" s="51" t="str">
        <f aca="false">IF(LEN($B805)&gt;79,"MÁS DE 79 CARACTERES","")</f>
        <v/>
      </c>
      <c r="D805" s="53" t="str">
        <f aca="false">IF(PRESIONES!$C$22="NO","",IF(OR(LINEAS!$D$143="",LINEAS!$U$143=0,ABS(IF(OR(LINEAS!$U$143=1,LINEAS!$U$143=3),1,-1)*LINEAS!$AE$143*DATOS!$C$67)&lt;0.00005),"*",LINEAS!$D$143&amp;" UNI "&amp;IF(LINEAS!$U$143&lt;=2,"GZ","GX")&amp;" "&amp;TEXT(IF(OR(LINEAS!$U$143=1,LINEAS!$U$143=3),1,-1)*LINEAS!$AE$143*DATOS!$C$67,DATOS!$C$68)))</f>
        <v/>
      </c>
      <c r="E805" s="51" t="str">
        <f aca="false">IF(LEN($D805)&gt;79,"MÁS DE 79 CARACTERES","")</f>
        <v/>
      </c>
    </row>
    <row r="806" customFormat="false" ht="15" hidden="false" customHeight="true" outlineLevel="0" collapsed="false">
      <c r="B806" s="53" t="str">
        <f aca="false">IF(OR(LINEAS!$D$144="",LINEAS!$U$144=0,ABS(IF(OR(LINEAS!$U$144=1,LINEAS!$U$144=3),1,-1)*LINEAS!$AE$144*DATOS!$C$67)&lt;0.00005),"*",LINEAS!$D$144&amp;" UNI "&amp;IF(LINEAS!$U$144&lt;=2,"GZ","GX")&amp;" "&amp;TEXT(IF(OR(LINEAS!$U$144=1,LINEAS!$U$144=3),1,-1)*LINEAS!$AE$144*DATOS!$C$67,DATOS!$C$68))</f>
        <v>*</v>
      </c>
      <c r="C806" s="51" t="str">
        <f aca="false">IF(LEN($B806)&gt;79,"MÁS DE 79 CARACTERES","")</f>
        <v/>
      </c>
      <c r="D806" s="53" t="str">
        <f aca="false">IF(PRESIONES!$C$22="NO","",IF(OR(LINEAS!$D$144="",LINEAS!$U$144=0,ABS(IF(OR(LINEAS!$U$144=1,LINEAS!$U$144=3),1,-1)*LINEAS!$AE$144*DATOS!$C$67)&lt;0.00005),"*",LINEAS!$D$144&amp;" UNI "&amp;IF(LINEAS!$U$144&lt;=2,"GZ","GX")&amp;" "&amp;TEXT(IF(OR(LINEAS!$U$144=1,LINEAS!$U$144=3),1,-1)*LINEAS!$AE$144*DATOS!$C$67,DATOS!$C$68)))</f>
        <v/>
      </c>
      <c r="E806" s="51" t="str">
        <f aca="false">IF(LEN($D806)&gt;79,"MÁS DE 79 CARACTERES","")</f>
        <v/>
      </c>
    </row>
    <row r="807" customFormat="false" ht="15" hidden="false" customHeight="true" outlineLevel="0" collapsed="false">
      <c r="B807" s="53" t="str">
        <f aca="false">IF(OR(LINEAS!$D$145="",LINEAS!$U$145=0,ABS(IF(OR(LINEAS!$U$145=1,LINEAS!$U$145=3),1,-1)*LINEAS!$AE$145*DATOS!$C$67)&lt;0.00005),"*",LINEAS!$D$145&amp;" UNI "&amp;IF(LINEAS!$U$145&lt;=2,"GZ","GX")&amp;" "&amp;TEXT(IF(OR(LINEAS!$U$145=1,LINEAS!$U$145=3),1,-1)*LINEAS!$AE$145*DATOS!$C$67,DATOS!$C$68))</f>
        <v>*</v>
      </c>
      <c r="C807" s="51" t="str">
        <f aca="false">IF(LEN($B807)&gt;79,"MÁS DE 79 CARACTERES","")</f>
        <v/>
      </c>
      <c r="D807" s="53" t="str">
        <f aca="false">IF(PRESIONES!$C$22="NO","",IF(OR(LINEAS!$D$145="",LINEAS!$U$145=0,ABS(IF(OR(LINEAS!$U$145=1,LINEAS!$U$145=3),1,-1)*LINEAS!$AE$145*DATOS!$C$67)&lt;0.00005),"*",LINEAS!$D$145&amp;" UNI "&amp;IF(LINEAS!$U$145&lt;=2,"GZ","GX")&amp;" "&amp;TEXT(IF(OR(LINEAS!$U$145=1,LINEAS!$U$145=3),1,-1)*LINEAS!$AE$145*DATOS!$C$67,DATOS!$C$68)))</f>
        <v/>
      </c>
      <c r="E807" s="51" t="str">
        <f aca="false">IF(LEN($D807)&gt;79,"MÁS DE 79 CARACTERES","")</f>
        <v/>
      </c>
    </row>
    <row r="808" customFormat="false" ht="15" hidden="false" customHeight="true" outlineLevel="0" collapsed="false">
      <c r="B808" s="53" t="str">
        <f aca="false">IF(OR(LINEAS!$D$146="",LINEAS!$U$146=0,ABS(IF(OR(LINEAS!$U$146=1,LINEAS!$U$146=3),1,-1)*LINEAS!$AE$146*DATOS!$C$67)&lt;0.00005),"*",LINEAS!$D$146&amp;" UNI "&amp;IF(LINEAS!$U$146&lt;=2,"GZ","GX")&amp;" "&amp;TEXT(IF(OR(LINEAS!$U$146=1,LINEAS!$U$146=3),1,-1)*LINEAS!$AE$146*DATOS!$C$67,DATOS!$C$68))</f>
        <v>*</v>
      </c>
      <c r="C808" s="51" t="str">
        <f aca="false">IF(LEN($B808)&gt;79,"MÁS DE 79 CARACTERES","")</f>
        <v/>
      </c>
      <c r="D808" s="53" t="str">
        <f aca="false">IF(PRESIONES!$C$22="NO","",IF(OR(LINEAS!$D$146="",LINEAS!$U$146=0,ABS(IF(OR(LINEAS!$U$146=1,LINEAS!$U$146=3),1,-1)*LINEAS!$AE$146*DATOS!$C$67)&lt;0.00005),"*",LINEAS!$D$146&amp;" UNI "&amp;IF(LINEAS!$U$146&lt;=2,"GZ","GX")&amp;" "&amp;TEXT(IF(OR(LINEAS!$U$146=1,LINEAS!$U$146=3),1,-1)*LINEAS!$AE$146*DATOS!$C$67,DATOS!$C$68)))</f>
        <v/>
      </c>
      <c r="E808" s="51" t="str">
        <f aca="false">IF(LEN($D808)&gt;79,"MÁS DE 79 CARACTERES","")</f>
        <v/>
      </c>
    </row>
    <row r="809" customFormat="false" ht="15" hidden="false" customHeight="true" outlineLevel="0" collapsed="false">
      <c r="B809" s="53" t="str">
        <f aca="false">IF(OR(LINEAS!$D$147="",LINEAS!$U$147=0,ABS(IF(OR(LINEAS!$U$147=1,LINEAS!$U$147=3),1,-1)*LINEAS!$AE$147*DATOS!$C$67)&lt;0.00005),"*",LINEAS!$D$147&amp;" UNI "&amp;IF(LINEAS!$U$147&lt;=2,"GZ","GX")&amp;" "&amp;TEXT(IF(OR(LINEAS!$U$147=1,LINEAS!$U$147=3),1,-1)*LINEAS!$AE$147*DATOS!$C$67,DATOS!$C$68))</f>
        <v>*</v>
      </c>
      <c r="C809" s="51" t="str">
        <f aca="false">IF(LEN($B809)&gt;79,"MÁS DE 79 CARACTERES","")</f>
        <v/>
      </c>
      <c r="D809" s="53" t="str">
        <f aca="false">IF(PRESIONES!$C$22="NO","",IF(OR(LINEAS!$D$147="",LINEAS!$U$147=0,ABS(IF(OR(LINEAS!$U$147=1,LINEAS!$U$147=3),1,-1)*LINEAS!$AE$147*DATOS!$C$67)&lt;0.00005),"*",LINEAS!$D$147&amp;" UNI "&amp;IF(LINEAS!$U$147&lt;=2,"GZ","GX")&amp;" "&amp;TEXT(IF(OR(LINEAS!$U$147=1,LINEAS!$U$147=3),1,-1)*LINEAS!$AE$147*DATOS!$C$67,DATOS!$C$68)))</f>
        <v/>
      </c>
      <c r="E809" s="51" t="str">
        <f aca="false">IF(LEN($D809)&gt;79,"MÁS DE 79 CARACTERES","")</f>
        <v/>
      </c>
    </row>
    <row r="810" customFormat="false" ht="15" hidden="false" customHeight="true" outlineLevel="0" collapsed="false">
      <c r="B810" s="53" t="str">
        <f aca="false">IF(OR(LINEAS!$D$148="",LINEAS!$U$148=0,ABS(IF(OR(LINEAS!$U$148=1,LINEAS!$U$148=3),1,-1)*LINEAS!$AE$148*DATOS!$C$67)&lt;0.00005),"*",LINEAS!$D$148&amp;" UNI "&amp;IF(LINEAS!$U$148&lt;=2,"GZ","GX")&amp;" "&amp;TEXT(IF(OR(LINEAS!$U$148=1,LINEAS!$U$148=3),1,-1)*LINEAS!$AE$148*DATOS!$C$67,DATOS!$C$68))</f>
        <v>*</v>
      </c>
      <c r="C810" s="51" t="str">
        <f aca="false">IF(LEN($B810)&gt;79,"MÁS DE 79 CARACTERES","")</f>
        <v/>
      </c>
      <c r="D810" s="53" t="str">
        <f aca="false">IF(PRESIONES!$C$22="NO","",IF(OR(LINEAS!$D$148="",LINEAS!$U$148=0,ABS(IF(OR(LINEAS!$U$148=1,LINEAS!$U$148=3),1,-1)*LINEAS!$AE$148*DATOS!$C$67)&lt;0.00005),"*",LINEAS!$D$148&amp;" UNI "&amp;IF(LINEAS!$U$148&lt;=2,"GZ","GX")&amp;" "&amp;TEXT(IF(OR(LINEAS!$U$148=1,LINEAS!$U$148=3),1,-1)*LINEAS!$AE$148*DATOS!$C$67,DATOS!$C$68)))</f>
        <v/>
      </c>
      <c r="E810" s="51" t="str">
        <f aca="false">IF(LEN($D810)&gt;79,"MÁS DE 79 CARACTERES","")</f>
        <v/>
      </c>
    </row>
    <row r="811" customFormat="false" ht="15" hidden="false" customHeight="true" outlineLevel="0" collapsed="false">
      <c r="B811" s="53" t="str">
        <f aca="false">IF(OR(LINEAS!$D$149="",LINEAS!$U$149=0,ABS(IF(OR(LINEAS!$U$149=1,LINEAS!$U$149=3),1,-1)*LINEAS!$AE$149*DATOS!$C$67)&lt;0.00005),"*",LINEAS!$D$149&amp;" UNI "&amp;IF(LINEAS!$U$149&lt;=2,"GZ","GX")&amp;" "&amp;TEXT(IF(OR(LINEAS!$U$149=1,LINEAS!$U$149=3),1,-1)*LINEAS!$AE$149*DATOS!$C$67,DATOS!$C$68))</f>
        <v>*</v>
      </c>
      <c r="C811" s="51" t="str">
        <f aca="false">IF(LEN($B811)&gt;79,"MÁS DE 79 CARACTERES","")</f>
        <v/>
      </c>
      <c r="D811" s="53" t="str">
        <f aca="false">IF(PRESIONES!$C$22="NO","",IF(OR(LINEAS!$D$149="",LINEAS!$U$149=0,ABS(IF(OR(LINEAS!$U$149=1,LINEAS!$U$149=3),1,-1)*LINEAS!$AE$149*DATOS!$C$67)&lt;0.00005),"*",LINEAS!$D$149&amp;" UNI "&amp;IF(LINEAS!$U$149&lt;=2,"GZ","GX")&amp;" "&amp;TEXT(IF(OR(LINEAS!$U$149=1,LINEAS!$U$149=3),1,-1)*LINEAS!$AE$149*DATOS!$C$67,DATOS!$C$68)))</f>
        <v/>
      </c>
      <c r="E811" s="51" t="str">
        <f aca="false">IF(LEN($D811)&gt;79,"MÁS DE 79 CARACTERES","")</f>
        <v/>
      </c>
    </row>
    <row r="812" customFormat="false" ht="15" hidden="false" customHeight="true" outlineLevel="0" collapsed="false">
      <c r="B812" s="53" t="str">
        <f aca="false">IF(OR(LINEAS!$D$150="",LINEAS!$U$150=0,ABS(IF(OR(LINEAS!$U$150=1,LINEAS!$U$150=3),1,-1)*LINEAS!$AE$150*DATOS!$C$67)&lt;0.00005),"*",LINEAS!$D$150&amp;" UNI "&amp;IF(LINEAS!$U$150&lt;=2,"GZ","GX")&amp;" "&amp;TEXT(IF(OR(LINEAS!$U$150=1,LINEAS!$U$150=3),1,-1)*LINEAS!$AE$150*DATOS!$C$67,DATOS!$C$68))</f>
        <v>*</v>
      </c>
      <c r="C812" s="51" t="str">
        <f aca="false">IF(LEN($B812)&gt;79,"MÁS DE 79 CARACTERES","")</f>
        <v/>
      </c>
      <c r="D812" s="53" t="str">
        <f aca="false">IF(PRESIONES!$C$22="NO","",IF(OR(LINEAS!$D$150="",LINEAS!$U$150=0,ABS(IF(OR(LINEAS!$U$150=1,LINEAS!$U$150=3),1,-1)*LINEAS!$AE$150*DATOS!$C$67)&lt;0.00005),"*",LINEAS!$D$150&amp;" UNI "&amp;IF(LINEAS!$U$150&lt;=2,"GZ","GX")&amp;" "&amp;TEXT(IF(OR(LINEAS!$U$150=1,LINEAS!$U$150=3),1,-1)*LINEAS!$AE$150*DATOS!$C$67,DATOS!$C$68)))</f>
        <v/>
      </c>
      <c r="E812" s="51" t="str">
        <f aca="false">IF(LEN($D812)&gt;79,"MÁS DE 79 CARACTERES","")</f>
        <v/>
      </c>
    </row>
    <row r="813" customFormat="false" ht="15" hidden="false" customHeight="true" outlineLevel="0" collapsed="false">
      <c r="B813" s="53" t="str">
        <f aca="false">IF(OR(LINEAS!$D$151="",LINEAS!$U$151=0,ABS(IF(OR(LINEAS!$U$151=1,LINEAS!$U$151=3),1,-1)*LINEAS!$AE$151*DATOS!$C$67)&lt;0.00005),"*",LINEAS!$D$151&amp;" UNI "&amp;IF(LINEAS!$U$151&lt;=2,"GZ","GX")&amp;" "&amp;TEXT(IF(OR(LINEAS!$U$151=1,LINEAS!$U$151=3),1,-1)*LINEAS!$AE$151*DATOS!$C$67,DATOS!$C$68))</f>
        <v>*</v>
      </c>
      <c r="C813" s="51" t="str">
        <f aca="false">IF(LEN($B813)&gt;79,"MÁS DE 79 CARACTERES","")</f>
        <v/>
      </c>
      <c r="D813" s="53" t="str">
        <f aca="false">IF(PRESIONES!$C$22="NO","",IF(OR(LINEAS!$D$151="",LINEAS!$U$151=0,ABS(IF(OR(LINEAS!$U$151=1,LINEAS!$U$151=3),1,-1)*LINEAS!$AE$151*DATOS!$C$67)&lt;0.00005),"*",LINEAS!$D$151&amp;" UNI "&amp;IF(LINEAS!$U$151&lt;=2,"GZ","GX")&amp;" "&amp;TEXT(IF(OR(LINEAS!$U$151=1,LINEAS!$U$151=3),1,-1)*LINEAS!$AE$151*DATOS!$C$67,DATOS!$C$68)))</f>
        <v/>
      </c>
      <c r="E813" s="51" t="str">
        <f aca="false">IF(LEN($D813)&gt;79,"MÁS DE 79 CARACTERES","")</f>
        <v/>
      </c>
    </row>
    <row r="814" customFormat="false" ht="15" hidden="false" customHeight="true" outlineLevel="0" collapsed="false">
      <c r="B814" s="53" t="str">
        <f aca="false">IF(OR(LINEAS!$D$152="",LINEAS!$U$152=0,ABS(IF(OR(LINEAS!$U$152=1,LINEAS!$U$152=3),1,-1)*LINEAS!$AE$152*DATOS!$C$67)&lt;0.00005),"*",LINEAS!$D$152&amp;" UNI "&amp;IF(LINEAS!$U$152&lt;=2,"GZ","GX")&amp;" "&amp;TEXT(IF(OR(LINEAS!$U$152=1,LINEAS!$U$152=3),1,-1)*LINEAS!$AE$152*DATOS!$C$67,DATOS!$C$68))</f>
        <v>*</v>
      </c>
      <c r="C814" s="51" t="str">
        <f aca="false">IF(LEN($B814)&gt;79,"MÁS DE 79 CARACTERES","")</f>
        <v/>
      </c>
      <c r="D814" s="53" t="str">
        <f aca="false">IF(PRESIONES!$C$22="NO","",IF(OR(LINEAS!$D$152="",LINEAS!$U$152=0,ABS(IF(OR(LINEAS!$U$152=1,LINEAS!$U$152=3),1,-1)*LINEAS!$AE$152*DATOS!$C$67)&lt;0.00005),"*",LINEAS!$D$152&amp;" UNI "&amp;IF(LINEAS!$U$152&lt;=2,"GZ","GX")&amp;" "&amp;TEXT(IF(OR(LINEAS!$U$152=1,LINEAS!$U$152=3),1,-1)*LINEAS!$AE$152*DATOS!$C$67,DATOS!$C$68)))</f>
        <v/>
      </c>
      <c r="E814" s="51" t="str">
        <f aca="false">IF(LEN($D814)&gt;79,"MÁS DE 79 CARACTERES","")</f>
        <v/>
      </c>
    </row>
    <row r="815" customFormat="false" ht="15" hidden="false" customHeight="true" outlineLevel="0" collapsed="false">
      <c r="B815" s="53" t="str">
        <f aca="false">IF(OR(LINEAS!$D$153="",LINEAS!$U$153=0,ABS(IF(OR(LINEAS!$U$153=1,LINEAS!$U$153=3),1,-1)*LINEAS!$AE$153*DATOS!$C$67)&lt;0.00005),"*",LINEAS!$D$153&amp;" UNI "&amp;IF(LINEAS!$U$153&lt;=2,"GZ","GX")&amp;" "&amp;TEXT(IF(OR(LINEAS!$U$153=1,LINEAS!$U$153=3),1,-1)*LINEAS!$AE$153*DATOS!$C$67,DATOS!$C$68))</f>
        <v>*</v>
      </c>
      <c r="C815" s="51" t="str">
        <f aca="false">IF(LEN($B815)&gt;79,"MÁS DE 79 CARACTERES","")</f>
        <v/>
      </c>
      <c r="D815" s="53" t="str">
        <f aca="false">IF(PRESIONES!$C$22="NO","",IF(OR(LINEAS!$D$153="",LINEAS!$U$153=0,ABS(IF(OR(LINEAS!$U$153=1,LINEAS!$U$153=3),1,-1)*LINEAS!$AE$153*DATOS!$C$67)&lt;0.00005),"*",LINEAS!$D$153&amp;" UNI "&amp;IF(LINEAS!$U$153&lt;=2,"GZ","GX")&amp;" "&amp;TEXT(IF(OR(LINEAS!$U$153=1,LINEAS!$U$153=3),1,-1)*LINEAS!$AE$153*DATOS!$C$67,DATOS!$C$68)))</f>
        <v/>
      </c>
      <c r="E815" s="51" t="str">
        <f aca="false">IF(LEN($D815)&gt;79,"MÁS DE 79 CARACTERES","")</f>
        <v/>
      </c>
    </row>
    <row r="816" customFormat="false" ht="15" hidden="false" customHeight="true" outlineLevel="0" collapsed="false">
      <c r="B816" s="53" t="str">
        <f aca="false">IF(OR(LINEAS!$D$154="",LINEAS!$U$154=0,ABS(IF(OR(LINEAS!$U$154=1,LINEAS!$U$154=3),1,-1)*LINEAS!$AE$154*DATOS!$C$67)&lt;0.00005),"*",LINEAS!$D$154&amp;" UNI "&amp;IF(LINEAS!$U$154&lt;=2,"GZ","GX")&amp;" "&amp;TEXT(IF(OR(LINEAS!$U$154=1,LINEAS!$U$154=3),1,-1)*LINEAS!$AE$154*DATOS!$C$67,DATOS!$C$68))</f>
        <v>*</v>
      </c>
      <c r="C816" s="51" t="str">
        <f aca="false">IF(LEN($B816)&gt;79,"MÁS DE 79 CARACTERES","")</f>
        <v/>
      </c>
      <c r="D816" s="53" t="str">
        <f aca="false">IF(PRESIONES!$C$22="NO","",IF(OR(LINEAS!$D$154="",LINEAS!$U$154=0,ABS(IF(OR(LINEAS!$U$154=1,LINEAS!$U$154=3),1,-1)*LINEAS!$AE$154*DATOS!$C$67)&lt;0.00005),"*",LINEAS!$D$154&amp;" UNI "&amp;IF(LINEAS!$U$154&lt;=2,"GZ","GX")&amp;" "&amp;TEXT(IF(OR(LINEAS!$U$154=1,LINEAS!$U$154=3),1,-1)*LINEAS!$AE$154*DATOS!$C$67,DATOS!$C$68)))</f>
        <v/>
      </c>
      <c r="E816" s="51" t="str">
        <f aca="false">IF(LEN($D816)&gt;79,"MÁS DE 79 CARACTERES","")</f>
        <v/>
      </c>
    </row>
    <row r="817" customFormat="false" ht="15" hidden="false" customHeight="true" outlineLevel="0" collapsed="false">
      <c r="B817" s="53" t="str">
        <f aca="false">IF(OR(LINEAS!$D$155="",LINEAS!$U$155=0,ABS(IF(OR(LINEAS!$U$155=1,LINEAS!$U$155=3),1,-1)*LINEAS!$AE$155*DATOS!$C$67)&lt;0.00005),"*",LINEAS!$D$155&amp;" UNI "&amp;IF(LINEAS!$U$155&lt;=2,"GZ","GX")&amp;" "&amp;TEXT(IF(OR(LINEAS!$U$155=1,LINEAS!$U$155=3),1,-1)*LINEAS!$AE$155*DATOS!$C$67,DATOS!$C$68))</f>
        <v>*</v>
      </c>
      <c r="C817" s="51" t="str">
        <f aca="false">IF(LEN($B817)&gt;79,"MÁS DE 79 CARACTERES","")</f>
        <v/>
      </c>
      <c r="D817" s="53" t="str">
        <f aca="false">IF(PRESIONES!$C$22="NO","",IF(OR(LINEAS!$D$155="",LINEAS!$U$155=0,ABS(IF(OR(LINEAS!$U$155=1,LINEAS!$U$155=3),1,-1)*LINEAS!$AE$155*DATOS!$C$67)&lt;0.00005),"*",LINEAS!$D$155&amp;" UNI "&amp;IF(LINEAS!$U$155&lt;=2,"GZ","GX")&amp;" "&amp;TEXT(IF(OR(LINEAS!$U$155=1,LINEAS!$U$155=3),1,-1)*LINEAS!$AE$155*DATOS!$C$67,DATOS!$C$68)))</f>
        <v/>
      </c>
      <c r="E817" s="51" t="str">
        <f aca="false">IF(LEN($D817)&gt;79,"MÁS DE 79 CARACTERES","")</f>
        <v/>
      </c>
    </row>
    <row r="818" customFormat="false" ht="15" hidden="false" customHeight="true" outlineLevel="0" collapsed="false">
      <c r="B818" s="53" t="str">
        <f aca="false">IF(OR(LINEAS!$D$156="",LINEAS!$U$156=0,ABS(IF(OR(LINEAS!$U$156=1,LINEAS!$U$156=3),1,-1)*LINEAS!$AE$156*DATOS!$C$67)&lt;0.00005),"*",LINEAS!$D$156&amp;" UNI "&amp;IF(LINEAS!$U$156&lt;=2,"GZ","GX")&amp;" "&amp;TEXT(IF(OR(LINEAS!$U$156=1,LINEAS!$U$156=3),1,-1)*LINEAS!$AE$156*DATOS!$C$67,DATOS!$C$68))</f>
        <v>*</v>
      </c>
      <c r="C818" s="51" t="str">
        <f aca="false">IF(LEN($B818)&gt;79,"MÁS DE 79 CARACTERES","")</f>
        <v/>
      </c>
      <c r="D818" s="53" t="str">
        <f aca="false">IF(PRESIONES!$C$22="NO","",IF(OR(LINEAS!$D$156="",LINEAS!$U$156=0,ABS(IF(OR(LINEAS!$U$156=1,LINEAS!$U$156=3),1,-1)*LINEAS!$AE$156*DATOS!$C$67)&lt;0.00005),"*",LINEAS!$D$156&amp;" UNI "&amp;IF(LINEAS!$U$156&lt;=2,"GZ","GX")&amp;" "&amp;TEXT(IF(OR(LINEAS!$U$156=1,LINEAS!$U$156=3),1,-1)*LINEAS!$AE$156*DATOS!$C$67,DATOS!$C$68)))</f>
        <v/>
      </c>
      <c r="E818" s="51" t="str">
        <f aca="false">IF(LEN($D818)&gt;79,"MÁS DE 79 CARACTERES","")</f>
        <v/>
      </c>
    </row>
    <row r="819" customFormat="false" ht="15" hidden="false" customHeight="true" outlineLevel="0" collapsed="false">
      <c r="B819" s="53" t="str">
        <f aca="false">IF(OR(LINEAS!$D$157="",LINEAS!$U$157=0,ABS(IF(OR(LINEAS!$U$157=1,LINEAS!$U$157=3),1,-1)*LINEAS!$AE$157*DATOS!$C$67)&lt;0.00005),"*",LINEAS!$D$157&amp;" UNI "&amp;IF(LINEAS!$U$157&lt;=2,"GZ","GX")&amp;" "&amp;TEXT(IF(OR(LINEAS!$U$157=1,LINEAS!$U$157=3),1,-1)*LINEAS!$AE$157*DATOS!$C$67,DATOS!$C$68))</f>
        <v>*</v>
      </c>
      <c r="C819" s="51" t="str">
        <f aca="false">IF(LEN($B819)&gt;79,"MÁS DE 79 CARACTERES","")</f>
        <v/>
      </c>
      <c r="D819" s="53" t="str">
        <f aca="false">IF(PRESIONES!$C$22="NO","",IF(OR(LINEAS!$D$157="",LINEAS!$U$157=0,ABS(IF(OR(LINEAS!$U$157=1,LINEAS!$U$157=3),1,-1)*LINEAS!$AE$157*DATOS!$C$67)&lt;0.00005),"*",LINEAS!$D$157&amp;" UNI "&amp;IF(LINEAS!$U$157&lt;=2,"GZ","GX")&amp;" "&amp;TEXT(IF(OR(LINEAS!$U$157=1,LINEAS!$U$157=3),1,-1)*LINEAS!$AE$157*DATOS!$C$67,DATOS!$C$68)))</f>
        <v/>
      </c>
      <c r="E819" s="51" t="str">
        <f aca="false">IF(LEN($D819)&gt;79,"MÁS DE 79 CARACTERES","")</f>
        <v/>
      </c>
    </row>
    <row r="820" customFormat="false" ht="15" hidden="false" customHeight="true" outlineLevel="0" collapsed="false">
      <c r="B820" s="53" t="str">
        <f aca="false">IF(OR(LINEAS!$D$158="",LINEAS!$U$158=0,ABS(IF(OR(LINEAS!$U$158=1,LINEAS!$U$158=3),1,-1)*LINEAS!$AE$158*DATOS!$C$67)&lt;0.00005),"*",LINEAS!$D$158&amp;" UNI "&amp;IF(LINEAS!$U$158&lt;=2,"GZ","GX")&amp;" "&amp;TEXT(IF(OR(LINEAS!$U$158=1,LINEAS!$U$158=3),1,-1)*LINEAS!$AE$158*DATOS!$C$67,DATOS!$C$68))</f>
        <v>*</v>
      </c>
      <c r="C820" s="51" t="str">
        <f aca="false">IF(LEN($B820)&gt;79,"MÁS DE 79 CARACTERES","")</f>
        <v/>
      </c>
      <c r="D820" s="53" t="str">
        <f aca="false">IF(PRESIONES!$C$22="NO","",IF(OR(LINEAS!$D$158="",LINEAS!$U$158=0,ABS(IF(OR(LINEAS!$U$158=1,LINEAS!$U$158=3),1,-1)*LINEAS!$AE$158*DATOS!$C$67)&lt;0.00005),"*",LINEAS!$D$158&amp;" UNI "&amp;IF(LINEAS!$U$158&lt;=2,"GZ","GX")&amp;" "&amp;TEXT(IF(OR(LINEAS!$U$158=1,LINEAS!$U$158=3),1,-1)*LINEAS!$AE$158*DATOS!$C$67,DATOS!$C$68)))</f>
        <v/>
      </c>
      <c r="E820" s="51" t="str">
        <f aca="false">IF(LEN($D820)&gt;79,"MÁS DE 79 CARACTERES","")</f>
        <v/>
      </c>
    </row>
    <row r="821" customFormat="false" ht="15" hidden="false" customHeight="true" outlineLevel="0" collapsed="false">
      <c r="B821" s="53" t="str">
        <f aca="false">IF(OR(LINEAS!$D$159="",LINEAS!$U$159=0,ABS(IF(OR(LINEAS!$U$159=1,LINEAS!$U$159=3),1,-1)*LINEAS!$AE$159*DATOS!$C$67)&lt;0.00005),"*",LINEAS!$D$159&amp;" UNI "&amp;IF(LINEAS!$U$159&lt;=2,"GZ","GX")&amp;" "&amp;TEXT(IF(OR(LINEAS!$U$159=1,LINEAS!$U$159=3),1,-1)*LINEAS!$AE$159*DATOS!$C$67,DATOS!$C$68))</f>
        <v>*</v>
      </c>
      <c r="C821" s="51" t="str">
        <f aca="false">IF(LEN($B821)&gt;79,"MÁS DE 79 CARACTERES","")</f>
        <v/>
      </c>
      <c r="D821" s="53" t="str">
        <f aca="false">IF(PRESIONES!$C$22="NO","",IF(OR(LINEAS!$D$159="",LINEAS!$U$159=0,ABS(IF(OR(LINEAS!$U$159=1,LINEAS!$U$159=3),1,-1)*LINEAS!$AE$159*DATOS!$C$67)&lt;0.00005),"*",LINEAS!$D$159&amp;" UNI "&amp;IF(LINEAS!$U$159&lt;=2,"GZ","GX")&amp;" "&amp;TEXT(IF(OR(LINEAS!$U$159=1,LINEAS!$U$159=3),1,-1)*LINEAS!$AE$159*DATOS!$C$67,DATOS!$C$68)))</f>
        <v/>
      </c>
      <c r="E821" s="51" t="str">
        <f aca="false">IF(LEN($D821)&gt;79,"MÁS DE 79 CARACTERES","")</f>
        <v/>
      </c>
    </row>
    <row r="822" customFormat="false" ht="15" hidden="false" customHeight="true" outlineLevel="0" collapsed="false">
      <c r="B822" s="53" t="str">
        <f aca="false">IF(OR(LINEAS!$D$160="",LINEAS!$U$160=0,ABS(IF(OR(LINEAS!$U$160=1,LINEAS!$U$160=3),1,-1)*LINEAS!$AE$160*DATOS!$C$67)&lt;0.00005),"*",LINEAS!$D$160&amp;" UNI "&amp;IF(LINEAS!$U$160&lt;=2,"GZ","GX")&amp;" "&amp;TEXT(IF(OR(LINEAS!$U$160=1,LINEAS!$U$160=3),1,-1)*LINEAS!$AE$160*DATOS!$C$67,DATOS!$C$68))</f>
        <v>*</v>
      </c>
      <c r="C822" s="51" t="str">
        <f aca="false">IF(LEN($B822)&gt;79,"MÁS DE 79 CARACTERES","")</f>
        <v/>
      </c>
      <c r="D822" s="53" t="str">
        <f aca="false">IF(PRESIONES!$C$22="NO","",IF(OR(LINEAS!$D$160="",LINEAS!$U$160=0,ABS(IF(OR(LINEAS!$U$160=1,LINEAS!$U$160=3),1,-1)*LINEAS!$AE$160*DATOS!$C$67)&lt;0.00005),"*",LINEAS!$D$160&amp;" UNI "&amp;IF(LINEAS!$U$160&lt;=2,"GZ","GX")&amp;" "&amp;TEXT(IF(OR(LINEAS!$U$160=1,LINEAS!$U$160=3),1,-1)*LINEAS!$AE$160*DATOS!$C$67,DATOS!$C$68)))</f>
        <v/>
      </c>
      <c r="E822" s="51" t="str">
        <f aca="false">IF(LEN($D822)&gt;79,"MÁS DE 79 CARACTERES","")</f>
        <v/>
      </c>
    </row>
    <row r="823" customFormat="false" ht="15" hidden="false" customHeight="true" outlineLevel="0" collapsed="false">
      <c r="B823" s="53" t="str">
        <f aca="false">IF(OR(LINEAS!$D$161="",LINEAS!$U$161=0,ABS(IF(OR(LINEAS!$U$161=1,LINEAS!$U$161=3),1,-1)*LINEAS!$AE$161*DATOS!$C$67)&lt;0.00005),"*",LINEAS!$D$161&amp;" UNI "&amp;IF(LINEAS!$U$161&lt;=2,"GZ","GX")&amp;" "&amp;TEXT(IF(OR(LINEAS!$U$161=1,LINEAS!$U$161=3),1,-1)*LINEAS!$AE$161*DATOS!$C$67,DATOS!$C$68))</f>
        <v>*</v>
      </c>
      <c r="C823" s="51" t="str">
        <f aca="false">IF(LEN($B823)&gt;79,"MÁS DE 79 CARACTERES","")</f>
        <v/>
      </c>
      <c r="D823" s="53" t="str">
        <f aca="false">IF(PRESIONES!$C$22="NO","",IF(OR(LINEAS!$D$161="",LINEAS!$U$161=0,ABS(IF(OR(LINEAS!$U$161=1,LINEAS!$U$161=3),1,-1)*LINEAS!$AE$161*DATOS!$C$67)&lt;0.00005),"*",LINEAS!$D$161&amp;" UNI "&amp;IF(LINEAS!$U$161&lt;=2,"GZ","GX")&amp;" "&amp;TEXT(IF(OR(LINEAS!$U$161=1,LINEAS!$U$161=3),1,-1)*LINEAS!$AE$161*DATOS!$C$67,DATOS!$C$68)))</f>
        <v/>
      </c>
      <c r="E823" s="51" t="str">
        <f aca="false">IF(LEN($D823)&gt;79,"MÁS DE 79 CARACTERES","")</f>
        <v/>
      </c>
    </row>
    <row r="824" customFormat="false" ht="15" hidden="false" customHeight="true" outlineLevel="0" collapsed="false">
      <c r="B824" s="53" t="str">
        <f aca="false">IF(OR(LINEAS!$D$162="",LINEAS!$U$162=0,ABS(IF(OR(LINEAS!$U$162=1,LINEAS!$U$162=3),1,-1)*LINEAS!$AE$162*DATOS!$C$67)&lt;0.00005),"*",LINEAS!$D$162&amp;" UNI "&amp;IF(LINEAS!$U$162&lt;=2,"GZ","GX")&amp;" "&amp;TEXT(IF(OR(LINEAS!$U$162=1,LINEAS!$U$162=3),1,-1)*LINEAS!$AE$162*DATOS!$C$67,DATOS!$C$68))</f>
        <v>*</v>
      </c>
      <c r="C824" s="51" t="str">
        <f aca="false">IF(LEN($B824)&gt;79,"MÁS DE 79 CARACTERES","")</f>
        <v/>
      </c>
      <c r="D824" s="53" t="str">
        <f aca="false">IF(PRESIONES!$C$22="NO","",IF(OR(LINEAS!$D$162="",LINEAS!$U$162=0,ABS(IF(OR(LINEAS!$U$162=1,LINEAS!$U$162=3),1,-1)*LINEAS!$AE$162*DATOS!$C$67)&lt;0.00005),"*",LINEAS!$D$162&amp;" UNI "&amp;IF(LINEAS!$U$162&lt;=2,"GZ","GX")&amp;" "&amp;TEXT(IF(OR(LINEAS!$U$162=1,LINEAS!$U$162=3),1,-1)*LINEAS!$AE$162*DATOS!$C$67,DATOS!$C$68)))</f>
        <v/>
      </c>
      <c r="E824" s="51" t="str">
        <f aca="false">IF(LEN($D824)&gt;79,"MÁS DE 79 CARACTERES","")</f>
        <v/>
      </c>
    </row>
    <row r="825" customFormat="false" ht="15" hidden="false" customHeight="true" outlineLevel="0" collapsed="false">
      <c r="B825" s="53" t="str">
        <f aca="false">IF(OR(LINEAS!$D$163="",LINEAS!$U$163=0,ABS(IF(OR(LINEAS!$U$163=1,LINEAS!$U$163=3),1,-1)*LINEAS!$AE$163*DATOS!$C$67)&lt;0.00005),"*",LINEAS!$D$163&amp;" UNI "&amp;IF(LINEAS!$U$163&lt;=2,"GZ","GX")&amp;" "&amp;TEXT(IF(OR(LINEAS!$U$163=1,LINEAS!$U$163=3),1,-1)*LINEAS!$AE$163*DATOS!$C$67,DATOS!$C$68))</f>
        <v>*</v>
      </c>
      <c r="C825" s="51" t="str">
        <f aca="false">IF(LEN($B825)&gt;79,"MÁS DE 79 CARACTERES","")</f>
        <v/>
      </c>
      <c r="D825" s="53" t="str">
        <f aca="false">IF(PRESIONES!$C$22="NO","",IF(OR(LINEAS!$D$163="",LINEAS!$U$163=0,ABS(IF(OR(LINEAS!$U$163=1,LINEAS!$U$163=3),1,-1)*LINEAS!$AE$163*DATOS!$C$67)&lt;0.00005),"*",LINEAS!$D$163&amp;" UNI "&amp;IF(LINEAS!$U$163&lt;=2,"GZ","GX")&amp;" "&amp;TEXT(IF(OR(LINEAS!$U$163=1,LINEAS!$U$163=3),1,-1)*LINEAS!$AE$163*DATOS!$C$67,DATOS!$C$68)))</f>
        <v/>
      </c>
      <c r="E825" s="51" t="str">
        <f aca="false">IF(LEN($D825)&gt;79,"MÁS DE 79 CARACTERES","")</f>
        <v/>
      </c>
    </row>
    <row r="826" customFormat="false" ht="15" hidden="false" customHeight="true" outlineLevel="0" collapsed="false">
      <c r="B826" s="53" t="str">
        <f aca="false">IF(OR(LINEAS!$D$164="",LINEAS!$U$164=0,ABS(IF(OR(LINEAS!$U$164=1,LINEAS!$U$164=3),1,-1)*LINEAS!$AE$164*DATOS!$C$67)&lt;0.00005),"*",LINEAS!$D$164&amp;" UNI "&amp;IF(LINEAS!$U$164&lt;=2,"GZ","GX")&amp;" "&amp;TEXT(IF(OR(LINEAS!$U$164=1,LINEAS!$U$164=3),1,-1)*LINEAS!$AE$164*DATOS!$C$67,DATOS!$C$68))</f>
        <v>*</v>
      </c>
      <c r="C826" s="51" t="str">
        <f aca="false">IF(LEN($B826)&gt;79,"MÁS DE 79 CARACTERES","")</f>
        <v/>
      </c>
      <c r="D826" s="53" t="str">
        <f aca="false">IF(PRESIONES!$C$22="NO","",IF(OR(LINEAS!$D$164="",LINEAS!$U$164=0,ABS(IF(OR(LINEAS!$U$164=1,LINEAS!$U$164=3),1,-1)*LINEAS!$AE$164*DATOS!$C$67)&lt;0.00005),"*",LINEAS!$D$164&amp;" UNI "&amp;IF(LINEAS!$U$164&lt;=2,"GZ","GX")&amp;" "&amp;TEXT(IF(OR(LINEAS!$U$164=1,LINEAS!$U$164=3),1,-1)*LINEAS!$AE$164*DATOS!$C$67,DATOS!$C$68)))</f>
        <v/>
      </c>
      <c r="E826" s="51" t="str">
        <f aca="false">IF(LEN($D826)&gt;79,"MÁS DE 79 CARACTERES","")</f>
        <v/>
      </c>
    </row>
    <row r="827" customFormat="false" ht="15" hidden="false" customHeight="true" outlineLevel="0" collapsed="false">
      <c r="B827" s="53" t="str">
        <f aca="false">IF(OR(LINEAS!$D$165="",LINEAS!$U$165=0,ABS(IF(OR(LINEAS!$U$165=1,LINEAS!$U$165=3),1,-1)*LINEAS!$AE$165*DATOS!$C$67)&lt;0.00005),"*",LINEAS!$D$165&amp;" UNI "&amp;IF(LINEAS!$U$165&lt;=2,"GZ","GX")&amp;" "&amp;TEXT(IF(OR(LINEAS!$U$165=1,LINEAS!$U$165=3),1,-1)*LINEAS!$AE$165*DATOS!$C$67,DATOS!$C$68))</f>
        <v>*</v>
      </c>
      <c r="C827" s="51" t="str">
        <f aca="false">IF(LEN($B827)&gt;79,"MÁS DE 79 CARACTERES","")</f>
        <v/>
      </c>
      <c r="D827" s="53" t="str">
        <f aca="false">IF(PRESIONES!$C$22="NO","",IF(OR(LINEAS!$D$165="",LINEAS!$U$165=0,ABS(IF(OR(LINEAS!$U$165=1,LINEAS!$U$165=3),1,-1)*LINEAS!$AE$165*DATOS!$C$67)&lt;0.00005),"*",LINEAS!$D$165&amp;" UNI "&amp;IF(LINEAS!$U$165&lt;=2,"GZ","GX")&amp;" "&amp;TEXT(IF(OR(LINEAS!$U$165=1,LINEAS!$U$165=3),1,-1)*LINEAS!$AE$165*DATOS!$C$67,DATOS!$C$68)))</f>
        <v/>
      </c>
      <c r="E827" s="51" t="str">
        <f aca="false">IF(LEN($D827)&gt;79,"MÁS DE 79 CARACTERES","")</f>
        <v/>
      </c>
    </row>
    <row r="828" customFormat="false" ht="15" hidden="false" customHeight="true" outlineLevel="0" collapsed="false">
      <c r="B828" s="53" t="str">
        <f aca="false">IF(OR(LINEAS!$D$166="",LINEAS!$U$166=0,ABS(IF(OR(LINEAS!$U$166=1,LINEAS!$U$166=3),1,-1)*LINEAS!$AE$166*DATOS!$C$67)&lt;0.00005),"*",LINEAS!$D$166&amp;" UNI "&amp;IF(LINEAS!$U$166&lt;=2,"GZ","GX")&amp;" "&amp;TEXT(IF(OR(LINEAS!$U$166=1,LINEAS!$U$166=3),1,-1)*LINEAS!$AE$166*DATOS!$C$67,DATOS!$C$68))</f>
        <v>*</v>
      </c>
      <c r="C828" s="51" t="str">
        <f aca="false">IF(LEN($B828)&gt;79,"MÁS DE 79 CARACTERES","")</f>
        <v/>
      </c>
      <c r="D828" s="53" t="str">
        <f aca="false">IF(PRESIONES!$C$22="NO","",IF(OR(LINEAS!$D$166="",LINEAS!$U$166=0,ABS(IF(OR(LINEAS!$U$166=1,LINEAS!$U$166=3),1,-1)*LINEAS!$AE$166*DATOS!$C$67)&lt;0.00005),"*",LINEAS!$D$166&amp;" UNI "&amp;IF(LINEAS!$U$166&lt;=2,"GZ","GX")&amp;" "&amp;TEXT(IF(OR(LINEAS!$U$166=1,LINEAS!$U$166=3),1,-1)*LINEAS!$AE$166*DATOS!$C$67,DATOS!$C$68)))</f>
        <v/>
      </c>
      <c r="E828" s="51" t="str">
        <f aca="false">IF(LEN($D828)&gt;79,"MÁS DE 79 CARACTERES","")</f>
        <v/>
      </c>
    </row>
    <row r="829" customFormat="false" ht="15" hidden="false" customHeight="true" outlineLevel="0" collapsed="false">
      <c r="B829" s="53" t="str">
        <f aca="false">IF(OR(LINEAS!$D$167="",LINEAS!$U$167=0,ABS(IF(OR(LINEAS!$U$167=1,LINEAS!$U$167=3),1,-1)*LINEAS!$AE$167*DATOS!$C$67)&lt;0.00005),"*",LINEAS!$D$167&amp;" UNI "&amp;IF(LINEAS!$U$167&lt;=2,"GZ","GX")&amp;" "&amp;TEXT(IF(OR(LINEAS!$U$167=1,LINEAS!$U$167=3),1,-1)*LINEAS!$AE$167*DATOS!$C$67,DATOS!$C$68))</f>
        <v>*</v>
      </c>
      <c r="C829" s="51" t="str">
        <f aca="false">IF(LEN($B829)&gt;79,"MÁS DE 79 CARACTERES","")</f>
        <v/>
      </c>
      <c r="D829" s="53" t="str">
        <f aca="false">IF(PRESIONES!$C$22="NO","",IF(OR(LINEAS!$D$167="",LINEAS!$U$167=0,ABS(IF(OR(LINEAS!$U$167=1,LINEAS!$U$167=3),1,-1)*LINEAS!$AE$167*DATOS!$C$67)&lt;0.00005),"*",LINEAS!$D$167&amp;" UNI "&amp;IF(LINEAS!$U$167&lt;=2,"GZ","GX")&amp;" "&amp;TEXT(IF(OR(LINEAS!$U$167=1,LINEAS!$U$167=3),1,-1)*LINEAS!$AE$167*DATOS!$C$67,DATOS!$C$68)))</f>
        <v/>
      </c>
      <c r="E829" s="51" t="str">
        <f aca="false">IF(LEN($D829)&gt;79,"MÁS DE 79 CARACTERES","")</f>
        <v/>
      </c>
    </row>
    <row r="830" customFormat="false" ht="15" hidden="false" customHeight="true" outlineLevel="0" collapsed="false">
      <c r="B830" s="53" t="str">
        <f aca="false">IF(OR(LINEAS!$D$168="",LINEAS!$U$168=0,ABS(IF(OR(LINEAS!$U$168=1,LINEAS!$U$168=3),1,-1)*LINEAS!$AE$168*DATOS!$C$67)&lt;0.00005),"*",LINEAS!$D$168&amp;" UNI "&amp;IF(LINEAS!$U$168&lt;=2,"GZ","GX")&amp;" "&amp;TEXT(IF(OR(LINEAS!$U$168=1,LINEAS!$U$168=3),1,-1)*LINEAS!$AE$168*DATOS!$C$67,DATOS!$C$68))</f>
        <v>*</v>
      </c>
      <c r="C830" s="51" t="str">
        <f aca="false">IF(LEN($B830)&gt;79,"MÁS DE 79 CARACTERES","")</f>
        <v/>
      </c>
      <c r="D830" s="53" t="str">
        <f aca="false">IF(PRESIONES!$C$22="NO","",IF(OR(LINEAS!$D$168="",LINEAS!$U$168=0,ABS(IF(OR(LINEAS!$U$168=1,LINEAS!$U$168=3),1,-1)*LINEAS!$AE$168*DATOS!$C$67)&lt;0.00005),"*",LINEAS!$D$168&amp;" UNI "&amp;IF(LINEAS!$U$168&lt;=2,"GZ","GX")&amp;" "&amp;TEXT(IF(OR(LINEAS!$U$168=1,LINEAS!$U$168=3),1,-1)*LINEAS!$AE$168*DATOS!$C$67,DATOS!$C$68)))</f>
        <v/>
      </c>
      <c r="E830" s="51" t="str">
        <f aca="false">IF(LEN($D830)&gt;79,"MÁS DE 79 CARACTERES","")</f>
        <v/>
      </c>
    </row>
    <row r="831" customFormat="false" ht="15" hidden="false" customHeight="true" outlineLevel="0" collapsed="false">
      <c r="B831" s="53" t="str">
        <f aca="false">IF(OR(LINEAS!$D$169="",LINEAS!$U$169=0,ABS(IF(OR(LINEAS!$U$169=1,LINEAS!$U$169=3),1,-1)*LINEAS!$AE$169*DATOS!$C$67)&lt;0.00005),"*",LINEAS!$D$169&amp;" UNI "&amp;IF(LINEAS!$U$169&lt;=2,"GZ","GX")&amp;" "&amp;TEXT(IF(OR(LINEAS!$U$169=1,LINEAS!$U$169=3),1,-1)*LINEAS!$AE$169*DATOS!$C$67,DATOS!$C$68))</f>
        <v>*</v>
      </c>
      <c r="C831" s="51" t="str">
        <f aca="false">IF(LEN($B831)&gt;79,"MÁS DE 79 CARACTERES","")</f>
        <v/>
      </c>
      <c r="D831" s="53" t="str">
        <f aca="false">IF(PRESIONES!$C$22="NO","",IF(OR(LINEAS!$D$169="",LINEAS!$U$169=0,ABS(IF(OR(LINEAS!$U$169=1,LINEAS!$U$169=3),1,-1)*LINEAS!$AE$169*DATOS!$C$67)&lt;0.00005),"*",LINEAS!$D$169&amp;" UNI "&amp;IF(LINEAS!$U$169&lt;=2,"GZ","GX")&amp;" "&amp;TEXT(IF(OR(LINEAS!$U$169=1,LINEAS!$U$169=3),1,-1)*LINEAS!$AE$169*DATOS!$C$67,DATOS!$C$68)))</f>
        <v/>
      </c>
      <c r="E831" s="51" t="str">
        <f aca="false">IF(LEN($D831)&gt;79,"MÁS DE 79 CARACTERES","")</f>
        <v/>
      </c>
    </row>
    <row r="832" customFormat="false" ht="15" hidden="false" customHeight="true" outlineLevel="0" collapsed="false">
      <c r="B832" s="53" t="str">
        <f aca="false">IF(OR(LINEAS!$D$170="",LINEAS!$U$170=0,ABS(IF(OR(LINEAS!$U$170=1,LINEAS!$U$170=3),1,-1)*LINEAS!$AE$170*DATOS!$C$67)&lt;0.00005),"*",LINEAS!$D$170&amp;" UNI "&amp;IF(LINEAS!$U$170&lt;=2,"GZ","GX")&amp;" "&amp;TEXT(IF(OR(LINEAS!$U$170=1,LINEAS!$U$170=3),1,-1)*LINEAS!$AE$170*DATOS!$C$67,DATOS!$C$68))</f>
        <v>*</v>
      </c>
      <c r="C832" s="51" t="str">
        <f aca="false">IF(LEN($B832)&gt;79,"MÁS DE 79 CARACTERES","")</f>
        <v/>
      </c>
      <c r="D832" s="53" t="str">
        <f aca="false">IF(PRESIONES!$C$22="NO","",IF(OR(LINEAS!$D$170="",LINEAS!$U$170=0,ABS(IF(OR(LINEAS!$U$170=1,LINEAS!$U$170=3),1,-1)*LINEAS!$AE$170*DATOS!$C$67)&lt;0.00005),"*",LINEAS!$D$170&amp;" UNI "&amp;IF(LINEAS!$U$170&lt;=2,"GZ","GX")&amp;" "&amp;TEXT(IF(OR(LINEAS!$U$170=1,LINEAS!$U$170=3),1,-1)*LINEAS!$AE$170*DATOS!$C$67,DATOS!$C$68)))</f>
        <v/>
      </c>
      <c r="E832" s="51" t="str">
        <f aca="false">IF(LEN($D832)&gt;79,"MÁS DE 79 CARACTERES","")</f>
        <v/>
      </c>
    </row>
    <row r="833" customFormat="false" ht="15" hidden="false" customHeight="true" outlineLevel="0" collapsed="false">
      <c r="B833" s="53" t="str">
        <f aca="false">IF(OR(LINEAS!$D$171="",LINEAS!$U$171=0,ABS(IF(OR(LINEAS!$U$171=1,LINEAS!$U$171=3),1,-1)*LINEAS!$AE$171*DATOS!$C$67)&lt;0.00005),"*",LINEAS!$D$171&amp;" UNI "&amp;IF(LINEAS!$U$171&lt;=2,"GZ","GX")&amp;" "&amp;TEXT(IF(OR(LINEAS!$U$171=1,LINEAS!$U$171=3),1,-1)*LINEAS!$AE$171*DATOS!$C$67,DATOS!$C$68))</f>
        <v>*</v>
      </c>
      <c r="C833" s="51" t="str">
        <f aca="false">IF(LEN($B833)&gt;79,"MÁS DE 79 CARACTERES","")</f>
        <v/>
      </c>
      <c r="D833" s="53" t="str">
        <f aca="false">IF(PRESIONES!$C$22="NO","",IF(OR(LINEAS!$D$171="",LINEAS!$U$171=0,ABS(IF(OR(LINEAS!$U$171=1,LINEAS!$U$171=3),1,-1)*LINEAS!$AE$171*DATOS!$C$67)&lt;0.00005),"*",LINEAS!$D$171&amp;" UNI "&amp;IF(LINEAS!$U$171&lt;=2,"GZ","GX")&amp;" "&amp;TEXT(IF(OR(LINEAS!$U$171=1,LINEAS!$U$171=3),1,-1)*LINEAS!$AE$171*DATOS!$C$67,DATOS!$C$68)))</f>
        <v/>
      </c>
      <c r="E833" s="51" t="str">
        <f aca="false">IF(LEN($D833)&gt;79,"MÁS DE 79 CARACTERES","")</f>
        <v/>
      </c>
    </row>
    <row r="834" customFormat="false" ht="15" hidden="false" customHeight="true" outlineLevel="0" collapsed="false">
      <c r="B834" s="53" t="str">
        <f aca="false">IF(OR(LINEAS!$D$172="",LINEAS!$U$172=0,ABS(IF(OR(LINEAS!$U$172=1,LINEAS!$U$172=3),1,-1)*LINEAS!$AE$172*DATOS!$C$67)&lt;0.00005),"*",LINEAS!$D$172&amp;" UNI "&amp;IF(LINEAS!$U$172&lt;=2,"GZ","GX")&amp;" "&amp;TEXT(IF(OR(LINEAS!$U$172=1,LINEAS!$U$172=3),1,-1)*LINEAS!$AE$172*DATOS!$C$67,DATOS!$C$68))</f>
        <v>*</v>
      </c>
      <c r="C834" s="51" t="str">
        <f aca="false">IF(LEN($B834)&gt;79,"MÁS DE 79 CARACTERES","")</f>
        <v/>
      </c>
      <c r="D834" s="53" t="str">
        <f aca="false">IF(PRESIONES!$C$22="NO","",IF(OR(LINEAS!$D$172="",LINEAS!$U$172=0,ABS(IF(OR(LINEAS!$U$172=1,LINEAS!$U$172=3),1,-1)*LINEAS!$AE$172*DATOS!$C$67)&lt;0.00005),"*",LINEAS!$D$172&amp;" UNI "&amp;IF(LINEAS!$U$172&lt;=2,"GZ","GX")&amp;" "&amp;TEXT(IF(OR(LINEAS!$U$172=1,LINEAS!$U$172=3),1,-1)*LINEAS!$AE$172*DATOS!$C$67,DATOS!$C$68)))</f>
        <v/>
      </c>
      <c r="E834" s="51" t="str">
        <f aca="false">IF(LEN($D834)&gt;79,"MÁS DE 79 CARACTERES","")</f>
        <v/>
      </c>
    </row>
    <row r="835" customFormat="false" ht="15" hidden="false" customHeight="true" outlineLevel="0" collapsed="false">
      <c r="B835" s="53" t="str">
        <f aca="false">IF(OR(LINEAS!$D$173="",LINEAS!$U$173=0,ABS(IF(OR(LINEAS!$U$173=1,LINEAS!$U$173=3),1,-1)*LINEAS!$AE$173*DATOS!$C$67)&lt;0.00005),"*",LINEAS!$D$173&amp;" UNI "&amp;IF(LINEAS!$U$173&lt;=2,"GZ","GX")&amp;" "&amp;TEXT(IF(OR(LINEAS!$U$173=1,LINEAS!$U$173=3),1,-1)*LINEAS!$AE$173*DATOS!$C$67,DATOS!$C$68))</f>
        <v>*</v>
      </c>
      <c r="C835" s="51" t="str">
        <f aca="false">IF(LEN($B835)&gt;79,"MÁS DE 79 CARACTERES","")</f>
        <v/>
      </c>
      <c r="D835" s="53" t="str">
        <f aca="false">IF(PRESIONES!$C$22="NO","",IF(OR(LINEAS!$D$173="",LINEAS!$U$173=0,ABS(IF(OR(LINEAS!$U$173=1,LINEAS!$U$173=3),1,-1)*LINEAS!$AE$173*DATOS!$C$67)&lt;0.00005),"*",LINEAS!$D$173&amp;" UNI "&amp;IF(LINEAS!$U$173&lt;=2,"GZ","GX")&amp;" "&amp;TEXT(IF(OR(LINEAS!$U$173=1,LINEAS!$U$173=3),1,-1)*LINEAS!$AE$173*DATOS!$C$67,DATOS!$C$68)))</f>
        <v/>
      </c>
      <c r="E835" s="51" t="str">
        <f aca="false">IF(LEN($D835)&gt;79,"MÁS DE 79 CARACTERES","")</f>
        <v/>
      </c>
    </row>
    <row r="836" customFormat="false" ht="15" hidden="false" customHeight="true" outlineLevel="0" collapsed="false">
      <c r="B836" s="53" t="str">
        <f aca="false">IF(OR(LINEAS!$D$174="",LINEAS!$U$174=0,ABS(IF(OR(LINEAS!$U$174=1,LINEAS!$U$174=3),1,-1)*LINEAS!$AE$174*DATOS!$C$67)&lt;0.00005),"*",LINEAS!$D$174&amp;" UNI "&amp;IF(LINEAS!$U$174&lt;=2,"GZ","GX")&amp;" "&amp;TEXT(IF(OR(LINEAS!$U$174=1,LINEAS!$U$174=3),1,-1)*LINEAS!$AE$174*DATOS!$C$67,DATOS!$C$68))</f>
        <v>*</v>
      </c>
      <c r="C836" s="51" t="str">
        <f aca="false">IF(LEN($B836)&gt;79,"MÁS DE 79 CARACTERES","")</f>
        <v/>
      </c>
      <c r="D836" s="53" t="str">
        <f aca="false">IF(PRESIONES!$C$22="NO","",IF(OR(LINEAS!$D$174="",LINEAS!$U$174=0,ABS(IF(OR(LINEAS!$U$174=1,LINEAS!$U$174=3),1,-1)*LINEAS!$AE$174*DATOS!$C$67)&lt;0.00005),"*",LINEAS!$D$174&amp;" UNI "&amp;IF(LINEAS!$U$174&lt;=2,"GZ","GX")&amp;" "&amp;TEXT(IF(OR(LINEAS!$U$174=1,LINEAS!$U$174=3),1,-1)*LINEAS!$AE$174*DATOS!$C$67,DATOS!$C$68)))</f>
        <v/>
      </c>
      <c r="E836" s="51" t="str">
        <f aca="false">IF(LEN($D836)&gt;79,"MÁS DE 79 CARACTERES","")</f>
        <v/>
      </c>
    </row>
    <row r="837" customFormat="false" ht="15" hidden="false" customHeight="true" outlineLevel="0" collapsed="false">
      <c r="B837" s="53" t="str">
        <f aca="false">IF(OR(LINEAS!$D$175="",LINEAS!$U$175=0,ABS(IF(OR(LINEAS!$U$175=1,LINEAS!$U$175=3),1,-1)*LINEAS!$AE$175*DATOS!$C$67)&lt;0.00005),"*",LINEAS!$D$175&amp;" UNI "&amp;IF(LINEAS!$U$175&lt;=2,"GZ","GX")&amp;" "&amp;TEXT(IF(OR(LINEAS!$U$175=1,LINEAS!$U$175=3),1,-1)*LINEAS!$AE$175*DATOS!$C$67,DATOS!$C$68))</f>
        <v>*</v>
      </c>
      <c r="C837" s="51" t="str">
        <f aca="false">IF(LEN($B837)&gt;79,"MÁS DE 79 CARACTERES","")</f>
        <v/>
      </c>
      <c r="D837" s="53" t="str">
        <f aca="false">IF(PRESIONES!$C$22="NO","",IF(OR(LINEAS!$D$175="",LINEAS!$U$175=0,ABS(IF(OR(LINEAS!$U$175=1,LINEAS!$U$175=3),1,-1)*LINEAS!$AE$175*DATOS!$C$67)&lt;0.00005),"*",LINEAS!$D$175&amp;" UNI "&amp;IF(LINEAS!$U$175&lt;=2,"GZ","GX")&amp;" "&amp;TEXT(IF(OR(LINEAS!$U$175=1,LINEAS!$U$175=3),1,-1)*LINEAS!$AE$175*DATOS!$C$67,DATOS!$C$68)))</f>
        <v/>
      </c>
      <c r="E837" s="51" t="str">
        <f aca="false">IF(LEN($D837)&gt;79,"MÁS DE 79 CARACTERES","")</f>
        <v/>
      </c>
    </row>
    <row r="838" customFormat="false" ht="15" hidden="false" customHeight="true" outlineLevel="0" collapsed="false">
      <c r="B838" s="53" t="str">
        <f aca="false">IF(OR(LINEAS!$D$176="",LINEAS!$U$176=0,ABS(IF(OR(LINEAS!$U$176=1,LINEAS!$U$176=3),1,-1)*LINEAS!$AE$176*DATOS!$C$67)&lt;0.00005),"*",LINEAS!$D$176&amp;" UNI "&amp;IF(LINEAS!$U$176&lt;=2,"GZ","GX")&amp;" "&amp;TEXT(IF(OR(LINEAS!$U$176=1,LINEAS!$U$176=3),1,-1)*LINEAS!$AE$176*DATOS!$C$67,DATOS!$C$68))</f>
        <v>*</v>
      </c>
      <c r="C838" s="51" t="str">
        <f aca="false">IF(LEN($B838)&gt;79,"MÁS DE 79 CARACTERES","")</f>
        <v/>
      </c>
      <c r="D838" s="53" t="str">
        <f aca="false">IF(PRESIONES!$C$22="NO","",IF(OR(LINEAS!$D$176="",LINEAS!$U$176=0,ABS(IF(OR(LINEAS!$U$176=1,LINEAS!$U$176=3),1,-1)*LINEAS!$AE$176*DATOS!$C$67)&lt;0.00005),"*",LINEAS!$D$176&amp;" UNI "&amp;IF(LINEAS!$U$176&lt;=2,"GZ","GX")&amp;" "&amp;TEXT(IF(OR(LINEAS!$U$176=1,LINEAS!$U$176=3),1,-1)*LINEAS!$AE$176*DATOS!$C$67,DATOS!$C$68)))</f>
        <v/>
      </c>
      <c r="E838" s="51" t="str">
        <f aca="false">IF(LEN($D838)&gt;79,"MÁS DE 79 CARACTERES","")</f>
        <v/>
      </c>
    </row>
    <row r="839" customFormat="false" ht="15" hidden="false" customHeight="true" outlineLevel="0" collapsed="false">
      <c r="B839" s="53" t="str">
        <f aca="false">IF(OR(LINEAS!$D$177="",LINEAS!$U$177=0,ABS(IF(OR(LINEAS!$U$177=1,LINEAS!$U$177=3),1,-1)*LINEAS!$AE$177*DATOS!$C$67)&lt;0.00005),"*",LINEAS!$D$177&amp;" UNI "&amp;IF(LINEAS!$U$177&lt;=2,"GZ","GX")&amp;" "&amp;TEXT(IF(OR(LINEAS!$U$177=1,LINEAS!$U$177=3),1,-1)*LINEAS!$AE$177*DATOS!$C$67,DATOS!$C$68))</f>
        <v>*</v>
      </c>
      <c r="C839" s="51" t="str">
        <f aca="false">IF(LEN($B839)&gt;79,"MÁS DE 79 CARACTERES","")</f>
        <v/>
      </c>
      <c r="D839" s="53" t="str">
        <f aca="false">IF(PRESIONES!$C$22="NO","",IF(OR(LINEAS!$D$177="",LINEAS!$U$177=0,ABS(IF(OR(LINEAS!$U$177=1,LINEAS!$U$177=3),1,-1)*LINEAS!$AE$177*DATOS!$C$67)&lt;0.00005),"*",LINEAS!$D$177&amp;" UNI "&amp;IF(LINEAS!$U$177&lt;=2,"GZ","GX")&amp;" "&amp;TEXT(IF(OR(LINEAS!$U$177=1,LINEAS!$U$177=3),1,-1)*LINEAS!$AE$177*DATOS!$C$67,DATOS!$C$68)))</f>
        <v/>
      </c>
      <c r="E839" s="51" t="str">
        <f aca="false">IF(LEN($D839)&gt;79,"MÁS DE 79 CARACTERES","")</f>
        <v/>
      </c>
    </row>
    <row r="840" customFormat="false" ht="15" hidden="false" customHeight="true" outlineLevel="0" collapsed="false">
      <c r="B840" s="53" t="str">
        <f aca="false">IF(OR(LINEAS!$D$178="",LINEAS!$U$178=0,ABS(IF(OR(LINEAS!$U$178=1,LINEAS!$U$178=3),1,-1)*LINEAS!$AE$178*DATOS!$C$67)&lt;0.00005),"*",LINEAS!$D$178&amp;" UNI "&amp;IF(LINEAS!$U$178&lt;=2,"GZ","GX")&amp;" "&amp;TEXT(IF(OR(LINEAS!$U$178=1,LINEAS!$U$178=3),1,-1)*LINEAS!$AE$178*DATOS!$C$67,DATOS!$C$68))</f>
        <v>*</v>
      </c>
      <c r="C840" s="51" t="str">
        <f aca="false">IF(LEN($B840)&gt;79,"MÁS DE 79 CARACTERES","")</f>
        <v/>
      </c>
      <c r="D840" s="53" t="str">
        <f aca="false">IF(PRESIONES!$C$22="NO","",IF(OR(LINEAS!$D$178="",LINEAS!$U$178=0,ABS(IF(OR(LINEAS!$U$178=1,LINEAS!$U$178=3),1,-1)*LINEAS!$AE$178*DATOS!$C$67)&lt;0.00005),"*",LINEAS!$D$178&amp;" UNI "&amp;IF(LINEAS!$U$178&lt;=2,"GZ","GX")&amp;" "&amp;TEXT(IF(OR(LINEAS!$U$178=1,LINEAS!$U$178=3),1,-1)*LINEAS!$AE$178*DATOS!$C$67,DATOS!$C$68)))</f>
        <v/>
      </c>
      <c r="E840" s="51" t="str">
        <f aca="false">IF(LEN($D840)&gt;79,"MÁS DE 79 CARACTERES","")</f>
        <v/>
      </c>
    </row>
    <row r="841" customFormat="false" ht="15" hidden="false" customHeight="true" outlineLevel="0" collapsed="false">
      <c r="B841" s="53" t="str">
        <f aca="false">IF(OR(LINEAS!$D$179="",LINEAS!$U$179=0,ABS(IF(OR(LINEAS!$U$179=1,LINEAS!$U$179=3),1,-1)*LINEAS!$AE$179*DATOS!$C$67)&lt;0.00005),"*",LINEAS!$D$179&amp;" UNI "&amp;IF(LINEAS!$U$179&lt;=2,"GZ","GX")&amp;" "&amp;TEXT(IF(OR(LINEAS!$U$179=1,LINEAS!$U$179=3),1,-1)*LINEAS!$AE$179*DATOS!$C$67,DATOS!$C$68))</f>
        <v>*</v>
      </c>
      <c r="C841" s="51" t="str">
        <f aca="false">IF(LEN($B841)&gt;79,"MÁS DE 79 CARACTERES","")</f>
        <v/>
      </c>
      <c r="D841" s="53" t="str">
        <f aca="false">IF(PRESIONES!$C$22="NO","",IF(OR(LINEAS!$D$179="",LINEAS!$U$179=0,ABS(IF(OR(LINEAS!$U$179=1,LINEAS!$U$179=3),1,-1)*LINEAS!$AE$179*DATOS!$C$67)&lt;0.00005),"*",LINEAS!$D$179&amp;" UNI "&amp;IF(LINEAS!$U$179&lt;=2,"GZ","GX")&amp;" "&amp;TEXT(IF(OR(LINEAS!$U$179=1,LINEAS!$U$179=3),1,-1)*LINEAS!$AE$179*DATOS!$C$67,DATOS!$C$68)))</f>
        <v/>
      </c>
      <c r="E841" s="51" t="str">
        <f aca="false">IF(LEN($D841)&gt;79,"MÁS DE 79 CARACTERES","")</f>
        <v/>
      </c>
    </row>
    <row r="842" customFormat="false" ht="15" hidden="false" customHeight="true" outlineLevel="0" collapsed="false">
      <c r="B842" s="53" t="str">
        <f aca="false">IF(OR(LINEAS!$D$180="",LINEAS!$U$180=0,ABS(IF(OR(LINEAS!$U$180=1,LINEAS!$U$180=3),1,-1)*LINEAS!$AE$180*DATOS!$C$67)&lt;0.00005),"*",LINEAS!$D$180&amp;" UNI "&amp;IF(LINEAS!$U$180&lt;=2,"GZ","GX")&amp;" "&amp;TEXT(IF(OR(LINEAS!$U$180=1,LINEAS!$U$180=3),1,-1)*LINEAS!$AE$180*DATOS!$C$67,DATOS!$C$68))</f>
        <v>*</v>
      </c>
      <c r="C842" s="51" t="str">
        <f aca="false">IF(LEN($B842)&gt;79,"MÁS DE 79 CARACTERES","")</f>
        <v/>
      </c>
      <c r="D842" s="53" t="str">
        <f aca="false">IF(PRESIONES!$C$22="NO","",IF(OR(LINEAS!$D$180="",LINEAS!$U$180=0,ABS(IF(OR(LINEAS!$U$180=1,LINEAS!$U$180=3),1,-1)*LINEAS!$AE$180*DATOS!$C$67)&lt;0.00005),"*",LINEAS!$D$180&amp;" UNI "&amp;IF(LINEAS!$U$180&lt;=2,"GZ","GX")&amp;" "&amp;TEXT(IF(OR(LINEAS!$U$180=1,LINEAS!$U$180=3),1,-1)*LINEAS!$AE$180*DATOS!$C$67,DATOS!$C$68)))</f>
        <v/>
      </c>
      <c r="E842" s="51" t="str">
        <f aca="false">IF(LEN($D842)&gt;79,"MÁS DE 79 CARACTERES","")</f>
        <v/>
      </c>
    </row>
    <row r="843" customFormat="false" ht="15" hidden="false" customHeight="true" outlineLevel="0" collapsed="false">
      <c r="B843" s="53" t="str">
        <f aca="false">IF(OR(LINEAS!$D$181="",LINEAS!$U$181=0,ABS(IF(OR(LINEAS!$U$181=1,LINEAS!$U$181=3),1,-1)*LINEAS!$AE$181*DATOS!$C$67)&lt;0.00005),"*",LINEAS!$D$181&amp;" UNI "&amp;IF(LINEAS!$U$181&lt;=2,"GZ","GX")&amp;" "&amp;TEXT(IF(OR(LINEAS!$U$181=1,LINEAS!$U$181=3),1,-1)*LINEAS!$AE$181*DATOS!$C$67,DATOS!$C$68))</f>
        <v>*</v>
      </c>
      <c r="C843" s="51" t="str">
        <f aca="false">IF(LEN($B843)&gt;79,"MÁS DE 79 CARACTERES","")</f>
        <v/>
      </c>
      <c r="D843" s="53" t="str">
        <f aca="false">IF(PRESIONES!$C$22="NO","",IF(OR(LINEAS!$D$181="",LINEAS!$U$181=0,ABS(IF(OR(LINEAS!$U$181=1,LINEAS!$U$181=3),1,-1)*LINEAS!$AE$181*DATOS!$C$67)&lt;0.00005),"*",LINEAS!$D$181&amp;" UNI "&amp;IF(LINEAS!$U$181&lt;=2,"GZ","GX")&amp;" "&amp;TEXT(IF(OR(LINEAS!$U$181=1,LINEAS!$U$181=3),1,-1)*LINEAS!$AE$181*DATOS!$C$67,DATOS!$C$68)))</f>
        <v/>
      </c>
      <c r="E843" s="51" t="str">
        <f aca="false">IF(LEN($D843)&gt;79,"MÁS DE 79 CARACTERES","")</f>
        <v/>
      </c>
    </row>
    <row r="844" customFormat="false" ht="15" hidden="false" customHeight="true" outlineLevel="0" collapsed="false">
      <c r="B844" s="53" t="str">
        <f aca="false">IF(OR(LINEAS!$D$182="",LINEAS!$U$182=0,ABS(IF(OR(LINEAS!$U$182=1,LINEAS!$U$182=3),1,-1)*LINEAS!$AE$182*DATOS!$C$67)&lt;0.00005),"*",LINEAS!$D$182&amp;" UNI "&amp;IF(LINEAS!$U$182&lt;=2,"GZ","GX")&amp;" "&amp;TEXT(IF(OR(LINEAS!$U$182=1,LINEAS!$U$182=3),1,-1)*LINEAS!$AE$182*DATOS!$C$67,DATOS!$C$68))</f>
        <v>*</v>
      </c>
      <c r="C844" s="51" t="str">
        <f aca="false">IF(LEN($B844)&gt;79,"MÁS DE 79 CARACTERES","")</f>
        <v/>
      </c>
      <c r="D844" s="53" t="str">
        <f aca="false">IF(PRESIONES!$C$22="NO","",IF(OR(LINEAS!$D$182="",LINEAS!$U$182=0,ABS(IF(OR(LINEAS!$U$182=1,LINEAS!$U$182=3),1,-1)*LINEAS!$AE$182*DATOS!$C$67)&lt;0.00005),"*",LINEAS!$D$182&amp;" UNI "&amp;IF(LINEAS!$U$182&lt;=2,"GZ","GX")&amp;" "&amp;TEXT(IF(OR(LINEAS!$U$182=1,LINEAS!$U$182=3),1,-1)*LINEAS!$AE$182*DATOS!$C$67,DATOS!$C$68)))</f>
        <v/>
      </c>
      <c r="E844" s="51" t="str">
        <f aca="false">IF(LEN($D844)&gt;79,"MÁS DE 79 CARACTERES","")</f>
        <v/>
      </c>
    </row>
    <row r="845" customFormat="false" ht="15" hidden="false" customHeight="true" outlineLevel="0" collapsed="false">
      <c r="B845" s="53" t="str">
        <f aca="false">IF(OR(LINEAS!$D$183="",LINEAS!$U$183=0,ABS(IF(OR(LINEAS!$U$183=1,LINEAS!$U$183=3),1,-1)*LINEAS!$AE$183*DATOS!$C$67)&lt;0.00005),"*",LINEAS!$D$183&amp;" UNI "&amp;IF(LINEAS!$U$183&lt;=2,"GZ","GX")&amp;" "&amp;TEXT(IF(OR(LINEAS!$U$183=1,LINEAS!$U$183=3),1,-1)*LINEAS!$AE$183*DATOS!$C$67,DATOS!$C$68))</f>
        <v>*</v>
      </c>
      <c r="C845" s="51" t="str">
        <f aca="false">IF(LEN($B845)&gt;79,"MÁS DE 79 CARACTERES","")</f>
        <v/>
      </c>
      <c r="D845" s="53" t="str">
        <f aca="false">IF(PRESIONES!$C$22="NO","",IF(OR(LINEAS!$D$183="",LINEAS!$U$183=0,ABS(IF(OR(LINEAS!$U$183=1,LINEAS!$U$183=3),1,-1)*LINEAS!$AE$183*DATOS!$C$67)&lt;0.00005),"*",LINEAS!$D$183&amp;" UNI "&amp;IF(LINEAS!$U$183&lt;=2,"GZ","GX")&amp;" "&amp;TEXT(IF(OR(LINEAS!$U$183=1,LINEAS!$U$183=3),1,-1)*LINEAS!$AE$183*DATOS!$C$67,DATOS!$C$68)))</f>
        <v/>
      </c>
      <c r="E845" s="51" t="str">
        <f aca="false">IF(LEN($D845)&gt;79,"MÁS DE 79 CARACTERES","")</f>
        <v/>
      </c>
    </row>
    <row r="846" customFormat="false" ht="15" hidden="false" customHeight="true" outlineLevel="0" collapsed="false">
      <c r="B846" s="53" t="str">
        <f aca="false">IF(OR(LINEAS!$D$184="",LINEAS!$U$184=0,ABS(IF(OR(LINEAS!$U$184=1,LINEAS!$U$184=3),1,-1)*LINEAS!$AE$184*DATOS!$C$67)&lt;0.00005),"*",LINEAS!$D$184&amp;" UNI "&amp;IF(LINEAS!$U$184&lt;=2,"GZ","GX")&amp;" "&amp;TEXT(IF(OR(LINEAS!$U$184=1,LINEAS!$U$184=3),1,-1)*LINEAS!$AE$184*DATOS!$C$67,DATOS!$C$68))</f>
        <v>*</v>
      </c>
      <c r="C846" s="51" t="str">
        <f aca="false">IF(LEN($B846)&gt;79,"MÁS DE 79 CARACTERES","")</f>
        <v/>
      </c>
      <c r="D846" s="53" t="str">
        <f aca="false">IF(PRESIONES!$C$22="NO","",IF(OR(LINEAS!$D$184="",LINEAS!$U$184=0,ABS(IF(OR(LINEAS!$U$184=1,LINEAS!$U$184=3),1,-1)*LINEAS!$AE$184*DATOS!$C$67)&lt;0.00005),"*",LINEAS!$D$184&amp;" UNI "&amp;IF(LINEAS!$U$184&lt;=2,"GZ","GX")&amp;" "&amp;TEXT(IF(OR(LINEAS!$U$184=1,LINEAS!$U$184=3),1,-1)*LINEAS!$AE$184*DATOS!$C$67,DATOS!$C$68)))</f>
        <v/>
      </c>
      <c r="E846" s="51" t="str">
        <f aca="false">IF(LEN($D846)&gt;79,"MÁS DE 79 CARACTERES","")</f>
        <v/>
      </c>
    </row>
    <row r="847" customFormat="false" ht="15" hidden="false" customHeight="true" outlineLevel="0" collapsed="false">
      <c r="B847" s="53" t="str">
        <f aca="false">IF(OR(LINEAS!$D$185="",LINEAS!$U$185=0,ABS(IF(OR(LINEAS!$U$185=1,LINEAS!$U$185=3),1,-1)*LINEAS!$AE$185*DATOS!$C$67)&lt;0.00005),"*",LINEAS!$D$185&amp;" UNI "&amp;IF(LINEAS!$U$185&lt;=2,"GZ","GX")&amp;" "&amp;TEXT(IF(OR(LINEAS!$U$185=1,LINEAS!$U$185=3),1,-1)*LINEAS!$AE$185*DATOS!$C$67,DATOS!$C$68))</f>
        <v>*</v>
      </c>
      <c r="C847" s="51" t="str">
        <f aca="false">IF(LEN($B847)&gt;79,"MÁS DE 79 CARACTERES","")</f>
        <v/>
      </c>
      <c r="D847" s="53" t="str">
        <f aca="false">IF(PRESIONES!$C$22="NO","",IF(OR(LINEAS!$D$185="",LINEAS!$U$185=0,ABS(IF(OR(LINEAS!$U$185=1,LINEAS!$U$185=3),1,-1)*LINEAS!$AE$185*DATOS!$C$67)&lt;0.00005),"*",LINEAS!$D$185&amp;" UNI "&amp;IF(LINEAS!$U$185&lt;=2,"GZ","GX")&amp;" "&amp;TEXT(IF(OR(LINEAS!$U$185=1,LINEAS!$U$185=3),1,-1)*LINEAS!$AE$185*DATOS!$C$67,DATOS!$C$68)))</f>
        <v/>
      </c>
      <c r="E847" s="51" t="str">
        <f aca="false">IF(LEN($D847)&gt;79,"MÁS DE 79 CARACTERES","")</f>
        <v/>
      </c>
    </row>
    <row r="848" customFormat="false" ht="15" hidden="false" customHeight="true" outlineLevel="0" collapsed="false">
      <c r="B848" s="53" t="str">
        <f aca="false">IF(OR(LINEAS!$D$186="",LINEAS!$U$186=0,ABS(IF(OR(LINEAS!$U$186=1,LINEAS!$U$186=3),1,-1)*LINEAS!$AE$186*DATOS!$C$67)&lt;0.00005),"*",LINEAS!$D$186&amp;" UNI "&amp;IF(LINEAS!$U$186&lt;=2,"GZ","GX")&amp;" "&amp;TEXT(IF(OR(LINEAS!$U$186=1,LINEAS!$U$186=3),1,-1)*LINEAS!$AE$186*DATOS!$C$67,DATOS!$C$68))</f>
        <v>*</v>
      </c>
      <c r="C848" s="51" t="str">
        <f aca="false">IF(LEN($B848)&gt;79,"MÁS DE 79 CARACTERES","")</f>
        <v/>
      </c>
      <c r="D848" s="53" t="str">
        <f aca="false">IF(PRESIONES!$C$22="NO","",IF(OR(LINEAS!$D$186="",LINEAS!$U$186=0,ABS(IF(OR(LINEAS!$U$186=1,LINEAS!$U$186=3),1,-1)*LINEAS!$AE$186*DATOS!$C$67)&lt;0.00005),"*",LINEAS!$D$186&amp;" UNI "&amp;IF(LINEAS!$U$186&lt;=2,"GZ","GX")&amp;" "&amp;TEXT(IF(OR(LINEAS!$U$186=1,LINEAS!$U$186=3),1,-1)*LINEAS!$AE$186*DATOS!$C$67,DATOS!$C$68)))</f>
        <v/>
      </c>
      <c r="E848" s="51" t="str">
        <f aca="false">IF(LEN($D848)&gt;79,"MÁS DE 79 CARACTERES","")</f>
        <v/>
      </c>
    </row>
    <row r="849" customFormat="false" ht="15" hidden="false" customHeight="true" outlineLevel="0" collapsed="false">
      <c r="B849" s="53" t="str">
        <f aca="false">IF(OR(LINEAS!$D$187="",LINEAS!$U$187=0,ABS(IF(OR(LINEAS!$U$187=1,LINEAS!$U$187=3),1,-1)*LINEAS!$AE$187*DATOS!$C$67)&lt;0.00005),"*",LINEAS!$D$187&amp;" UNI "&amp;IF(LINEAS!$U$187&lt;=2,"GZ","GX")&amp;" "&amp;TEXT(IF(OR(LINEAS!$U$187=1,LINEAS!$U$187=3),1,-1)*LINEAS!$AE$187*DATOS!$C$67,DATOS!$C$68))</f>
        <v>*</v>
      </c>
      <c r="C849" s="51" t="str">
        <f aca="false">IF(LEN($B849)&gt;79,"MÁS DE 79 CARACTERES","")</f>
        <v/>
      </c>
      <c r="D849" s="53" t="str">
        <f aca="false">IF(PRESIONES!$C$22="NO","",IF(OR(LINEAS!$D$187="",LINEAS!$U$187=0,ABS(IF(OR(LINEAS!$U$187=1,LINEAS!$U$187=3),1,-1)*LINEAS!$AE$187*DATOS!$C$67)&lt;0.00005),"*",LINEAS!$D$187&amp;" UNI "&amp;IF(LINEAS!$U$187&lt;=2,"GZ","GX")&amp;" "&amp;TEXT(IF(OR(LINEAS!$U$187=1,LINEAS!$U$187=3),1,-1)*LINEAS!$AE$187*DATOS!$C$67,DATOS!$C$68)))</f>
        <v/>
      </c>
      <c r="E849" s="51" t="str">
        <f aca="false">IF(LEN($D849)&gt;79,"MÁS DE 79 CARACTERES","")</f>
        <v/>
      </c>
    </row>
    <row r="850" customFormat="false" ht="15" hidden="false" customHeight="true" outlineLevel="0" collapsed="false">
      <c r="B850" s="53" t="str">
        <f aca="false">IF(OR(LINEAS!$D$188="",LINEAS!$U$188=0,ABS(IF(OR(LINEAS!$U$188=1,LINEAS!$U$188=3),1,-1)*LINEAS!$AE$188*DATOS!$C$67)&lt;0.00005),"*",LINEAS!$D$188&amp;" UNI "&amp;IF(LINEAS!$U$188&lt;=2,"GZ","GX")&amp;" "&amp;TEXT(IF(OR(LINEAS!$U$188=1,LINEAS!$U$188=3),1,-1)*LINEAS!$AE$188*DATOS!$C$67,DATOS!$C$68))</f>
        <v>*</v>
      </c>
      <c r="C850" s="51" t="str">
        <f aca="false">IF(LEN($B850)&gt;79,"MÁS DE 79 CARACTERES","")</f>
        <v/>
      </c>
      <c r="D850" s="53" t="str">
        <f aca="false">IF(PRESIONES!$C$22="NO","",IF(OR(LINEAS!$D$188="",LINEAS!$U$188=0,ABS(IF(OR(LINEAS!$U$188=1,LINEAS!$U$188=3),1,-1)*LINEAS!$AE$188*DATOS!$C$67)&lt;0.00005),"*",LINEAS!$D$188&amp;" UNI "&amp;IF(LINEAS!$U$188&lt;=2,"GZ","GX")&amp;" "&amp;TEXT(IF(OR(LINEAS!$U$188=1,LINEAS!$U$188=3),1,-1)*LINEAS!$AE$188*DATOS!$C$67,DATOS!$C$68)))</f>
        <v/>
      </c>
      <c r="E850" s="51" t="str">
        <f aca="false">IF(LEN($D850)&gt;79,"MÁS DE 79 CARACTERES","")</f>
        <v/>
      </c>
    </row>
    <row r="851" customFormat="false" ht="15" hidden="false" customHeight="true" outlineLevel="0" collapsed="false">
      <c r="B851" s="53" t="str">
        <f aca="false">IF(OR(LINEAS!$D$189="",LINEAS!$U$189=0,ABS(IF(OR(LINEAS!$U$189=1,LINEAS!$U$189=3),1,-1)*LINEAS!$AE$189*DATOS!$C$67)&lt;0.00005),"*",LINEAS!$D$189&amp;" UNI "&amp;IF(LINEAS!$U$189&lt;=2,"GZ","GX")&amp;" "&amp;TEXT(IF(OR(LINEAS!$U$189=1,LINEAS!$U$189=3),1,-1)*LINEAS!$AE$189*DATOS!$C$67,DATOS!$C$68))</f>
        <v>*</v>
      </c>
      <c r="C851" s="51" t="str">
        <f aca="false">IF(LEN($B851)&gt;79,"MÁS DE 79 CARACTERES","")</f>
        <v/>
      </c>
      <c r="D851" s="53" t="str">
        <f aca="false">IF(PRESIONES!$C$22="NO","",IF(OR(LINEAS!$D$189="",LINEAS!$U$189=0,ABS(IF(OR(LINEAS!$U$189=1,LINEAS!$U$189=3),1,-1)*LINEAS!$AE$189*DATOS!$C$67)&lt;0.00005),"*",LINEAS!$D$189&amp;" UNI "&amp;IF(LINEAS!$U$189&lt;=2,"GZ","GX")&amp;" "&amp;TEXT(IF(OR(LINEAS!$U$189=1,LINEAS!$U$189=3),1,-1)*LINEAS!$AE$189*DATOS!$C$67,DATOS!$C$68)))</f>
        <v/>
      </c>
      <c r="E851" s="51" t="str">
        <f aca="false">IF(LEN($D851)&gt;79,"MÁS DE 79 CARACTERES","")</f>
        <v/>
      </c>
    </row>
    <row r="852" customFormat="false" ht="15" hidden="false" customHeight="true" outlineLevel="0" collapsed="false">
      <c r="B852" s="53" t="str">
        <f aca="false">IF(OR(LINEAS!$D$190="",LINEAS!$U$190=0,ABS(IF(OR(LINEAS!$U$190=1,LINEAS!$U$190=3),1,-1)*LINEAS!$AE$190*DATOS!$C$67)&lt;0.00005),"*",LINEAS!$D$190&amp;" UNI "&amp;IF(LINEAS!$U$190&lt;=2,"GZ","GX")&amp;" "&amp;TEXT(IF(OR(LINEAS!$U$190=1,LINEAS!$U$190=3),1,-1)*LINEAS!$AE$190*DATOS!$C$67,DATOS!$C$68))</f>
        <v>*</v>
      </c>
      <c r="C852" s="51" t="str">
        <f aca="false">IF(LEN($B852)&gt;79,"MÁS DE 79 CARACTERES","")</f>
        <v/>
      </c>
      <c r="D852" s="53" t="str">
        <f aca="false">IF(PRESIONES!$C$22="NO","",IF(OR(LINEAS!$D$190="",LINEAS!$U$190=0,ABS(IF(OR(LINEAS!$U$190=1,LINEAS!$U$190=3),1,-1)*LINEAS!$AE$190*DATOS!$C$67)&lt;0.00005),"*",LINEAS!$D$190&amp;" UNI "&amp;IF(LINEAS!$U$190&lt;=2,"GZ","GX")&amp;" "&amp;TEXT(IF(OR(LINEAS!$U$190=1,LINEAS!$U$190=3),1,-1)*LINEAS!$AE$190*DATOS!$C$67,DATOS!$C$68)))</f>
        <v/>
      </c>
      <c r="E852" s="51" t="str">
        <f aca="false">IF(LEN($D852)&gt;79,"MÁS DE 79 CARACTERES","")</f>
        <v/>
      </c>
    </row>
    <row r="853" customFormat="false" ht="15" hidden="false" customHeight="true" outlineLevel="0" collapsed="false">
      <c r="B853" s="53" t="str">
        <f aca="false">IF(OR(LINEAS!$D$191="",LINEAS!$U$191=0,ABS(IF(OR(LINEAS!$U$191=1,LINEAS!$U$191=3),1,-1)*LINEAS!$AE$191*DATOS!$C$67)&lt;0.00005),"*",LINEAS!$D$191&amp;" UNI "&amp;IF(LINEAS!$U$191&lt;=2,"GZ","GX")&amp;" "&amp;TEXT(IF(OR(LINEAS!$U$191=1,LINEAS!$U$191=3),1,-1)*LINEAS!$AE$191*DATOS!$C$67,DATOS!$C$68))</f>
        <v>*</v>
      </c>
      <c r="C853" s="51" t="str">
        <f aca="false">IF(LEN($B853)&gt;79,"MÁS DE 79 CARACTERES","")</f>
        <v/>
      </c>
      <c r="D853" s="53" t="str">
        <f aca="false">IF(PRESIONES!$C$22="NO","",IF(OR(LINEAS!$D$191="",LINEAS!$U$191=0,ABS(IF(OR(LINEAS!$U$191=1,LINEAS!$U$191=3),1,-1)*LINEAS!$AE$191*DATOS!$C$67)&lt;0.00005),"*",LINEAS!$D$191&amp;" UNI "&amp;IF(LINEAS!$U$191&lt;=2,"GZ","GX")&amp;" "&amp;TEXT(IF(OR(LINEAS!$U$191=1,LINEAS!$U$191=3),1,-1)*LINEAS!$AE$191*DATOS!$C$67,DATOS!$C$68)))</f>
        <v/>
      </c>
      <c r="E853" s="51" t="str">
        <f aca="false">IF(LEN($D853)&gt;79,"MÁS DE 79 CARACTERES","")</f>
        <v/>
      </c>
    </row>
    <row r="854" customFormat="false" ht="15" hidden="false" customHeight="true" outlineLevel="0" collapsed="false">
      <c r="B854" s="53" t="str">
        <f aca="false">IF(OR(LINEAS!$D$192="",LINEAS!$U$192=0,ABS(IF(OR(LINEAS!$U$192=1,LINEAS!$U$192=3),1,-1)*LINEAS!$AE$192*DATOS!$C$67)&lt;0.00005),"*",LINEAS!$D$192&amp;" UNI "&amp;IF(LINEAS!$U$192&lt;=2,"GZ","GX")&amp;" "&amp;TEXT(IF(OR(LINEAS!$U$192=1,LINEAS!$U$192=3),1,-1)*LINEAS!$AE$192*DATOS!$C$67,DATOS!$C$68))</f>
        <v>*</v>
      </c>
      <c r="C854" s="51" t="str">
        <f aca="false">IF(LEN($B854)&gt;79,"MÁS DE 79 CARACTERES","")</f>
        <v/>
      </c>
      <c r="D854" s="53" t="str">
        <f aca="false">IF(PRESIONES!$C$22="NO","",IF(OR(LINEAS!$D$192="",LINEAS!$U$192=0,ABS(IF(OR(LINEAS!$U$192=1,LINEAS!$U$192=3),1,-1)*LINEAS!$AE$192*DATOS!$C$67)&lt;0.00005),"*",LINEAS!$D$192&amp;" UNI "&amp;IF(LINEAS!$U$192&lt;=2,"GZ","GX")&amp;" "&amp;TEXT(IF(OR(LINEAS!$U$192=1,LINEAS!$U$192=3),1,-1)*LINEAS!$AE$192*DATOS!$C$67,DATOS!$C$68)))</f>
        <v/>
      </c>
      <c r="E854" s="51" t="str">
        <f aca="false">IF(LEN($D854)&gt;79,"MÁS DE 79 CARACTERES","")</f>
        <v/>
      </c>
    </row>
    <row r="855" customFormat="false" ht="15" hidden="false" customHeight="true" outlineLevel="0" collapsed="false">
      <c r="B855" s="53" t="str">
        <f aca="false">IF(OR(LINEAS!$D$193="",LINEAS!$U$193=0,ABS(IF(OR(LINEAS!$U$193=1,LINEAS!$U$193=3),1,-1)*LINEAS!$AE$193*DATOS!$C$67)&lt;0.00005),"*",LINEAS!$D$193&amp;" UNI "&amp;IF(LINEAS!$U$193&lt;=2,"GZ","GX")&amp;" "&amp;TEXT(IF(OR(LINEAS!$U$193=1,LINEAS!$U$193=3),1,-1)*LINEAS!$AE$193*DATOS!$C$67,DATOS!$C$68))</f>
        <v>*</v>
      </c>
      <c r="C855" s="51" t="str">
        <f aca="false">IF(LEN($B855)&gt;79,"MÁS DE 79 CARACTERES","")</f>
        <v/>
      </c>
      <c r="D855" s="53" t="str">
        <f aca="false">IF(PRESIONES!$C$22="NO","",IF(OR(LINEAS!$D$193="",LINEAS!$U$193=0,ABS(IF(OR(LINEAS!$U$193=1,LINEAS!$U$193=3),1,-1)*LINEAS!$AE$193*DATOS!$C$67)&lt;0.00005),"*",LINEAS!$D$193&amp;" UNI "&amp;IF(LINEAS!$U$193&lt;=2,"GZ","GX")&amp;" "&amp;TEXT(IF(OR(LINEAS!$U$193=1,LINEAS!$U$193=3),1,-1)*LINEAS!$AE$193*DATOS!$C$67,DATOS!$C$68)))</f>
        <v/>
      </c>
      <c r="E855" s="51" t="str">
        <f aca="false">IF(LEN($D855)&gt;79,"MÁS DE 79 CARACTERES","")</f>
        <v/>
      </c>
    </row>
    <row r="856" customFormat="false" ht="15" hidden="false" customHeight="true" outlineLevel="0" collapsed="false">
      <c r="B856" s="53" t="str">
        <f aca="false">IF(OR(LINEAS!$D$194="",LINEAS!$U$194=0,ABS(IF(OR(LINEAS!$U$194=1,LINEAS!$U$194=3),1,-1)*LINEAS!$AE$194*DATOS!$C$67)&lt;0.00005),"*",LINEAS!$D$194&amp;" UNI "&amp;IF(LINEAS!$U$194&lt;=2,"GZ","GX")&amp;" "&amp;TEXT(IF(OR(LINEAS!$U$194=1,LINEAS!$U$194=3),1,-1)*LINEAS!$AE$194*DATOS!$C$67,DATOS!$C$68))</f>
        <v>*</v>
      </c>
      <c r="C856" s="51" t="str">
        <f aca="false">IF(LEN($B856)&gt;79,"MÁS DE 79 CARACTERES","")</f>
        <v/>
      </c>
      <c r="D856" s="53" t="str">
        <f aca="false">IF(PRESIONES!$C$22="NO","",IF(OR(LINEAS!$D$194="",LINEAS!$U$194=0,ABS(IF(OR(LINEAS!$U$194=1,LINEAS!$U$194=3),1,-1)*LINEAS!$AE$194*DATOS!$C$67)&lt;0.00005),"*",LINEAS!$D$194&amp;" UNI "&amp;IF(LINEAS!$U$194&lt;=2,"GZ","GX")&amp;" "&amp;TEXT(IF(OR(LINEAS!$U$194=1,LINEAS!$U$194=3),1,-1)*LINEAS!$AE$194*DATOS!$C$67,DATOS!$C$68)))</f>
        <v/>
      </c>
      <c r="E856" s="51" t="str">
        <f aca="false">IF(LEN($D856)&gt;79,"MÁS DE 79 CARACTERES","")</f>
        <v/>
      </c>
    </row>
    <row r="857" customFormat="false" ht="15" hidden="false" customHeight="true" outlineLevel="0" collapsed="false">
      <c r="B857" s="52" t="str">
        <f aca="false">"LOAD "&amp;(DATOS!$C$66+4)&amp;" LOADTYPE Wind  TITLE "&amp;DATOS!$E$76</f>
        <v>LOAD 12 LOADTYPE Wind  TITLE VIENTO X PA</v>
      </c>
      <c r="C857" s="51" t="str">
        <f aca="false">IF(LEN($B857)&gt;79,"MÁS DE 79 CARACTERES","")</f>
        <v/>
      </c>
      <c r="D857" s="53" t="str">
        <f aca="false">IF(PRESIONES!$C$22="NO",IF(5=1,"* CASOS B = CASOS A (SIN ±0.4 NI +0.3 EN EL TECHO): NO HACE FALTA",""),"LOAD "&amp;(DATOS!$C$69+4)&amp;" LOADTYPE Wind  TITLE "&amp;DATOS!$E$76&amp;" B")</f>
        <v/>
      </c>
      <c r="E857" s="51" t="str">
        <f aca="false">IF(LEN($D857)&gt;79,"MÁS DE 79 CARACTERES","")</f>
        <v/>
      </c>
    </row>
    <row r="858" customFormat="false" ht="15" hidden="false" customHeight="true" outlineLevel="0" collapsed="false">
      <c r="B858" s="53" t="s">
        <v>634</v>
      </c>
      <c r="C858" s="51" t="str">
        <f aca="false">IF(LEN($B858)&gt;79,"MÁS DE 79 CARACTERES","")</f>
        <v/>
      </c>
      <c r="D858" s="53" t="str">
        <f aca="false">IF(PRESIONES!$C$22="NO","","MEMBER LOAD")</f>
        <v/>
      </c>
      <c r="E858" s="51" t="str">
        <f aca="false">IF(LEN($D858)&gt;79,"MÁS DE 79 CARACTERES","")</f>
        <v/>
      </c>
    </row>
    <row r="859" customFormat="false" ht="15" hidden="false" customHeight="true" outlineLevel="0" collapsed="false">
      <c r="B859" s="53" t="str">
        <f aca="false">IF(OR(LINEAS!$D$9="",ABS(-LINEAS!$AF$9*DATOS!$C$67)&lt;0.00005),"*",LINEAS!$D$9&amp;" UNI GY "&amp;TEXT(-LINEAS!$AF$9*DATOS!$C$67,DATOS!$C$68))</f>
        <v>22 85 TO 88 UNI GY 0.0659</v>
      </c>
      <c r="C859" s="51" t="str">
        <f aca="false">IF(LEN($B859)&gt;79,"MÁS DE 79 CARACTERES","")</f>
        <v/>
      </c>
      <c r="D859" s="53" t="str">
        <f aca="false">IF(PRESIONES!$C$22="NO","",IF(OR(LINEAS!$D$9="",ABS(-LINEAS!$AV$9*DATOS!$C$67)&lt;0.00005),"*",LINEAS!$D$9&amp;" UNI GY "&amp;TEXT(-LINEAS!$AV$9*DATOS!$C$67,DATOS!$C$68)))</f>
        <v/>
      </c>
      <c r="E859" s="51" t="str">
        <f aca="false">IF(LEN($D859)&gt;79,"MÁS DE 79 CARACTERES","")</f>
        <v/>
      </c>
    </row>
    <row r="860" customFormat="false" ht="15" hidden="false" customHeight="true" outlineLevel="0" collapsed="false">
      <c r="B860" s="53" t="str">
        <f aca="false">IF(OR(LINEAS!$D$9="",DATOS!$C$22="—",ABS(LINEAS!$AN$9*DATOS!$C$67)&lt;0.00005),"*",LINEAS!$D$9&amp;" UNI G"&amp;DATOS!$C$22&amp;" "&amp;TEXT(LINEAS!$AN$9*DATOS!$C$67,DATOS!$C$68))</f>
        <v>22 85 TO 88 UNI GZ 0.0033</v>
      </c>
      <c r="C860" s="51" t="str">
        <f aca="false">IF(LEN($B860)&gt;79,"MÁS DE 79 CARACTERES","")</f>
        <v/>
      </c>
      <c r="D860" s="53" t="str">
        <f aca="false">IF(PRESIONES!$C$22="NO","",IF(OR(LINEAS!$D$9="",DATOS!$C$22="—",ABS(LINEAS!$BD$9*DATOS!$C$67)&lt;0.00005),"*",LINEAS!$D$9&amp;" UNI G"&amp;DATOS!$C$22&amp;" "&amp;TEXT(LINEAS!$BD$9*DATOS!$C$67,DATOS!$C$68)))</f>
        <v/>
      </c>
      <c r="E860" s="51" t="str">
        <f aca="false">IF(LEN($D860)&gt;79,"MÁS DE 79 CARACTERES","")</f>
        <v/>
      </c>
    </row>
    <row r="861" customFormat="false" ht="15" hidden="false" customHeight="true" outlineLevel="0" collapsed="false">
      <c r="B861" s="53" t="str">
        <f aca="false">IF(OR(LINEAS!$D$10="",ABS(-LINEAS!$AF$10*DATOS!$C$67)&lt;0.00005),"*",LINEAS!$D$10&amp;" UNI GY "&amp;TEXT(-LINEAS!$AF$10*DATOS!$C$67,DATOS!$C$68))</f>
        <v>80 129 TO 132 UNI GY 0.1318</v>
      </c>
      <c r="C861" s="51" t="str">
        <f aca="false">IF(LEN($B861)&gt;79,"MÁS DE 79 CARACTERES","")</f>
        <v/>
      </c>
      <c r="D861" s="53" t="str">
        <f aca="false">IF(PRESIONES!$C$22="NO","",IF(OR(LINEAS!$D$10="",ABS(-LINEAS!$AV$10*DATOS!$C$67)&lt;0.00005),"*",LINEAS!$D$10&amp;" UNI GY "&amp;TEXT(-LINEAS!$AV$10*DATOS!$C$67,DATOS!$C$68)))</f>
        <v/>
      </c>
      <c r="E861" s="51" t="str">
        <f aca="false">IF(LEN($D861)&gt;79,"MÁS DE 79 CARACTERES","")</f>
        <v/>
      </c>
    </row>
    <row r="862" customFormat="false" ht="15" hidden="false" customHeight="true" outlineLevel="0" collapsed="false">
      <c r="B862" s="53" t="str">
        <f aca="false">IF(OR(LINEAS!$D$10="",DATOS!$C$22="—",ABS(LINEAS!$AN$10*DATOS!$C$67)&lt;0.00005),"*",LINEAS!$D$10&amp;" UNI G"&amp;DATOS!$C$22&amp;" "&amp;TEXT(LINEAS!$AN$10*DATOS!$C$67,DATOS!$C$68))</f>
        <v>80 129 TO 132 UNI GZ 0.0066</v>
      </c>
      <c r="C862" s="51" t="str">
        <f aca="false">IF(LEN($B862)&gt;79,"MÁS DE 79 CARACTERES","")</f>
        <v/>
      </c>
      <c r="D862" s="53" t="str">
        <f aca="false">IF(PRESIONES!$C$22="NO","",IF(OR(LINEAS!$D$10="",DATOS!$C$22="—",ABS(LINEAS!$BD$10*DATOS!$C$67)&lt;0.00005),"*",LINEAS!$D$10&amp;" UNI G"&amp;DATOS!$C$22&amp;" "&amp;TEXT(LINEAS!$BD$10*DATOS!$C$67,DATOS!$C$68)))</f>
        <v/>
      </c>
      <c r="E862" s="51" t="str">
        <f aca="false">IF(LEN($D862)&gt;79,"MÁS DE 79 CARACTERES","")</f>
        <v/>
      </c>
    </row>
    <row r="863" customFormat="false" ht="15" hidden="false" customHeight="true" outlineLevel="0" collapsed="false">
      <c r="B863" s="53" t="str">
        <f aca="false">IF(OR(LINEAS!$D$11="",ABS(-LINEAS!$AF$11*DATOS!$C$67)&lt;0.00005),"*",LINEAS!$D$11&amp;" UNI GY "&amp;TEXT(-LINEAS!$AF$11*DATOS!$C$67,DATOS!$C$68))</f>
        <v>79 125 TO 128 UNI GY 0.1318</v>
      </c>
      <c r="C863" s="51" t="str">
        <f aca="false">IF(LEN($B863)&gt;79,"MÁS DE 79 CARACTERES","")</f>
        <v/>
      </c>
      <c r="D863" s="53" t="str">
        <f aca="false">IF(PRESIONES!$C$22="NO","",IF(OR(LINEAS!$D$11="",ABS(-LINEAS!$AV$11*DATOS!$C$67)&lt;0.00005),"*",LINEAS!$D$11&amp;" UNI GY "&amp;TEXT(-LINEAS!$AV$11*DATOS!$C$67,DATOS!$C$68)))</f>
        <v/>
      </c>
      <c r="E863" s="51" t="str">
        <f aca="false">IF(LEN($D863)&gt;79,"MÁS DE 79 CARACTERES","")</f>
        <v/>
      </c>
    </row>
    <row r="864" customFormat="false" ht="15" hidden="false" customHeight="true" outlineLevel="0" collapsed="false">
      <c r="B864" s="53" t="str">
        <f aca="false">IF(OR(LINEAS!$D$11="",DATOS!$C$22="—",ABS(LINEAS!$AN$11*DATOS!$C$67)&lt;0.00005),"*",LINEAS!$D$11&amp;" UNI G"&amp;DATOS!$C$22&amp;" "&amp;TEXT(LINEAS!$AN$11*DATOS!$C$67,DATOS!$C$68))</f>
        <v>79 125 TO 128 UNI GZ 0.0066</v>
      </c>
      <c r="C864" s="51" t="str">
        <f aca="false">IF(LEN($B864)&gt;79,"MÁS DE 79 CARACTERES","")</f>
        <v/>
      </c>
      <c r="D864" s="53" t="str">
        <f aca="false">IF(PRESIONES!$C$22="NO","",IF(OR(LINEAS!$D$11="",DATOS!$C$22="—",ABS(LINEAS!$BD$11*DATOS!$C$67)&lt;0.00005),"*",LINEAS!$D$11&amp;" UNI G"&amp;DATOS!$C$22&amp;" "&amp;TEXT(LINEAS!$BD$11*DATOS!$C$67,DATOS!$C$68)))</f>
        <v/>
      </c>
      <c r="E864" s="51" t="str">
        <f aca="false">IF(LEN($D864)&gt;79,"MÁS DE 79 CARACTERES","")</f>
        <v/>
      </c>
    </row>
    <row r="865" customFormat="false" ht="15" hidden="false" customHeight="true" outlineLevel="0" collapsed="false">
      <c r="B865" s="53" t="str">
        <f aca="false">IF(OR(LINEAS!$D$12="",ABS(-LINEAS!$AF$12*DATOS!$C$67)&lt;0.00005),"*",LINEAS!$D$12&amp;" UNI GY "&amp;TEXT(-LINEAS!$AF$12*DATOS!$C$67,DATOS!$C$68))</f>
        <v>78 121 TO 124 UNI GY 0.1318</v>
      </c>
      <c r="C865" s="51" t="str">
        <f aca="false">IF(LEN($B865)&gt;79,"MÁS DE 79 CARACTERES","")</f>
        <v/>
      </c>
      <c r="D865" s="53" t="str">
        <f aca="false">IF(PRESIONES!$C$22="NO","",IF(OR(LINEAS!$D$12="",ABS(-LINEAS!$AV$12*DATOS!$C$67)&lt;0.00005),"*",LINEAS!$D$12&amp;" UNI GY "&amp;TEXT(-LINEAS!$AV$12*DATOS!$C$67,DATOS!$C$68)))</f>
        <v/>
      </c>
      <c r="E865" s="51" t="str">
        <f aca="false">IF(LEN($D865)&gt;79,"MÁS DE 79 CARACTERES","")</f>
        <v/>
      </c>
    </row>
    <row r="866" customFormat="false" ht="15" hidden="false" customHeight="true" outlineLevel="0" collapsed="false">
      <c r="B866" s="53" t="str">
        <f aca="false">IF(OR(LINEAS!$D$12="",DATOS!$C$22="—",ABS(LINEAS!$AN$12*DATOS!$C$67)&lt;0.00005),"*",LINEAS!$D$12&amp;" UNI G"&amp;DATOS!$C$22&amp;" "&amp;TEXT(LINEAS!$AN$12*DATOS!$C$67,DATOS!$C$68))</f>
        <v>78 121 TO 124 UNI GZ 0.0066</v>
      </c>
      <c r="C866" s="51" t="str">
        <f aca="false">IF(LEN($B866)&gt;79,"MÁS DE 79 CARACTERES","")</f>
        <v/>
      </c>
      <c r="D866" s="53" t="str">
        <f aca="false">IF(PRESIONES!$C$22="NO","",IF(OR(LINEAS!$D$12="",DATOS!$C$22="—",ABS(LINEAS!$BD$12*DATOS!$C$67)&lt;0.00005),"*",LINEAS!$D$12&amp;" UNI G"&amp;DATOS!$C$22&amp;" "&amp;TEXT(LINEAS!$BD$12*DATOS!$C$67,DATOS!$C$68)))</f>
        <v/>
      </c>
      <c r="E866" s="51" t="str">
        <f aca="false">IF(LEN($D866)&gt;79,"MÁS DE 79 CARACTERES","")</f>
        <v/>
      </c>
    </row>
    <row r="867" customFormat="false" ht="15" hidden="false" customHeight="true" outlineLevel="0" collapsed="false">
      <c r="B867" s="53" t="str">
        <f aca="false">IF(OR(LINEAS!$D$13="",ABS(-LINEAS!$AF$13*DATOS!$C$67)&lt;0.00005),"*",LINEAS!$D$13&amp;" UNI GY "&amp;TEXT(-LINEAS!$AF$13*DATOS!$C$67,DATOS!$C$68))</f>
        <v>77 117 TO 120 UNI GY 0.1318</v>
      </c>
      <c r="C867" s="51" t="str">
        <f aca="false">IF(LEN($B867)&gt;79,"MÁS DE 79 CARACTERES","")</f>
        <v/>
      </c>
      <c r="D867" s="53" t="str">
        <f aca="false">IF(PRESIONES!$C$22="NO","",IF(OR(LINEAS!$D$13="",ABS(-LINEAS!$AV$13*DATOS!$C$67)&lt;0.00005),"*",LINEAS!$D$13&amp;" UNI GY "&amp;TEXT(-LINEAS!$AV$13*DATOS!$C$67,DATOS!$C$68)))</f>
        <v/>
      </c>
      <c r="E867" s="51" t="str">
        <f aca="false">IF(LEN($D867)&gt;79,"MÁS DE 79 CARACTERES","")</f>
        <v/>
      </c>
    </row>
    <row r="868" customFormat="false" ht="15" hidden="false" customHeight="true" outlineLevel="0" collapsed="false">
      <c r="B868" s="53" t="str">
        <f aca="false">IF(OR(LINEAS!$D$13="",DATOS!$C$22="—",ABS(LINEAS!$AN$13*DATOS!$C$67)&lt;0.00005),"*",LINEAS!$D$13&amp;" UNI G"&amp;DATOS!$C$22&amp;" "&amp;TEXT(LINEAS!$AN$13*DATOS!$C$67,DATOS!$C$68))</f>
        <v>77 117 TO 120 UNI GZ 0.0066</v>
      </c>
      <c r="C868" s="51" t="str">
        <f aca="false">IF(LEN($B868)&gt;79,"MÁS DE 79 CARACTERES","")</f>
        <v/>
      </c>
      <c r="D868" s="53" t="str">
        <f aca="false">IF(PRESIONES!$C$22="NO","",IF(OR(LINEAS!$D$13="",DATOS!$C$22="—",ABS(LINEAS!$BD$13*DATOS!$C$67)&lt;0.00005),"*",LINEAS!$D$13&amp;" UNI G"&amp;DATOS!$C$22&amp;" "&amp;TEXT(LINEAS!$BD$13*DATOS!$C$67,DATOS!$C$68)))</f>
        <v/>
      </c>
      <c r="E868" s="51" t="str">
        <f aca="false">IF(LEN($D868)&gt;79,"MÁS DE 79 CARACTERES","")</f>
        <v/>
      </c>
    </row>
    <row r="869" customFormat="false" ht="15" hidden="false" customHeight="true" outlineLevel="0" collapsed="false">
      <c r="B869" s="53" t="str">
        <f aca="false">IF(OR(LINEAS!$D$14="",ABS(-LINEAS!$AF$14*DATOS!$C$67)&lt;0.00005),"*",LINEAS!$D$14&amp;" UNI GY "&amp;TEXT(-LINEAS!$AF$14*DATOS!$C$67,DATOS!$C$68))</f>
        <v>9 93 TO 96 UNI GY 0.1318</v>
      </c>
      <c r="C869" s="51" t="str">
        <f aca="false">IF(LEN($B869)&gt;79,"MÁS DE 79 CARACTERES","")</f>
        <v/>
      </c>
      <c r="D869" s="53" t="str">
        <f aca="false">IF(PRESIONES!$C$22="NO","",IF(OR(LINEAS!$D$14="",ABS(-LINEAS!$AV$14*DATOS!$C$67)&lt;0.00005),"*",LINEAS!$D$14&amp;" UNI GY "&amp;TEXT(-LINEAS!$AV$14*DATOS!$C$67,DATOS!$C$68)))</f>
        <v/>
      </c>
      <c r="E869" s="51" t="str">
        <f aca="false">IF(LEN($D869)&gt;79,"MÁS DE 79 CARACTERES","")</f>
        <v/>
      </c>
    </row>
    <row r="870" customFormat="false" ht="15" hidden="false" customHeight="true" outlineLevel="0" collapsed="false">
      <c r="B870" s="53" t="str">
        <f aca="false">IF(OR(LINEAS!$D$14="",DATOS!$C$22="—",ABS(LINEAS!$AN$14*DATOS!$C$67)&lt;0.00005),"*",LINEAS!$D$14&amp;" UNI G"&amp;DATOS!$C$22&amp;" "&amp;TEXT(LINEAS!$AN$14*DATOS!$C$67,DATOS!$C$68))</f>
        <v>9 93 TO 96 UNI GZ 0.0066</v>
      </c>
      <c r="C870" s="51" t="str">
        <f aca="false">IF(LEN($B870)&gt;79,"MÁS DE 79 CARACTERES","")</f>
        <v/>
      </c>
      <c r="D870" s="53" t="str">
        <f aca="false">IF(PRESIONES!$C$22="NO","",IF(OR(LINEAS!$D$14="",DATOS!$C$22="—",ABS(LINEAS!$BD$14*DATOS!$C$67)&lt;0.00005),"*",LINEAS!$D$14&amp;" UNI G"&amp;DATOS!$C$22&amp;" "&amp;TEXT(LINEAS!$BD$14*DATOS!$C$67,DATOS!$C$68)))</f>
        <v/>
      </c>
      <c r="E870" s="51" t="str">
        <f aca="false">IF(LEN($D870)&gt;79,"MÁS DE 79 CARACTERES","")</f>
        <v/>
      </c>
    </row>
    <row r="871" customFormat="false" ht="15" hidden="false" customHeight="true" outlineLevel="0" collapsed="false">
      <c r="B871" s="53" t="str">
        <f aca="false">IF(OR(LINEAS!$D$15="",ABS(-LINEAS!$AF$15*DATOS!$C$67)&lt;0.00005),"*",LINEAS!$D$15&amp;" UNI GY "&amp;TEXT(-LINEAS!$AF$15*DATOS!$C$67,DATOS!$C$68))</f>
        <v>76 113 TO 116 UNI GY 0.1318</v>
      </c>
      <c r="C871" s="51" t="str">
        <f aca="false">IF(LEN($B871)&gt;79,"MÁS DE 79 CARACTERES","")</f>
        <v/>
      </c>
      <c r="D871" s="53" t="str">
        <f aca="false">IF(PRESIONES!$C$22="NO","",IF(OR(LINEAS!$D$15="",ABS(-LINEAS!$AV$15*DATOS!$C$67)&lt;0.00005),"*",LINEAS!$D$15&amp;" UNI GY "&amp;TEXT(-LINEAS!$AV$15*DATOS!$C$67,DATOS!$C$68)))</f>
        <v/>
      </c>
      <c r="E871" s="51" t="str">
        <f aca="false">IF(LEN($D871)&gt;79,"MÁS DE 79 CARACTERES","")</f>
        <v/>
      </c>
    </row>
    <row r="872" customFormat="false" ht="15" hidden="false" customHeight="true" outlineLevel="0" collapsed="false">
      <c r="B872" s="53" t="str">
        <f aca="false">IF(OR(LINEAS!$D$15="",DATOS!$C$22="—",ABS(LINEAS!$AN$15*DATOS!$C$67)&lt;0.00005),"*",LINEAS!$D$15&amp;" UNI G"&amp;DATOS!$C$22&amp;" "&amp;TEXT(LINEAS!$AN$15*DATOS!$C$67,DATOS!$C$68))</f>
        <v>76 113 TO 116 UNI GZ 0.0066</v>
      </c>
      <c r="C872" s="51" t="str">
        <f aca="false">IF(LEN($B872)&gt;79,"MÁS DE 79 CARACTERES","")</f>
        <v/>
      </c>
      <c r="D872" s="53" t="str">
        <f aca="false">IF(PRESIONES!$C$22="NO","",IF(OR(LINEAS!$D$15="",DATOS!$C$22="—",ABS(LINEAS!$BD$15*DATOS!$C$67)&lt;0.00005),"*",LINEAS!$D$15&amp;" UNI G"&amp;DATOS!$C$22&amp;" "&amp;TEXT(LINEAS!$BD$15*DATOS!$C$67,DATOS!$C$68)))</f>
        <v/>
      </c>
      <c r="E872" s="51" t="str">
        <f aca="false">IF(LEN($D872)&gt;79,"MÁS DE 79 CARACTERES","")</f>
        <v/>
      </c>
    </row>
    <row r="873" customFormat="false" ht="15" hidden="false" customHeight="true" outlineLevel="0" collapsed="false">
      <c r="B873" s="53" t="str">
        <f aca="false">IF(OR(LINEAS!$D$16="",ABS(-LINEAS!$AF$16*DATOS!$C$67)&lt;0.00005),"*",LINEAS!$D$16&amp;" UNI GY "&amp;TEXT(-LINEAS!$AF$16*DATOS!$C$67,DATOS!$C$68))</f>
        <v>75 109 TO 112 UNI GY 0.1318</v>
      </c>
      <c r="C873" s="51" t="str">
        <f aca="false">IF(LEN($B873)&gt;79,"MÁS DE 79 CARACTERES","")</f>
        <v/>
      </c>
      <c r="D873" s="53" t="str">
        <f aca="false">IF(PRESIONES!$C$22="NO","",IF(OR(LINEAS!$D$16="",ABS(-LINEAS!$AV$16*DATOS!$C$67)&lt;0.00005),"*",LINEAS!$D$16&amp;" UNI GY "&amp;TEXT(-LINEAS!$AV$16*DATOS!$C$67,DATOS!$C$68)))</f>
        <v/>
      </c>
      <c r="E873" s="51" t="str">
        <f aca="false">IF(LEN($D873)&gt;79,"MÁS DE 79 CARACTERES","")</f>
        <v/>
      </c>
    </row>
    <row r="874" customFormat="false" ht="15" hidden="false" customHeight="true" outlineLevel="0" collapsed="false">
      <c r="B874" s="53" t="str">
        <f aca="false">IF(OR(LINEAS!$D$16="",DATOS!$C$22="—",ABS(LINEAS!$AN$16*DATOS!$C$67)&lt;0.00005),"*",LINEAS!$D$16&amp;" UNI G"&amp;DATOS!$C$22&amp;" "&amp;TEXT(LINEAS!$AN$16*DATOS!$C$67,DATOS!$C$68))</f>
        <v>75 109 TO 112 UNI GZ 0.0066</v>
      </c>
      <c r="C874" s="51" t="str">
        <f aca="false">IF(LEN($B874)&gt;79,"MÁS DE 79 CARACTERES","")</f>
        <v/>
      </c>
      <c r="D874" s="53" t="str">
        <f aca="false">IF(PRESIONES!$C$22="NO","",IF(OR(LINEAS!$D$16="",DATOS!$C$22="—",ABS(LINEAS!$BD$16*DATOS!$C$67)&lt;0.00005),"*",LINEAS!$D$16&amp;" UNI G"&amp;DATOS!$C$22&amp;" "&amp;TEXT(LINEAS!$BD$16*DATOS!$C$67,DATOS!$C$68)))</f>
        <v/>
      </c>
      <c r="E874" s="51" t="str">
        <f aca="false">IF(LEN($D874)&gt;79,"MÁS DE 79 CARACTERES","")</f>
        <v/>
      </c>
    </row>
    <row r="875" customFormat="false" ht="15" hidden="false" customHeight="true" outlineLevel="0" collapsed="false">
      <c r="B875" s="53" t="str">
        <f aca="false">IF(OR(LINEAS!$D$17="",ABS(-LINEAS!$AF$17*DATOS!$C$67)&lt;0.00005),"*",LINEAS!$D$17&amp;" UNI GY "&amp;TEXT(-LINEAS!$AF$17*DATOS!$C$67,DATOS!$C$68))</f>
        <v>74 105 TO 108 UNI GY 0.1318</v>
      </c>
      <c r="C875" s="51" t="str">
        <f aca="false">IF(LEN($B875)&gt;79,"MÁS DE 79 CARACTERES","")</f>
        <v/>
      </c>
      <c r="D875" s="53" t="str">
        <f aca="false">IF(PRESIONES!$C$22="NO","",IF(OR(LINEAS!$D$17="",ABS(-LINEAS!$AV$17*DATOS!$C$67)&lt;0.00005),"*",LINEAS!$D$17&amp;" UNI GY "&amp;TEXT(-LINEAS!$AV$17*DATOS!$C$67,DATOS!$C$68)))</f>
        <v/>
      </c>
      <c r="E875" s="51" t="str">
        <f aca="false">IF(LEN($D875)&gt;79,"MÁS DE 79 CARACTERES","")</f>
        <v/>
      </c>
    </row>
    <row r="876" customFormat="false" ht="15" hidden="false" customHeight="true" outlineLevel="0" collapsed="false">
      <c r="B876" s="53" t="str">
        <f aca="false">IF(OR(LINEAS!$D$17="",DATOS!$C$22="—",ABS(LINEAS!$AN$17*DATOS!$C$67)&lt;0.00005),"*",LINEAS!$D$17&amp;" UNI G"&amp;DATOS!$C$22&amp;" "&amp;TEXT(LINEAS!$AN$17*DATOS!$C$67,DATOS!$C$68))</f>
        <v>74 105 TO 108 UNI GZ 0.0066</v>
      </c>
      <c r="C876" s="51" t="str">
        <f aca="false">IF(LEN($B876)&gt;79,"MÁS DE 79 CARACTERES","")</f>
        <v/>
      </c>
      <c r="D876" s="53" t="str">
        <f aca="false">IF(PRESIONES!$C$22="NO","",IF(OR(LINEAS!$D$17="",DATOS!$C$22="—",ABS(LINEAS!$BD$17*DATOS!$C$67)&lt;0.00005),"*",LINEAS!$D$17&amp;" UNI G"&amp;DATOS!$C$22&amp;" "&amp;TEXT(LINEAS!$BD$17*DATOS!$C$67,DATOS!$C$68)))</f>
        <v/>
      </c>
      <c r="E876" s="51" t="str">
        <f aca="false">IF(LEN($D876)&gt;79,"MÁS DE 79 CARACTERES","")</f>
        <v/>
      </c>
    </row>
    <row r="877" customFormat="false" ht="15" hidden="false" customHeight="true" outlineLevel="0" collapsed="false">
      <c r="B877" s="53" t="str">
        <f aca="false">IF(OR(LINEAS!$D$18="",ABS(-LINEAS!$AF$18*DATOS!$C$67)&lt;0.00005),"*",LINEAS!$D$18&amp;" UNI GY "&amp;TEXT(-LINEAS!$AF$18*DATOS!$C$67,DATOS!$C$68))</f>
        <v>73 101 TO 104 UNI GY 0.1318</v>
      </c>
      <c r="C877" s="51" t="str">
        <f aca="false">IF(LEN($B877)&gt;79,"MÁS DE 79 CARACTERES","")</f>
        <v/>
      </c>
      <c r="D877" s="53" t="str">
        <f aca="false">IF(PRESIONES!$C$22="NO","",IF(OR(LINEAS!$D$18="",ABS(-LINEAS!$AV$18*DATOS!$C$67)&lt;0.00005),"*",LINEAS!$D$18&amp;" UNI GY "&amp;TEXT(-LINEAS!$AV$18*DATOS!$C$67,DATOS!$C$68)))</f>
        <v/>
      </c>
      <c r="E877" s="51" t="str">
        <f aca="false">IF(LEN($D877)&gt;79,"MÁS DE 79 CARACTERES","")</f>
        <v/>
      </c>
    </row>
    <row r="878" customFormat="false" ht="15" hidden="false" customHeight="true" outlineLevel="0" collapsed="false">
      <c r="B878" s="53" t="str">
        <f aca="false">IF(OR(LINEAS!$D$18="",DATOS!$C$22="—",ABS(LINEAS!$AN$18*DATOS!$C$67)&lt;0.00005),"*",LINEAS!$D$18&amp;" UNI G"&amp;DATOS!$C$22&amp;" "&amp;TEXT(LINEAS!$AN$18*DATOS!$C$67,DATOS!$C$68))</f>
        <v>73 101 TO 104 UNI GZ 0.0066</v>
      </c>
      <c r="C878" s="51" t="str">
        <f aca="false">IF(LEN($B878)&gt;79,"MÁS DE 79 CARACTERES","")</f>
        <v/>
      </c>
      <c r="D878" s="53" t="str">
        <f aca="false">IF(PRESIONES!$C$22="NO","",IF(OR(LINEAS!$D$18="",DATOS!$C$22="—",ABS(LINEAS!$BD$18*DATOS!$C$67)&lt;0.00005),"*",LINEAS!$D$18&amp;" UNI G"&amp;DATOS!$C$22&amp;" "&amp;TEXT(LINEAS!$BD$18*DATOS!$C$67,DATOS!$C$68)))</f>
        <v/>
      </c>
      <c r="E878" s="51" t="str">
        <f aca="false">IF(LEN($D878)&gt;79,"MÁS DE 79 CARACTERES","")</f>
        <v/>
      </c>
    </row>
    <row r="879" customFormat="false" ht="15" hidden="false" customHeight="true" outlineLevel="0" collapsed="false">
      <c r="B879" s="53" t="str">
        <f aca="false">IF(OR(LINEAS!$D$19="",ABS(-LINEAS!$AF$19*DATOS!$C$67)&lt;0.00005),"*",LINEAS!$D$19&amp;" UNI GY "&amp;TEXT(-LINEAS!$AF$19*DATOS!$C$67,DATOS!$C$68))</f>
        <v>8 89 TO 92 UNI GY 0.1270</v>
      </c>
      <c r="C879" s="51" t="str">
        <f aca="false">IF(LEN($B879)&gt;79,"MÁS DE 79 CARACTERES","")</f>
        <v/>
      </c>
      <c r="D879" s="53" t="str">
        <f aca="false">IF(PRESIONES!$C$22="NO","",IF(OR(LINEAS!$D$19="",ABS(-LINEAS!$AV$19*DATOS!$C$67)&lt;0.00005),"*",LINEAS!$D$19&amp;" UNI GY "&amp;TEXT(-LINEAS!$AV$19*DATOS!$C$67,DATOS!$C$68)))</f>
        <v/>
      </c>
      <c r="E879" s="51" t="str">
        <f aca="false">IF(LEN($D879)&gt;79,"MÁS DE 79 CARACTERES","")</f>
        <v/>
      </c>
    </row>
    <row r="880" customFormat="false" ht="15" hidden="false" customHeight="true" outlineLevel="0" collapsed="false">
      <c r="B880" s="53" t="str">
        <f aca="false">IF(OR(LINEAS!$D$19="",DATOS!$C$22="—",ABS(LINEAS!$AN$19*DATOS!$C$67)&lt;0.00005),"*",LINEAS!$D$19&amp;" UNI G"&amp;DATOS!$C$22&amp;" "&amp;TEXT(LINEAS!$AN$19*DATOS!$C$67,DATOS!$C$68))</f>
        <v>8 89 TO 92 UNI GZ 0.0063</v>
      </c>
      <c r="C880" s="51" t="str">
        <f aca="false">IF(LEN($B880)&gt;79,"MÁS DE 79 CARACTERES","")</f>
        <v/>
      </c>
      <c r="D880" s="53" t="str">
        <f aca="false">IF(PRESIONES!$C$22="NO","",IF(OR(LINEAS!$D$19="",DATOS!$C$22="—",ABS(LINEAS!$BD$19*DATOS!$C$67)&lt;0.00005),"*",LINEAS!$D$19&amp;" UNI G"&amp;DATOS!$C$22&amp;" "&amp;TEXT(LINEAS!$BD$19*DATOS!$C$67,DATOS!$C$68)))</f>
        <v/>
      </c>
      <c r="E880" s="51" t="str">
        <f aca="false">IF(LEN($D880)&gt;79,"MÁS DE 79 CARACTERES","")</f>
        <v/>
      </c>
    </row>
    <row r="881" customFormat="false" ht="15" hidden="false" customHeight="true" outlineLevel="0" collapsed="false">
      <c r="B881" s="53" t="str">
        <f aca="false">IF(OR(LINEAS!$D$20="",ABS(-LINEAS!$AF$20*DATOS!$C$67)&lt;0.00005),"*",LINEAS!$D$20&amp;" UNI GY "&amp;TEXT(-LINEAS!$AF$20*DATOS!$C$67,DATOS!$C$68))</f>
        <v>56 97 TO 100 UNI GY 0.1221</v>
      </c>
      <c r="C881" s="51" t="str">
        <f aca="false">IF(LEN($B881)&gt;79,"MÁS DE 79 CARACTERES","")</f>
        <v/>
      </c>
      <c r="D881" s="53" t="str">
        <f aca="false">IF(PRESIONES!$C$22="NO","",IF(OR(LINEAS!$D$20="",ABS(-LINEAS!$AV$20*DATOS!$C$67)&lt;0.00005),"*",LINEAS!$D$20&amp;" UNI GY "&amp;TEXT(-LINEAS!$AV$20*DATOS!$C$67,DATOS!$C$68)))</f>
        <v/>
      </c>
      <c r="E881" s="51" t="str">
        <f aca="false">IF(LEN($D881)&gt;79,"MÁS DE 79 CARACTERES","")</f>
        <v/>
      </c>
    </row>
    <row r="882" customFormat="false" ht="15" hidden="false" customHeight="true" outlineLevel="0" collapsed="false">
      <c r="B882" s="53" t="str">
        <f aca="false">IF(OR(LINEAS!$D$20="",DATOS!$C$22="—",ABS(LINEAS!$AN$20*DATOS!$C$67)&lt;0.00005),"*",LINEAS!$D$20&amp;" UNI G"&amp;DATOS!$C$22&amp;" "&amp;TEXT(LINEAS!$AN$20*DATOS!$C$67,DATOS!$C$68))</f>
        <v>56 97 TO 100 UNI GZ 0.0061</v>
      </c>
      <c r="C882" s="51" t="str">
        <f aca="false">IF(LEN($B882)&gt;79,"MÁS DE 79 CARACTERES","")</f>
        <v/>
      </c>
      <c r="D882" s="53" t="str">
        <f aca="false">IF(PRESIONES!$C$22="NO","",IF(OR(LINEAS!$D$20="",DATOS!$C$22="—",ABS(LINEAS!$BD$20*DATOS!$C$67)&lt;0.00005),"*",LINEAS!$D$20&amp;" UNI G"&amp;DATOS!$C$22&amp;" "&amp;TEXT(LINEAS!$BD$20*DATOS!$C$67,DATOS!$C$68)))</f>
        <v/>
      </c>
      <c r="E882" s="51" t="str">
        <f aca="false">IF(LEN($D882)&gt;79,"MÁS DE 79 CARACTERES","")</f>
        <v/>
      </c>
    </row>
    <row r="883" customFormat="false" ht="15" hidden="false" customHeight="true" outlineLevel="0" collapsed="false">
      <c r="B883" s="53" t="str">
        <f aca="false">IF(OR(LINEAS!$D$21="",ABS(-LINEAS!$AF$21*DATOS!$C$67)&lt;0.00005),"*",LINEAS!$D$21&amp;" UNI GY "&amp;TEXT(-LINEAS!$AF$21*DATOS!$C$67,DATOS!$C$68))</f>
        <v>7 81 TO 84 UNI GY 0.0610</v>
      </c>
      <c r="C883" s="51" t="str">
        <f aca="false">IF(LEN($B883)&gt;79,"MÁS DE 79 CARACTERES","")</f>
        <v/>
      </c>
      <c r="D883" s="53" t="str">
        <f aca="false">IF(PRESIONES!$C$22="NO","",IF(OR(LINEAS!$D$21="",ABS(-LINEAS!$AV$21*DATOS!$C$67)&lt;0.00005),"*",LINEAS!$D$21&amp;" UNI GY "&amp;TEXT(-LINEAS!$AV$21*DATOS!$C$67,DATOS!$C$68)))</f>
        <v/>
      </c>
      <c r="E883" s="51" t="str">
        <f aca="false">IF(LEN($D883)&gt;79,"MÁS DE 79 CARACTERES","")</f>
        <v/>
      </c>
    </row>
    <row r="884" customFormat="false" ht="15" hidden="false" customHeight="true" outlineLevel="0" collapsed="false">
      <c r="B884" s="53" t="str">
        <f aca="false">IF(OR(LINEAS!$D$21="",DATOS!$C$22="—",ABS(LINEAS!$AN$21*DATOS!$C$67)&lt;0.00005),"*",LINEAS!$D$21&amp;" UNI G"&amp;DATOS!$C$22&amp;" "&amp;TEXT(LINEAS!$AN$21*DATOS!$C$67,DATOS!$C$68))</f>
        <v>7 81 TO 84 UNI GZ 0.0031</v>
      </c>
      <c r="C884" s="51" t="str">
        <f aca="false">IF(LEN($B884)&gt;79,"MÁS DE 79 CARACTERES","")</f>
        <v/>
      </c>
      <c r="D884" s="53" t="str">
        <f aca="false">IF(PRESIONES!$C$22="NO","",IF(OR(LINEAS!$D$21="",DATOS!$C$22="—",ABS(LINEAS!$BD$21*DATOS!$C$67)&lt;0.00005),"*",LINEAS!$D$21&amp;" UNI G"&amp;DATOS!$C$22&amp;" "&amp;TEXT(LINEAS!$BD$21*DATOS!$C$67,DATOS!$C$68)))</f>
        <v/>
      </c>
      <c r="E884" s="51" t="str">
        <f aca="false">IF(LEN($D884)&gt;79,"MÁS DE 79 CARACTERES","")</f>
        <v/>
      </c>
    </row>
    <row r="885" customFormat="false" ht="15" hidden="false" customHeight="true" outlineLevel="0" collapsed="false">
      <c r="B885" s="53" t="str">
        <f aca="false">IF(OR(LINEAS!$D$22="",ABS(-LINEAS!$AF$22*DATOS!$C$67)&lt;0.00005),"*",LINEAS!$D$22&amp;" UNI GY "&amp;TEXT(-LINEAS!$AF$22*DATOS!$C$67,DATOS!$C$68))</f>
        <v>*</v>
      </c>
      <c r="C885" s="51" t="str">
        <f aca="false">IF(LEN($B885)&gt;79,"MÁS DE 79 CARACTERES","")</f>
        <v/>
      </c>
      <c r="D885" s="53" t="str">
        <f aca="false">IF(PRESIONES!$C$22="NO","",IF(OR(LINEAS!$D$22="",ABS(-LINEAS!$AV$22*DATOS!$C$67)&lt;0.00005),"*",LINEAS!$D$22&amp;" UNI GY "&amp;TEXT(-LINEAS!$AV$22*DATOS!$C$67,DATOS!$C$68)))</f>
        <v/>
      </c>
      <c r="E885" s="51" t="str">
        <f aca="false">IF(LEN($D885)&gt;79,"MÁS DE 79 CARACTERES","")</f>
        <v/>
      </c>
    </row>
    <row r="886" customFormat="false" ht="15" hidden="false" customHeight="true" outlineLevel="0" collapsed="false">
      <c r="B886" s="53" t="str">
        <f aca="false">IF(OR(LINEAS!$D$22="",DATOS!$C$22="—",ABS(LINEAS!$AN$22*DATOS!$C$67)&lt;0.00005),"*",LINEAS!$D$22&amp;" UNI G"&amp;DATOS!$C$22&amp;" "&amp;TEXT(LINEAS!$AN$22*DATOS!$C$67,DATOS!$C$68))</f>
        <v>*</v>
      </c>
      <c r="C886" s="51" t="str">
        <f aca="false">IF(LEN($B886)&gt;79,"MÁS DE 79 CARACTERES","")</f>
        <v/>
      </c>
      <c r="D886" s="53" t="str">
        <f aca="false">IF(PRESIONES!$C$22="NO","",IF(OR(LINEAS!$D$22="",DATOS!$C$22="—",ABS(LINEAS!$BD$22*DATOS!$C$67)&lt;0.00005),"*",LINEAS!$D$22&amp;" UNI G"&amp;DATOS!$C$22&amp;" "&amp;TEXT(LINEAS!$BD$22*DATOS!$C$67,DATOS!$C$68)))</f>
        <v/>
      </c>
      <c r="E886" s="51" t="str">
        <f aca="false">IF(LEN($D886)&gt;79,"MÁS DE 79 CARACTERES","")</f>
        <v/>
      </c>
    </row>
    <row r="887" customFormat="false" ht="15" hidden="false" customHeight="true" outlineLevel="0" collapsed="false">
      <c r="B887" s="53" t="str">
        <f aca="false">IF(OR(LINEAS!$D$23="",ABS(-LINEAS!$AF$23*DATOS!$C$67)&lt;0.00005),"*",LINEAS!$D$23&amp;" UNI GY "&amp;TEXT(-LINEAS!$AF$23*DATOS!$C$67,DATOS!$C$68))</f>
        <v>*</v>
      </c>
      <c r="C887" s="51" t="str">
        <f aca="false">IF(LEN($B887)&gt;79,"MÁS DE 79 CARACTERES","")</f>
        <v/>
      </c>
      <c r="D887" s="53" t="str">
        <f aca="false">IF(PRESIONES!$C$22="NO","",IF(OR(LINEAS!$D$23="",ABS(-LINEAS!$AV$23*DATOS!$C$67)&lt;0.00005),"*",LINEAS!$D$23&amp;" UNI GY "&amp;TEXT(-LINEAS!$AV$23*DATOS!$C$67,DATOS!$C$68)))</f>
        <v/>
      </c>
      <c r="E887" s="51" t="str">
        <f aca="false">IF(LEN($D887)&gt;79,"MÁS DE 79 CARACTERES","")</f>
        <v/>
      </c>
    </row>
    <row r="888" customFormat="false" ht="15" hidden="false" customHeight="true" outlineLevel="0" collapsed="false">
      <c r="B888" s="53" t="str">
        <f aca="false">IF(OR(LINEAS!$D$23="",DATOS!$C$22="—",ABS(LINEAS!$AN$23*DATOS!$C$67)&lt;0.00005),"*",LINEAS!$D$23&amp;" UNI G"&amp;DATOS!$C$22&amp;" "&amp;TEXT(LINEAS!$AN$23*DATOS!$C$67,DATOS!$C$68))</f>
        <v>*</v>
      </c>
      <c r="C888" s="51" t="str">
        <f aca="false">IF(LEN($B888)&gt;79,"MÁS DE 79 CARACTERES","")</f>
        <v/>
      </c>
      <c r="D888" s="53" t="str">
        <f aca="false">IF(PRESIONES!$C$22="NO","",IF(OR(LINEAS!$D$23="",DATOS!$C$22="—",ABS(LINEAS!$BD$23*DATOS!$C$67)&lt;0.00005),"*",LINEAS!$D$23&amp;" UNI G"&amp;DATOS!$C$22&amp;" "&amp;TEXT(LINEAS!$BD$23*DATOS!$C$67,DATOS!$C$68)))</f>
        <v/>
      </c>
      <c r="E888" s="51" t="str">
        <f aca="false">IF(LEN($D888)&gt;79,"MÁS DE 79 CARACTERES","")</f>
        <v/>
      </c>
    </row>
    <row r="889" customFormat="false" ht="15" hidden="false" customHeight="true" outlineLevel="0" collapsed="false">
      <c r="B889" s="53" t="str">
        <f aca="false">IF(OR(LINEAS!$D$24="",ABS(-LINEAS!$AF$24*DATOS!$C$67)&lt;0.00005),"*",LINEAS!$D$24&amp;" UNI GY "&amp;TEXT(-LINEAS!$AF$24*DATOS!$C$67,DATOS!$C$68))</f>
        <v>*</v>
      </c>
      <c r="C889" s="51" t="str">
        <f aca="false">IF(LEN($B889)&gt;79,"MÁS DE 79 CARACTERES","")</f>
        <v/>
      </c>
      <c r="D889" s="53" t="str">
        <f aca="false">IF(PRESIONES!$C$22="NO","",IF(OR(LINEAS!$D$24="",ABS(-LINEAS!$AV$24*DATOS!$C$67)&lt;0.00005),"*",LINEAS!$D$24&amp;" UNI GY "&amp;TEXT(-LINEAS!$AV$24*DATOS!$C$67,DATOS!$C$68)))</f>
        <v/>
      </c>
      <c r="E889" s="51" t="str">
        <f aca="false">IF(LEN($D889)&gt;79,"MÁS DE 79 CARACTERES","")</f>
        <v/>
      </c>
    </row>
    <row r="890" customFormat="false" ht="15" hidden="false" customHeight="true" outlineLevel="0" collapsed="false">
      <c r="B890" s="53" t="str">
        <f aca="false">IF(OR(LINEAS!$D$24="",DATOS!$C$22="—",ABS(LINEAS!$AN$24*DATOS!$C$67)&lt;0.00005),"*",LINEAS!$D$24&amp;" UNI G"&amp;DATOS!$C$22&amp;" "&amp;TEXT(LINEAS!$AN$24*DATOS!$C$67,DATOS!$C$68))</f>
        <v>*</v>
      </c>
      <c r="C890" s="51" t="str">
        <f aca="false">IF(LEN($B890)&gt;79,"MÁS DE 79 CARACTERES","")</f>
        <v/>
      </c>
      <c r="D890" s="53" t="str">
        <f aca="false">IF(PRESIONES!$C$22="NO","",IF(OR(LINEAS!$D$24="",DATOS!$C$22="—",ABS(LINEAS!$BD$24*DATOS!$C$67)&lt;0.00005),"*",LINEAS!$D$24&amp;" UNI G"&amp;DATOS!$C$22&amp;" "&amp;TEXT(LINEAS!$BD$24*DATOS!$C$67,DATOS!$C$68)))</f>
        <v/>
      </c>
      <c r="E890" s="51" t="str">
        <f aca="false">IF(LEN($D890)&gt;79,"MÁS DE 79 CARACTERES","")</f>
        <v/>
      </c>
    </row>
    <row r="891" customFormat="false" ht="15" hidden="false" customHeight="true" outlineLevel="0" collapsed="false">
      <c r="B891" s="53" t="str">
        <f aca="false">IF(OR(LINEAS!$D$25="",ABS(-LINEAS!$AF$25*DATOS!$C$67)&lt;0.00005),"*",LINEAS!$D$25&amp;" UNI GY "&amp;TEXT(-LINEAS!$AF$25*DATOS!$C$67,DATOS!$C$68))</f>
        <v>*</v>
      </c>
      <c r="C891" s="51" t="str">
        <f aca="false">IF(LEN($B891)&gt;79,"MÁS DE 79 CARACTERES","")</f>
        <v/>
      </c>
      <c r="D891" s="53" t="str">
        <f aca="false">IF(PRESIONES!$C$22="NO","",IF(OR(LINEAS!$D$25="",ABS(-LINEAS!$AV$25*DATOS!$C$67)&lt;0.00005),"*",LINEAS!$D$25&amp;" UNI GY "&amp;TEXT(-LINEAS!$AV$25*DATOS!$C$67,DATOS!$C$68)))</f>
        <v/>
      </c>
      <c r="E891" s="51" t="str">
        <f aca="false">IF(LEN($D891)&gt;79,"MÁS DE 79 CARACTERES","")</f>
        <v/>
      </c>
    </row>
    <row r="892" customFormat="false" ht="15" hidden="false" customHeight="true" outlineLevel="0" collapsed="false">
      <c r="B892" s="53" t="str">
        <f aca="false">IF(OR(LINEAS!$D$25="",DATOS!$C$22="—",ABS(LINEAS!$AN$25*DATOS!$C$67)&lt;0.00005),"*",LINEAS!$D$25&amp;" UNI G"&amp;DATOS!$C$22&amp;" "&amp;TEXT(LINEAS!$AN$25*DATOS!$C$67,DATOS!$C$68))</f>
        <v>*</v>
      </c>
      <c r="C892" s="51" t="str">
        <f aca="false">IF(LEN($B892)&gt;79,"MÁS DE 79 CARACTERES","")</f>
        <v/>
      </c>
      <c r="D892" s="53" t="str">
        <f aca="false">IF(PRESIONES!$C$22="NO","",IF(OR(LINEAS!$D$25="",DATOS!$C$22="—",ABS(LINEAS!$BD$25*DATOS!$C$67)&lt;0.00005),"*",LINEAS!$D$25&amp;" UNI G"&amp;DATOS!$C$22&amp;" "&amp;TEXT(LINEAS!$BD$25*DATOS!$C$67,DATOS!$C$68)))</f>
        <v/>
      </c>
      <c r="E892" s="51" t="str">
        <f aca="false">IF(LEN($D892)&gt;79,"MÁS DE 79 CARACTERES","")</f>
        <v/>
      </c>
    </row>
    <row r="893" customFormat="false" ht="15" hidden="false" customHeight="true" outlineLevel="0" collapsed="false">
      <c r="B893" s="53" t="str">
        <f aca="false">IF(OR(LINEAS!$D$26="",ABS(-LINEAS!$AF$26*DATOS!$C$67)&lt;0.00005),"*",LINEAS!$D$26&amp;" UNI GY "&amp;TEXT(-LINEAS!$AF$26*DATOS!$C$67,DATOS!$C$68))</f>
        <v>*</v>
      </c>
      <c r="C893" s="51" t="str">
        <f aca="false">IF(LEN($B893)&gt;79,"MÁS DE 79 CARACTERES","")</f>
        <v/>
      </c>
      <c r="D893" s="53" t="str">
        <f aca="false">IF(PRESIONES!$C$22="NO","",IF(OR(LINEAS!$D$26="",ABS(-LINEAS!$AV$26*DATOS!$C$67)&lt;0.00005),"*",LINEAS!$D$26&amp;" UNI GY "&amp;TEXT(-LINEAS!$AV$26*DATOS!$C$67,DATOS!$C$68)))</f>
        <v/>
      </c>
      <c r="E893" s="51" t="str">
        <f aca="false">IF(LEN($D893)&gt;79,"MÁS DE 79 CARACTERES","")</f>
        <v/>
      </c>
    </row>
    <row r="894" customFormat="false" ht="15" hidden="false" customHeight="true" outlineLevel="0" collapsed="false">
      <c r="B894" s="53" t="str">
        <f aca="false">IF(OR(LINEAS!$D$26="",DATOS!$C$22="—",ABS(LINEAS!$AN$26*DATOS!$C$67)&lt;0.00005),"*",LINEAS!$D$26&amp;" UNI G"&amp;DATOS!$C$22&amp;" "&amp;TEXT(LINEAS!$AN$26*DATOS!$C$67,DATOS!$C$68))</f>
        <v>*</v>
      </c>
      <c r="C894" s="51" t="str">
        <f aca="false">IF(LEN($B894)&gt;79,"MÁS DE 79 CARACTERES","")</f>
        <v/>
      </c>
      <c r="D894" s="53" t="str">
        <f aca="false">IF(PRESIONES!$C$22="NO","",IF(OR(LINEAS!$D$26="",DATOS!$C$22="—",ABS(LINEAS!$BD$26*DATOS!$C$67)&lt;0.00005),"*",LINEAS!$D$26&amp;" UNI G"&amp;DATOS!$C$22&amp;" "&amp;TEXT(LINEAS!$BD$26*DATOS!$C$67,DATOS!$C$68)))</f>
        <v/>
      </c>
      <c r="E894" s="51" t="str">
        <f aca="false">IF(LEN($D894)&gt;79,"MÁS DE 79 CARACTERES","")</f>
        <v/>
      </c>
    </row>
    <row r="895" customFormat="false" ht="15" hidden="false" customHeight="true" outlineLevel="0" collapsed="false">
      <c r="B895" s="53" t="str">
        <f aca="false">IF(OR(LINEAS!$D$27="",ABS(-LINEAS!$AF$27*DATOS!$C$67)&lt;0.00005),"*",LINEAS!$D$27&amp;" UNI GY "&amp;TEXT(-LINEAS!$AF$27*DATOS!$C$67,DATOS!$C$68))</f>
        <v>*</v>
      </c>
      <c r="C895" s="51" t="str">
        <f aca="false">IF(LEN($B895)&gt;79,"MÁS DE 79 CARACTERES","")</f>
        <v/>
      </c>
      <c r="D895" s="53" t="str">
        <f aca="false">IF(PRESIONES!$C$22="NO","",IF(OR(LINEAS!$D$27="",ABS(-LINEAS!$AV$27*DATOS!$C$67)&lt;0.00005),"*",LINEAS!$D$27&amp;" UNI GY "&amp;TEXT(-LINEAS!$AV$27*DATOS!$C$67,DATOS!$C$68)))</f>
        <v/>
      </c>
      <c r="E895" s="51" t="str">
        <f aca="false">IF(LEN($D895)&gt;79,"MÁS DE 79 CARACTERES","")</f>
        <v/>
      </c>
    </row>
    <row r="896" customFormat="false" ht="15" hidden="false" customHeight="true" outlineLevel="0" collapsed="false">
      <c r="B896" s="53" t="str">
        <f aca="false">IF(OR(LINEAS!$D$27="",DATOS!$C$22="—",ABS(LINEAS!$AN$27*DATOS!$C$67)&lt;0.00005),"*",LINEAS!$D$27&amp;" UNI G"&amp;DATOS!$C$22&amp;" "&amp;TEXT(LINEAS!$AN$27*DATOS!$C$67,DATOS!$C$68))</f>
        <v>*</v>
      </c>
      <c r="C896" s="51" t="str">
        <f aca="false">IF(LEN($B896)&gt;79,"MÁS DE 79 CARACTERES","")</f>
        <v/>
      </c>
      <c r="D896" s="53" t="str">
        <f aca="false">IF(PRESIONES!$C$22="NO","",IF(OR(LINEAS!$D$27="",DATOS!$C$22="—",ABS(LINEAS!$BD$27*DATOS!$C$67)&lt;0.00005),"*",LINEAS!$D$27&amp;" UNI G"&amp;DATOS!$C$22&amp;" "&amp;TEXT(LINEAS!$BD$27*DATOS!$C$67,DATOS!$C$68)))</f>
        <v/>
      </c>
      <c r="E896" s="51" t="str">
        <f aca="false">IF(LEN($D896)&gt;79,"MÁS DE 79 CARACTERES","")</f>
        <v/>
      </c>
    </row>
    <row r="897" customFormat="false" ht="15" hidden="false" customHeight="true" outlineLevel="0" collapsed="false">
      <c r="B897" s="53" t="str">
        <f aca="false">IF(OR(LINEAS!$D$28="",ABS(-LINEAS!$AF$28*DATOS!$C$67)&lt;0.00005),"*",LINEAS!$D$28&amp;" UNI GY "&amp;TEXT(-LINEAS!$AF$28*DATOS!$C$67,DATOS!$C$68))</f>
        <v>*</v>
      </c>
      <c r="C897" s="51" t="str">
        <f aca="false">IF(LEN($B897)&gt;79,"MÁS DE 79 CARACTERES","")</f>
        <v/>
      </c>
      <c r="D897" s="53" t="str">
        <f aca="false">IF(PRESIONES!$C$22="NO","",IF(OR(LINEAS!$D$28="",ABS(-LINEAS!$AV$28*DATOS!$C$67)&lt;0.00005),"*",LINEAS!$D$28&amp;" UNI GY "&amp;TEXT(-LINEAS!$AV$28*DATOS!$C$67,DATOS!$C$68)))</f>
        <v/>
      </c>
      <c r="E897" s="51" t="str">
        <f aca="false">IF(LEN($D897)&gt;79,"MÁS DE 79 CARACTERES","")</f>
        <v/>
      </c>
    </row>
    <row r="898" customFormat="false" ht="15" hidden="false" customHeight="true" outlineLevel="0" collapsed="false">
      <c r="B898" s="53" t="str">
        <f aca="false">IF(OR(LINEAS!$D$28="",DATOS!$C$22="—",ABS(LINEAS!$AN$28*DATOS!$C$67)&lt;0.00005),"*",LINEAS!$D$28&amp;" UNI G"&amp;DATOS!$C$22&amp;" "&amp;TEXT(LINEAS!$AN$28*DATOS!$C$67,DATOS!$C$68))</f>
        <v>*</v>
      </c>
      <c r="C898" s="51" t="str">
        <f aca="false">IF(LEN($B898)&gt;79,"MÁS DE 79 CARACTERES","")</f>
        <v/>
      </c>
      <c r="D898" s="53" t="str">
        <f aca="false">IF(PRESIONES!$C$22="NO","",IF(OR(LINEAS!$D$28="",DATOS!$C$22="—",ABS(LINEAS!$BD$28*DATOS!$C$67)&lt;0.00005),"*",LINEAS!$D$28&amp;" UNI G"&amp;DATOS!$C$22&amp;" "&amp;TEXT(LINEAS!$BD$28*DATOS!$C$67,DATOS!$C$68)))</f>
        <v/>
      </c>
      <c r="E898" s="51" t="str">
        <f aca="false">IF(LEN($D898)&gt;79,"MÁS DE 79 CARACTERES","")</f>
        <v/>
      </c>
    </row>
    <row r="899" customFormat="false" ht="15" hidden="false" customHeight="true" outlineLevel="0" collapsed="false">
      <c r="B899" s="53" t="str">
        <f aca="false">IF(OR(LINEAS!$D$29="",ABS(-LINEAS!$AF$29*DATOS!$C$67)&lt;0.00005),"*",LINEAS!$D$29&amp;" UNI GY "&amp;TEXT(-LINEAS!$AF$29*DATOS!$C$67,DATOS!$C$68))</f>
        <v>*</v>
      </c>
      <c r="C899" s="51" t="str">
        <f aca="false">IF(LEN($B899)&gt;79,"MÁS DE 79 CARACTERES","")</f>
        <v/>
      </c>
      <c r="D899" s="53" t="str">
        <f aca="false">IF(PRESIONES!$C$22="NO","",IF(OR(LINEAS!$D$29="",ABS(-LINEAS!$AV$29*DATOS!$C$67)&lt;0.00005),"*",LINEAS!$D$29&amp;" UNI GY "&amp;TEXT(-LINEAS!$AV$29*DATOS!$C$67,DATOS!$C$68)))</f>
        <v/>
      </c>
      <c r="E899" s="51" t="str">
        <f aca="false">IF(LEN($D899)&gt;79,"MÁS DE 79 CARACTERES","")</f>
        <v/>
      </c>
    </row>
    <row r="900" customFormat="false" ht="15" hidden="false" customHeight="true" outlineLevel="0" collapsed="false">
      <c r="B900" s="53" t="str">
        <f aca="false">IF(OR(LINEAS!$D$29="",DATOS!$C$22="—",ABS(LINEAS!$AN$29*DATOS!$C$67)&lt;0.00005),"*",LINEAS!$D$29&amp;" UNI G"&amp;DATOS!$C$22&amp;" "&amp;TEXT(LINEAS!$AN$29*DATOS!$C$67,DATOS!$C$68))</f>
        <v>*</v>
      </c>
      <c r="C900" s="51" t="str">
        <f aca="false">IF(LEN($B900)&gt;79,"MÁS DE 79 CARACTERES","")</f>
        <v/>
      </c>
      <c r="D900" s="53" t="str">
        <f aca="false">IF(PRESIONES!$C$22="NO","",IF(OR(LINEAS!$D$29="",DATOS!$C$22="—",ABS(LINEAS!$BD$29*DATOS!$C$67)&lt;0.00005),"*",LINEAS!$D$29&amp;" UNI G"&amp;DATOS!$C$22&amp;" "&amp;TEXT(LINEAS!$BD$29*DATOS!$C$67,DATOS!$C$68)))</f>
        <v/>
      </c>
      <c r="E900" s="51" t="str">
        <f aca="false">IF(LEN($D900)&gt;79,"MÁS DE 79 CARACTERES","")</f>
        <v/>
      </c>
    </row>
    <row r="901" customFormat="false" ht="15" hidden="false" customHeight="true" outlineLevel="0" collapsed="false">
      <c r="B901" s="53" t="str">
        <f aca="false">IF(OR(LINEAS!$D$30="",ABS(-LINEAS!$AF$30*DATOS!$C$67)&lt;0.00005),"*",LINEAS!$D$30&amp;" UNI GY "&amp;TEXT(-LINEAS!$AF$30*DATOS!$C$67,DATOS!$C$68))</f>
        <v>*</v>
      </c>
      <c r="C901" s="51" t="str">
        <f aca="false">IF(LEN($B901)&gt;79,"MÁS DE 79 CARACTERES","")</f>
        <v/>
      </c>
      <c r="D901" s="53" t="str">
        <f aca="false">IF(PRESIONES!$C$22="NO","",IF(OR(LINEAS!$D$30="",ABS(-LINEAS!$AV$30*DATOS!$C$67)&lt;0.00005),"*",LINEAS!$D$30&amp;" UNI GY "&amp;TEXT(-LINEAS!$AV$30*DATOS!$C$67,DATOS!$C$68)))</f>
        <v/>
      </c>
      <c r="E901" s="51" t="str">
        <f aca="false">IF(LEN($D901)&gt;79,"MÁS DE 79 CARACTERES","")</f>
        <v/>
      </c>
    </row>
    <row r="902" customFormat="false" ht="15" hidden="false" customHeight="true" outlineLevel="0" collapsed="false">
      <c r="B902" s="53" t="str">
        <f aca="false">IF(OR(LINEAS!$D$30="",DATOS!$C$22="—",ABS(LINEAS!$AN$30*DATOS!$C$67)&lt;0.00005),"*",LINEAS!$D$30&amp;" UNI G"&amp;DATOS!$C$22&amp;" "&amp;TEXT(LINEAS!$AN$30*DATOS!$C$67,DATOS!$C$68))</f>
        <v>*</v>
      </c>
      <c r="C902" s="51" t="str">
        <f aca="false">IF(LEN($B902)&gt;79,"MÁS DE 79 CARACTERES","")</f>
        <v/>
      </c>
      <c r="D902" s="53" t="str">
        <f aca="false">IF(PRESIONES!$C$22="NO","",IF(OR(LINEAS!$D$30="",DATOS!$C$22="—",ABS(LINEAS!$BD$30*DATOS!$C$67)&lt;0.00005),"*",LINEAS!$D$30&amp;" UNI G"&amp;DATOS!$C$22&amp;" "&amp;TEXT(LINEAS!$BD$30*DATOS!$C$67,DATOS!$C$68)))</f>
        <v/>
      </c>
      <c r="E902" s="51" t="str">
        <f aca="false">IF(LEN($D902)&gt;79,"MÁS DE 79 CARACTERES","")</f>
        <v/>
      </c>
    </row>
    <row r="903" customFormat="false" ht="15" hidden="false" customHeight="true" outlineLevel="0" collapsed="false">
      <c r="B903" s="53" t="str">
        <f aca="false">IF(OR(LINEAS!$D$31="",ABS(-LINEAS!$AF$31*DATOS!$C$67)&lt;0.00005),"*",LINEAS!$D$31&amp;" UNI GY "&amp;TEXT(-LINEAS!$AF$31*DATOS!$C$67,DATOS!$C$68))</f>
        <v>*</v>
      </c>
      <c r="C903" s="51" t="str">
        <f aca="false">IF(LEN($B903)&gt;79,"MÁS DE 79 CARACTERES","")</f>
        <v/>
      </c>
      <c r="D903" s="53" t="str">
        <f aca="false">IF(PRESIONES!$C$22="NO","",IF(OR(LINEAS!$D$31="",ABS(-LINEAS!$AV$31*DATOS!$C$67)&lt;0.00005),"*",LINEAS!$D$31&amp;" UNI GY "&amp;TEXT(-LINEAS!$AV$31*DATOS!$C$67,DATOS!$C$68)))</f>
        <v/>
      </c>
      <c r="E903" s="51" t="str">
        <f aca="false">IF(LEN($D903)&gt;79,"MÁS DE 79 CARACTERES","")</f>
        <v/>
      </c>
    </row>
    <row r="904" customFormat="false" ht="15" hidden="false" customHeight="true" outlineLevel="0" collapsed="false">
      <c r="B904" s="53" t="str">
        <f aca="false">IF(OR(LINEAS!$D$31="",DATOS!$C$22="—",ABS(LINEAS!$AN$31*DATOS!$C$67)&lt;0.00005),"*",LINEAS!$D$31&amp;" UNI G"&amp;DATOS!$C$22&amp;" "&amp;TEXT(LINEAS!$AN$31*DATOS!$C$67,DATOS!$C$68))</f>
        <v>*</v>
      </c>
      <c r="C904" s="51" t="str">
        <f aca="false">IF(LEN($B904)&gt;79,"MÁS DE 79 CARACTERES","")</f>
        <v/>
      </c>
      <c r="D904" s="53" t="str">
        <f aca="false">IF(PRESIONES!$C$22="NO","",IF(OR(LINEAS!$D$31="",DATOS!$C$22="—",ABS(LINEAS!$BD$31*DATOS!$C$67)&lt;0.00005),"*",LINEAS!$D$31&amp;" UNI G"&amp;DATOS!$C$22&amp;" "&amp;TEXT(LINEAS!$BD$31*DATOS!$C$67,DATOS!$C$68)))</f>
        <v/>
      </c>
      <c r="E904" s="51" t="str">
        <f aca="false">IF(LEN($D904)&gt;79,"MÁS DE 79 CARACTERES","")</f>
        <v/>
      </c>
    </row>
    <row r="905" customFormat="false" ht="15" hidden="false" customHeight="true" outlineLevel="0" collapsed="false">
      <c r="B905" s="53" t="str">
        <f aca="false">IF(OR(LINEAS!$D$32="",ABS(-LINEAS!$AF$32*DATOS!$C$67)&lt;0.00005),"*",LINEAS!$D$32&amp;" UNI GY "&amp;TEXT(-LINEAS!$AF$32*DATOS!$C$67,DATOS!$C$68))</f>
        <v>*</v>
      </c>
      <c r="C905" s="51" t="str">
        <f aca="false">IF(LEN($B905)&gt;79,"MÁS DE 79 CARACTERES","")</f>
        <v/>
      </c>
      <c r="D905" s="53" t="str">
        <f aca="false">IF(PRESIONES!$C$22="NO","",IF(OR(LINEAS!$D$32="",ABS(-LINEAS!$AV$32*DATOS!$C$67)&lt;0.00005),"*",LINEAS!$D$32&amp;" UNI GY "&amp;TEXT(-LINEAS!$AV$32*DATOS!$C$67,DATOS!$C$68)))</f>
        <v/>
      </c>
      <c r="E905" s="51" t="str">
        <f aca="false">IF(LEN($D905)&gt;79,"MÁS DE 79 CARACTERES","")</f>
        <v/>
      </c>
    </row>
    <row r="906" customFormat="false" ht="15" hidden="false" customHeight="true" outlineLevel="0" collapsed="false">
      <c r="B906" s="53" t="str">
        <f aca="false">IF(OR(LINEAS!$D$32="",DATOS!$C$22="—",ABS(LINEAS!$AN$32*DATOS!$C$67)&lt;0.00005),"*",LINEAS!$D$32&amp;" UNI G"&amp;DATOS!$C$22&amp;" "&amp;TEXT(LINEAS!$AN$32*DATOS!$C$67,DATOS!$C$68))</f>
        <v>*</v>
      </c>
      <c r="C906" s="51" t="str">
        <f aca="false">IF(LEN($B906)&gt;79,"MÁS DE 79 CARACTERES","")</f>
        <v/>
      </c>
      <c r="D906" s="53" t="str">
        <f aca="false">IF(PRESIONES!$C$22="NO","",IF(OR(LINEAS!$D$32="",DATOS!$C$22="—",ABS(LINEAS!$BD$32*DATOS!$C$67)&lt;0.00005),"*",LINEAS!$D$32&amp;" UNI G"&amp;DATOS!$C$22&amp;" "&amp;TEXT(LINEAS!$BD$32*DATOS!$C$67,DATOS!$C$68)))</f>
        <v/>
      </c>
      <c r="E906" s="51" t="str">
        <f aca="false">IF(LEN($D906)&gt;79,"MÁS DE 79 CARACTERES","")</f>
        <v/>
      </c>
    </row>
    <row r="907" customFormat="false" ht="15" hidden="false" customHeight="true" outlineLevel="0" collapsed="false">
      <c r="B907" s="53" t="str">
        <f aca="false">IF(OR(LINEAS!$D$33="",ABS(-LINEAS!$AF$33*DATOS!$C$67)&lt;0.00005),"*",LINEAS!$D$33&amp;" UNI GY "&amp;TEXT(-LINEAS!$AF$33*DATOS!$C$67,DATOS!$C$68))</f>
        <v>*</v>
      </c>
      <c r="C907" s="51" t="str">
        <f aca="false">IF(LEN($B907)&gt;79,"MÁS DE 79 CARACTERES","")</f>
        <v/>
      </c>
      <c r="D907" s="53" t="str">
        <f aca="false">IF(PRESIONES!$C$22="NO","",IF(OR(LINEAS!$D$33="",ABS(-LINEAS!$AV$33*DATOS!$C$67)&lt;0.00005),"*",LINEAS!$D$33&amp;" UNI GY "&amp;TEXT(-LINEAS!$AV$33*DATOS!$C$67,DATOS!$C$68)))</f>
        <v/>
      </c>
      <c r="E907" s="51" t="str">
        <f aca="false">IF(LEN($D907)&gt;79,"MÁS DE 79 CARACTERES","")</f>
        <v/>
      </c>
    </row>
    <row r="908" customFormat="false" ht="15" hidden="false" customHeight="true" outlineLevel="0" collapsed="false">
      <c r="B908" s="53" t="str">
        <f aca="false">IF(OR(LINEAS!$D$33="",DATOS!$C$22="—",ABS(LINEAS!$AN$33*DATOS!$C$67)&lt;0.00005),"*",LINEAS!$D$33&amp;" UNI G"&amp;DATOS!$C$22&amp;" "&amp;TEXT(LINEAS!$AN$33*DATOS!$C$67,DATOS!$C$68))</f>
        <v>*</v>
      </c>
      <c r="C908" s="51" t="str">
        <f aca="false">IF(LEN($B908)&gt;79,"MÁS DE 79 CARACTERES","")</f>
        <v/>
      </c>
      <c r="D908" s="53" t="str">
        <f aca="false">IF(PRESIONES!$C$22="NO","",IF(OR(LINEAS!$D$33="",DATOS!$C$22="—",ABS(LINEAS!$BD$33*DATOS!$C$67)&lt;0.00005),"*",LINEAS!$D$33&amp;" UNI G"&amp;DATOS!$C$22&amp;" "&amp;TEXT(LINEAS!$BD$33*DATOS!$C$67,DATOS!$C$68)))</f>
        <v/>
      </c>
      <c r="E908" s="51" t="str">
        <f aca="false">IF(LEN($D908)&gt;79,"MÁS DE 79 CARACTERES","")</f>
        <v/>
      </c>
    </row>
    <row r="909" customFormat="false" ht="15" hidden="false" customHeight="true" outlineLevel="0" collapsed="false">
      <c r="B909" s="53" t="str">
        <f aca="false">IF(OR(LINEAS!$D$34="",ABS(-LINEAS!$AF$34*DATOS!$C$67)&lt;0.00005),"*",LINEAS!$D$34&amp;" UNI GY "&amp;TEXT(-LINEAS!$AF$34*DATOS!$C$67,DATOS!$C$68))</f>
        <v>*</v>
      </c>
      <c r="C909" s="51" t="str">
        <f aca="false">IF(LEN($B909)&gt;79,"MÁS DE 79 CARACTERES","")</f>
        <v/>
      </c>
      <c r="D909" s="53" t="str">
        <f aca="false">IF(PRESIONES!$C$22="NO","",IF(OR(LINEAS!$D$34="",ABS(-LINEAS!$AV$34*DATOS!$C$67)&lt;0.00005),"*",LINEAS!$D$34&amp;" UNI GY "&amp;TEXT(-LINEAS!$AV$34*DATOS!$C$67,DATOS!$C$68)))</f>
        <v/>
      </c>
      <c r="E909" s="51" t="str">
        <f aca="false">IF(LEN($D909)&gt;79,"MÁS DE 79 CARACTERES","")</f>
        <v/>
      </c>
    </row>
    <row r="910" customFormat="false" ht="15" hidden="false" customHeight="true" outlineLevel="0" collapsed="false">
      <c r="B910" s="53" t="str">
        <f aca="false">IF(OR(LINEAS!$D$34="",DATOS!$C$22="—",ABS(LINEAS!$AN$34*DATOS!$C$67)&lt;0.00005),"*",LINEAS!$D$34&amp;" UNI G"&amp;DATOS!$C$22&amp;" "&amp;TEXT(LINEAS!$AN$34*DATOS!$C$67,DATOS!$C$68))</f>
        <v>*</v>
      </c>
      <c r="C910" s="51" t="str">
        <f aca="false">IF(LEN($B910)&gt;79,"MÁS DE 79 CARACTERES","")</f>
        <v/>
      </c>
      <c r="D910" s="53" t="str">
        <f aca="false">IF(PRESIONES!$C$22="NO","",IF(OR(LINEAS!$D$34="",DATOS!$C$22="—",ABS(LINEAS!$BD$34*DATOS!$C$67)&lt;0.00005),"*",LINEAS!$D$34&amp;" UNI G"&amp;DATOS!$C$22&amp;" "&amp;TEXT(LINEAS!$BD$34*DATOS!$C$67,DATOS!$C$68)))</f>
        <v/>
      </c>
      <c r="E910" s="51" t="str">
        <f aca="false">IF(LEN($D910)&gt;79,"MÁS DE 79 CARACTERES","")</f>
        <v/>
      </c>
    </row>
    <row r="911" customFormat="false" ht="15" hidden="false" customHeight="true" outlineLevel="0" collapsed="false">
      <c r="B911" s="53" t="str">
        <f aca="false">IF(OR(LINEAS!$D$35="",ABS(-LINEAS!$AF$35*DATOS!$C$67)&lt;0.00005),"*",LINEAS!$D$35&amp;" UNI GY "&amp;TEXT(-LINEAS!$AF$35*DATOS!$C$67,DATOS!$C$68))</f>
        <v>*</v>
      </c>
      <c r="C911" s="51" t="str">
        <f aca="false">IF(LEN($B911)&gt;79,"MÁS DE 79 CARACTERES","")</f>
        <v/>
      </c>
      <c r="D911" s="53" t="str">
        <f aca="false">IF(PRESIONES!$C$22="NO","",IF(OR(LINEAS!$D$35="",ABS(-LINEAS!$AV$35*DATOS!$C$67)&lt;0.00005),"*",LINEAS!$D$35&amp;" UNI GY "&amp;TEXT(-LINEAS!$AV$35*DATOS!$C$67,DATOS!$C$68)))</f>
        <v/>
      </c>
      <c r="E911" s="51" t="str">
        <f aca="false">IF(LEN($D911)&gt;79,"MÁS DE 79 CARACTERES","")</f>
        <v/>
      </c>
    </row>
    <row r="912" customFormat="false" ht="15" hidden="false" customHeight="true" outlineLevel="0" collapsed="false">
      <c r="B912" s="53" t="str">
        <f aca="false">IF(OR(LINEAS!$D$35="",DATOS!$C$22="—",ABS(LINEAS!$AN$35*DATOS!$C$67)&lt;0.00005),"*",LINEAS!$D$35&amp;" UNI G"&amp;DATOS!$C$22&amp;" "&amp;TEXT(LINEAS!$AN$35*DATOS!$C$67,DATOS!$C$68))</f>
        <v>*</v>
      </c>
      <c r="C912" s="51" t="str">
        <f aca="false">IF(LEN($B912)&gt;79,"MÁS DE 79 CARACTERES","")</f>
        <v/>
      </c>
      <c r="D912" s="53" t="str">
        <f aca="false">IF(PRESIONES!$C$22="NO","",IF(OR(LINEAS!$D$35="",DATOS!$C$22="—",ABS(LINEAS!$BD$35*DATOS!$C$67)&lt;0.00005),"*",LINEAS!$D$35&amp;" UNI G"&amp;DATOS!$C$22&amp;" "&amp;TEXT(LINEAS!$BD$35*DATOS!$C$67,DATOS!$C$68)))</f>
        <v/>
      </c>
      <c r="E912" s="51" t="str">
        <f aca="false">IF(LEN($D912)&gt;79,"MÁS DE 79 CARACTERES","")</f>
        <v/>
      </c>
    </row>
    <row r="913" customFormat="false" ht="15" hidden="false" customHeight="true" outlineLevel="0" collapsed="false">
      <c r="B913" s="53" t="str">
        <f aca="false">IF(OR(LINEAS!$D$36="",ABS(-LINEAS!$AF$36*DATOS!$C$67)&lt;0.00005),"*",LINEAS!$D$36&amp;" UNI GY "&amp;TEXT(-LINEAS!$AF$36*DATOS!$C$67,DATOS!$C$68))</f>
        <v>*</v>
      </c>
      <c r="C913" s="51" t="str">
        <f aca="false">IF(LEN($B913)&gt;79,"MÁS DE 79 CARACTERES","")</f>
        <v/>
      </c>
      <c r="D913" s="53" t="str">
        <f aca="false">IF(PRESIONES!$C$22="NO","",IF(OR(LINEAS!$D$36="",ABS(-LINEAS!$AV$36*DATOS!$C$67)&lt;0.00005),"*",LINEAS!$D$36&amp;" UNI GY "&amp;TEXT(-LINEAS!$AV$36*DATOS!$C$67,DATOS!$C$68)))</f>
        <v/>
      </c>
      <c r="E913" s="51" t="str">
        <f aca="false">IF(LEN($D913)&gt;79,"MÁS DE 79 CARACTERES","")</f>
        <v/>
      </c>
    </row>
    <row r="914" customFormat="false" ht="15" hidden="false" customHeight="true" outlineLevel="0" collapsed="false">
      <c r="B914" s="53" t="str">
        <f aca="false">IF(OR(LINEAS!$D$36="",DATOS!$C$22="—",ABS(LINEAS!$AN$36*DATOS!$C$67)&lt;0.00005),"*",LINEAS!$D$36&amp;" UNI G"&amp;DATOS!$C$22&amp;" "&amp;TEXT(LINEAS!$AN$36*DATOS!$C$67,DATOS!$C$68))</f>
        <v>*</v>
      </c>
      <c r="C914" s="51" t="str">
        <f aca="false">IF(LEN($B914)&gt;79,"MÁS DE 79 CARACTERES","")</f>
        <v/>
      </c>
      <c r="D914" s="53" t="str">
        <f aca="false">IF(PRESIONES!$C$22="NO","",IF(OR(LINEAS!$D$36="",DATOS!$C$22="—",ABS(LINEAS!$BD$36*DATOS!$C$67)&lt;0.00005),"*",LINEAS!$D$36&amp;" UNI G"&amp;DATOS!$C$22&amp;" "&amp;TEXT(LINEAS!$BD$36*DATOS!$C$67,DATOS!$C$68)))</f>
        <v/>
      </c>
      <c r="E914" s="51" t="str">
        <f aca="false">IF(LEN($D914)&gt;79,"MÁS DE 79 CARACTERES","")</f>
        <v/>
      </c>
    </row>
    <row r="915" customFormat="false" ht="15" hidden="false" customHeight="true" outlineLevel="0" collapsed="false">
      <c r="B915" s="53" t="str">
        <f aca="false">IF(OR(LINEAS!$D$37="",ABS(-LINEAS!$AF$37*DATOS!$C$67)&lt;0.00005),"*",LINEAS!$D$37&amp;" UNI GY "&amp;TEXT(-LINEAS!$AF$37*DATOS!$C$67,DATOS!$C$68))</f>
        <v>*</v>
      </c>
      <c r="C915" s="51" t="str">
        <f aca="false">IF(LEN($B915)&gt;79,"MÁS DE 79 CARACTERES","")</f>
        <v/>
      </c>
      <c r="D915" s="53" t="str">
        <f aca="false">IF(PRESIONES!$C$22="NO","",IF(OR(LINEAS!$D$37="",ABS(-LINEAS!$AV$37*DATOS!$C$67)&lt;0.00005),"*",LINEAS!$D$37&amp;" UNI GY "&amp;TEXT(-LINEAS!$AV$37*DATOS!$C$67,DATOS!$C$68)))</f>
        <v/>
      </c>
      <c r="E915" s="51" t="str">
        <f aca="false">IF(LEN($D915)&gt;79,"MÁS DE 79 CARACTERES","")</f>
        <v/>
      </c>
    </row>
    <row r="916" customFormat="false" ht="15" hidden="false" customHeight="true" outlineLevel="0" collapsed="false">
      <c r="B916" s="53" t="str">
        <f aca="false">IF(OR(LINEAS!$D$37="",DATOS!$C$22="—",ABS(LINEAS!$AN$37*DATOS!$C$67)&lt;0.00005),"*",LINEAS!$D$37&amp;" UNI G"&amp;DATOS!$C$22&amp;" "&amp;TEXT(LINEAS!$AN$37*DATOS!$C$67,DATOS!$C$68))</f>
        <v>*</v>
      </c>
      <c r="C916" s="51" t="str">
        <f aca="false">IF(LEN($B916)&gt;79,"MÁS DE 79 CARACTERES","")</f>
        <v/>
      </c>
      <c r="D916" s="53" t="str">
        <f aca="false">IF(PRESIONES!$C$22="NO","",IF(OR(LINEAS!$D$37="",DATOS!$C$22="—",ABS(LINEAS!$BD$37*DATOS!$C$67)&lt;0.00005),"*",LINEAS!$D$37&amp;" UNI G"&amp;DATOS!$C$22&amp;" "&amp;TEXT(LINEAS!$BD$37*DATOS!$C$67,DATOS!$C$68)))</f>
        <v/>
      </c>
      <c r="E916" s="51" t="str">
        <f aca="false">IF(LEN($D916)&gt;79,"MÁS DE 79 CARACTERES","")</f>
        <v/>
      </c>
    </row>
    <row r="917" customFormat="false" ht="15" hidden="false" customHeight="true" outlineLevel="0" collapsed="false">
      <c r="B917" s="53" t="str">
        <f aca="false">IF(OR(LINEAS!$D$38="",ABS(-LINEAS!$AF$38*DATOS!$C$67)&lt;0.00005),"*",LINEAS!$D$38&amp;" UNI GY "&amp;TEXT(-LINEAS!$AF$38*DATOS!$C$67,DATOS!$C$68))</f>
        <v>*</v>
      </c>
      <c r="C917" s="51" t="str">
        <f aca="false">IF(LEN($B917)&gt;79,"MÁS DE 79 CARACTERES","")</f>
        <v/>
      </c>
      <c r="D917" s="53" t="str">
        <f aca="false">IF(PRESIONES!$C$22="NO","",IF(OR(LINEAS!$D$38="",ABS(-LINEAS!$AV$38*DATOS!$C$67)&lt;0.00005),"*",LINEAS!$D$38&amp;" UNI GY "&amp;TEXT(-LINEAS!$AV$38*DATOS!$C$67,DATOS!$C$68)))</f>
        <v/>
      </c>
      <c r="E917" s="51" t="str">
        <f aca="false">IF(LEN($D917)&gt;79,"MÁS DE 79 CARACTERES","")</f>
        <v/>
      </c>
    </row>
    <row r="918" customFormat="false" ht="15" hidden="false" customHeight="true" outlineLevel="0" collapsed="false">
      <c r="B918" s="53" t="str">
        <f aca="false">IF(OR(LINEAS!$D$38="",DATOS!$C$22="—",ABS(LINEAS!$AN$38*DATOS!$C$67)&lt;0.00005),"*",LINEAS!$D$38&amp;" UNI G"&amp;DATOS!$C$22&amp;" "&amp;TEXT(LINEAS!$AN$38*DATOS!$C$67,DATOS!$C$68))</f>
        <v>*</v>
      </c>
      <c r="C918" s="51" t="str">
        <f aca="false">IF(LEN($B918)&gt;79,"MÁS DE 79 CARACTERES","")</f>
        <v/>
      </c>
      <c r="D918" s="53" t="str">
        <f aca="false">IF(PRESIONES!$C$22="NO","",IF(OR(LINEAS!$D$38="",DATOS!$C$22="—",ABS(LINEAS!$BD$38*DATOS!$C$67)&lt;0.00005),"*",LINEAS!$D$38&amp;" UNI G"&amp;DATOS!$C$22&amp;" "&amp;TEXT(LINEAS!$BD$38*DATOS!$C$67,DATOS!$C$68)))</f>
        <v/>
      </c>
      <c r="E918" s="51" t="str">
        <f aca="false">IF(LEN($D918)&gt;79,"MÁS DE 79 CARACTERES","")</f>
        <v/>
      </c>
    </row>
    <row r="919" customFormat="false" ht="15" hidden="false" customHeight="true" outlineLevel="0" collapsed="false">
      <c r="B919" s="53" t="str">
        <f aca="false">IF(OR(LINEAS!$D$45="",LINEAS!$U$45=0,ABS(IF(OR(LINEAS!$U$45=1,LINEAS!$U$45=3),1,-1)*LINEAS!$AF$45*DATOS!$C$67)&lt;0.00005),"*",LINEAS!$D$45&amp;" UNI "&amp;IF(LINEAS!$U$45&lt;=2,"GZ","GX")&amp;" "&amp;TEXT(IF(OR(LINEAS!$U$45=1,LINEAS!$U$45=3),1,-1)*LINEAS!$AF$45*DATOS!$C$67,DATOS!$C$68))</f>
        <v>261 UNI GX 0.7538</v>
      </c>
      <c r="C919" s="51" t="str">
        <f aca="false">IF(LEN($B919)&gt;79,"MÁS DE 79 CARACTERES","")</f>
        <v/>
      </c>
      <c r="D919" s="53" t="str">
        <f aca="false">IF(PRESIONES!$C$22="NO","",IF(OR(LINEAS!$D$45="",LINEAS!$U$45=0,ABS(IF(OR(LINEAS!$U$45=1,LINEAS!$U$45=3),1,-1)*LINEAS!$AF$45*DATOS!$C$67)&lt;0.00005),"*",LINEAS!$D$45&amp;" UNI "&amp;IF(LINEAS!$U$45&lt;=2,"GZ","GX")&amp;" "&amp;TEXT(IF(OR(LINEAS!$U$45=1,LINEAS!$U$45=3),1,-1)*LINEAS!$AF$45*DATOS!$C$67,DATOS!$C$68)))</f>
        <v/>
      </c>
      <c r="E919" s="51" t="str">
        <f aca="false">IF(LEN($D919)&gt;79,"MÁS DE 79 CARACTERES","")</f>
        <v/>
      </c>
    </row>
    <row r="920" customFormat="false" ht="15" hidden="false" customHeight="true" outlineLevel="0" collapsed="false">
      <c r="B920" s="53" t="str">
        <f aca="false">IF(OR(LINEAS!$D$46="",LINEAS!$U$46=0,ABS(IF(OR(LINEAS!$U$46=1,LINEAS!$U$46=3),1,-1)*LINEAS!$AF$46*DATOS!$C$67)&lt;0.00005),"*",LINEAS!$D$46&amp;" UNI "&amp;IF(LINEAS!$U$46&lt;=2,"GZ","GX")&amp;" "&amp;TEXT(IF(OR(LINEAS!$U$46=1,LINEAS!$U$46=3),1,-1)*LINEAS!$AF$46*DATOS!$C$67,DATOS!$C$68))</f>
        <v>260 UNI GX 0.7538</v>
      </c>
      <c r="C920" s="51" t="str">
        <f aca="false">IF(LEN($B920)&gt;79,"MÁS DE 79 CARACTERES","")</f>
        <v/>
      </c>
      <c r="D920" s="53" t="str">
        <f aca="false">IF(PRESIONES!$C$22="NO","",IF(OR(LINEAS!$D$46="",LINEAS!$U$46=0,ABS(IF(OR(LINEAS!$U$46=1,LINEAS!$U$46=3),1,-1)*LINEAS!$AF$46*DATOS!$C$67)&lt;0.00005),"*",LINEAS!$D$46&amp;" UNI "&amp;IF(LINEAS!$U$46&lt;=2,"GZ","GX")&amp;" "&amp;TEXT(IF(OR(LINEAS!$U$46=1,LINEAS!$U$46=3),1,-1)*LINEAS!$AF$46*DATOS!$C$67,DATOS!$C$68)))</f>
        <v/>
      </c>
      <c r="E920" s="51" t="str">
        <f aca="false">IF(LEN($D920)&gt;79,"MÁS DE 79 CARACTERES","")</f>
        <v/>
      </c>
    </row>
    <row r="921" customFormat="false" ht="15" hidden="false" customHeight="true" outlineLevel="0" collapsed="false">
      <c r="B921" s="53" t="str">
        <f aca="false">IF(OR(LINEAS!$D$47="",LINEAS!$U$47=0,ABS(IF(OR(LINEAS!$U$47=1,LINEAS!$U$47=3),1,-1)*LINEAS!$AF$47*DATOS!$C$67)&lt;0.00005),"*",LINEAS!$D$47&amp;" UNI "&amp;IF(LINEAS!$U$47&lt;=2,"GZ","GX")&amp;" "&amp;TEXT(IF(OR(LINEAS!$U$47=1,LINEAS!$U$47=3),1,-1)*LINEAS!$AF$47*DATOS!$C$67,DATOS!$C$68))</f>
        <v>259 UNI GX 0.7538</v>
      </c>
      <c r="C921" s="51" t="str">
        <f aca="false">IF(LEN($B921)&gt;79,"MÁS DE 79 CARACTERES","")</f>
        <v/>
      </c>
      <c r="D921" s="53" t="str">
        <f aca="false">IF(PRESIONES!$C$22="NO","",IF(OR(LINEAS!$D$47="",LINEAS!$U$47=0,ABS(IF(OR(LINEAS!$U$47=1,LINEAS!$U$47=3),1,-1)*LINEAS!$AF$47*DATOS!$C$67)&lt;0.00005),"*",LINEAS!$D$47&amp;" UNI "&amp;IF(LINEAS!$U$47&lt;=2,"GZ","GX")&amp;" "&amp;TEXT(IF(OR(LINEAS!$U$47=1,LINEAS!$U$47=3),1,-1)*LINEAS!$AF$47*DATOS!$C$67,DATOS!$C$68)))</f>
        <v/>
      </c>
      <c r="E921" s="51" t="str">
        <f aca="false">IF(LEN($D921)&gt;79,"MÁS DE 79 CARACTERES","")</f>
        <v/>
      </c>
    </row>
    <row r="922" customFormat="false" ht="15" hidden="false" customHeight="true" outlineLevel="0" collapsed="false">
      <c r="B922" s="53" t="str">
        <f aca="false">IF(OR(LINEAS!$D$48="",LINEAS!$U$48=0,ABS(IF(OR(LINEAS!$U$48=1,LINEAS!$U$48=3),1,-1)*LINEAS!$AF$48*DATOS!$C$67)&lt;0.00005),"*",LINEAS!$D$48&amp;" UNI "&amp;IF(LINEAS!$U$48&lt;=2,"GZ","GX")&amp;" "&amp;TEXT(IF(OR(LINEAS!$U$48=1,LINEAS!$U$48=3),1,-1)*LINEAS!$AF$48*DATOS!$C$67,DATOS!$C$68))</f>
        <v>270 UNI GX 0.7538</v>
      </c>
      <c r="C922" s="51" t="str">
        <f aca="false">IF(LEN($B922)&gt;79,"MÁS DE 79 CARACTERES","")</f>
        <v/>
      </c>
      <c r="D922" s="53" t="str">
        <f aca="false">IF(PRESIONES!$C$22="NO","",IF(OR(LINEAS!$D$48="",LINEAS!$U$48=0,ABS(IF(OR(LINEAS!$U$48=1,LINEAS!$U$48=3),1,-1)*LINEAS!$AF$48*DATOS!$C$67)&lt;0.00005),"*",LINEAS!$D$48&amp;" UNI "&amp;IF(LINEAS!$U$48&lt;=2,"GZ","GX")&amp;" "&amp;TEXT(IF(OR(LINEAS!$U$48=1,LINEAS!$U$48=3),1,-1)*LINEAS!$AF$48*DATOS!$C$67,DATOS!$C$68)))</f>
        <v/>
      </c>
      <c r="E922" s="51" t="str">
        <f aca="false">IF(LEN($D922)&gt;79,"MÁS DE 79 CARACTERES","")</f>
        <v/>
      </c>
    </row>
    <row r="923" customFormat="false" ht="15" hidden="false" customHeight="true" outlineLevel="0" collapsed="false">
      <c r="B923" s="53" t="str">
        <f aca="false">IF(OR(LINEAS!$D$49="",LINEAS!$U$49=0,ABS(IF(OR(LINEAS!$U$49=1,LINEAS!$U$49=3),1,-1)*LINEAS!$AF$49*DATOS!$C$67)&lt;0.00005),"*",LINEAS!$D$49&amp;" UNI "&amp;IF(LINEAS!$U$49&lt;=2,"GZ","GX")&amp;" "&amp;TEXT(IF(OR(LINEAS!$U$49=1,LINEAS!$U$49=3),1,-1)*LINEAS!$AF$49*DATOS!$C$67,DATOS!$C$68))</f>
        <v>269 UNI GX 0.7538</v>
      </c>
      <c r="C923" s="51" t="str">
        <f aca="false">IF(LEN($B923)&gt;79,"MÁS DE 79 CARACTERES","")</f>
        <v/>
      </c>
      <c r="D923" s="53" t="str">
        <f aca="false">IF(PRESIONES!$C$22="NO","",IF(OR(LINEAS!$D$49="",LINEAS!$U$49=0,ABS(IF(OR(LINEAS!$U$49=1,LINEAS!$U$49=3),1,-1)*LINEAS!$AF$49*DATOS!$C$67)&lt;0.00005),"*",LINEAS!$D$49&amp;" UNI "&amp;IF(LINEAS!$U$49&lt;=2,"GZ","GX")&amp;" "&amp;TEXT(IF(OR(LINEAS!$U$49=1,LINEAS!$U$49=3),1,-1)*LINEAS!$AF$49*DATOS!$C$67,DATOS!$C$68)))</f>
        <v/>
      </c>
      <c r="E923" s="51" t="str">
        <f aca="false">IF(LEN($D923)&gt;79,"MÁS DE 79 CARACTERES","")</f>
        <v/>
      </c>
    </row>
    <row r="924" customFormat="false" ht="15" hidden="false" customHeight="true" outlineLevel="0" collapsed="false">
      <c r="B924" s="53" t="str">
        <f aca="false">IF(OR(LINEAS!$D$50="",LINEAS!$U$50=0,ABS(IF(OR(LINEAS!$U$50=1,LINEAS!$U$50=3),1,-1)*LINEAS!$AF$50*DATOS!$C$67)&lt;0.00005),"*",LINEAS!$D$50&amp;" UNI "&amp;IF(LINEAS!$U$50&lt;=2,"GZ","GX")&amp;" "&amp;TEXT(IF(OR(LINEAS!$U$50=1,LINEAS!$U$50=3),1,-1)*LINEAS!$AF$50*DATOS!$C$67,DATOS!$C$68))</f>
        <v>268 UNI GX 0.7538</v>
      </c>
      <c r="C924" s="51" t="str">
        <f aca="false">IF(LEN($B924)&gt;79,"MÁS DE 79 CARACTERES","")</f>
        <v/>
      </c>
      <c r="D924" s="53" t="str">
        <f aca="false">IF(PRESIONES!$C$22="NO","",IF(OR(LINEAS!$D$50="",LINEAS!$U$50=0,ABS(IF(OR(LINEAS!$U$50=1,LINEAS!$U$50=3),1,-1)*LINEAS!$AF$50*DATOS!$C$67)&lt;0.00005),"*",LINEAS!$D$50&amp;" UNI "&amp;IF(LINEAS!$U$50&lt;=2,"GZ","GX")&amp;" "&amp;TEXT(IF(OR(LINEAS!$U$50=1,LINEAS!$U$50=3),1,-1)*LINEAS!$AF$50*DATOS!$C$67,DATOS!$C$68)))</f>
        <v/>
      </c>
      <c r="E924" s="51" t="str">
        <f aca="false">IF(LEN($D924)&gt;79,"MÁS DE 79 CARACTERES","")</f>
        <v/>
      </c>
    </row>
    <row r="925" customFormat="false" ht="15" hidden="false" customHeight="true" outlineLevel="0" collapsed="false">
      <c r="B925" s="53" t="str">
        <f aca="false">IF(OR(LINEAS!$D$51="",LINEAS!$U$51=0,ABS(IF(OR(LINEAS!$U$51=1,LINEAS!$U$51=3),1,-1)*LINEAS!$AF$51*DATOS!$C$67)&lt;0.00005),"*",LINEAS!$D$51&amp;" UNI "&amp;IF(LINEAS!$U$51&lt;=2,"GZ","GX")&amp;" "&amp;TEXT(IF(OR(LINEAS!$U$51=1,LINEAS!$U$51=3),1,-1)*LINEAS!$AF$51*DATOS!$C$67,DATOS!$C$68))</f>
        <v>279 UNI GX 0.7538</v>
      </c>
      <c r="C925" s="51" t="str">
        <f aca="false">IF(LEN($B925)&gt;79,"MÁS DE 79 CARACTERES","")</f>
        <v/>
      </c>
      <c r="D925" s="53" t="str">
        <f aca="false">IF(PRESIONES!$C$22="NO","",IF(OR(LINEAS!$D$51="",LINEAS!$U$51=0,ABS(IF(OR(LINEAS!$U$51=1,LINEAS!$U$51=3),1,-1)*LINEAS!$AF$51*DATOS!$C$67)&lt;0.00005),"*",LINEAS!$D$51&amp;" UNI "&amp;IF(LINEAS!$U$51&lt;=2,"GZ","GX")&amp;" "&amp;TEXT(IF(OR(LINEAS!$U$51=1,LINEAS!$U$51=3),1,-1)*LINEAS!$AF$51*DATOS!$C$67,DATOS!$C$68)))</f>
        <v/>
      </c>
      <c r="E925" s="51" t="str">
        <f aca="false">IF(LEN($D925)&gt;79,"MÁS DE 79 CARACTERES","")</f>
        <v/>
      </c>
    </row>
    <row r="926" customFormat="false" ht="15" hidden="false" customHeight="true" outlineLevel="0" collapsed="false">
      <c r="B926" s="53" t="str">
        <f aca="false">IF(OR(LINEAS!$D$52="",LINEAS!$U$52=0,ABS(IF(OR(LINEAS!$U$52=1,LINEAS!$U$52=3),1,-1)*LINEAS!$AF$52*DATOS!$C$67)&lt;0.00005),"*",LINEAS!$D$52&amp;" UNI "&amp;IF(LINEAS!$U$52&lt;=2,"GZ","GX")&amp;" "&amp;TEXT(IF(OR(LINEAS!$U$52=1,LINEAS!$U$52=3),1,-1)*LINEAS!$AF$52*DATOS!$C$67,DATOS!$C$68))</f>
        <v>278 UNI GX 0.7538</v>
      </c>
      <c r="C926" s="51" t="str">
        <f aca="false">IF(LEN($B926)&gt;79,"MÁS DE 79 CARACTERES","")</f>
        <v/>
      </c>
      <c r="D926" s="53" t="str">
        <f aca="false">IF(PRESIONES!$C$22="NO","",IF(OR(LINEAS!$D$52="",LINEAS!$U$52=0,ABS(IF(OR(LINEAS!$U$52=1,LINEAS!$U$52=3),1,-1)*LINEAS!$AF$52*DATOS!$C$67)&lt;0.00005),"*",LINEAS!$D$52&amp;" UNI "&amp;IF(LINEAS!$U$52&lt;=2,"GZ","GX")&amp;" "&amp;TEXT(IF(OR(LINEAS!$U$52=1,LINEAS!$U$52=3),1,-1)*LINEAS!$AF$52*DATOS!$C$67,DATOS!$C$68)))</f>
        <v/>
      </c>
      <c r="E926" s="51" t="str">
        <f aca="false">IF(LEN($D926)&gt;79,"MÁS DE 79 CARACTERES","")</f>
        <v/>
      </c>
    </row>
    <row r="927" customFormat="false" ht="15" hidden="false" customHeight="true" outlineLevel="0" collapsed="false">
      <c r="B927" s="53" t="str">
        <f aca="false">IF(OR(LINEAS!$D$53="",LINEAS!$U$53=0,ABS(IF(OR(LINEAS!$U$53=1,LINEAS!$U$53=3),1,-1)*LINEAS!$AF$53*DATOS!$C$67)&lt;0.00005),"*",LINEAS!$D$53&amp;" UNI "&amp;IF(LINEAS!$U$53&lt;=2,"GZ","GX")&amp;" "&amp;TEXT(IF(OR(LINEAS!$U$53=1,LINEAS!$U$53=3),1,-1)*LINEAS!$AF$53*DATOS!$C$67,DATOS!$C$68))</f>
        <v>277 UNI GX 0.7538</v>
      </c>
      <c r="C927" s="51" t="str">
        <f aca="false">IF(LEN($B927)&gt;79,"MÁS DE 79 CARACTERES","")</f>
        <v/>
      </c>
      <c r="D927" s="53" t="str">
        <f aca="false">IF(PRESIONES!$C$22="NO","",IF(OR(LINEAS!$D$53="",LINEAS!$U$53=0,ABS(IF(OR(LINEAS!$U$53=1,LINEAS!$U$53=3),1,-1)*LINEAS!$AF$53*DATOS!$C$67)&lt;0.00005),"*",LINEAS!$D$53&amp;" UNI "&amp;IF(LINEAS!$U$53&lt;=2,"GZ","GX")&amp;" "&amp;TEXT(IF(OR(LINEAS!$U$53=1,LINEAS!$U$53=3),1,-1)*LINEAS!$AF$53*DATOS!$C$67,DATOS!$C$68)))</f>
        <v/>
      </c>
      <c r="E927" s="51" t="str">
        <f aca="false">IF(LEN($D927)&gt;79,"MÁS DE 79 CARACTERES","")</f>
        <v/>
      </c>
    </row>
    <row r="928" customFormat="false" ht="15" hidden="false" customHeight="true" outlineLevel="0" collapsed="false">
      <c r="B928" s="53" t="str">
        <f aca="false">IF(OR(LINEAS!$D$54="",LINEAS!$U$54=0,ABS(IF(OR(LINEAS!$U$54=1,LINEAS!$U$54=3),1,-1)*LINEAS!$AF$54*DATOS!$C$67)&lt;0.00005),"*",LINEAS!$D$54&amp;" UNI "&amp;IF(LINEAS!$U$54&lt;=2,"GZ","GX")&amp;" "&amp;TEXT(IF(OR(LINEAS!$U$54=1,LINEAS!$U$54=3),1,-1)*LINEAS!$AF$54*DATOS!$C$67,DATOS!$C$68))</f>
        <v>289 UNI GX 0.7538</v>
      </c>
      <c r="C928" s="51" t="str">
        <f aca="false">IF(LEN($B928)&gt;79,"MÁS DE 79 CARACTERES","")</f>
        <v/>
      </c>
      <c r="D928" s="53" t="str">
        <f aca="false">IF(PRESIONES!$C$22="NO","",IF(OR(LINEAS!$D$54="",LINEAS!$U$54=0,ABS(IF(OR(LINEAS!$U$54=1,LINEAS!$U$54=3),1,-1)*LINEAS!$AF$54*DATOS!$C$67)&lt;0.00005),"*",LINEAS!$D$54&amp;" UNI "&amp;IF(LINEAS!$U$54&lt;=2,"GZ","GX")&amp;" "&amp;TEXT(IF(OR(LINEAS!$U$54=1,LINEAS!$U$54=3),1,-1)*LINEAS!$AF$54*DATOS!$C$67,DATOS!$C$68)))</f>
        <v/>
      </c>
      <c r="E928" s="51" t="str">
        <f aca="false">IF(LEN($D928)&gt;79,"MÁS DE 79 CARACTERES","")</f>
        <v/>
      </c>
    </row>
    <row r="929" customFormat="false" ht="15" hidden="false" customHeight="true" outlineLevel="0" collapsed="false">
      <c r="B929" s="53" t="str">
        <f aca="false">IF(OR(LINEAS!$D$55="",LINEAS!$U$55=0,ABS(IF(OR(LINEAS!$U$55=1,LINEAS!$U$55=3),1,-1)*LINEAS!$AF$55*DATOS!$C$67)&lt;0.00005),"*",LINEAS!$D$55&amp;" UNI "&amp;IF(LINEAS!$U$55&lt;=2,"GZ","GX")&amp;" "&amp;TEXT(IF(OR(LINEAS!$U$55=1,LINEAS!$U$55=3),1,-1)*LINEAS!$AF$55*DATOS!$C$67,DATOS!$C$68))</f>
        <v>288 UNI GX 0.7538</v>
      </c>
      <c r="C929" s="51" t="str">
        <f aca="false">IF(LEN($B929)&gt;79,"MÁS DE 79 CARACTERES","")</f>
        <v/>
      </c>
      <c r="D929" s="53" t="str">
        <f aca="false">IF(PRESIONES!$C$22="NO","",IF(OR(LINEAS!$D$55="",LINEAS!$U$55=0,ABS(IF(OR(LINEAS!$U$55=1,LINEAS!$U$55=3),1,-1)*LINEAS!$AF$55*DATOS!$C$67)&lt;0.00005),"*",LINEAS!$D$55&amp;" UNI "&amp;IF(LINEAS!$U$55&lt;=2,"GZ","GX")&amp;" "&amp;TEXT(IF(OR(LINEAS!$U$55=1,LINEAS!$U$55=3),1,-1)*LINEAS!$AF$55*DATOS!$C$67,DATOS!$C$68)))</f>
        <v/>
      </c>
      <c r="E929" s="51" t="str">
        <f aca="false">IF(LEN($D929)&gt;79,"MÁS DE 79 CARACTERES","")</f>
        <v/>
      </c>
    </row>
    <row r="930" customFormat="false" ht="15" hidden="false" customHeight="true" outlineLevel="0" collapsed="false">
      <c r="B930" s="53" t="str">
        <f aca="false">IF(OR(LINEAS!$D$56="",LINEAS!$U$56=0,ABS(IF(OR(LINEAS!$U$56=1,LINEAS!$U$56=3),1,-1)*LINEAS!$AF$56*DATOS!$C$67)&lt;0.00005),"*",LINEAS!$D$56&amp;" UNI "&amp;IF(LINEAS!$U$56&lt;=2,"GZ","GX")&amp;" "&amp;TEXT(IF(OR(LINEAS!$U$56=1,LINEAS!$U$56=3),1,-1)*LINEAS!$AF$56*DATOS!$C$67,DATOS!$C$68))</f>
        <v>287 UNI GX 0.7538</v>
      </c>
      <c r="C930" s="51" t="str">
        <f aca="false">IF(LEN($B930)&gt;79,"MÁS DE 79 CARACTERES","")</f>
        <v/>
      </c>
      <c r="D930" s="53" t="str">
        <f aca="false">IF(PRESIONES!$C$22="NO","",IF(OR(LINEAS!$D$56="",LINEAS!$U$56=0,ABS(IF(OR(LINEAS!$U$56=1,LINEAS!$U$56=3),1,-1)*LINEAS!$AF$56*DATOS!$C$67)&lt;0.00005),"*",LINEAS!$D$56&amp;" UNI "&amp;IF(LINEAS!$U$56&lt;=2,"GZ","GX")&amp;" "&amp;TEXT(IF(OR(LINEAS!$U$56=1,LINEAS!$U$56=3),1,-1)*LINEAS!$AF$56*DATOS!$C$67,DATOS!$C$68)))</f>
        <v/>
      </c>
      <c r="E930" s="51" t="str">
        <f aca="false">IF(LEN($D930)&gt;79,"MÁS DE 79 CARACTERES","")</f>
        <v/>
      </c>
    </row>
    <row r="931" customFormat="false" ht="15" hidden="false" customHeight="true" outlineLevel="0" collapsed="false">
      <c r="B931" s="53" t="str">
        <f aca="false">IF(OR(LINEAS!$D$57="",LINEAS!$U$57=0,ABS(IF(OR(LINEAS!$U$57=1,LINEAS!$U$57=3),1,-1)*LINEAS!$AF$57*DATOS!$C$67)&lt;0.00005),"*",LINEAS!$D$57&amp;" UNI "&amp;IF(LINEAS!$U$57&lt;=2,"GZ","GX")&amp;" "&amp;TEXT(IF(OR(LINEAS!$U$57=1,LINEAS!$U$57=3),1,-1)*LINEAS!$AF$57*DATOS!$C$67,DATOS!$C$68))</f>
        <v>297 UNI GX 0.7538</v>
      </c>
      <c r="C931" s="51" t="str">
        <f aca="false">IF(LEN($B931)&gt;79,"MÁS DE 79 CARACTERES","")</f>
        <v/>
      </c>
      <c r="D931" s="53" t="str">
        <f aca="false">IF(PRESIONES!$C$22="NO","",IF(OR(LINEAS!$D$57="",LINEAS!$U$57=0,ABS(IF(OR(LINEAS!$U$57=1,LINEAS!$U$57=3),1,-1)*LINEAS!$AF$57*DATOS!$C$67)&lt;0.00005),"*",LINEAS!$D$57&amp;" UNI "&amp;IF(LINEAS!$U$57&lt;=2,"GZ","GX")&amp;" "&amp;TEXT(IF(OR(LINEAS!$U$57=1,LINEAS!$U$57=3),1,-1)*LINEAS!$AF$57*DATOS!$C$67,DATOS!$C$68)))</f>
        <v/>
      </c>
      <c r="E931" s="51" t="str">
        <f aca="false">IF(LEN($D931)&gt;79,"MÁS DE 79 CARACTERES","")</f>
        <v/>
      </c>
    </row>
    <row r="932" customFormat="false" ht="15" hidden="false" customHeight="true" outlineLevel="0" collapsed="false">
      <c r="B932" s="53" t="str">
        <f aca="false">IF(OR(LINEAS!$D$58="",LINEAS!$U$58=0,ABS(IF(OR(LINEAS!$U$58=1,LINEAS!$U$58=3),1,-1)*LINEAS!$AF$58*DATOS!$C$67)&lt;0.00005),"*",LINEAS!$D$58&amp;" UNI "&amp;IF(LINEAS!$U$58&lt;=2,"GZ","GX")&amp;" "&amp;TEXT(IF(OR(LINEAS!$U$58=1,LINEAS!$U$58=3),1,-1)*LINEAS!$AF$58*DATOS!$C$67,DATOS!$C$68))</f>
        <v>296 UNI GX 0.7538</v>
      </c>
      <c r="C932" s="51" t="str">
        <f aca="false">IF(LEN($B932)&gt;79,"MÁS DE 79 CARACTERES","")</f>
        <v/>
      </c>
      <c r="D932" s="53" t="str">
        <f aca="false">IF(PRESIONES!$C$22="NO","",IF(OR(LINEAS!$D$58="",LINEAS!$U$58=0,ABS(IF(OR(LINEAS!$U$58=1,LINEAS!$U$58=3),1,-1)*LINEAS!$AF$58*DATOS!$C$67)&lt;0.00005),"*",LINEAS!$D$58&amp;" UNI "&amp;IF(LINEAS!$U$58&lt;=2,"GZ","GX")&amp;" "&amp;TEXT(IF(OR(LINEAS!$U$58=1,LINEAS!$U$58=3),1,-1)*LINEAS!$AF$58*DATOS!$C$67,DATOS!$C$68)))</f>
        <v/>
      </c>
      <c r="E932" s="51" t="str">
        <f aca="false">IF(LEN($D932)&gt;79,"MÁS DE 79 CARACTERES","")</f>
        <v/>
      </c>
    </row>
    <row r="933" customFormat="false" ht="15" hidden="false" customHeight="true" outlineLevel="0" collapsed="false">
      <c r="B933" s="53" t="str">
        <f aca="false">IF(OR(LINEAS!$D$59="",LINEAS!$U$59=0,ABS(IF(OR(LINEAS!$U$59=1,LINEAS!$U$59=3),1,-1)*LINEAS!$AF$59*DATOS!$C$67)&lt;0.00005),"*",LINEAS!$D$59&amp;" UNI "&amp;IF(LINEAS!$U$59&lt;=2,"GZ","GX")&amp;" "&amp;TEXT(IF(OR(LINEAS!$U$59=1,LINEAS!$U$59=3),1,-1)*LINEAS!$AF$59*DATOS!$C$67,DATOS!$C$68))</f>
        <v>295 UNI GX 0.7538</v>
      </c>
      <c r="C933" s="51" t="str">
        <f aca="false">IF(LEN($B933)&gt;79,"MÁS DE 79 CARACTERES","")</f>
        <v/>
      </c>
      <c r="D933" s="53" t="str">
        <f aca="false">IF(PRESIONES!$C$22="NO","",IF(OR(LINEAS!$D$59="",LINEAS!$U$59=0,ABS(IF(OR(LINEAS!$U$59=1,LINEAS!$U$59=3),1,-1)*LINEAS!$AF$59*DATOS!$C$67)&lt;0.00005),"*",LINEAS!$D$59&amp;" UNI "&amp;IF(LINEAS!$U$59&lt;=2,"GZ","GX")&amp;" "&amp;TEXT(IF(OR(LINEAS!$U$59=1,LINEAS!$U$59=3),1,-1)*LINEAS!$AF$59*DATOS!$C$67,DATOS!$C$68)))</f>
        <v/>
      </c>
      <c r="E933" s="51" t="str">
        <f aca="false">IF(LEN($D933)&gt;79,"MÁS DE 79 CARACTERES","")</f>
        <v/>
      </c>
    </row>
    <row r="934" customFormat="false" ht="15" hidden="false" customHeight="true" outlineLevel="0" collapsed="false">
      <c r="B934" s="53" t="str">
        <f aca="false">IF(OR(LINEAS!$D$60="",LINEAS!$U$60=0,ABS(IF(OR(LINEAS!$U$60=1,LINEAS!$U$60=3),1,-1)*LINEAS!$AF$60*DATOS!$C$67)&lt;0.00005),"*",LINEAS!$D$60&amp;" UNI "&amp;IF(LINEAS!$U$60&lt;=2,"GZ","GX")&amp;" "&amp;TEXT(IF(OR(LINEAS!$U$60=1,LINEAS!$U$60=3),1,-1)*LINEAS!$AF$60*DATOS!$C$67,DATOS!$C$68))</f>
        <v>305 UNI GX 0.7538</v>
      </c>
      <c r="C934" s="51" t="str">
        <f aca="false">IF(LEN($B934)&gt;79,"MÁS DE 79 CARACTERES","")</f>
        <v/>
      </c>
      <c r="D934" s="53" t="str">
        <f aca="false">IF(PRESIONES!$C$22="NO","",IF(OR(LINEAS!$D$60="",LINEAS!$U$60=0,ABS(IF(OR(LINEAS!$U$60=1,LINEAS!$U$60=3),1,-1)*LINEAS!$AF$60*DATOS!$C$67)&lt;0.00005),"*",LINEAS!$D$60&amp;" UNI "&amp;IF(LINEAS!$U$60&lt;=2,"GZ","GX")&amp;" "&amp;TEXT(IF(OR(LINEAS!$U$60=1,LINEAS!$U$60=3),1,-1)*LINEAS!$AF$60*DATOS!$C$67,DATOS!$C$68)))</f>
        <v/>
      </c>
      <c r="E934" s="51" t="str">
        <f aca="false">IF(LEN($D934)&gt;79,"MÁS DE 79 CARACTERES","")</f>
        <v/>
      </c>
    </row>
    <row r="935" customFormat="false" ht="15" hidden="false" customHeight="true" outlineLevel="0" collapsed="false">
      <c r="B935" s="53" t="str">
        <f aca="false">IF(OR(LINEAS!$D$61="",LINEAS!$U$61=0,ABS(IF(OR(LINEAS!$U$61=1,LINEAS!$U$61=3),1,-1)*LINEAS!$AF$61*DATOS!$C$67)&lt;0.00005),"*",LINEAS!$D$61&amp;" UNI "&amp;IF(LINEAS!$U$61&lt;=2,"GZ","GX")&amp;" "&amp;TEXT(IF(OR(LINEAS!$U$61=1,LINEAS!$U$61=3),1,-1)*LINEAS!$AF$61*DATOS!$C$67,DATOS!$C$68))</f>
        <v>304 UNI GX 0.7538</v>
      </c>
      <c r="C935" s="51" t="str">
        <f aca="false">IF(LEN($B935)&gt;79,"MÁS DE 79 CARACTERES","")</f>
        <v/>
      </c>
      <c r="D935" s="53" t="str">
        <f aca="false">IF(PRESIONES!$C$22="NO","",IF(OR(LINEAS!$D$61="",LINEAS!$U$61=0,ABS(IF(OR(LINEAS!$U$61=1,LINEAS!$U$61=3),1,-1)*LINEAS!$AF$61*DATOS!$C$67)&lt;0.00005),"*",LINEAS!$D$61&amp;" UNI "&amp;IF(LINEAS!$U$61&lt;=2,"GZ","GX")&amp;" "&amp;TEXT(IF(OR(LINEAS!$U$61=1,LINEAS!$U$61=3),1,-1)*LINEAS!$AF$61*DATOS!$C$67,DATOS!$C$68)))</f>
        <v/>
      </c>
      <c r="E935" s="51" t="str">
        <f aca="false">IF(LEN($D935)&gt;79,"MÁS DE 79 CARACTERES","")</f>
        <v/>
      </c>
    </row>
    <row r="936" customFormat="false" ht="15" hidden="false" customHeight="true" outlineLevel="0" collapsed="false">
      <c r="B936" s="53" t="str">
        <f aca="false">IF(OR(LINEAS!$D$62="",LINEAS!$U$62=0,ABS(IF(OR(LINEAS!$U$62=1,LINEAS!$U$62=3),1,-1)*LINEAS!$AF$62*DATOS!$C$67)&lt;0.00005),"*",LINEAS!$D$62&amp;" UNI "&amp;IF(LINEAS!$U$62&lt;=2,"GZ","GX")&amp;" "&amp;TEXT(IF(OR(LINEAS!$U$62=1,LINEAS!$U$62=3),1,-1)*LINEAS!$AF$62*DATOS!$C$67,DATOS!$C$68))</f>
        <v>303 UNI GX 0.7538</v>
      </c>
      <c r="C936" s="51" t="str">
        <f aca="false">IF(LEN($B936)&gt;79,"MÁS DE 79 CARACTERES","")</f>
        <v/>
      </c>
      <c r="D936" s="53" t="str">
        <f aca="false">IF(PRESIONES!$C$22="NO","",IF(OR(LINEAS!$D$62="",LINEAS!$U$62=0,ABS(IF(OR(LINEAS!$U$62=1,LINEAS!$U$62=3),1,-1)*LINEAS!$AF$62*DATOS!$C$67)&lt;0.00005),"*",LINEAS!$D$62&amp;" UNI "&amp;IF(LINEAS!$U$62&lt;=2,"GZ","GX")&amp;" "&amp;TEXT(IF(OR(LINEAS!$U$62=1,LINEAS!$U$62=3),1,-1)*LINEAS!$AF$62*DATOS!$C$67,DATOS!$C$68)))</f>
        <v/>
      </c>
      <c r="E936" s="51" t="str">
        <f aca="false">IF(LEN($D936)&gt;79,"MÁS DE 79 CARACTERES","")</f>
        <v/>
      </c>
    </row>
    <row r="937" customFormat="false" ht="15" hidden="false" customHeight="true" outlineLevel="0" collapsed="false">
      <c r="B937" s="53" t="str">
        <f aca="false">IF(OR(LINEAS!$D$63="",LINEAS!$U$63=0,ABS(IF(OR(LINEAS!$U$63=1,LINEAS!$U$63=3),1,-1)*LINEAS!$AF$63*DATOS!$C$67)&lt;0.00005),"*",LINEAS!$D$63&amp;" UNI "&amp;IF(LINEAS!$U$63&lt;=2,"GZ","GX")&amp;" "&amp;TEXT(IF(OR(LINEAS!$U$63=1,LINEAS!$U$63=3),1,-1)*LINEAS!$AF$63*DATOS!$C$67,DATOS!$C$68))</f>
        <v>314 UNI GX 0.7538</v>
      </c>
      <c r="C937" s="51" t="str">
        <f aca="false">IF(LEN($B937)&gt;79,"MÁS DE 79 CARACTERES","")</f>
        <v/>
      </c>
      <c r="D937" s="53" t="str">
        <f aca="false">IF(PRESIONES!$C$22="NO","",IF(OR(LINEAS!$D$63="",LINEAS!$U$63=0,ABS(IF(OR(LINEAS!$U$63=1,LINEAS!$U$63=3),1,-1)*LINEAS!$AF$63*DATOS!$C$67)&lt;0.00005),"*",LINEAS!$D$63&amp;" UNI "&amp;IF(LINEAS!$U$63&lt;=2,"GZ","GX")&amp;" "&amp;TEXT(IF(OR(LINEAS!$U$63=1,LINEAS!$U$63=3),1,-1)*LINEAS!$AF$63*DATOS!$C$67,DATOS!$C$68)))</f>
        <v/>
      </c>
      <c r="E937" s="51" t="str">
        <f aca="false">IF(LEN($D937)&gt;79,"MÁS DE 79 CARACTERES","")</f>
        <v/>
      </c>
    </row>
    <row r="938" customFormat="false" ht="15" hidden="false" customHeight="true" outlineLevel="0" collapsed="false">
      <c r="B938" s="53" t="str">
        <f aca="false">IF(OR(LINEAS!$D$64="",LINEAS!$U$64=0,ABS(IF(OR(LINEAS!$U$64=1,LINEAS!$U$64=3),1,-1)*LINEAS!$AF$64*DATOS!$C$67)&lt;0.00005),"*",LINEAS!$D$64&amp;" UNI "&amp;IF(LINEAS!$U$64&lt;=2,"GZ","GX")&amp;" "&amp;TEXT(IF(OR(LINEAS!$U$64=1,LINEAS!$U$64=3),1,-1)*LINEAS!$AF$64*DATOS!$C$67,DATOS!$C$68))</f>
        <v>313 UNI GX 0.7538</v>
      </c>
      <c r="C938" s="51" t="str">
        <f aca="false">IF(LEN($B938)&gt;79,"MÁS DE 79 CARACTERES","")</f>
        <v/>
      </c>
      <c r="D938" s="53" t="str">
        <f aca="false">IF(PRESIONES!$C$22="NO","",IF(OR(LINEAS!$D$64="",LINEAS!$U$64=0,ABS(IF(OR(LINEAS!$U$64=1,LINEAS!$U$64=3),1,-1)*LINEAS!$AF$64*DATOS!$C$67)&lt;0.00005),"*",LINEAS!$D$64&amp;" UNI "&amp;IF(LINEAS!$U$64&lt;=2,"GZ","GX")&amp;" "&amp;TEXT(IF(OR(LINEAS!$U$64=1,LINEAS!$U$64=3),1,-1)*LINEAS!$AF$64*DATOS!$C$67,DATOS!$C$68)))</f>
        <v/>
      </c>
      <c r="E938" s="51" t="str">
        <f aca="false">IF(LEN($D938)&gt;79,"MÁS DE 79 CARACTERES","")</f>
        <v/>
      </c>
    </row>
    <row r="939" customFormat="false" ht="15" hidden="false" customHeight="true" outlineLevel="0" collapsed="false">
      <c r="B939" s="53" t="str">
        <f aca="false">IF(OR(LINEAS!$D$65="",LINEAS!$U$65=0,ABS(IF(OR(LINEAS!$U$65=1,LINEAS!$U$65=3),1,-1)*LINEAS!$AF$65*DATOS!$C$67)&lt;0.00005),"*",LINEAS!$D$65&amp;" UNI "&amp;IF(LINEAS!$U$65&lt;=2,"GZ","GX")&amp;" "&amp;TEXT(IF(OR(LINEAS!$U$65=1,LINEAS!$U$65=3),1,-1)*LINEAS!$AF$65*DATOS!$C$67,DATOS!$C$68))</f>
        <v>312 UNI GX 0.7538</v>
      </c>
      <c r="C939" s="51" t="str">
        <f aca="false">IF(LEN($B939)&gt;79,"MÁS DE 79 CARACTERES","")</f>
        <v/>
      </c>
      <c r="D939" s="53" t="str">
        <f aca="false">IF(PRESIONES!$C$22="NO","",IF(OR(LINEAS!$D$65="",LINEAS!$U$65=0,ABS(IF(OR(LINEAS!$U$65=1,LINEAS!$U$65=3),1,-1)*LINEAS!$AF$65*DATOS!$C$67)&lt;0.00005),"*",LINEAS!$D$65&amp;" UNI "&amp;IF(LINEAS!$U$65&lt;=2,"GZ","GX")&amp;" "&amp;TEXT(IF(OR(LINEAS!$U$65=1,LINEAS!$U$65=3),1,-1)*LINEAS!$AF$65*DATOS!$C$67,DATOS!$C$68)))</f>
        <v/>
      </c>
      <c r="E939" s="51" t="str">
        <f aca="false">IF(LEN($D939)&gt;79,"MÁS DE 79 CARACTERES","")</f>
        <v/>
      </c>
    </row>
    <row r="940" customFormat="false" ht="15" hidden="false" customHeight="true" outlineLevel="0" collapsed="false">
      <c r="B940" s="53" t="str">
        <f aca="false">IF(OR(LINEAS!$D$66="",LINEAS!$U$66=0,ABS(IF(OR(LINEAS!$U$66=1,LINEAS!$U$66=3),1,-1)*LINEAS!$AF$66*DATOS!$C$67)&lt;0.00005),"*",LINEAS!$D$66&amp;" UNI "&amp;IF(LINEAS!$U$66&lt;=2,"GZ","GX")&amp;" "&amp;TEXT(IF(OR(LINEAS!$U$66=1,LINEAS!$U$66=3),1,-1)*LINEAS!$AF$66*DATOS!$C$67,DATOS!$C$68))</f>
        <v>317 UNI GX 0.6451</v>
      </c>
      <c r="C940" s="51" t="str">
        <f aca="false">IF(LEN($B940)&gt;79,"MÁS DE 79 CARACTERES","")</f>
        <v/>
      </c>
      <c r="D940" s="53" t="str">
        <f aca="false">IF(PRESIONES!$C$22="NO","",IF(OR(LINEAS!$D$66="",LINEAS!$U$66=0,ABS(IF(OR(LINEAS!$U$66=1,LINEAS!$U$66=3),1,-1)*LINEAS!$AF$66*DATOS!$C$67)&lt;0.00005),"*",LINEAS!$D$66&amp;" UNI "&amp;IF(LINEAS!$U$66&lt;=2,"GZ","GX")&amp;" "&amp;TEXT(IF(OR(LINEAS!$U$66=1,LINEAS!$U$66=3),1,-1)*LINEAS!$AF$66*DATOS!$C$67,DATOS!$C$68)))</f>
        <v/>
      </c>
      <c r="E940" s="51" t="str">
        <f aca="false">IF(LEN($D940)&gt;79,"MÁS DE 79 CARACTERES","")</f>
        <v/>
      </c>
    </row>
    <row r="941" customFormat="false" ht="15" hidden="false" customHeight="true" outlineLevel="0" collapsed="false">
      <c r="B941" s="53" t="str">
        <f aca="false">IF(OR(LINEAS!$D$67="",LINEAS!$U$67=0,ABS(IF(OR(LINEAS!$U$67=1,LINEAS!$U$67=3),1,-1)*LINEAS!$AF$67*DATOS!$C$67)&lt;0.00005),"*",LINEAS!$D$67&amp;" UNI "&amp;IF(LINEAS!$U$67&lt;=2,"GZ","GX")&amp;" "&amp;TEXT(IF(OR(LINEAS!$U$67=1,LINEAS!$U$67=3),1,-1)*LINEAS!$AF$67*DATOS!$C$67,DATOS!$C$68))</f>
        <v>316 UNI GX 0.5371</v>
      </c>
      <c r="C941" s="51" t="str">
        <f aca="false">IF(LEN($B941)&gt;79,"MÁS DE 79 CARACTERES","")</f>
        <v/>
      </c>
      <c r="D941" s="53" t="str">
        <f aca="false">IF(PRESIONES!$C$22="NO","",IF(OR(LINEAS!$D$67="",LINEAS!$U$67=0,ABS(IF(OR(LINEAS!$U$67=1,LINEAS!$U$67=3),1,-1)*LINEAS!$AF$67*DATOS!$C$67)&lt;0.00005),"*",LINEAS!$D$67&amp;" UNI "&amp;IF(LINEAS!$U$67&lt;=2,"GZ","GX")&amp;" "&amp;TEXT(IF(OR(LINEAS!$U$67=1,LINEAS!$U$67=3),1,-1)*LINEAS!$AF$67*DATOS!$C$67,DATOS!$C$68)))</f>
        <v/>
      </c>
      <c r="E941" s="51" t="str">
        <f aca="false">IF(LEN($D941)&gt;79,"MÁS DE 79 CARACTERES","")</f>
        <v/>
      </c>
    </row>
    <row r="942" customFormat="false" ht="15" hidden="false" customHeight="true" outlineLevel="0" collapsed="false">
      <c r="B942" s="53" t="str">
        <f aca="false">IF(OR(LINEAS!$D$68="",LINEAS!$U$68=0,ABS(IF(OR(LINEAS!$U$68=1,LINEAS!$U$68=3),1,-1)*LINEAS!$AF$68*DATOS!$C$67)&lt;0.00005),"*",LINEAS!$D$68&amp;" UNI "&amp;IF(LINEAS!$U$68&lt;=2,"GZ","GX")&amp;" "&amp;TEXT(IF(OR(LINEAS!$U$68=1,LINEAS!$U$68=3),1,-1)*LINEAS!$AF$68*DATOS!$C$67,DATOS!$C$68))</f>
        <v>315 UNI GX 0.4648</v>
      </c>
      <c r="C942" s="51" t="str">
        <f aca="false">IF(LEN($B942)&gt;79,"MÁS DE 79 CARACTERES","")</f>
        <v/>
      </c>
      <c r="D942" s="53" t="str">
        <f aca="false">IF(PRESIONES!$C$22="NO","",IF(OR(LINEAS!$D$68="",LINEAS!$U$68=0,ABS(IF(OR(LINEAS!$U$68=1,LINEAS!$U$68=3),1,-1)*LINEAS!$AF$68*DATOS!$C$67)&lt;0.00005),"*",LINEAS!$D$68&amp;" UNI "&amp;IF(LINEAS!$U$68&lt;=2,"GZ","GX")&amp;" "&amp;TEXT(IF(OR(LINEAS!$U$68=1,LINEAS!$U$68=3),1,-1)*LINEAS!$AF$68*DATOS!$C$67,DATOS!$C$68)))</f>
        <v/>
      </c>
      <c r="E942" s="51" t="str">
        <f aca="false">IF(LEN($D942)&gt;79,"MÁS DE 79 CARACTERES","")</f>
        <v/>
      </c>
    </row>
    <row r="943" customFormat="false" ht="15" hidden="false" customHeight="true" outlineLevel="0" collapsed="false">
      <c r="B943" s="53" t="str">
        <f aca="false">IF(OR(LINEAS!$D$69="",LINEAS!$U$69=0,ABS(IF(OR(LINEAS!$U$69=1,LINEAS!$U$69=3),1,-1)*LINEAS!$AF$69*DATOS!$C$67)&lt;0.00005),"*",LINEAS!$D$69&amp;" UNI "&amp;IF(LINEAS!$U$69&lt;=2,"GZ","GX")&amp;" "&amp;TEXT(IF(OR(LINEAS!$U$69=1,LINEAS!$U$69=3),1,-1)*LINEAS!$AF$69*DATOS!$C$67,DATOS!$C$68))</f>
        <v>265 UNI GX -0.0050</v>
      </c>
      <c r="C943" s="51" t="str">
        <f aca="false">IF(LEN($B943)&gt;79,"MÁS DE 79 CARACTERES","")</f>
        <v/>
      </c>
      <c r="D943" s="53" t="str">
        <f aca="false">IF(PRESIONES!$C$22="NO","",IF(OR(LINEAS!$D$69="",LINEAS!$U$69=0,ABS(IF(OR(LINEAS!$U$69=1,LINEAS!$U$69=3),1,-1)*LINEAS!$AF$69*DATOS!$C$67)&lt;0.00005),"*",LINEAS!$D$69&amp;" UNI "&amp;IF(LINEAS!$U$69&lt;=2,"GZ","GX")&amp;" "&amp;TEXT(IF(OR(LINEAS!$U$69=1,LINEAS!$U$69=3),1,-1)*LINEAS!$AF$69*DATOS!$C$67,DATOS!$C$68)))</f>
        <v/>
      </c>
      <c r="E943" s="51" t="str">
        <f aca="false">IF(LEN($D943)&gt;79,"MÁS DE 79 CARACTERES","")</f>
        <v/>
      </c>
    </row>
    <row r="944" customFormat="false" ht="15" hidden="false" customHeight="true" outlineLevel="0" collapsed="false">
      <c r="B944" s="53" t="str">
        <f aca="false">IF(OR(LINEAS!$D$70="",LINEAS!$U$70=0,ABS(IF(OR(LINEAS!$U$70=1,LINEAS!$U$70=3),1,-1)*LINEAS!$AF$70*DATOS!$C$67)&lt;0.00005),"*",LINEAS!$D$70&amp;" UNI "&amp;IF(LINEAS!$U$70&lt;=2,"GZ","GX")&amp;" "&amp;TEXT(IF(OR(LINEAS!$U$70=1,LINEAS!$U$70=3),1,-1)*LINEAS!$AF$70*DATOS!$C$67,DATOS!$C$68))</f>
        <v>266 UNI GX -0.0050</v>
      </c>
      <c r="C944" s="51" t="str">
        <f aca="false">IF(LEN($B944)&gt;79,"MÁS DE 79 CARACTERES","")</f>
        <v/>
      </c>
      <c r="D944" s="53" t="str">
        <f aca="false">IF(PRESIONES!$C$22="NO","",IF(OR(LINEAS!$D$70="",LINEAS!$U$70=0,ABS(IF(OR(LINEAS!$U$70=1,LINEAS!$U$70=3),1,-1)*LINEAS!$AF$70*DATOS!$C$67)&lt;0.00005),"*",LINEAS!$D$70&amp;" UNI "&amp;IF(LINEAS!$U$70&lt;=2,"GZ","GX")&amp;" "&amp;TEXT(IF(OR(LINEAS!$U$70=1,LINEAS!$U$70=3),1,-1)*LINEAS!$AF$70*DATOS!$C$67,DATOS!$C$68)))</f>
        <v/>
      </c>
      <c r="E944" s="51" t="str">
        <f aca="false">IF(LEN($D944)&gt;79,"MÁS DE 79 CARACTERES","")</f>
        <v/>
      </c>
    </row>
    <row r="945" customFormat="false" ht="15" hidden="false" customHeight="true" outlineLevel="0" collapsed="false">
      <c r="B945" s="53" t="str">
        <f aca="false">IF(OR(LINEAS!$D$71="",LINEAS!$U$71=0,ABS(IF(OR(LINEAS!$U$71=1,LINEAS!$U$71=3),1,-1)*LINEAS!$AF$71*DATOS!$C$67)&lt;0.00005),"*",LINEAS!$D$71&amp;" UNI "&amp;IF(LINEAS!$U$71&lt;=2,"GZ","GX")&amp;" "&amp;TEXT(IF(OR(LINEAS!$U$71=1,LINEAS!$U$71=3),1,-1)*LINEAS!$AF$71*DATOS!$C$67,DATOS!$C$68))</f>
        <v>267 UNI GX -0.0050</v>
      </c>
      <c r="C945" s="51" t="str">
        <f aca="false">IF(LEN($B945)&gt;79,"MÁS DE 79 CARACTERES","")</f>
        <v/>
      </c>
      <c r="D945" s="53" t="str">
        <f aca="false">IF(PRESIONES!$C$22="NO","",IF(OR(LINEAS!$D$71="",LINEAS!$U$71=0,ABS(IF(OR(LINEAS!$U$71=1,LINEAS!$U$71=3),1,-1)*LINEAS!$AF$71*DATOS!$C$67)&lt;0.00005),"*",LINEAS!$D$71&amp;" UNI "&amp;IF(LINEAS!$U$71&lt;=2,"GZ","GX")&amp;" "&amp;TEXT(IF(OR(LINEAS!$U$71=1,LINEAS!$U$71=3),1,-1)*LINEAS!$AF$71*DATOS!$C$67,DATOS!$C$68)))</f>
        <v/>
      </c>
      <c r="E945" s="51" t="str">
        <f aca="false">IF(LEN($D945)&gt;79,"MÁS DE 79 CARACTERES","")</f>
        <v/>
      </c>
    </row>
    <row r="946" customFormat="false" ht="15" hidden="false" customHeight="true" outlineLevel="0" collapsed="false">
      <c r="B946" s="53" t="str">
        <f aca="false">IF(OR(LINEAS!$D$72="",LINEAS!$U$72=0,ABS(IF(OR(LINEAS!$U$72=1,LINEAS!$U$72=3),1,-1)*LINEAS!$AF$72*DATOS!$C$67)&lt;0.00005),"*",LINEAS!$D$72&amp;" UNI "&amp;IF(LINEAS!$U$72&lt;=2,"GZ","GX")&amp;" "&amp;TEXT(IF(OR(LINEAS!$U$72=1,LINEAS!$U$72=3),1,-1)*LINEAS!$AF$72*DATOS!$C$67,DATOS!$C$68))</f>
        <v>274 UNI GX -0.0050</v>
      </c>
      <c r="C946" s="51" t="str">
        <f aca="false">IF(LEN($B946)&gt;79,"MÁS DE 79 CARACTERES","")</f>
        <v/>
      </c>
      <c r="D946" s="53" t="str">
        <f aca="false">IF(PRESIONES!$C$22="NO","",IF(OR(LINEAS!$D$72="",LINEAS!$U$72=0,ABS(IF(OR(LINEAS!$U$72=1,LINEAS!$U$72=3),1,-1)*LINEAS!$AF$72*DATOS!$C$67)&lt;0.00005),"*",LINEAS!$D$72&amp;" UNI "&amp;IF(LINEAS!$U$72&lt;=2,"GZ","GX")&amp;" "&amp;TEXT(IF(OR(LINEAS!$U$72=1,LINEAS!$U$72=3),1,-1)*LINEAS!$AF$72*DATOS!$C$67,DATOS!$C$68)))</f>
        <v/>
      </c>
      <c r="E946" s="51" t="str">
        <f aca="false">IF(LEN($D946)&gt;79,"MÁS DE 79 CARACTERES","")</f>
        <v/>
      </c>
    </row>
    <row r="947" customFormat="false" ht="15" hidden="false" customHeight="true" outlineLevel="0" collapsed="false">
      <c r="B947" s="53" t="str">
        <f aca="false">IF(OR(LINEAS!$D$73="",LINEAS!$U$73=0,ABS(IF(OR(LINEAS!$U$73=1,LINEAS!$U$73=3),1,-1)*LINEAS!$AF$73*DATOS!$C$67)&lt;0.00005),"*",LINEAS!$D$73&amp;" UNI "&amp;IF(LINEAS!$U$73&lt;=2,"GZ","GX")&amp;" "&amp;TEXT(IF(OR(LINEAS!$U$73=1,LINEAS!$U$73=3),1,-1)*LINEAS!$AF$73*DATOS!$C$67,DATOS!$C$68))</f>
        <v>275 UNI GX -0.0050</v>
      </c>
      <c r="C947" s="51" t="str">
        <f aca="false">IF(LEN($B947)&gt;79,"MÁS DE 79 CARACTERES","")</f>
        <v/>
      </c>
      <c r="D947" s="53" t="str">
        <f aca="false">IF(PRESIONES!$C$22="NO","",IF(OR(LINEAS!$D$73="",LINEAS!$U$73=0,ABS(IF(OR(LINEAS!$U$73=1,LINEAS!$U$73=3),1,-1)*LINEAS!$AF$73*DATOS!$C$67)&lt;0.00005),"*",LINEAS!$D$73&amp;" UNI "&amp;IF(LINEAS!$U$73&lt;=2,"GZ","GX")&amp;" "&amp;TEXT(IF(OR(LINEAS!$U$73=1,LINEAS!$U$73=3),1,-1)*LINEAS!$AF$73*DATOS!$C$67,DATOS!$C$68)))</f>
        <v/>
      </c>
      <c r="E947" s="51" t="str">
        <f aca="false">IF(LEN($D947)&gt;79,"MÁS DE 79 CARACTERES","")</f>
        <v/>
      </c>
    </row>
    <row r="948" customFormat="false" ht="15" hidden="false" customHeight="true" outlineLevel="0" collapsed="false">
      <c r="B948" s="53" t="str">
        <f aca="false">IF(OR(LINEAS!$D$74="",LINEAS!$U$74=0,ABS(IF(OR(LINEAS!$U$74=1,LINEAS!$U$74=3),1,-1)*LINEAS!$AF$74*DATOS!$C$67)&lt;0.00005),"*",LINEAS!$D$74&amp;" UNI "&amp;IF(LINEAS!$U$74&lt;=2,"GZ","GX")&amp;" "&amp;TEXT(IF(OR(LINEAS!$U$74=1,LINEAS!$U$74=3),1,-1)*LINEAS!$AF$74*DATOS!$C$67,DATOS!$C$68))</f>
        <v>276 UNI GX -0.0050</v>
      </c>
      <c r="C948" s="51" t="str">
        <f aca="false">IF(LEN($B948)&gt;79,"MÁS DE 79 CARACTERES","")</f>
        <v/>
      </c>
      <c r="D948" s="53" t="str">
        <f aca="false">IF(PRESIONES!$C$22="NO","",IF(OR(LINEAS!$D$74="",LINEAS!$U$74=0,ABS(IF(OR(LINEAS!$U$74=1,LINEAS!$U$74=3),1,-1)*LINEAS!$AF$74*DATOS!$C$67)&lt;0.00005),"*",LINEAS!$D$74&amp;" UNI "&amp;IF(LINEAS!$U$74&lt;=2,"GZ","GX")&amp;" "&amp;TEXT(IF(OR(LINEAS!$U$74=1,LINEAS!$U$74=3),1,-1)*LINEAS!$AF$74*DATOS!$C$67,DATOS!$C$68)))</f>
        <v/>
      </c>
      <c r="E948" s="51" t="str">
        <f aca="false">IF(LEN($D948)&gt;79,"MÁS DE 79 CARACTERES","")</f>
        <v/>
      </c>
    </row>
    <row r="949" customFormat="false" ht="15" hidden="false" customHeight="true" outlineLevel="0" collapsed="false">
      <c r="B949" s="53" t="str">
        <f aca="false">IF(OR(LINEAS!$D$75="",LINEAS!$U$75=0,ABS(IF(OR(LINEAS!$U$75=1,LINEAS!$U$75=3),1,-1)*LINEAS!$AF$75*DATOS!$C$67)&lt;0.00005),"*",LINEAS!$D$75&amp;" UNI "&amp;IF(LINEAS!$U$75&lt;=2,"GZ","GX")&amp;" "&amp;TEXT(IF(OR(LINEAS!$U$75=1,LINEAS!$U$75=3),1,-1)*LINEAS!$AF$75*DATOS!$C$67,DATOS!$C$68))</f>
        <v>283 UNI GX -0.0050</v>
      </c>
      <c r="C949" s="51" t="str">
        <f aca="false">IF(LEN($B949)&gt;79,"MÁS DE 79 CARACTERES","")</f>
        <v/>
      </c>
      <c r="D949" s="53" t="str">
        <f aca="false">IF(PRESIONES!$C$22="NO","",IF(OR(LINEAS!$D$75="",LINEAS!$U$75=0,ABS(IF(OR(LINEAS!$U$75=1,LINEAS!$U$75=3),1,-1)*LINEAS!$AF$75*DATOS!$C$67)&lt;0.00005),"*",LINEAS!$D$75&amp;" UNI "&amp;IF(LINEAS!$U$75&lt;=2,"GZ","GX")&amp;" "&amp;TEXT(IF(OR(LINEAS!$U$75=1,LINEAS!$U$75=3),1,-1)*LINEAS!$AF$75*DATOS!$C$67,DATOS!$C$68)))</f>
        <v/>
      </c>
      <c r="E949" s="51" t="str">
        <f aca="false">IF(LEN($D949)&gt;79,"MÁS DE 79 CARACTERES","")</f>
        <v/>
      </c>
    </row>
    <row r="950" customFormat="false" ht="15" hidden="false" customHeight="true" outlineLevel="0" collapsed="false">
      <c r="B950" s="53" t="str">
        <f aca="false">IF(OR(LINEAS!$D$76="",LINEAS!$U$76=0,ABS(IF(OR(LINEAS!$U$76=1,LINEAS!$U$76=3),1,-1)*LINEAS!$AF$76*DATOS!$C$67)&lt;0.00005),"*",LINEAS!$D$76&amp;" UNI "&amp;IF(LINEAS!$U$76&lt;=2,"GZ","GX")&amp;" "&amp;TEXT(IF(OR(LINEAS!$U$76=1,LINEAS!$U$76=3),1,-1)*LINEAS!$AF$76*DATOS!$C$67,DATOS!$C$68))</f>
        <v>284 UNI GX -0.0050</v>
      </c>
      <c r="C950" s="51" t="str">
        <f aca="false">IF(LEN($B950)&gt;79,"MÁS DE 79 CARACTERES","")</f>
        <v/>
      </c>
      <c r="D950" s="53" t="str">
        <f aca="false">IF(PRESIONES!$C$22="NO","",IF(OR(LINEAS!$D$76="",LINEAS!$U$76=0,ABS(IF(OR(LINEAS!$U$76=1,LINEAS!$U$76=3),1,-1)*LINEAS!$AF$76*DATOS!$C$67)&lt;0.00005),"*",LINEAS!$D$76&amp;" UNI "&amp;IF(LINEAS!$U$76&lt;=2,"GZ","GX")&amp;" "&amp;TEXT(IF(OR(LINEAS!$U$76=1,LINEAS!$U$76=3),1,-1)*LINEAS!$AF$76*DATOS!$C$67,DATOS!$C$68)))</f>
        <v/>
      </c>
      <c r="E950" s="51" t="str">
        <f aca="false">IF(LEN($D950)&gt;79,"MÁS DE 79 CARACTERES","")</f>
        <v/>
      </c>
    </row>
    <row r="951" customFormat="false" ht="15" hidden="false" customHeight="true" outlineLevel="0" collapsed="false">
      <c r="B951" s="53" t="str">
        <f aca="false">IF(OR(LINEAS!$D$77="",LINEAS!$U$77=0,ABS(IF(OR(LINEAS!$U$77=1,LINEAS!$U$77=3),1,-1)*LINEAS!$AF$77*DATOS!$C$67)&lt;0.00005),"*",LINEAS!$D$77&amp;" UNI "&amp;IF(LINEAS!$U$77&lt;=2,"GZ","GX")&amp;" "&amp;TEXT(IF(OR(LINEAS!$U$77=1,LINEAS!$U$77=3),1,-1)*LINEAS!$AF$77*DATOS!$C$67,DATOS!$C$68))</f>
        <v>285 UNI GX -0.0050</v>
      </c>
      <c r="C951" s="51" t="str">
        <f aca="false">IF(LEN($B951)&gt;79,"MÁS DE 79 CARACTERES","")</f>
        <v/>
      </c>
      <c r="D951" s="53" t="str">
        <f aca="false">IF(PRESIONES!$C$22="NO","",IF(OR(LINEAS!$D$77="",LINEAS!$U$77=0,ABS(IF(OR(LINEAS!$U$77=1,LINEAS!$U$77=3),1,-1)*LINEAS!$AF$77*DATOS!$C$67)&lt;0.00005),"*",LINEAS!$D$77&amp;" UNI "&amp;IF(LINEAS!$U$77&lt;=2,"GZ","GX")&amp;" "&amp;TEXT(IF(OR(LINEAS!$U$77=1,LINEAS!$U$77=3),1,-1)*LINEAS!$AF$77*DATOS!$C$67,DATOS!$C$68)))</f>
        <v/>
      </c>
      <c r="E951" s="51" t="str">
        <f aca="false">IF(LEN($D951)&gt;79,"MÁS DE 79 CARACTERES","")</f>
        <v/>
      </c>
    </row>
    <row r="952" customFormat="false" ht="15" hidden="false" customHeight="true" outlineLevel="0" collapsed="false">
      <c r="B952" s="53" t="str">
        <f aca="false">IF(OR(LINEAS!$D$78="",LINEAS!$U$78=0,ABS(IF(OR(LINEAS!$U$78=1,LINEAS!$U$78=3),1,-1)*LINEAS!$AF$78*DATOS!$C$67)&lt;0.00005),"*",LINEAS!$D$78&amp;" UNI "&amp;IF(LINEAS!$U$78&lt;=2,"GZ","GX")&amp;" "&amp;TEXT(IF(OR(LINEAS!$U$78=1,LINEAS!$U$78=3),1,-1)*LINEAS!$AF$78*DATOS!$C$67,DATOS!$C$68))</f>
        <v>292 UNI GX -0.0050</v>
      </c>
      <c r="C952" s="51" t="str">
        <f aca="false">IF(LEN($B952)&gt;79,"MÁS DE 79 CARACTERES","")</f>
        <v/>
      </c>
      <c r="D952" s="53" t="str">
        <f aca="false">IF(PRESIONES!$C$22="NO","",IF(OR(LINEAS!$D$78="",LINEAS!$U$78=0,ABS(IF(OR(LINEAS!$U$78=1,LINEAS!$U$78=3),1,-1)*LINEAS!$AF$78*DATOS!$C$67)&lt;0.00005),"*",LINEAS!$D$78&amp;" UNI "&amp;IF(LINEAS!$U$78&lt;=2,"GZ","GX")&amp;" "&amp;TEXT(IF(OR(LINEAS!$U$78=1,LINEAS!$U$78=3),1,-1)*LINEAS!$AF$78*DATOS!$C$67,DATOS!$C$68)))</f>
        <v/>
      </c>
      <c r="E952" s="51" t="str">
        <f aca="false">IF(LEN($D952)&gt;79,"MÁS DE 79 CARACTERES","")</f>
        <v/>
      </c>
    </row>
    <row r="953" customFormat="false" ht="15" hidden="false" customHeight="true" outlineLevel="0" collapsed="false">
      <c r="B953" s="53" t="str">
        <f aca="false">IF(OR(LINEAS!$D$79="",LINEAS!$U$79=0,ABS(IF(OR(LINEAS!$U$79=1,LINEAS!$U$79=3),1,-1)*LINEAS!$AF$79*DATOS!$C$67)&lt;0.00005),"*",LINEAS!$D$79&amp;" UNI "&amp;IF(LINEAS!$U$79&lt;=2,"GZ","GX")&amp;" "&amp;TEXT(IF(OR(LINEAS!$U$79=1,LINEAS!$U$79=3),1,-1)*LINEAS!$AF$79*DATOS!$C$67,DATOS!$C$68))</f>
        <v>293 UNI GX -0.0050</v>
      </c>
      <c r="C953" s="51" t="str">
        <f aca="false">IF(LEN($B953)&gt;79,"MÁS DE 79 CARACTERES","")</f>
        <v/>
      </c>
      <c r="D953" s="53" t="str">
        <f aca="false">IF(PRESIONES!$C$22="NO","",IF(OR(LINEAS!$D$79="",LINEAS!$U$79=0,ABS(IF(OR(LINEAS!$U$79=1,LINEAS!$U$79=3),1,-1)*LINEAS!$AF$79*DATOS!$C$67)&lt;0.00005),"*",LINEAS!$D$79&amp;" UNI "&amp;IF(LINEAS!$U$79&lt;=2,"GZ","GX")&amp;" "&amp;TEXT(IF(OR(LINEAS!$U$79=1,LINEAS!$U$79=3),1,-1)*LINEAS!$AF$79*DATOS!$C$67,DATOS!$C$68)))</f>
        <v/>
      </c>
      <c r="E953" s="51" t="str">
        <f aca="false">IF(LEN($D953)&gt;79,"MÁS DE 79 CARACTERES","")</f>
        <v/>
      </c>
    </row>
    <row r="954" customFormat="false" ht="15" hidden="false" customHeight="true" outlineLevel="0" collapsed="false">
      <c r="B954" s="53" t="str">
        <f aca="false">IF(OR(LINEAS!$D$80="",LINEAS!$U$80=0,ABS(IF(OR(LINEAS!$U$80=1,LINEAS!$U$80=3),1,-1)*LINEAS!$AF$80*DATOS!$C$67)&lt;0.00005),"*",LINEAS!$D$80&amp;" UNI "&amp;IF(LINEAS!$U$80&lt;=2,"GZ","GX")&amp;" "&amp;TEXT(IF(OR(LINEAS!$U$80=1,LINEAS!$U$80=3),1,-1)*LINEAS!$AF$80*DATOS!$C$67,DATOS!$C$68))</f>
        <v>294 UNI GX -0.0050</v>
      </c>
      <c r="C954" s="51" t="str">
        <f aca="false">IF(LEN($B954)&gt;79,"MÁS DE 79 CARACTERES","")</f>
        <v/>
      </c>
      <c r="D954" s="53" t="str">
        <f aca="false">IF(PRESIONES!$C$22="NO","",IF(OR(LINEAS!$D$80="",LINEAS!$U$80=0,ABS(IF(OR(LINEAS!$U$80=1,LINEAS!$U$80=3),1,-1)*LINEAS!$AF$80*DATOS!$C$67)&lt;0.00005),"*",LINEAS!$D$80&amp;" UNI "&amp;IF(LINEAS!$U$80&lt;=2,"GZ","GX")&amp;" "&amp;TEXT(IF(OR(LINEAS!$U$80=1,LINEAS!$U$80=3),1,-1)*LINEAS!$AF$80*DATOS!$C$67,DATOS!$C$68)))</f>
        <v/>
      </c>
      <c r="E954" s="51" t="str">
        <f aca="false">IF(LEN($D954)&gt;79,"MÁS DE 79 CARACTERES","")</f>
        <v/>
      </c>
    </row>
    <row r="955" customFormat="false" ht="15" hidden="false" customHeight="true" outlineLevel="0" collapsed="false">
      <c r="B955" s="53" t="str">
        <f aca="false">IF(OR(LINEAS!$D$81="",LINEAS!$U$81=0,ABS(IF(OR(LINEAS!$U$81=1,LINEAS!$U$81=3),1,-1)*LINEAS!$AF$81*DATOS!$C$67)&lt;0.00005),"*",LINEAS!$D$81&amp;" UNI "&amp;IF(LINEAS!$U$81&lt;=2,"GZ","GX")&amp;" "&amp;TEXT(IF(OR(LINEAS!$U$81=1,LINEAS!$U$81=3),1,-1)*LINEAS!$AF$81*DATOS!$C$67,DATOS!$C$68))</f>
        <v>300 UNI GX -0.0050</v>
      </c>
      <c r="C955" s="51" t="str">
        <f aca="false">IF(LEN($B955)&gt;79,"MÁS DE 79 CARACTERES","")</f>
        <v/>
      </c>
      <c r="D955" s="53" t="str">
        <f aca="false">IF(PRESIONES!$C$22="NO","",IF(OR(LINEAS!$D$81="",LINEAS!$U$81=0,ABS(IF(OR(LINEAS!$U$81=1,LINEAS!$U$81=3),1,-1)*LINEAS!$AF$81*DATOS!$C$67)&lt;0.00005),"*",LINEAS!$D$81&amp;" UNI "&amp;IF(LINEAS!$U$81&lt;=2,"GZ","GX")&amp;" "&amp;TEXT(IF(OR(LINEAS!$U$81=1,LINEAS!$U$81=3),1,-1)*LINEAS!$AF$81*DATOS!$C$67,DATOS!$C$68)))</f>
        <v/>
      </c>
      <c r="E955" s="51" t="str">
        <f aca="false">IF(LEN($D955)&gt;79,"MÁS DE 79 CARACTERES","")</f>
        <v/>
      </c>
    </row>
    <row r="956" customFormat="false" ht="15" hidden="false" customHeight="true" outlineLevel="0" collapsed="false">
      <c r="B956" s="53" t="str">
        <f aca="false">IF(OR(LINEAS!$D$82="",LINEAS!$U$82=0,ABS(IF(OR(LINEAS!$U$82=1,LINEAS!$U$82=3),1,-1)*LINEAS!$AF$82*DATOS!$C$67)&lt;0.00005),"*",LINEAS!$D$82&amp;" UNI "&amp;IF(LINEAS!$U$82&lt;=2,"GZ","GX")&amp;" "&amp;TEXT(IF(OR(LINEAS!$U$82=1,LINEAS!$U$82=3),1,-1)*LINEAS!$AF$82*DATOS!$C$67,DATOS!$C$68))</f>
        <v>301 UNI GX -0.0050</v>
      </c>
      <c r="C956" s="51" t="str">
        <f aca="false">IF(LEN($B956)&gt;79,"MÁS DE 79 CARACTERES","")</f>
        <v/>
      </c>
      <c r="D956" s="53" t="str">
        <f aca="false">IF(PRESIONES!$C$22="NO","",IF(OR(LINEAS!$D$82="",LINEAS!$U$82=0,ABS(IF(OR(LINEAS!$U$82=1,LINEAS!$U$82=3),1,-1)*LINEAS!$AF$82*DATOS!$C$67)&lt;0.00005),"*",LINEAS!$D$82&amp;" UNI "&amp;IF(LINEAS!$U$82&lt;=2,"GZ","GX")&amp;" "&amp;TEXT(IF(OR(LINEAS!$U$82=1,LINEAS!$U$82=3),1,-1)*LINEAS!$AF$82*DATOS!$C$67,DATOS!$C$68)))</f>
        <v/>
      </c>
      <c r="E956" s="51" t="str">
        <f aca="false">IF(LEN($D956)&gt;79,"MÁS DE 79 CARACTERES","")</f>
        <v/>
      </c>
    </row>
    <row r="957" customFormat="false" ht="15" hidden="false" customHeight="true" outlineLevel="0" collapsed="false">
      <c r="B957" s="53" t="str">
        <f aca="false">IF(OR(LINEAS!$D$83="",LINEAS!$U$83=0,ABS(IF(OR(LINEAS!$U$83=1,LINEAS!$U$83=3),1,-1)*LINEAS!$AF$83*DATOS!$C$67)&lt;0.00005),"*",LINEAS!$D$83&amp;" UNI "&amp;IF(LINEAS!$U$83&lt;=2,"GZ","GX")&amp;" "&amp;TEXT(IF(OR(LINEAS!$U$83=1,LINEAS!$U$83=3),1,-1)*LINEAS!$AF$83*DATOS!$C$67,DATOS!$C$68))</f>
        <v>302 UNI GX -0.0050</v>
      </c>
      <c r="C957" s="51" t="str">
        <f aca="false">IF(LEN($B957)&gt;79,"MÁS DE 79 CARACTERES","")</f>
        <v/>
      </c>
      <c r="D957" s="53" t="str">
        <f aca="false">IF(PRESIONES!$C$22="NO","",IF(OR(LINEAS!$D$83="",LINEAS!$U$83=0,ABS(IF(OR(LINEAS!$U$83=1,LINEAS!$U$83=3),1,-1)*LINEAS!$AF$83*DATOS!$C$67)&lt;0.00005),"*",LINEAS!$D$83&amp;" UNI "&amp;IF(LINEAS!$U$83&lt;=2,"GZ","GX")&amp;" "&amp;TEXT(IF(OR(LINEAS!$U$83=1,LINEAS!$U$83=3),1,-1)*LINEAS!$AF$83*DATOS!$C$67,DATOS!$C$68)))</f>
        <v/>
      </c>
      <c r="E957" s="51" t="str">
        <f aca="false">IF(LEN($D957)&gt;79,"MÁS DE 79 CARACTERES","")</f>
        <v/>
      </c>
    </row>
    <row r="958" customFormat="false" ht="15" hidden="false" customHeight="true" outlineLevel="0" collapsed="false">
      <c r="B958" s="53" t="str">
        <f aca="false">IF(OR(LINEAS!$D$84="",LINEAS!$U$84=0,ABS(IF(OR(LINEAS!$U$84=1,LINEAS!$U$84=3),1,-1)*LINEAS!$AF$84*DATOS!$C$67)&lt;0.00005),"*",LINEAS!$D$84&amp;" UNI "&amp;IF(LINEAS!$U$84&lt;=2,"GZ","GX")&amp;" "&amp;TEXT(IF(OR(LINEAS!$U$84=1,LINEAS!$U$84=3),1,-1)*LINEAS!$AF$84*DATOS!$C$67,DATOS!$C$68))</f>
        <v>307 UNI GX -0.0050</v>
      </c>
      <c r="C958" s="51" t="str">
        <f aca="false">IF(LEN($B958)&gt;79,"MÁS DE 79 CARACTERES","")</f>
        <v/>
      </c>
      <c r="D958" s="53" t="str">
        <f aca="false">IF(PRESIONES!$C$22="NO","",IF(OR(LINEAS!$D$84="",LINEAS!$U$84=0,ABS(IF(OR(LINEAS!$U$84=1,LINEAS!$U$84=3),1,-1)*LINEAS!$AF$84*DATOS!$C$67)&lt;0.00005),"*",LINEAS!$D$84&amp;" UNI "&amp;IF(LINEAS!$U$84&lt;=2,"GZ","GX")&amp;" "&amp;TEXT(IF(OR(LINEAS!$U$84=1,LINEAS!$U$84=3),1,-1)*LINEAS!$AF$84*DATOS!$C$67,DATOS!$C$68)))</f>
        <v/>
      </c>
      <c r="E958" s="51" t="str">
        <f aca="false">IF(LEN($D958)&gt;79,"MÁS DE 79 CARACTERES","")</f>
        <v/>
      </c>
    </row>
    <row r="959" customFormat="false" ht="15" hidden="false" customHeight="true" outlineLevel="0" collapsed="false">
      <c r="B959" s="53" t="str">
        <f aca="false">IF(OR(LINEAS!$D$85="",LINEAS!$U$85=0,ABS(IF(OR(LINEAS!$U$85=1,LINEAS!$U$85=3),1,-1)*LINEAS!$AF$85*DATOS!$C$67)&lt;0.00005),"*",LINEAS!$D$85&amp;" UNI "&amp;IF(LINEAS!$U$85&lt;=2,"GZ","GX")&amp;" "&amp;TEXT(IF(OR(LINEAS!$U$85=1,LINEAS!$U$85=3),1,-1)*LINEAS!$AF$85*DATOS!$C$67,DATOS!$C$68))</f>
        <v>308 UNI GX -0.0050</v>
      </c>
      <c r="C959" s="51" t="str">
        <f aca="false">IF(LEN($B959)&gt;79,"MÁS DE 79 CARACTERES","")</f>
        <v/>
      </c>
      <c r="D959" s="53" t="str">
        <f aca="false">IF(PRESIONES!$C$22="NO","",IF(OR(LINEAS!$D$85="",LINEAS!$U$85=0,ABS(IF(OR(LINEAS!$U$85=1,LINEAS!$U$85=3),1,-1)*LINEAS!$AF$85*DATOS!$C$67)&lt;0.00005),"*",LINEAS!$D$85&amp;" UNI "&amp;IF(LINEAS!$U$85&lt;=2,"GZ","GX")&amp;" "&amp;TEXT(IF(OR(LINEAS!$U$85=1,LINEAS!$U$85=3),1,-1)*LINEAS!$AF$85*DATOS!$C$67,DATOS!$C$68)))</f>
        <v/>
      </c>
      <c r="E959" s="51" t="str">
        <f aca="false">IF(LEN($D959)&gt;79,"MÁS DE 79 CARACTERES","")</f>
        <v/>
      </c>
    </row>
    <row r="960" customFormat="false" ht="15" hidden="false" customHeight="true" outlineLevel="0" collapsed="false">
      <c r="B960" s="53" t="str">
        <f aca="false">IF(OR(LINEAS!$D$86="",LINEAS!$U$86=0,ABS(IF(OR(LINEAS!$U$86=1,LINEAS!$U$86=3),1,-1)*LINEAS!$AF$86*DATOS!$C$67)&lt;0.00005),"*",LINEAS!$D$86&amp;" UNI "&amp;IF(LINEAS!$U$86&lt;=2,"GZ","GX")&amp;" "&amp;TEXT(IF(OR(LINEAS!$U$86=1,LINEAS!$U$86=3),1,-1)*LINEAS!$AF$86*DATOS!$C$67,DATOS!$C$68))</f>
        <v>309 UNI GX -0.0050</v>
      </c>
      <c r="C960" s="51" t="str">
        <f aca="false">IF(LEN($B960)&gt;79,"MÁS DE 79 CARACTERES","")</f>
        <v/>
      </c>
      <c r="D960" s="53" t="str">
        <f aca="false">IF(PRESIONES!$C$22="NO","",IF(OR(LINEAS!$D$86="",LINEAS!$U$86=0,ABS(IF(OR(LINEAS!$U$86=1,LINEAS!$U$86=3),1,-1)*LINEAS!$AF$86*DATOS!$C$67)&lt;0.00005),"*",LINEAS!$D$86&amp;" UNI "&amp;IF(LINEAS!$U$86&lt;=2,"GZ","GX")&amp;" "&amp;TEXT(IF(OR(LINEAS!$U$86=1,LINEAS!$U$86=3),1,-1)*LINEAS!$AF$86*DATOS!$C$67,DATOS!$C$68)))</f>
        <v/>
      </c>
      <c r="E960" s="51" t="str">
        <f aca="false">IF(LEN($D960)&gt;79,"MÁS DE 79 CARACTERES","")</f>
        <v/>
      </c>
    </row>
    <row r="961" customFormat="false" ht="15" hidden="false" customHeight="true" outlineLevel="0" collapsed="false">
      <c r="B961" s="53" t="str">
        <f aca="false">IF(OR(LINEAS!$D$87="",LINEAS!$U$87=0,ABS(IF(OR(LINEAS!$U$87=1,LINEAS!$U$87=3),1,-1)*LINEAS!$AF$87*DATOS!$C$67)&lt;0.00005),"*",LINEAS!$D$87&amp;" UNI "&amp;IF(LINEAS!$U$87&lt;=2,"GZ","GX")&amp;" "&amp;TEXT(IF(OR(LINEAS!$U$87=1,LINEAS!$U$87=3),1,-1)*LINEAS!$AF$87*DATOS!$C$67,DATOS!$C$68))</f>
        <v>318 UNI GX -0.0050</v>
      </c>
      <c r="C961" s="51" t="str">
        <f aca="false">IF(LEN($B961)&gt;79,"MÁS DE 79 CARACTERES","")</f>
        <v/>
      </c>
      <c r="D961" s="53" t="str">
        <f aca="false">IF(PRESIONES!$C$22="NO","",IF(OR(LINEAS!$D$87="",LINEAS!$U$87=0,ABS(IF(OR(LINEAS!$U$87=1,LINEAS!$U$87=3),1,-1)*LINEAS!$AF$87*DATOS!$C$67)&lt;0.00005),"*",LINEAS!$D$87&amp;" UNI "&amp;IF(LINEAS!$U$87&lt;=2,"GZ","GX")&amp;" "&amp;TEXT(IF(OR(LINEAS!$U$87=1,LINEAS!$U$87=3),1,-1)*LINEAS!$AF$87*DATOS!$C$67,DATOS!$C$68)))</f>
        <v/>
      </c>
      <c r="E961" s="51" t="str">
        <f aca="false">IF(LEN($D961)&gt;79,"MÁS DE 79 CARACTERES","")</f>
        <v/>
      </c>
    </row>
    <row r="962" customFormat="false" ht="15" hidden="false" customHeight="true" outlineLevel="0" collapsed="false">
      <c r="B962" s="53" t="str">
        <f aca="false">IF(OR(LINEAS!$D$88="",LINEAS!$U$88=0,ABS(IF(OR(LINEAS!$U$88=1,LINEAS!$U$88=3),1,-1)*LINEAS!$AF$88*DATOS!$C$67)&lt;0.00005),"*",LINEAS!$D$88&amp;" UNI "&amp;IF(LINEAS!$U$88&lt;=2,"GZ","GX")&amp;" "&amp;TEXT(IF(OR(LINEAS!$U$88=1,LINEAS!$U$88=3),1,-1)*LINEAS!$AF$88*DATOS!$C$67,DATOS!$C$68))</f>
        <v>311 UNI GX -0.0050</v>
      </c>
      <c r="C962" s="51" t="str">
        <f aca="false">IF(LEN($B962)&gt;79,"MÁS DE 79 CARACTERES","")</f>
        <v/>
      </c>
      <c r="D962" s="53" t="str">
        <f aca="false">IF(PRESIONES!$C$22="NO","",IF(OR(LINEAS!$D$88="",LINEAS!$U$88=0,ABS(IF(OR(LINEAS!$U$88=1,LINEAS!$U$88=3),1,-1)*LINEAS!$AF$88*DATOS!$C$67)&lt;0.00005),"*",LINEAS!$D$88&amp;" UNI "&amp;IF(LINEAS!$U$88&lt;=2,"GZ","GX")&amp;" "&amp;TEXT(IF(OR(LINEAS!$U$88=1,LINEAS!$U$88=3),1,-1)*LINEAS!$AF$88*DATOS!$C$67,DATOS!$C$68)))</f>
        <v/>
      </c>
      <c r="E962" s="51" t="str">
        <f aca="false">IF(LEN($D962)&gt;79,"MÁS DE 79 CARACTERES","")</f>
        <v/>
      </c>
    </row>
    <row r="963" customFormat="false" ht="15" hidden="false" customHeight="true" outlineLevel="0" collapsed="false">
      <c r="B963" s="53" t="str">
        <f aca="false">IF(OR(LINEAS!$D$89="",LINEAS!$U$89=0,ABS(IF(OR(LINEAS!$U$89=1,LINEAS!$U$89=3),1,-1)*LINEAS!$AF$89*DATOS!$C$67)&lt;0.00005),"*",LINEAS!$D$89&amp;" UNI "&amp;IF(LINEAS!$U$89&lt;=2,"GZ","GX")&amp;" "&amp;TEXT(IF(OR(LINEAS!$U$89=1,LINEAS!$U$89=3),1,-1)*LINEAS!$AF$89*DATOS!$C$67,DATOS!$C$68))</f>
        <v>310 UNI GX -0.0050</v>
      </c>
      <c r="C963" s="51" t="str">
        <f aca="false">IF(LEN($B963)&gt;79,"MÁS DE 79 CARACTERES","")</f>
        <v/>
      </c>
      <c r="D963" s="53" t="str">
        <f aca="false">IF(PRESIONES!$C$22="NO","",IF(OR(LINEAS!$D$89="",LINEAS!$U$89=0,ABS(IF(OR(LINEAS!$U$89=1,LINEAS!$U$89=3),1,-1)*LINEAS!$AF$89*DATOS!$C$67)&lt;0.00005),"*",LINEAS!$D$89&amp;" UNI "&amp;IF(LINEAS!$U$89&lt;=2,"GZ","GX")&amp;" "&amp;TEXT(IF(OR(LINEAS!$U$89=1,LINEAS!$U$89=3),1,-1)*LINEAS!$AF$89*DATOS!$C$67,DATOS!$C$68)))</f>
        <v/>
      </c>
      <c r="E963" s="51" t="str">
        <f aca="false">IF(LEN($D963)&gt;79,"MÁS DE 79 CARACTERES","")</f>
        <v/>
      </c>
    </row>
    <row r="964" customFormat="false" ht="15" hidden="false" customHeight="true" outlineLevel="0" collapsed="false">
      <c r="B964" s="53" t="str">
        <f aca="false">IF(OR(LINEAS!$D$90="",LINEAS!$U$90=0,ABS(IF(OR(LINEAS!$U$90=1,LINEAS!$U$90=3),1,-1)*LINEAS!$AF$90*DATOS!$C$67)&lt;0.00005),"*",LINEAS!$D$90&amp;" UNI "&amp;IF(LINEAS!$U$90&lt;=2,"GZ","GX")&amp;" "&amp;TEXT(IF(OR(LINEAS!$U$90=1,LINEAS!$U$90=3),1,-1)*LINEAS!$AF$90*DATOS!$C$67,DATOS!$C$68))</f>
        <v>321 UNI GX -0.0043</v>
      </c>
      <c r="C964" s="51" t="str">
        <f aca="false">IF(LEN($B964)&gt;79,"MÁS DE 79 CARACTERES","")</f>
        <v/>
      </c>
      <c r="D964" s="53" t="str">
        <f aca="false">IF(PRESIONES!$C$22="NO","",IF(OR(LINEAS!$D$90="",LINEAS!$U$90=0,ABS(IF(OR(LINEAS!$U$90=1,LINEAS!$U$90=3),1,-1)*LINEAS!$AF$90*DATOS!$C$67)&lt;0.00005),"*",LINEAS!$D$90&amp;" UNI "&amp;IF(LINEAS!$U$90&lt;=2,"GZ","GX")&amp;" "&amp;TEXT(IF(OR(LINEAS!$U$90=1,LINEAS!$U$90=3),1,-1)*LINEAS!$AF$90*DATOS!$C$67,DATOS!$C$68)))</f>
        <v/>
      </c>
      <c r="E964" s="51" t="str">
        <f aca="false">IF(LEN($D964)&gt;79,"MÁS DE 79 CARACTERES","")</f>
        <v/>
      </c>
    </row>
    <row r="965" customFormat="false" ht="15" hidden="false" customHeight="true" outlineLevel="0" collapsed="false">
      <c r="B965" s="53" t="str">
        <f aca="false">IF(OR(LINEAS!$D$91="",LINEAS!$U$91=0,ABS(IF(OR(LINEAS!$U$91=1,LINEAS!$U$91=3),1,-1)*LINEAS!$AF$91*DATOS!$C$67)&lt;0.00005),"*",LINEAS!$D$91&amp;" UNI "&amp;IF(LINEAS!$U$91&lt;=2,"GZ","GX")&amp;" "&amp;TEXT(IF(OR(LINEAS!$U$91=1,LINEAS!$U$91=3),1,-1)*LINEAS!$AF$91*DATOS!$C$67,DATOS!$C$68))</f>
        <v>320 UNI GX -0.0036</v>
      </c>
      <c r="C965" s="51" t="str">
        <f aca="false">IF(LEN($B965)&gt;79,"MÁS DE 79 CARACTERES","")</f>
        <v/>
      </c>
      <c r="D965" s="53" t="str">
        <f aca="false">IF(PRESIONES!$C$22="NO","",IF(OR(LINEAS!$D$91="",LINEAS!$U$91=0,ABS(IF(OR(LINEAS!$U$91=1,LINEAS!$U$91=3),1,-1)*LINEAS!$AF$91*DATOS!$C$67)&lt;0.00005),"*",LINEAS!$D$91&amp;" UNI "&amp;IF(LINEAS!$U$91&lt;=2,"GZ","GX")&amp;" "&amp;TEXT(IF(OR(LINEAS!$U$91=1,LINEAS!$U$91=3),1,-1)*LINEAS!$AF$91*DATOS!$C$67,DATOS!$C$68)))</f>
        <v/>
      </c>
      <c r="E965" s="51" t="str">
        <f aca="false">IF(LEN($D965)&gt;79,"MÁS DE 79 CARACTERES","")</f>
        <v/>
      </c>
    </row>
    <row r="966" customFormat="false" ht="15" hidden="false" customHeight="true" outlineLevel="0" collapsed="false">
      <c r="B966" s="53" t="str">
        <f aca="false">IF(OR(LINEAS!$D$92="",LINEAS!$U$92=0,ABS(IF(OR(LINEAS!$U$92=1,LINEAS!$U$92=3),1,-1)*LINEAS!$AF$92*DATOS!$C$67)&lt;0.00005),"*",LINEAS!$D$92&amp;" UNI "&amp;IF(LINEAS!$U$92&lt;=2,"GZ","GX")&amp;" "&amp;TEXT(IF(OR(LINEAS!$U$92=1,LINEAS!$U$92=3),1,-1)*LINEAS!$AF$92*DATOS!$C$67,DATOS!$C$68))</f>
        <v>319 UNI GX -0.0031</v>
      </c>
      <c r="C966" s="51" t="str">
        <f aca="false">IF(LEN($B966)&gt;79,"MÁS DE 79 CARACTERES","")</f>
        <v/>
      </c>
      <c r="D966" s="53" t="str">
        <f aca="false">IF(PRESIONES!$C$22="NO","",IF(OR(LINEAS!$D$92="",LINEAS!$U$92=0,ABS(IF(OR(LINEAS!$U$92=1,LINEAS!$U$92=3),1,-1)*LINEAS!$AF$92*DATOS!$C$67)&lt;0.00005),"*",LINEAS!$D$92&amp;" UNI "&amp;IF(LINEAS!$U$92&lt;=2,"GZ","GX")&amp;" "&amp;TEXT(IF(OR(LINEAS!$U$92=1,LINEAS!$U$92=3),1,-1)*LINEAS!$AF$92*DATOS!$C$67,DATOS!$C$68)))</f>
        <v/>
      </c>
      <c r="E966" s="51" t="str">
        <f aca="false">IF(LEN($D966)&gt;79,"MÁS DE 79 CARACTERES","")</f>
        <v/>
      </c>
    </row>
    <row r="967" customFormat="false" ht="15" hidden="false" customHeight="true" outlineLevel="0" collapsed="false">
      <c r="B967" s="53" t="str">
        <f aca="false">IF(OR(LINEAS!$D$93="",LINEAS!$U$93=0,ABS(IF(OR(LINEAS!$U$93=1,LINEAS!$U$93=3),1,-1)*LINEAS!$AF$93*DATOS!$C$67)&lt;0.00005),"*",LINEAS!$D$93&amp;" UNI "&amp;IF(LINEAS!$U$93&lt;=2,"GZ","GX")&amp;" "&amp;TEXT(IF(OR(LINEAS!$U$93=1,LINEAS!$U$93=3),1,-1)*LINEAS!$AF$93*DATOS!$C$67,DATOS!$C$68))</f>
        <v>60 UNI GX 0.3130</v>
      </c>
      <c r="C967" s="51" t="str">
        <f aca="false">IF(LEN($B967)&gt;79,"MÁS DE 79 CARACTERES","")</f>
        <v/>
      </c>
      <c r="D967" s="53" t="str">
        <f aca="false">IF(PRESIONES!$C$22="NO","",IF(OR(LINEAS!$D$93="",LINEAS!$U$93=0,ABS(IF(OR(LINEAS!$U$93=1,LINEAS!$U$93=3),1,-1)*LINEAS!$AF$93*DATOS!$C$67)&lt;0.00005),"*",LINEAS!$D$93&amp;" UNI "&amp;IF(LINEAS!$U$93&lt;=2,"GZ","GX")&amp;" "&amp;TEXT(IF(OR(LINEAS!$U$93=1,LINEAS!$U$93=3),1,-1)*LINEAS!$AF$93*DATOS!$C$67,DATOS!$C$68)))</f>
        <v/>
      </c>
      <c r="E967" s="51" t="str">
        <f aca="false">IF(LEN($D967)&gt;79,"MÁS DE 79 CARACTERES","")</f>
        <v/>
      </c>
    </row>
    <row r="968" customFormat="false" ht="15" hidden="false" customHeight="true" outlineLevel="0" collapsed="false">
      <c r="B968" s="53" t="str">
        <f aca="false">IF(OR(LINEAS!$D$94="",LINEAS!$U$94=0,ABS(IF(OR(LINEAS!$U$94=1,LINEAS!$U$94=3),1,-1)*LINEAS!$AF$94*DATOS!$C$67)&lt;0.00005),"*",LINEAS!$D$94&amp;" UNI "&amp;IF(LINEAS!$U$94&lt;=2,"GZ","GX")&amp;" "&amp;TEXT(IF(OR(LINEAS!$U$94=1,LINEAS!$U$94=3),1,-1)*LINEAS!$AF$94*DATOS!$C$67,DATOS!$C$68))</f>
        <v>59 UNI GX 0.2913</v>
      </c>
      <c r="C968" s="51" t="str">
        <f aca="false">IF(LEN($B968)&gt;79,"MÁS DE 79 CARACTERES","")</f>
        <v/>
      </c>
      <c r="D968" s="53" t="str">
        <f aca="false">IF(PRESIONES!$C$22="NO","",IF(OR(LINEAS!$D$94="",LINEAS!$U$94=0,ABS(IF(OR(LINEAS!$U$94=1,LINEAS!$U$94=3),1,-1)*LINEAS!$AF$94*DATOS!$C$67)&lt;0.00005),"*",LINEAS!$D$94&amp;" UNI "&amp;IF(LINEAS!$U$94&lt;=2,"GZ","GX")&amp;" "&amp;TEXT(IF(OR(LINEAS!$U$94=1,LINEAS!$U$94=3),1,-1)*LINEAS!$AF$94*DATOS!$C$67,DATOS!$C$68)))</f>
        <v/>
      </c>
      <c r="E968" s="51" t="str">
        <f aca="false">IF(LEN($D968)&gt;79,"MÁS DE 79 CARACTERES","")</f>
        <v/>
      </c>
    </row>
    <row r="969" customFormat="false" ht="15" hidden="false" customHeight="true" outlineLevel="0" collapsed="false">
      <c r="B969" s="53" t="str">
        <f aca="false">IF(OR(LINEAS!$D$95="",LINEAS!$U$95=0,ABS(IF(OR(LINEAS!$U$95=1,LINEAS!$U$95=3),1,-1)*LINEAS!$AF$95*DATOS!$C$67)&lt;0.00005),"*",LINEAS!$D$95&amp;" UNI "&amp;IF(LINEAS!$U$95&lt;=2,"GZ","GX")&amp;" "&amp;TEXT(IF(OR(LINEAS!$U$95=1,LINEAS!$U$95=3),1,-1)*LINEAS!$AF$95*DATOS!$C$67,DATOS!$C$68))</f>
        <v>58 UNI GX 0.2696</v>
      </c>
      <c r="C969" s="51" t="str">
        <f aca="false">IF(LEN($B969)&gt;79,"MÁS DE 79 CARACTERES","")</f>
        <v/>
      </c>
      <c r="D969" s="53" t="str">
        <f aca="false">IF(PRESIONES!$C$22="NO","",IF(OR(LINEAS!$D$95="",LINEAS!$U$95=0,ABS(IF(OR(LINEAS!$U$95=1,LINEAS!$U$95=3),1,-1)*LINEAS!$AF$95*DATOS!$C$67)&lt;0.00005),"*",LINEAS!$D$95&amp;" UNI "&amp;IF(LINEAS!$U$95&lt;=2,"GZ","GX")&amp;" "&amp;TEXT(IF(OR(LINEAS!$U$95=1,LINEAS!$U$95=3),1,-1)*LINEAS!$AF$95*DATOS!$C$67,DATOS!$C$68)))</f>
        <v/>
      </c>
      <c r="E969" s="51" t="str">
        <f aca="false">IF(LEN($D969)&gt;79,"MÁS DE 79 CARACTERES","")</f>
        <v/>
      </c>
    </row>
    <row r="970" customFormat="false" ht="15" hidden="false" customHeight="true" outlineLevel="0" collapsed="false">
      <c r="B970" s="53" t="str">
        <f aca="false">IF(OR(LINEAS!$D$96="",LINEAS!$U$96=0,ABS(IF(OR(LINEAS!$U$96=1,LINEAS!$U$96=3),1,-1)*LINEAS!$AF$96*DATOS!$C$67)&lt;0.00005),"*",LINEAS!$D$96&amp;" UNI "&amp;IF(LINEAS!$U$96&lt;=2,"GZ","GX")&amp;" "&amp;TEXT(IF(OR(LINEAS!$U$96=1,LINEAS!$U$96=3),1,-1)*LINEAS!$AF$96*DATOS!$C$67,DATOS!$C$68))</f>
        <v>57 UNI GX 0.2479</v>
      </c>
      <c r="C970" s="51" t="str">
        <f aca="false">IF(LEN($B970)&gt;79,"MÁS DE 79 CARACTERES","")</f>
        <v/>
      </c>
      <c r="D970" s="53" t="str">
        <f aca="false">IF(PRESIONES!$C$22="NO","",IF(OR(LINEAS!$D$96="",LINEAS!$U$96=0,ABS(IF(OR(LINEAS!$U$96=1,LINEAS!$U$96=3),1,-1)*LINEAS!$AF$96*DATOS!$C$67)&lt;0.00005),"*",LINEAS!$D$96&amp;" UNI "&amp;IF(LINEAS!$U$96&lt;=2,"GZ","GX")&amp;" "&amp;TEXT(IF(OR(LINEAS!$U$96=1,LINEAS!$U$96=3),1,-1)*LINEAS!$AF$96*DATOS!$C$67,DATOS!$C$68)))</f>
        <v/>
      </c>
      <c r="E970" s="51" t="str">
        <f aca="false">IF(LEN($D970)&gt;79,"MÁS DE 79 CARACTERES","")</f>
        <v/>
      </c>
    </row>
    <row r="971" customFormat="false" ht="15" hidden="false" customHeight="true" outlineLevel="0" collapsed="false">
      <c r="B971" s="53" t="str">
        <f aca="false">IF(OR(LINEAS!$D$97="",LINEAS!$U$97=0,ABS(IF(OR(LINEAS!$U$97=1,LINEAS!$U$97=3),1,-1)*LINEAS!$AF$97*DATOS!$C$67)&lt;0.00005),"*",LINEAS!$D$97&amp;" UNI "&amp;IF(LINEAS!$U$97&lt;=2,"GZ","GX")&amp;" "&amp;TEXT(IF(OR(LINEAS!$U$97=1,LINEAS!$U$97=3),1,-1)*LINEAS!$AF$97*DATOS!$C$67,DATOS!$C$68))</f>
        <v>10 UNI GX 0.2263</v>
      </c>
      <c r="C971" s="51" t="str">
        <f aca="false">IF(LEN($B971)&gt;79,"MÁS DE 79 CARACTERES","")</f>
        <v/>
      </c>
      <c r="D971" s="53" t="str">
        <f aca="false">IF(PRESIONES!$C$22="NO","",IF(OR(LINEAS!$D$97="",LINEAS!$U$97=0,ABS(IF(OR(LINEAS!$U$97=1,LINEAS!$U$97=3),1,-1)*LINEAS!$AF$97*DATOS!$C$67)&lt;0.00005),"*",LINEAS!$D$97&amp;" UNI "&amp;IF(LINEAS!$U$97&lt;=2,"GZ","GX")&amp;" "&amp;TEXT(IF(OR(LINEAS!$U$97=1,LINEAS!$U$97=3),1,-1)*LINEAS!$AF$97*DATOS!$C$67,DATOS!$C$68)))</f>
        <v/>
      </c>
      <c r="E971" s="51" t="str">
        <f aca="false">IF(LEN($D971)&gt;79,"MÁS DE 79 CARACTERES","")</f>
        <v/>
      </c>
    </row>
    <row r="972" customFormat="false" ht="15" hidden="false" customHeight="true" outlineLevel="0" collapsed="false">
      <c r="B972" s="53" t="str">
        <f aca="false">IF(OR(LINEAS!$D$98="",LINEAS!$U$98=0,ABS(IF(OR(LINEAS!$U$98=1,LINEAS!$U$98=3),1,-1)*LINEAS!$AF$98*DATOS!$C$67)&lt;0.00005),"*",LINEAS!$D$98&amp;" UNI "&amp;IF(LINEAS!$U$98&lt;=2,"GZ","GX")&amp;" "&amp;TEXT(IF(OR(LINEAS!$U$98=1,LINEAS!$U$98=3),1,-1)*LINEAS!$AF$98*DATOS!$C$67,DATOS!$C$68))</f>
        <v>68 UNI GX 0.2047</v>
      </c>
      <c r="C972" s="51" t="str">
        <f aca="false">IF(LEN($B972)&gt;79,"MÁS DE 79 CARACTERES","")</f>
        <v/>
      </c>
      <c r="D972" s="53" t="str">
        <f aca="false">IF(PRESIONES!$C$22="NO","",IF(OR(LINEAS!$D$98="",LINEAS!$U$98=0,ABS(IF(OR(LINEAS!$U$98=1,LINEAS!$U$98=3),1,-1)*LINEAS!$AF$98*DATOS!$C$67)&lt;0.00005),"*",LINEAS!$D$98&amp;" UNI "&amp;IF(LINEAS!$U$98&lt;=2,"GZ","GX")&amp;" "&amp;TEXT(IF(OR(LINEAS!$U$98=1,LINEAS!$U$98=3),1,-1)*LINEAS!$AF$98*DATOS!$C$67,DATOS!$C$68)))</f>
        <v/>
      </c>
      <c r="E972" s="51" t="str">
        <f aca="false">IF(LEN($D972)&gt;79,"MÁS DE 79 CARACTERES","")</f>
        <v/>
      </c>
    </row>
    <row r="973" customFormat="false" ht="15" hidden="false" customHeight="true" outlineLevel="0" collapsed="false">
      <c r="B973" s="53" t="str">
        <f aca="false">IF(OR(LINEAS!$D$99="",LINEAS!$U$99=0,ABS(IF(OR(LINEAS!$U$99=1,LINEAS!$U$99=3),1,-1)*LINEAS!$AF$99*DATOS!$C$67)&lt;0.00005),"*",LINEAS!$D$99&amp;" UNI "&amp;IF(LINEAS!$U$99&lt;=2,"GZ","GX")&amp;" "&amp;TEXT(IF(OR(LINEAS!$U$99=1,LINEAS!$U$99=3),1,-1)*LINEAS!$AF$99*DATOS!$C$67,DATOS!$C$68))</f>
        <v>67 UNI GX 0.1832</v>
      </c>
      <c r="C973" s="51" t="str">
        <f aca="false">IF(LEN($B973)&gt;79,"MÁS DE 79 CARACTERES","")</f>
        <v/>
      </c>
      <c r="D973" s="53" t="str">
        <f aca="false">IF(PRESIONES!$C$22="NO","",IF(OR(LINEAS!$D$99="",LINEAS!$U$99=0,ABS(IF(OR(LINEAS!$U$99=1,LINEAS!$U$99=3),1,-1)*LINEAS!$AF$99*DATOS!$C$67)&lt;0.00005),"*",LINEAS!$D$99&amp;" UNI "&amp;IF(LINEAS!$U$99&lt;=2,"GZ","GX")&amp;" "&amp;TEXT(IF(OR(LINEAS!$U$99=1,LINEAS!$U$99=3),1,-1)*LINEAS!$AF$99*DATOS!$C$67,DATOS!$C$68)))</f>
        <v/>
      </c>
      <c r="E973" s="51" t="str">
        <f aca="false">IF(LEN($D973)&gt;79,"MÁS DE 79 CARACTERES","")</f>
        <v/>
      </c>
    </row>
    <row r="974" customFormat="false" ht="15" hidden="false" customHeight="true" outlineLevel="0" collapsed="false">
      <c r="B974" s="53" t="str">
        <f aca="false">IF(OR(LINEAS!$D$100="",LINEAS!$U$100=0,ABS(IF(OR(LINEAS!$U$100=1,LINEAS!$U$100=3),1,-1)*LINEAS!$AF$100*DATOS!$C$67)&lt;0.00005),"*",LINEAS!$D$100&amp;" UNI "&amp;IF(LINEAS!$U$100&lt;=2,"GZ","GX")&amp;" "&amp;TEXT(IF(OR(LINEAS!$U$100=1,LINEAS!$U$100=3),1,-1)*LINEAS!$AF$100*DATOS!$C$67,DATOS!$C$68))</f>
        <v>66 UNI GX 0.1618</v>
      </c>
      <c r="C974" s="51" t="str">
        <f aca="false">IF(LEN($B974)&gt;79,"MÁS DE 79 CARACTERES","")</f>
        <v/>
      </c>
      <c r="D974" s="53" t="str">
        <f aca="false">IF(PRESIONES!$C$22="NO","",IF(OR(LINEAS!$D$100="",LINEAS!$U$100=0,ABS(IF(OR(LINEAS!$U$100=1,LINEAS!$U$100=3),1,-1)*LINEAS!$AF$100*DATOS!$C$67)&lt;0.00005),"*",LINEAS!$D$100&amp;" UNI "&amp;IF(LINEAS!$U$100&lt;=2,"GZ","GX")&amp;" "&amp;TEXT(IF(OR(LINEAS!$U$100=1,LINEAS!$U$100=3),1,-1)*LINEAS!$AF$100*DATOS!$C$67,DATOS!$C$68)))</f>
        <v/>
      </c>
      <c r="E974" s="51" t="str">
        <f aca="false">IF(LEN($D974)&gt;79,"MÁS DE 79 CARACTERES","")</f>
        <v/>
      </c>
    </row>
    <row r="975" customFormat="false" ht="15" hidden="false" customHeight="true" outlineLevel="0" collapsed="false">
      <c r="B975" s="53" t="str">
        <f aca="false">IF(OR(LINEAS!$D$101="",LINEAS!$U$101=0,ABS(IF(OR(LINEAS!$U$101=1,LINEAS!$U$101=3),1,-1)*LINEAS!$AF$101*DATOS!$C$67)&lt;0.00005),"*",LINEAS!$D$101&amp;" UNI "&amp;IF(LINEAS!$U$101&lt;=2,"GZ","GX")&amp;" "&amp;TEXT(IF(OR(LINEAS!$U$101=1,LINEAS!$U$101=3),1,-1)*LINEAS!$AF$101*DATOS!$C$67,DATOS!$C$68))</f>
        <v>65 UNI GX 0.1403</v>
      </c>
      <c r="C975" s="51" t="str">
        <f aca="false">IF(LEN($B975)&gt;79,"MÁS DE 79 CARACTERES","")</f>
        <v/>
      </c>
      <c r="D975" s="53" t="str">
        <f aca="false">IF(PRESIONES!$C$22="NO","",IF(OR(LINEAS!$D$101="",LINEAS!$U$101=0,ABS(IF(OR(LINEAS!$U$101=1,LINEAS!$U$101=3),1,-1)*LINEAS!$AF$101*DATOS!$C$67)&lt;0.00005),"*",LINEAS!$D$101&amp;" UNI "&amp;IF(LINEAS!$U$101&lt;=2,"GZ","GX")&amp;" "&amp;TEXT(IF(OR(LINEAS!$U$101=1,LINEAS!$U$101=3),1,-1)*LINEAS!$AF$101*DATOS!$C$67,DATOS!$C$68)))</f>
        <v/>
      </c>
      <c r="E975" s="51" t="str">
        <f aca="false">IF(LEN($D975)&gt;79,"MÁS DE 79 CARACTERES","")</f>
        <v/>
      </c>
    </row>
    <row r="976" customFormat="false" ht="15" hidden="false" customHeight="true" outlineLevel="0" collapsed="false">
      <c r="B976" s="53" t="str">
        <f aca="false">IF(OR(LINEAS!$D$102="",LINEAS!$U$102=0,ABS(IF(OR(LINEAS!$U$102=1,LINEAS!$U$102=3),1,-1)*LINEAS!$AF$102*DATOS!$C$67)&lt;0.00005),"*",LINEAS!$D$102&amp;" UNI "&amp;IF(LINEAS!$U$102&lt;=2,"GZ","GX")&amp;" "&amp;TEXT(IF(OR(LINEAS!$U$102=1,LINEAS!$U$102=3),1,-1)*LINEAS!$AF$102*DATOS!$C$67,DATOS!$C$68))</f>
        <v>43 UNI GX 0.1190</v>
      </c>
      <c r="C976" s="51" t="str">
        <f aca="false">IF(LEN($B976)&gt;79,"MÁS DE 79 CARACTERES","")</f>
        <v/>
      </c>
      <c r="D976" s="53" t="str">
        <f aca="false">IF(PRESIONES!$C$22="NO","",IF(OR(LINEAS!$D$102="",LINEAS!$U$102=0,ABS(IF(OR(LINEAS!$U$102=1,LINEAS!$U$102=3),1,-1)*LINEAS!$AF$102*DATOS!$C$67)&lt;0.00005),"*",LINEAS!$D$102&amp;" UNI "&amp;IF(LINEAS!$U$102&lt;=2,"GZ","GX")&amp;" "&amp;TEXT(IF(OR(LINEAS!$U$102=1,LINEAS!$U$102=3),1,-1)*LINEAS!$AF$102*DATOS!$C$67,DATOS!$C$68)))</f>
        <v/>
      </c>
      <c r="E976" s="51" t="str">
        <f aca="false">IF(LEN($D976)&gt;79,"MÁS DE 79 CARACTERES","")</f>
        <v/>
      </c>
    </row>
    <row r="977" customFormat="false" ht="15" hidden="false" customHeight="true" outlineLevel="0" collapsed="false">
      <c r="B977" s="53" t="str">
        <f aca="false">IF(OR(LINEAS!$D$103="",LINEAS!$U$103=0,ABS(IF(OR(LINEAS!$U$103=1,LINEAS!$U$103=3),1,-1)*LINEAS!$AF$103*DATOS!$C$67)&lt;0.00005),"*",LINEAS!$D$103&amp;" UNI "&amp;IF(LINEAS!$U$103&lt;=2,"GZ","GX")&amp;" "&amp;TEXT(IF(OR(LINEAS!$U$103=1,LINEAS!$U$103=3),1,-1)*LINEAS!$AF$103*DATOS!$C$67,DATOS!$C$68))</f>
        <v>47 UNI GX 0.0985</v>
      </c>
      <c r="C977" s="51" t="str">
        <f aca="false">IF(LEN($B977)&gt;79,"MÁS DE 79 CARACTERES","")</f>
        <v/>
      </c>
      <c r="D977" s="53" t="str">
        <f aca="false">IF(PRESIONES!$C$22="NO","",IF(OR(LINEAS!$D$103="",LINEAS!$U$103=0,ABS(IF(OR(LINEAS!$U$103=1,LINEAS!$U$103=3),1,-1)*LINEAS!$AF$103*DATOS!$C$67)&lt;0.00005),"*",LINEAS!$D$103&amp;" UNI "&amp;IF(LINEAS!$U$103&lt;=2,"GZ","GX")&amp;" "&amp;TEXT(IF(OR(LINEAS!$U$103=1,LINEAS!$U$103=3),1,-1)*LINEAS!$AF$103*DATOS!$C$67,DATOS!$C$68)))</f>
        <v/>
      </c>
      <c r="E977" s="51" t="str">
        <f aca="false">IF(LEN($D977)&gt;79,"MÁS DE 79 CARACTERES","")</f>
        <v/>
      </c>
    </row>
    <row r="978" customFormat="false" ht="15" hidden="false" customHeight="true" outlineLevel="0" collapsed="false">
      <c r="B978" s="53" t="str">
        <f aca="false">IF(OR(LINEAS!$D$104="",LINEAS!$U$104=0,ABS(IF(OR(LINEAS!$U$104=1,LINEAS!$U$104=3),1,-1)*LINEAS!$AF$104*DATOS!$C$67)&lt;0.00005),"*",LINEAS!$D$104&amp;" UNI "&amp;IF(LINEAS!$U$104&lt;=2,"GZ","GX")&amp;" "&amp;TEXT(IF(OR(LINEAS!$U$104=1,LINEAS!$U$104=3),1,-1)*LINEAS!$AF$104*DATOS!$C$67,DATOS!$C$68))</f>
        <v>54 UNI GX 0.0789</v>
      </c>
      <c r="C978" s="51" t="str">
        <f aca="false">IF(LEN($B978)&gt;79,"MÁS DE 79 CARACTERES","")</f>
        <v/>
      </c>
      <c r="D978" s="53" t="str">
        <f aca="false">IF(PRESIONES!$C$22="NO","",IF(OR(LINEAS!$D$104="",LINEAS!$U$104=0,ABS(IF(OR(LINEAS!$U$104=1,LINEAS!$U$104=3),1,-1)*LINEAS!$AF$104*DATOS!$C$67)&lt;0.00005),"*",LINEAS!$D$104&amp;" UNI "&amp;IF(LINEAS!$U$104&lt;=2,"GZ","GX")&amp;" "&amp;TEXT(IF(OR(LINEAS!$U$104=1,LINEAS!$U$104=3),1,-1)*LINEAS!$AF$104*DATOS!$C$67,DATOS!$C$68)))</f>
        <v/>
      </c>
      <c r="E978" s="51" t="str">
        <f aca="false">IF(LEN($D978)&gt;79,"MÁS DE 79 CARACTERES","")</f>
        <v/>
      </c>
    </row>
    <row r="979" customFormat="false" ht="15" hidden="false" customHeight="true" outlineLevel="0" collapsed="false">
      <c r="B979" s="53" t="str">
        <f aca="false">IF(OR(LINEAS!$D$105="",LINEAS!$U$105=0,ABS(IF(OR(LINEAS!$U$105=1,LINEAS!$U$105=3),1,-1)*LINEAS!$AF$105*DATOS!$C$67)&lt;0.00005),"*",LINEAS!$D$105&amp;" UNI "&amp;IF(LINEAS!$U$105&lt;=2,"GZ","GX")&amp;" "&amp;TEXT(IF(OR(LINEAS!$U$105=1,LINEAS!$U$105=3),1,-1)*LINEAS!$AF$105*DATOS!$C$67,DATOS!$C$68))</f>
        <v>64 UNI GX -0.0021</v>
      </c>
      <c r="C979" s="51" t="str">
        <f aca="false">IF(LEN($B979)&gt;79,"MÁS DE 79 CARACTERES","")</f>
        <v/>
      </c>
      <c r="D979" s="53" t="str">
        <f aca="false">IF(PRESIONES!$C$22="NO","",IF(OR(LINEAS!$D$105="",LINEAS!$U$105=0,ABS(IF(OR(LINEAS!$U$105=1,LINEAS!$U$105=3),1,-1)*LINEAS!$AF$105*DATOS!$C$67)&lt;0.00005),"*",LINEAS!$D$105&amp;" UNI "&amp;IF(LINEAS!$U$105&lt;=2,"GZ","GX")&amp;" "&amp;TEXT(IF(OR(LINEAS!$U$105=1,LINEAS!$U$105=3),1,-1)*LINEAS!$AF$105*DATOS!$C$67,DATOS!$C$68)))</f>
        <v/>
      </c>
      <c r="E979" s="51" t="str">
        <f aca="false">IF(LEN($D979)&gt;79,"MÁS DE 79 CARACTERES","")</f>
        <v/>
      </c>
    </row>
    <row r="980" customFormat="false" ht="15" hidden="false" customHeight="true" outlineLevel="0" collapsed="false">
      <c r="B980" s="53" t="str">
        <f aca="false">IF(OR(LINEAS!$D$106="",LINEAS!$U$106=0,ABS(IF(OR(LINEAS!$U$106=1,LINEAS!$U$106=3),1,-1)*LINEAS!$AF$106*DATOS!$C$67)&lt;0.00005),"*",LINEAS!$D$106&amp;" UNI "&amp;IF(LINEAS!$U$106&lt;=2,"GZ","GX")&amp;" "&amp;TEXT(IF(OR(LINEAS!$U$106=1,LINEAS!$U$106=3),1,-1)*LINEAS!$AF$106*DATOS!$C$67,DATOS!$C$68))</f>
        <v>63 UNI GX -0.0019</v>
      </c>
      <c r="C980" s="51" t="str">
        <f aca="false">IF(LEN($B980)&gt;79,"MÁS DE 79 CARACTERES","")</f>
        <v/>
      </c>
      <c r="D980" s="53" t="str">
        <f aca="false">IF(PRESIONES!$C$22="NO","",IF(OR(LINEAS!$D$106="",LINEAS!$U$106=0,ABS(IF(OR(LINEAS!$U$106=1,LINEAS!$U$106=3),1,-1)*LINEAS!$AF$106*DATOS!$C$67)&lt;0.00005),"*",LINEAS!$D$106&amp;" UNI "&amp;IF(LINEAS!$U$106&lt;=2,"GZ","GX")&amp;" "&amp;TEXT(IF(OR(LINEAS!$U$106=1,LINEAS!$U$106=3),1,-1)*LINEAS!$AF$106*DATOS!$C$67,DATOS!$C$68)))</f>
        <v/>
      </c>
      <c r="E980" s="51" t="str">
        <f aca="false">IF(LEN($D980)&gt;79,"MÁS DE 79 CARACTERES","")</f>
        <v/>
      </c>
    </row>
    <row r="981" customFormat="false" ht="15" hidden="false" customHeight="true" outlineLevel="0" collapsed="false">
      <c r="B981" s="53" t="str">
        <f aca="false">IF(OR(LINEAS!$D$107="",LINEAS!$U$107=0,ABS(IF(OR(LINEAS!$U$107=1,LINEAS!$U$107=3),1,-1)*LINEAS!$AF$107*DATOS!$C$67)&lt;0.00005),"*",LINEAS!$D$107&amp;" UNI "&amp;IF(LINEAS!$U$107&lt;=2,"GZ","GX")&amp;" "&amp;TEXT(IF(OR(LINEAS!$U$107=1,LINEAS!$U$107=3),1,-1)*LINEAS!$AF$107*DATOS!$C$67,DATOS!$C$68))</f>
        <v>62 UNI GX -0.0018</v>
      </c>
      <c r="C981" s="51" t="str">
        <f aca="false">IF(LEN($B981)&gt;79,"MÁS DE 79 CARACTERES","")</f>
        <v/>
      </c>
      <c r="D981" s="53" t="str">
        <f aca="false">IF(PRESIONES!$C$22="NO","",IF(OR(LINEAS!$D$107="",LINEAS!$U$107=0,ABS(IF(OR(LINEAS!$U$107=1,LINEAS!$U$107=3),1,-1)*LINEAS!$AF$107*DATOS!$C$67)&lt;0.00005),"*",LINEAS!$D$107&amp;" UNI "&amp;IF(LINEAS!$U$107&lt;=2,"GZ","GX")&amp;" "&amp;TEXT(IF(OR(LINEAS!$U$107=1,LINEAS!$U$107=3),1,-1)*LINEAS!$AF$107*DATOS!$C$67,DATOS!$C$68)))</f>
        <v/>
      </c>
      <c r="E981" s="51" t="str">
        <f aca="false">IF(LEN($D981)&gt;79,"MÁS DE 79 CARACTERES","")</f>
        <v/>
      </c>
    </row>
    <row r="982" customFormat="false" ht="15" hidden="false" customHeight="true" outlineLevel="0" collapsed="false">
      <c r="B982" s="53" t="str">
        <f aca="false">IF(OR(LINEAS!$D$108="",LINEAS!$U$108=0,ABS(IF(OR(LINEAS!$U$108=1,LINEAS!$U$108=3),1,-1)*LINEAS!$AF$108*DATOS!$C$67)&lt;0.00005),"*",LINEAS!$D$108&amp;" UNI "&amp;IF(LINEAS!$U$108&lt;=2,"GZ","GX")&amp;" "&amp;TEXT(IF(OR(LINEAS!$U$108=1,LINEAS!$U$108=3),1,-1)*LINEAS!$AF$108*DATOS!$C$67,DATOS!$C$68))</f>
        <v>61 UNI GX -0.0016</v>
      </c>
      <c r="C982" s="51" t="str">
        <f aca="false">IF(LEN($B982)&gt;79,"MÁS DE 79 CARACTERES","")</f>
        <v/>
      </c>
      <c r="D982" s="53" t="str">
        <f aca="false">IF(PRESIONES!$C$22="NO","",IF(OR(LINEAS!$D$108="",LINEAS!$U$108=0,ABS(IF(OR(LINEAS!$U$108=1,LINEAS!$U$108=3),1,-1)*LINEAS!$AF$108*DATOS!$C$67)&lt;0.00005),"*",LINEAS!$D$108&amp;" UNI "&amp;IF(LINEAS!$U$108&lt;=2,"GZ","GX")&amp;" "&amp;TEXT(IF(OR(LINEAS!$U$108=1,LINEAS!$U$108=3),1,-1)*LINEAS!$AF$108*DATOS!$C$67,DATOS!$C$68)))</f>
        <v/>
      </c>
      <c r="E982" s="51" t="str">
        <f aca="false">IF(LEN($D982)&gt;79,"MÁS DE 79 CARACTERES","")</f>
        <v/>
      </c>
    </row>
    <row r="983" customFormat="false" ht="15" hidden="false" customHeight="true" outlineLevel="0" collapsed="false">
      <c r="B983" s="53" t="str">
        <f aca="false">IF(OR(LINEAS!$D$109="",LINEAS!$U$109=0,ABS(IF(OR(LINEAS!$U$109=1,LINEAS!$U$109=3),1,-1)*LINEAS!$AF$109*DATOS!$C$67)&lt;0.00005),"*",LINEAS!$D$109&amp;" UNI "&amp;IF(LINEAS!$U$109&lt;=2,"GZ","GX")&amp;" "&amp;TEXT(IF(OR(LINEAS!$U$109=1,LINEAS!$U$109=3),1,-1)*LINEAS!$AF$109*DATOS!$C$67,DATOS!$C$68))</f>
        <v>12 UNI GX -0.0015</v>
      </c>
      <c r="C983" s="51" t="str">
        <f aca="false">IF(LEN($B983)&gt;79,"MÁS DE 79 CARACTERES","")</f>
        <v/>
      </c>
      <c r="D983" s="53" t="str">
        <f aca="false">IF(PRESIONES!$C$22="NO","",IF(OR(LINEAS!$D$109="",LINEAS!$U$109=0,ABS(IF(OR(LINEAS!$U$109=1,LINEAS!$U$109=3),1,-1)*LINEAS!$AF$109*DATOS!$C$67)&lt;0.00005),"*",LINEAS!$D$109&amp;" UNI "&amp;IF(LINEAS!$U$109&lt;=2,"GZ","GX")&amp;" "&amp;TEXT(IF(OR(LINEAS!$U$109=1,LINEAS!$U$109=3),1,-1)*LINEAS!$AF$109*DATOS!$C$67,DATOS!$C$68)))</f>
        <v/>
      </c>
      <c r="E983" s="51" t="str">
        <f aca="false">IF(LEN($D983)&gt;79,"MÁS DE 79 CARACTERES","")</f>
        <v/>
      </c>
    </row>
    <row r="984" customFormat="false" ht="15" hidden="false" customHeight="true" outlineLevel="0" collapsed="false">
      <c r="B984" s="53" t="str">
        <f aca="false">IF(OR(LINEAS!$D$110="",LINEAS!$U$110=0,ABS(IF(OR(LINEAS!$U$110=1,LINEAS!$U$110=3),1,-1)*LINEAS!$AF$110*DATOS!$C$67)&lt;0.00005),"*",LINEAS!$D$110&amp;" UNI "&amp;IF(LINEAS!$U$110&lt;=2,"GZ","GX")&amp;" "&amp;TEXT(IF(OR(LINEAS!$U$110=1,LINEAS!$U$110=3),1,-1)*LINEAS!$AF$110*DATOS!$C$67,DATOS!$C$68))</f>
        <v>72 UNI GX -0.0013</v>
      </c>
      <c r="C984" s="51" t="str">
        <f aca="false">IF(LEN($B984)&gt;79,"MÁS DE 79 CARACTERES","")</f>
        <v/>
      </c>
      <c r="D984" s="53" t="str">
        <f aca="false">IF(PRESIONES!$C$22="NO","",IF(OR(LINEAS!$D$110="",LINEAS!$U$110=0,ABS(IF(OR(LINEAS!$U$110=1,LINEAS!$U$110=3),1,-1)*LINEAS!$AF$110*DATOS!$C$67)&lt;0.00005),"*",LINEAS!$D$110&amp;" UNI "&amp;IF(LINEAS!$U$110&lt;=2,"GZ","GX")&amp;" "&amp;TEXT(IF(OR(LINEAS!$U$110=1,LINEAS!$U$110=3),1,-1)*LINEAS!$AF$110*DATOS!$C$67,DATOS!$C$68)))</f>
        <v/>
      </c>
      <c r="E984" s="51" t="str">
        <f aca="false">IF(LEN($D984)&gt;79,"MÁS DE 79 CARACTERES","")</f>
        <v/>
      </c>
    </row>
    <row r="985" customFormat="false" ht="15" hidden="false" customHeight="true" outlineLevel="0" collapsed="false">
      <c r="B985" s="53" t="str">
        <f aca="false">IF(OR(LINEAS!$D$111="",LINEAS!$U$111=0,ABS(IF(OR(LINEAS!$U$111=1,LINEAS!$U$111=3),1,-1)*LINEAS!$AF$111*DATOS!$C$67)&lt;0.00005),"*",LINEAS!$D$111&amp;" UNI "&amp;IF(LINEAS!$U$111&lt;=2,"GZ","GX")&amp;" "&amp;TEXT(IF(OR(LINEAS!$U$111=1,LINEAS!$U$111=3),1,-1)*LINEAS!$AF$111*DATOS!$C$67,DATOS!$C$68))</f>
        <v>71 UNI GX -0.0012</v>
      </c>
      <c r="C985" s="51" t="str">
        <f aca="false">IF(LEN($B985)&gt;79,"MÁS DE 79 CARACTERES","")</f>
        <v/>
      </c>
      <c r="D985" s="53" t="str">
        <f aca="false">IF(PRESIONES!$C$22="NO","",IF(OR(LINEAS!$D$111="",LINEAS!$U$111=0,ABS(IF(OR(LINEAS!$U$111=1,LINEAS!$U$111=3),1,-1)*LINEAS!$AF$111*DATOS!$C$67)&lt;0.00005),"*",LINEAS!$D$111&amp;" UNI "&amp;IF(LINEAS!$U$111&lt;=2,"GZ","GX")&amp;" "&amp;TEXT(IF(OR(LINEAS!$U$111=1,LINEAS!$U$111=3),1,-1)*LINEAS!$AF$111*DATOS!$C$67,DATOS!$C$68)))</f>
        <v/>
      </c>
      <c r="E985" s="51" t="str">
        <f aca="false">IF(LEN($D985)&gt;79,"MÁS DE 79 CARACTERES","")</f>
        <v/>
      </c>
    </row>
    <row r="986" customFormat="false" ht="15" hidden="false" customHeight="true" outlineLevel="0" collapsed="false">
      <c r="B986" s="53" t="str">
        <f aca="false">IF(OR(LINEAS!$D$112="",LINEAS!$U$112=0,ABS(IF(OR(LINEAS!$U$112=1,LINEAS!$U$112=3),1,-1)*LINEAS!$AF$112*DATOS!$C$67)&lt;0.00005),"*",LINEAS!$D$112&amp;" UNI "&amp;IF(LINEAS!$U$112&lt;=2,"GZ","GX")&amp;" "&amp;TEXT(IF(OR(LINEAS!$U$112=1,LINEAS!$U$112=3),1,-1)*LINEAS!$AF$112*DATOS!$C$67,DATOS!$C$68))</f>
        <v>70 UNI GX -0.0011</v>
      </c>
      <c r="C986" s="51" t="str">
        <f aca="false">IF(LEN($B986)&gt;79,"MÁS DE 79 CARACTERES","")</f>
        <v/>
      </c>
      <c r="D986" s="53" t="str">
        <f aca="false">IF(PRESIONES!$C$22="NO","",IF(OR(LINEAS!$D$112="",LINEAS!$U$112=0,ABS(IF(OR(LINEAS!$U$112=1,LINEAS!$U$112=3),1,-1)*LINEAS!$AF$112*DATOS!$C$67)&lt;0.00005),"*",LINEAS!$D$112&amp;" UNI "&amp;IF(LINEAS!$U$112&lt;=2,"GZ","GX")&amp;" "&amp;TEXT(IF(OR(LINEAS!$U$112=1,LINEAS!$U$112=3),1,-1)*LINEAS!$AF$112*DATOS!$C$67,DATOS!$C$68)))</f>
        <v/>
      </c>
      <c r="E986" s="51" t="str">
        <f aca="false">IF(LEN($D986)&gt;79,"MÁS DE 79 CARACTERES","")</f>
        <v/>
      </c>
    </row>
    <row r="987" customFormat="false" ht="15" hidden="false" customHeight="true" outlineLevel="0" collapsed="false">
      <c r="B987" s="53" t="str">
        <f aca="false">IF(OR(LINEAS!$D$113="",LINEAS!$U$113=0,ABS(IF(OR(LINEAS!$U$113=1,LINEAS!$U$113=3),1,-1)*LINEAS!$AF$113*DATOS!$C$67)&lt;0.00005),"*",LINEAS!$D$113&amp;" UNI "&amp;IF(LINEAS!$U$113&lt;=2,"GZ","GX")&amp;" "&amp;TEXT(IF(OR(LINEAS!$U$113=1,LINEAS!$U$113=3),1,-1)*LINEAS!$AF$113*DATOS!$C$67,DATOS!$C$68))</f>
        <v>69 UNI GX -0.0009</v>
      </c>
      <c r="C987" s="51" t="str">
        <f aca="false">IF(LEN($B987)&gt;79,"MÁS DE 79 CARACTERES","")</f>
        <v/>
      </c>
      <c r="D987" s="53" t="str">
        <f aca="false">IF(PRESIONES!$C$22="NO","",IF(OR(LINEAS!$D$113="",LINEAS!$U$113=0,ABS(IF(OR(LINEAS!$U$113=1,LINEAS!$U$113=3),1,-1)*LINEAS!$AF$113*DATOS!$C$67)&lt;0.00005),"*",LINEAS!$D$113&amp;" UNI "&amp;IF(LINEAS!$U$113&lt;=2,"GZ","GX")&amp;" "&amp;TEXT(IF(OR(LINEAS!$U$113=1,LINEAS!$U$113=3),1,-1)*LINEAS!$AF$113*DATOS!$C$67,DATOS!$C$68)))</f>
        <v/>
      </c>
      <c r="E987" s="51" t="str">
        <f aca="false">IF(LEN($D987)&gt;79,"MÁS DE 79 CARACTERES","")</f>
        <v/>
      </c>
    </row>
    <row r="988" customFormat="false" ht="15" hidden="false" customHeight="true" outlineLevel="0" collapsed="false">
      <c r="B988" s="53" t="str">
        <f aca="false">IF(OR(LINEAS!$D$114="",LINEAS!$U$114=0,ABS(IF(OR(LINEAS!$U$114=1,LINEAS!$U$114=3),1,-1)*LINEAS!$AF$114*DATOS!$C$67)&lt;0.00005),"*",LINEAS!$D$114&amp;" UNI "&amp;IF(LINEAS!$U$114&lt;=2,"GZ","GX")&amp;" "&amp;TEXT(IF(OR(LINEAS!$U$114=1,LINEAS!$U$114=3),1,-1)*LINEAS!$AF$114*DATOS!$C$67,DATOS!$C$68))</f>
        <v>50 UNI GX -0.0008</v>
      </c>
      <c r="C988" s="51" t="str">
        <f aca="false">IF(LEN($B988)&gt;79,"MÁS DE 79 CARACTERES","")</f>
        <v/>
      </c>
      <c r="D988" s="53" t="str">
        <f aca="false">IF(PRESIONES!$C$22="NO","",IF(OR(LINEAS!$D$114="",LINEAS!$U$114=0,ABS(IF(OR(LINEAS!$U$114=1,LINEAS!$U$114=3),1,-1)*LINEAS!$AF$114*DATOS!$C$67)&lt;0.00005),"*",LINEAS!$D$114&amp;" UNI "&amp;IF(LINEAS!$U$114&lt;=2,"GZ","GX")&amp;" "&amp;TEXT(IF(OR(LINEAS!$U$114=1,LINEAS!$U$114=3),1,-1)*LINEAS!$AF$114*DATOS!$C$67,DATOS!$C$68)))</f>
        <v/>
      </c>
      <c r="E988" s="51" t="str">
        <f aca="false">IF(LEN($D988)&gt;79,"MÁS DE 79 CARACTERES","")</f>
        <v/>
      </c>
    </row>
    <row r="989" customFormat="false" ht="15" hidden="false" customHeight="true" outlineLevel="0" collapsed="false">
      <c r="B989" s="53" t="str">
        <f aca="false">IF(OR(LINEAS!$D$115="",LINEAS!$U$115=0,ABS(IF(OR(LINEAS!$U$115=1,LINEAS!$U$115=3),1,-1)*LINEAS!$AF$115*DATOS!$C$67)&lt;0.00005),"*",LINEAS!$D$115&amp;" UNI "&amp;IF(LINEAS!$U$115&lt;=2,"GZ","GX")&amp;" "&amp;TEXT(IF(OR(LINEAS!$U$115=1,LINEAS!$U$115=3),1,-1)*LINEAS!$AF$115*DATOS!$C$67,DATOS!$C$68))</f>
        <v>53 UNI GX -0.0007</v>
      </c>
      <c r="C989" s="51" t="str">
        <f aca="false">IF(LEN($B989)&gt;79,"MÁS DE 79 CARACTERES","")</f>
        <v/>
      </c>
      <c r="D989" s="53" t="str">
        <f aca="false">IF(PRESIONES!$C$22="NO","",IF(OR(LINEAS!$D$115="",LINEAS!$U$115=0,ABS(IF(OR(LINEAS!$U$115=1,LINEAS!$U$115=3),1,-1)*LINEAS!$AF$115*DATOS!$C$67)&lt;0.00005),"*",LINEAS!$D$115&amp;" UNI "&amp;IF(LINEAS!$U$115&lt;=2,"GZ","GX")&amp;" "&amp;TEXT(IF(OR(LINEAS!$U$115=1,LINEAS!$U$115=3),1,-1)*LINEAS!$AF$115*DATOS!$C$67,DATOS!$C$68)))</f>
        <v/>
      </c>
      <c r="E989" s="51" t="str">
        <f aca="false">IF(LEN($D989)&gt;79,"MÁS DE 79 CARACTERES","")</f>
        <v/>
      </c>
    </row>
    <row r="990" customFormat="false" ht="15" hidden="false" customHeight="true" outlineLevel="0" collapsed="false">
      <c r="B990" s="53" t="str">
        <f aca="false">IF(OR(LINEAS!$D$116="",LINEAS!$U$116=0,ABS(IF(OR(LINEAS!$U$116=1,LINEAS!$U$116=3),1,-1)*LINEAS!$AF$116*DATOS!$C$67)&lt;0.00005),"*",LINEAS!$D$116&amp;" UNI "&amp;IF(LINEAS!$U$116&lt;=2,"GZ","GX")&amp;" "&amp;TEXT(IF(OR(LINEAS!$U$116=1,LINEAS!$U$116=3),1,-1)*LINEAS!$AF$116*DATOS!$C$67,DATOS!$C$68))</f>
        <v>55 UNI GX -0.0005</v>
      </c>
      <c r="C990" s="51" t="str">
        <f aca="false">IF(LEN($B990)&gt;79,"MÁS DE 79 CARACTERES","")</f>
        <v/>
      </c>
      <c r="D990" s="53" t="str">
        <f aca="false">IF(PRESIONES!$C$22="NO","",IF(OR(LINEAS!$D$116="",LINEAS!$U$116=0,ABS(IF(OR(LINEAS!$U$116=1,LINEAS!$U$116=3),1,-1)*LINEAS!$AF$116*DATOS!$C$67)&lt;0.00005),"*",LINEAS!$D$116&amp;" UNI "&amp;IF(LINEAS!$U$116&lt;=2,"GZ","GX")&amp;" "&amp;TEXT(IF(OR(LINEAS!$U$116=1,LINEAS!$U$116=3),1,-1)*LINEAS!$AF$116*DATOS!$C$67,DATOS!$C$68)))</f>
        <v/>
      </c>
      <c r="E990" s="51" t="str">
        <f aca="false">IF(LEN($D990)&gt;79,"MÁS DE 79 CARACTERES","")</f>
        <v/>
      </c>
    </row>
    <row r="991" customFormat="false" ht="15" hidden="false" customHeight="true" outlineLevel="0" collapsed="false">
      <c r="B991" s="53" t="str">
        <f aca="false">IF(OR(LINEAS!$D$117="",LINEAS!$U$117=0,ABS(IF(OR(LINEAS!$U$117=1,LINEAS!$U$117=3),1,-1)*LINEAS!$AF$117*DATOS!$C$67)&lt;0.00005),"*",LINEAS!$D$117&amp;" UNI "&amp;IF(LINEAS!$U$117&lt;=2,"GZ","GX")&amp;" "&amp;TEXT(IF(OR(LINEAS!$U$117=1,LINEAS!$U$117=3),1,-1)*LINEAS!$AF$117*DATOS!$C$67,DATOS!$C$68))</f>
        <v>262 UNI GZ -0.1102</v>
      </c>
      <c r="C991" s="51" t="str">
        <f aca="false">IF(LEN($B991)&gt;79,"MÁS DE 79 CARACTERES","")</f>
        <v/>
      </c>
      <c r="D991" s="53" t="str">
        <f aca="false">IF(PRESIONES!$C$22="NO","",IF(OR(LINEAS!$D$117="",LINEAS!$U$117=0,ABS(IF(OR(LINEAS!$U$117=1,LINEAS!$U$117=3),1,-1)*LINEAS!$AF$117*DATOS!$C$67)&lt;0.00005),"*",LINEAS!$D$117&amp;" UNI "&amp;IF(LINEAS!$U$117&lt;=2,"GZ","GX")&amp;" "&amp;TEXT(IF(OR(LINEAS!$U$117=1,LINEAS!$U$117=3),1,-1)*LINEAS!$AF$117*DATOS!$C$67,DATOS!$C$68)))</f>
        <v/>
      </c>
      <c r="E991" s="51" t="str">
        <f aca="false">IF(LEN($D991)&gt;79,"MÁS DE 79 CARACTERES","")</f>
        <v/>
      </c>
    </row>
    <row r="992" customFormat="false" ht="15" hidden="false" customHeight="true" outlineLevel="0" collapsed="false">
      <c r="B992" s="53" t="str">
        <f aca="false">IF(OR(LINEAS!$D$118="",LINEAS!$U$118=0,ABS(IF(OR(LINEAS!$U$118=1,LINEAS!$U$118=3),1,-1)*LINEAS!$AF$118*DATOS!$C$67)&lt;0.00005),"*",LINEAS!$D$118&amp;" UNI "&amp;IF(LINEAS!$U$118&lt;=2,"GZ","GX")&amp;" "&amp;TEXT(IF(OR(LINEAS!$U$118=1,LINEAS!$U$118=3),1,-1)*LINEAS!$AF$118*DATOS!$C$67,DATOS!$C$68))</f>
        <v>263 UNI GZ -0.1102</v>
      </c>
      <c r="C992" s="51" t="str">
        <f aca="false">IF(LEN($B992)&gt;79,"MÁS DE 79 CARACTERES","")</f>
        <v/>
      </c>
      <c r="D992" s="53" t="str">
        <f aca="false">IF(PRESIONES!$C$22="NO","",IF(OR(LINEAS!$D$118="",LINEAS!$U$118=0,ABS(IF(OR(LINEAS!$U$118=1,LINEAS!$U$118=3),1,-1)*LINEAS!$AF$118*DATOS!$C$67)&lt;0.00005),"*",LINEAS!$D$118&amp;" UNI "&amp;IF(LINEAS!$U$118&lt;=2,"GZ","GX")&amp;" "&amp;TEXT(IF(OR(LINEAS!$U$118=1,LINEAS!$U$118=3),1,-1)*LINEAS!$AF$118*DATOS!$C$67,DATOS!$C$68)))</f>
        <v/>
      </c>
      <c r="E992" s="51" t="str">
        <f aca="false">IF(LEN($D992)&gt;79,"MÁS DE 79 CARACTERES","")</f>
        <v/>
      </c>
    </row>
    <row r="993" customFormat="false" ht="15" hidden="false" customHeight="true" outlineLevel="0" collapsed="false">
      <c r="B993" s="53" t="str">
        <f aca="false">IF(OR(LINEAS!$D$119="",LINEAS!$U$119=0,ABS(IF(OR(LINEAS!$U$119=1,LINEAS!$U$119=3),1,-1)*LINEAS!$AF$119*DATOS!$C$67)&lt;0.00005),"*",LINEAS!$D$119&amp;" UNI "&amp;IF(LINEAS!$U$119&lt;=2,"GZ","GX")&amp;" "&amp;TEXT(IF(OR(LINEAS!$U$119=1,LINEAS!$U$119=3),1,-1)*LINEAS!$AF$119*DATOS!$C$67,DATOS!$C$68))</f>
        <v>264 UNI GZ -0.1102</v>
      </c>
      <c r="C993" s="51" t="str">
        <f aca="false">IF(LEN($B993)&gt;79,"MÁS DE 79 CARACTERES","")</f>
        <v/>
      </c>
      <c r="D993" s="53" t="str">
        <f aca="false">IF(PRESIONES!$C$22="NO","",IF(OR(LINEAS!$D$119="",LINEAS!$U$119=0,ABS(IF(OR(LINEAS!$U$119=1,LINEAS!$U$119=3),1,-1)*LINEAS!$AF$119*DATOS!$C$67)&lt;0.00005),"*",LINEAS!$D$119&amp;" UNI "&amp;IF(LINEAS!$U$119&lt;=2,"GZ","GX")&amp;" "&amp;TEXT(IF(OR(LINEAS!$U$119=1,LINEAS!$U$119=3),1,-1)*LINEAS!$AF$119*DATOS!$C$67,DATOS!$C$68)))</f>
        <v/>
      </c>
      <c r="E993" s="51" t="str">
        <f aca="false">IF(LEN($D993)&gt;79,"MÁS DE 79 CARACTERES","")</f>
        <v/>
      </c>
    </row>
    <row r="994" customFormat="false" ht="15" hidden="false" customHeight="true" outlineLevel="0" collapsed="false">
      <c r="B994" s="53" t="str">
        <f aca="false">IF(OR(LINEAS!$D$120="",LINEAS!$U$120=0,ABS(IF(OR(LINEAS!$U$120=1,LINEAS!$U$120=3),1,-1)*LINEAS!$AF$120*DATOS!$C$67)&lt;0.00005),"*",LINEAS!$D$120&amp;" UNI "&amp;IF(LINEAS!$U$120&lt;=2,"GZ","GX")&amp;" "&amp;TEXT(IF(OR(LINEAS!$U$120=1,LINEAS!$U$120=3),1,-1)*LINEAS!$AF$120*DATOS!$C$67,DATOS!$C$68))</f>
        <v>271 UNI GZ -0.1102</v>
      </c>
      <c r="C994" s="51" t="str">
        <f aca="false">IF(LEN($B994)&gt;79,"MÁS DE 79 CARACTERES","")</f>
        <v/>
      </c>
      <c r="D994" s="53" t="str">
        <f aca="false">IF(PRESIONES!$C$22="NO","",IF(OR(LINEAS!$D$120="",LINEAS!$U$120=0,ABS(IF(OR(LINEAS!$U$120=1,LINEAS!$U$120=3),1,-1)*LINEAS!$AF$120*DATOS!$C$67)&lt;0.00005),"*",LINEAS!$D$120&amp;" UNI "&amp;IF(LINEAS!$U$120&lt;=2,"GZ","GX")&amp;" "&amp;TEXT(IF(OR(LINEAS!$U$120=1,LINEAS!$U$120=3),1,-1)*LINEAS!$AF$120*DATOS!$C$67,DATOS!$C$68)))</f>
        <v/>
      </c>
      <c r="E994" s="51" t="str">
        <f aca="false">IF(LEN($D994)&gt;79,"MÁS DE 79 CARACTERES","")</f>
        <v/>
      </c>
    </row>
    <row r="995" customFormat="false" ht="15" hidden="false" customHeight="true" outlineLevel="0" collapsed="false">
      <c r="B995" s="53" t="str">
        <f aca="false">IF(OR(LINEAS!$D$121="",LINEAS!$U$121=0,ABS(IF(OR(LINEAS!$U$121=1,LINEAS!$U$121=3),1,-1)*LINEAS!$AF$121*DATOS!$C$67)&lt;0.00005),"*",LINEAS!$D$121&amp;" UNI "&amp;IF(LINEAS!$U$121&lt;=2,"GZ","GX")&amp;" "&amp;TEXT(IF(OR(LINEAS!$U$121=1,LINEAS!$U$121=3),1,-1)*LINEAS!$AF$121*DATOS!$C$67,DATOS!$C$68))</f>
        <v>286 UNI GZ -0.0551</v>
      </c>
      <c r="C995" s="51" t="str">
        <f aca="false">IF(LEN($B995)&gt;79,"MÁS DE 79 CARACTERES","")</f>
        <v/>
      </c>
      <c r="D995" s="53" t="str">
        <f aca="false">IF(PRESIONES!$C$22="NO","",IF(OR(LINEAS!$D$121="",LINEAS!$U$121=0,ABS(IF(OR(LINEAS!$U$121=1,LINEAS!$U$121=3),1,-1)*LINEAS!$AF$121*DATOS!$C$67)&lt;0.00005),"*",LINEAS!$D$121&amp;" UNI "&amp;IF(LINEAS!$U$121&lt;=2,"GZ","GX")&amp;" "&amp;TEXT(IF(OR(LINEAS!$U$121=1,LINEAS!$U$121=3),1,-1)*LINEAS!$AF$121*DATOS!$C$67,DATOS!$C$68)))</f>
        <v/>
      </c>
      <c r="E995" s="51" t="str">
        <f aca="false">IF(LEN($D995)&gt;79,"MÁS DE 79 CARACTERES","")</f>
        <v/>
      </c>
    </row>
    <row r="996" customFormat="false" ht="15" hidden="false" customHeight="true" outlineLevel="0" collapsed="false">
      <c r="B996" s="53" t="str">
        <f aca="false">IF(OR(LINEAS!$D$122="",LINEAS!$U$122=0,ABS(IF(OR(LINEAS!$U$122=1,LINEAS!$U$122=3),1,-1)*LINEAS!$AF$122*DATOS!$C$67)&lt;0.00005),"*",LINEAS!$D$122&amp;" UNI "&amp;IF(LINEAS!$U$122&lt;=2,"GZ","GX")&amp;" "&amp;TEXT(IF(OR(LINEAS!$U$122=1,LINEAS!$U$122=3),1,-1)*LINEAS!$AF$122*DATOS!$C$67,DATOS!$C$68))</f>
        <v>272 UNI GZ -0.1102</v>
      </c>
      <c r="C996" s="51" t="str">
        <f aca="false">IF(LEN($B996)&gt;79,"MÁS DE 79 CARACTERES","")</f>
        <v/>
      </c>
      <c r="D996" s="53" t="str">
        <f aca="false">IF(PRESIONES!$C$22="NO","",IF(OR(LINEAS!$D$122="",LINEAS!$U$122=0,ABS(IF(OR(LINEAS!$U$122=1,LINEAS!$U$122=3),1,-1)*LINEAS!$AF$122*DATOS!$C$67)&lt;0.00005),"*",LINEAS!$D$122&amp;" UNI "&amp;IF(LINEAS!$U$122&lt;=2,"GZ","GX")&amp;" "&amp;TEXT(IF(OR(LINEAS!$U$122=1,LINEAS!$U$122=3),1,-1)*LINEAS!$AF$122*DATOS!$C$67,DATOS!$C$68)))</f>
        <v/>
      </c>
      <c r="E996" s="51" t="str">
        <f aca="false">IF(LEN($D996)&gt;79,"MÁS DE 79 CARACTERES","")</f>
        <v/>
      </c>
    </row>
    <row r="997" customFormat="false" ht="15" hidden="false" customHeight="true" outlineLevel="0" collapsed="false">
      <c r="B997" s="53" t="str">
        <f aca="false">IF(OR(LINEAS!$D$123="",LINEAS!$U$123=0,ABS(IF(OR(LINEAS!$U$123=1,LINEAS!$U$123=3),1,-1)*LINEAS!$AF$123*DATOS!$C$67)&lt;0.00005),"*",LINEAS!$D$123&amp;" UNI "&amp;IF(LINEAS!$U$123&lt;=2,"GZ","GX")&amp;" "&amp;TEXT(IF(OR(LINEAS!$U$123=1,LINEAS!$U$123=3),1,-1)*LINEAS!$AF$123*DATOS!$C$67,DATOS!$C$68))</f>
        <v>273 UNI GZ -0.1102</v>
      </c>
      <c r="C997" s="51" t="str">
        <f aca="false">IF(LEN($B997)&gt;79,"MÁS DE 79 CARACTERES","")</f>
        <v/>
      </c>
      <c r="D997" s="53" t="str">
        <f aca="false">IF(PRESIONES!$C$22="NO","",IF(OR(LINEAS!$D$123="",LINEAS!$U$123=0,ABS(IF(OR(LINEAS!$U$123=1,LINEAS!$U$123=3),1,-1)*LINEAS!$AF$123*DATOS!$C$67)&lt;0.00005),"*",LINEAS!$D$123&amp;" UNI "&amp;IF(LINEAS!$U$123&lt;=2,"GZ","GX")&amp;" "&amp;TEXT(IF(OR(LINEAS!$U$123=1,LINEAS!$U$123=3),1,-1)*LINEAS!$AF$123*DATOS!$C$67,DATOS!$C$68)))</f>
        <v/>
      </c>
      <c r="E997" s="51" t="str">
        <f aca="false">IF(LEN($D997)&gt;79,"MÁS DE 79 CARACTERES","")</f>
        <v/>
      </c>
    </row>
    <row r="998" customFormat="false" ht="15" hidden="false" customHeight="true" outlineLevel="0" collapsed="false">
      <c r="B998" s="53" t="str">
        <f aca="false">IF(OR(LINEAS!$D$124="",LINEAS!$U$124=0,ABS(IF(OR(LINEAS!$U$124=1,LINEAS!$U$124=3),1,-1)*LINEAS!$AF$124*DATOS!$C$67)&lt;0.00005),"*",LINEAS!$D$124&amp;" UNI "&amp;IF(LINEAS!$U$124&lt;=2,"GZ","GX")&amp;" "&amp;TEXT(IF(OR(LINEAS!$U$124=1,LINEAS!$U$124=3),1,-1)*LINEAS!$AF$124*DATOS!$C$67,DATOS!$C$68))</f>
        <v>280 UNI GZ -0.1102</v>
      </c>
      <c r="C998" s="51" t="str">
        <f aca="false">IF(LEN($B998)&gt;79,"MÁS DE 79 CARACTERES","")</f>
        <v/>
      </c>
      <c r="D998" s="53" t="str">
        <f aca="false">IF(PRESIONES!$C$22="NO","",IF(OR(LINEAS!$D$124="",LINEAS!$U$124=0,ABS(IF(OR(LINEAS!$U$124=1,LINEAS!$U$124=3),1,-1)*LINEAS!$AF$124*DATOS!$C$67)&lt;0.00005),"*",LINEAS!$D$124&amp;" UNI "&amp;IF(LINEAS!$U$124&lt;=2,"GZ","GX")&amp;" "&amp;TEXT(IF(OR(LINEAS!$U$124=1,LINEAS!$U$124=3),1,-1)*LINEAS!$AF$124*DATOS!$C$67,DATOS!$C$68)))</f>
        <v/>
      </c>
      <c r="E998" s="51" t="str">
        <f aca="false">IF(LEN($D998)&gt;79,"MÁS DE 79 CARACTERES","")</f>
        <v/>
      </c>
    </row>
    <row r="999" customFormat="false" ht="15" hidden="false" customHeight="true" outlineLevel="0" collapsed="false">
      <c r="B999" s="53" t="str">
        <f aca="false">IF(OR(LINEAS!$D$125="",LINEAS!$U$125=0,ABS(IF(OR(LINEAS!$U$125=1,LINEAS!$U$125=3),1,-1)*LINEAS!$AF$125*DATOS!$C$67)&lt;0.00005),"*",LINEAS!$D$125&amp;" UNI "&amp;IF(LINEAS!$U$125&lt;=2,"GZ","GX")&amp;" "&amp;TEXT(IF(OR(LINEAS!$U$125=1,LINEAS!$U$125=3),1,-1)*LINEAS!$AF$125*DATOS!$C$67,DATOS!$C$68))</f>
        <v>282 UNI GZ -0.1102</v>
      </c>
      <c r="C999" s="51" t="str">
        <f aca="false">IF(LEN($B999)&gt;79,"MÁS DE 79 CARACTERES","")</f>
        <v/>
      </c>
      <c r="D999" s="53" t="str">
        <f aca="false">IF(PRESIONES!$C$22="NO","",IF(OR(LINEAS!$D$125="",LINEAS!$U$125=0,ABS(IF(OR(LINEAS!$U$125=1,LINEAS!$U$125=3),1,-1)*LINEAS!$AF$125*DATOS!$C$67)&lt;0.00005),"*",LINEAS!$D$125&amp;" UNI "&amp;IF(LINEAS!$U$125&lt;=2,"GZ","GX")&amp;" "&amp;TEXT(IF(OR(LINEAS!$U$125=1,LINEAS!$U$125=3),1,-1)*LINEAS!$AF$125*DATOS!$C$67,DATOS!$C$68)))</f>
        <v/>
      </c>
      <c r="E999" s="51" t="str">
        <f aca="false">IF(LEN($D999)&gt;79,"MÁS DE 79 CARACTERES","")</f>
        <v/>
      </c>
    </row>
    <row r="1000" customFormat="false" ht="15" hidden="false" customHeight="true" outlineLevel="0" collapsed="false">
      <c r="B1000" s="53" t="str">
        <f aca="false">IF(OR(LINEAS!$D$126="",LINEAS!$U$126=0,ABS(IF(OR(LINEAS!$U$126=1,LINEAS!$U$126=3),1,-1)*LINEAS!$AF$126*DATOS!$C$67)&lt;0.00005),"*",LINEAS!$D$126&amp;" UNI "&amp;IF(LINEAS!$U$126&lt;=2,"GZ","GX")&amp;" "&amp;TEXT(IF(OR(LINEAS!$U$126=1,LINEAS!$U$126=3),1,-1)*LINEAS!$AF$126*DATOS!$C$67,DATOS!$C$68))</f>
        <v>290 UNI GZ -0.1102</v>
      </c>
      <c r="C1000" s="51" t="str">
        <f aca="false">IF(LEN($B1000)&gt;79,"MÁS DE 79 CARACTERES","")</f>
        <v/>
      </c>
      <c r="D1000" s="53" t="str">
        <f aca="false">IF(PRESIONES!$C$22="NO","",IF(OR(LINEAS!$D$126="",LINEAS!$U$126=0,ABS(IF(OR(LINEAS!$U$126=1,LINEAS!$U$126=3),1,-1)*LINEAS!$AF$126*DATOS!$C$67)&lt;0.00005),"*",LINEAS!$D$126&amp;" UNI "&amp;IF(LINEAS!$U$126&lt;=2,"GZ","GX")&amp;" "&amp;TEXT(IF(OR(LINEAS!$U$126=1,LINEAS!$U$126=3),1,-1)*LINEAS!$AF$126*DATOS!$C$67,DATOS!$C$68)))</f>
        <v/>
      </c>
      <c r="E1000" s="51" t="str">
        <f aca="false">IF(LEN($D1000)&gt;79,"MÁS DE 79 CARACTERES","")</f>
        <v/>
      </c>
    </row>
    <row r="1001" customFormat="false" ht="15" hidden="false" customHeight="true" outlineLevel="0" collapsed="false">
      <c r="B1001" s="53" t="str">
        <f aca="false">IF(OR(LINEAS!$D$127="",LINEAS!$U$127=0,ABS(IF(OR(LINEAS!$U$127=1,LINEAS!$U$127=3),1,-1)*LINEAS!$AF$127*DATOS!$C$67)&lt;0.00005),"*",LINEAS!$D$127&amp;" UNI "&amp;IF(LINEAS!$U$127&lt;=2,"GZ","GX")&amp;" "&amp;TEXT(IF(OR(LINEAS!$U$127=1,LINEAS!$U$127=3),1,-1)*LINEAS!$AF$127*DATOS!$C$67,DATOS!$C$68))</f>
        <v>291 UNI GZ -0.1102</v>
      </c>
      <c r="C1001" s="51" t="str">
        <f aca="false">IF(LEN($B1001)&gt;79,"MÁS DE 79 CARACTERES","")</f>
        <v/>
      </c>
      <c r="D1001" s="53" t="str">
        <f aca="false">IF(PRESIONES!$C$22="NO","",IF(OR(LINEAS!$D$127="",LINEAS!$U$127=0,ABS(IF(OR(LINEAS!$U$127=1,LINEAS!$U$127=3),1,-1)*LINEAS!$AF$127*DATOS!$C$67)&lt;0.00005),"*",LINEAS!$D$127&amp;" UNI "&amp;IF(LINEAS!$U$127&lt;=2,"GZ","GX")&amp;" "&amp;TEXT(IF(OR(LINEAS!$U$127=1,LINEAS!$U$127=3),1,-1)*LINEAS!$AF$127*DATOS!$C$67,DATOS!$C$68)))</f>
        <v/>
      </c>
      <c r="E1001" s="51" t="str">
        <f aca="false">IF(LEN($D1001)&gt;79,"MÁS DE 79 CARACTERES","")</f>
        <v/>
      </c>
    </row>
    <row r="1002" customFormat="false" ht="15" hidden="false" customHeight="true" outlineLevel="0" collapsed="false">
      <c r="B1002" s="53" t="str">
        <f aca="false">IF(OR(LINEAS!$D$128="",LINEAS!$U$128=0,ABS(IF(OR(LINEAS!$U$128=1,LINEAS!$U$128=3),1,-1)*LINEAS!$AF$128*DATOS!$C$67)&lt;0.00005),"*",LINEAS!$D$128&amp;" UNI "&amp;IF(LINEAS!$U$128&lt;=2,"GZ","GX")&amp;" "&amp;TEXT(IF(OR(LINEAS!$U$128=1,LINEAS!$U$128=3),1,-1)*LINEAS!$AF$128*DATOS!$C$67,DATOS!$C$68))</f>
        <v>298 UNI GZ -0.0703</v>
      </c>
      <c r="C1002" s="51" t="str">
        <f aca="false">IF(LEN($B1002)&gt;79,"MÁS DE 79 CARACTERES","")</f>
        <v/>
      </c>
      <c r="D1002" s="53" t="str">
        <f aca="false">IF(PRESIONES!$C$22="NO","",IF(OR(LINEAS!$D$128="",LINEAS!$U$128=0,ABS(IF(OR(LINEAS!$U$128=1,LINEAS!$U$128=3),1,-1)*LINEAS!$AF$128*DATOS!$C$67)&lt;0.00005),"*",LINEAS!$D$128&amp;" UNI "&amp;IF(LINEAS!$U$128&lt;=2,"GZ","GX")&amp;" "&amp;TEXT(IF(OR(LINEAS!$U$128=1,LINEAS!$U$128=3),1,-1)*LINEAS!$AF$128*DATOS!$C$67,DATOS!$C$68)))</f>
        <v/>
      </c>
      <c r="E1002" s="51" t="str">
        <f aca="false">IF(LEN($D1002)&gt;79,"MÁS DE 79 CARACTERES","")</f>
        <v/>
      </c>
    </row>
    <row r="1003" customFormat="false" ht="15" hidden="false" customHeight="true" outlineLevel="0" collapsed="false">
      <c r="B1003" s="53" t="str">
        <f aca="false">IF(OR(LINEAS!$D$129="",LINEAS!$U$129=0,ABS(IF(OR(LINEAS!$U$129=1,LINEAS!$U$129=3),1,-1)*LINEAS!$AF$129*DATOS!$C$67)&lt;0.00005),"*",LINEAS!$D$129&amp;" UNI "&amp;IF(LINEAS!$U$129&lt;=2,"GZ","GX")&amp;" "&amp;TEXT(IF(OR(LINEAS!$U$129=1,LINEAS!$U$129=3),1,-1)*LINEAS!$AF$129*DATOS!$C$67,DATOS!$C$68))</f>
        <v>299 UNI GZ -0.0703</v>
      </c>
      <c r="C1003" s="51" t="str">
        <f aca="false">IF(LEN($B1003)&gt;79,"MÁS DE 79 CARACTERES","")</f>
        <v/>
      </c>
      <c r="D1003" s="53" t="str">
        <f aca="false">IF(PRESIONES!$C$22="NO","",IF(OR(LINEAS!$D$129="",LINEAS!$U$129=0,ABS(IF(OR(LINEAS!$U$129=1,LINEAS!$U$129=3),1,-1)*LINEAS!$AF$129*DATOS!$C$67)&lt;0.00005),"*",LINEAS!$D$129&amp;" UNI "&amp;IF(LINEAS!$U$129&lt;=2,"GZ","GX")&amp;" "&amp;TEXT(IF(OR(LINEAS!$U$129=1,LINEAS!$U$129=3),1,-1)*LINEAS!$AF$129*DATOS!$C$67,DATOS!$C$68)))</f>
        <v/>
      </c>
      <c r="E1003" s="51" t="str">
        <f aca="false">IF(LEN($D1003)&gt;79,"MÁS DE 79 CARACTERES","")</f>
        <v/>
      </c>
    </row>
    <row r="1004" customFormat="false" ht="15" hidden="false" customHeight="true" outlineLevel="0" collapsed="false">
      <c r="B1004" s="53" t="str">
        <f aca="false">IF(OR(LINEAS!$D$130="",LINEAS!$U$130=0,ABS(IF(OR(LINEAS!$U$130=1,LINEAS!$U$130=3),1,-1)*LINEAS!$AF$130*DATOS!$C$67)&lt;0.00005),"*",LINEAS!$D$130&amp;" UNI "&amp;IF(LINEAS!$U$130&lt;=2,"GZ","GX")&amp;" "&amp;TEXT(IF(OR(LINEAS!$U$130=1,LINEAS!$U$130=3),1,-1)*LINEAS!$AF$130*DATOS!$C$67,DATOS!$C$68))</f>
        <v>326 UNI GZ -0.0551</v>
      </c>
      <c r="C1004" s="51" t="str">
        <f aca="false">IF(LEN($B1004)&gt;79,"MÁS DE 79 CARACTERES","")</f>
        <v/>
      </c>
      <c r="D1004" s="53" t="str">
        <f aca="false">IF(PRESIONES!$C$22="NO","",IF(OR(LINEAS!$D$130="",LINEAS!$U$130=0,ABS(IF(OR(LINEAS!$U$130=1,LINEAS!$U$130=3),1,-1)*LINEAS!$AF$130*DATOS!$C$67)&lt;0.00005),"*",LINEAS!$D$130&amp;" UNI "&amp;IF(LINEAS!$U$130&lt;=2,"GZ","GX")&amp;" "&amp;TEXT(IF(OR(LINEAS!$U$130=1,LINEAS!$U$130=3),1,-1)*LINEAS!$AF$130*DATOS!$C$67,DATOS!$C$68)))</f>
        <v/>
      </c>
      <c r="E1004" s="51" t="str">
        <f aca="false">IF(LEN($D1004)&gt;79,"MÁS DE 79 CARACTERES","")</f>
        <v/>
      </c>
    </row>
    <row r="1005" customFormat="false" ht="15" hidden="false" customHeight="true" outlineLevel="0" collapsed="false">
      <c r="B1005" s="53" t="str">
        <f aca="false">IF(OR(LINEAS!$D$131="",LINEAS!$U$131=0,ABS(IF(OR(LINEAS!$U$131=1,LINEAS!$U$131=3),1,-1)*LINEAS!$AF$131*DATOS!$C$67)&lt;0.00005),"*",LINEAS!$D$131&amp;" UNI "&amp;IF(LINEAS!$U$131&lt;=2,"GZ","GX")&amp;" "&amp;TEXT(IF(OR(LINEAS!$U$131=1,LINEAS!$U$131=3),1,-1)*LINEAS!$AF$131*DATOS!$C$67,DATOS!$C$68))</f>
        <v>25 UNI GZ -0.0400</v>
      </c>
      <c r="C1005" s="51" t="str">
        <f aca="false">IF(LEN($B1005)&gt;79,"MÁS DE 79 CARACTERES","")</f>
        <v/>
      </c>
      <c r="D1005" s="53" t="str">
        <f aca="false">IF(PRESIONES!$C$22="NO","",IF(OR(LINEAS!$D$131="",LINEAS!$U$131=0,ABS(IF(OR(LINEAS!$U$131=1,LINEAS!$U$131=3),1,-1)*LINEAS!$AF$131*DATOS!$C$67)&lt;0.00005),"*",LINEAS!$D$131&amp;" UNI "&amp;IF(LINEAS!$U$131&lt;=2,"GZ","GX")&amp;" "&amp;TEXT(IF(OR(LINEAS!$U$131=1,LINEAS!$U$131=3),1,-1)*LINEAS!$AF$131*DATOS!$C$67,DATOS!$C$68)))</f>
        <v/>
      </c>
      <c r="E1005" s="51" t="str">
        <f aca="false">IF(LEN($D1005)&gt;79,"MÁS DE 79 CARACTERES","")</f>
        <v/>
      </c>
    </row>
    <row r="1006" customFormat="false" ht="15" hidden="false" customHeight="true" outlineLevel="0" collapsed="false">
      <c r="B1006" s="53" t="str">
        <f aca="false">IF(OR(LINEAS!$D$132="",LINEAS!$U$132=0,ABS(IF(OR(LINEAS!$U$132=1,LINEAS!$U$132=3),1,-1)*LINEAS!$AF$132*DATOS!$C$67)&lt;0.00005),"*",LINEAS!$D$132&amp;" UNI "&amp;IF(LINEAS!$U$132&lt;=2,"GZ","GX")&amp;" "&amp;TEXT(IF(OR(LINEAS!$U$132=1,LINEAS!$U$132=3),1,-1)*LINEAS!$AF$132*DATOS!$C$67,DATOS!$C$68))</f>
        <v>327 UNI GZ -0.0551</v>
      </c>
      <c r="C1006" s="51" t="str">
        <f aca="false">IF(LEN($B1006)&gt;79,"MÁS DE 79 CARACTERES","")</f>
        <v/>
      </c>
      <c r="D1006" s="53" t="str">
        <f aca="false">IF(PRESIONES!$C$22="NO","",IF(OR(LINEAS!$D$132="",LINEAS!$U$132=0,ABS(IF(OR(LINEAS!$U$132=1,LINEAS!$U$132=3),1,-1)*LINEAS!$AF$132*DATOS!$C$67)&lt;0.00005),"*",LINEAS!$D$132&amp;" UNI "&amp;IF(LINEAS!$U$132&lt;=2,"GZ","GX")&amp;" "&amp;TEXT(IF(OR(LINEAS!$U$132=1,LINEAS!$U$132=3),1,-1)*LINEAS!$AF$132*DATOS!$C$67,DATOS!$C$68)))</f>
        <v/>
      </c>
      <c r="E1006" s="51" t="str">
        <f aca="false">IF(LEN($D1006)&gt;79,"MÁS DE 79 CARACTERES","")</f>
        <v/>
      </c>
    </row>
    <row r="1007" customFormat="false" ht="15" hidden="false" customHeight="true" outlineLevel="0" collapsed="false">
      <c r="B1007" s="53" t="str">
        <f aca="false">IF(OR(LINEAS!$D$133="",LINEAS!$U$133=0,ABS(IF(OR(LINEAS!$U$133=1,LINEAS!$U$133=3),1,-1)*LINEAS!$AF$133*DATOS!$C$67)&lt;0.00005),"*",LINEAS!$D$133&amp;" UNI "&amp;IF(LINEAS!$U$133&lt;=2,"GZ","GX")&amp;" "&amp;TEXT(IF(OR(LINEAS!$U$133=1,LINEAS!$U$133=3),1,-1)*LINEAS!$AF$133*DATOS!$C$67,DATOS!$C$68))</f>
        <v>306 UNI GZ -0.0951</v>
      </c>
      <c r="C1007" s="51" t="str">
        <f aca="false">IF(LEN($B1007)&gt;79,"MÁS DE 79 CARACTERES","")</f>
        <v/>
      </c>
      <c r="D1007" s="53" t="str">
        <f aca="false">IF(PRESIONES!$C$22="NO","",IF(OR(LINEAS!$D$133="",LINEAS!$U$133=0,ABS(IF(OR(LINEAS!$U$133=1,LINEAS!$U$133=3),1,-1)*LINEAS!$AF$133*DATOS!$C$67)&lt;0.00005),"*",LINEAS!$D$133&amp;" UNI "&amp;IF(LINEAS!$U$133&lt;=2,"GZ","GX")&amp;" "&amp;TEXT(IF(OR(LINEAS!$U$133=1,LINEAS!$U$133=3),1,-1)*LINEAS!$AF$133*DATOS!$C$67,DATOS!$C$68)))</f>
        <v/>
      </c>
      <c r="E1007" s="51" t="str">
        <f aca="false">IF(LEN($D1007)&gt;79,"MÁS DE 79 CARACTERES","")</f>
        <v/>
      </c>
    </row>
    <row r="1008" customFormat="false" ht="15" hidden="false" customHeight="true" outlineLevel="0" collapsed="false">
      <c r="B1008" s="53" t="str">
        <f aca="false">IF(OR(LINEAS!$D$134="",LINEAS!$U$134=0,ABS(IF(OR(LINEAS!$U$134=1,LINEAS!$U$134=3),1,-1)*LINEAS!$AF$134*DATOS!$C$67)&lt;0.00005),"*",LINEAS!$D$134&amp;" UNI "&amp;IF(LINEAS!$U$134&lt;=2,"GZ","GX")&amp;" "&amp;TEXT(IF(OR(LINEAS!$U$134=1,LINEAS!$U$134=3),1,-1)*LINEAS!$AF$134*DATOS!$C$67,DATOS!$C$68))</f>
        <v>322 UNI GZ -0.1102</v>
      </c>
      <c r="C1008" s="51" t="str">
        <f aca="false">IF(LEN($B1008)&gt;79,"MÁS DE 79 CARACTERES","")</f>
        <v/>
      </c>
      <c r="D1008" s="53" t="str">
        <f aca="false">IF(PRESIONES!$C$22="NO","",IF(OR(LINEAS!$D$134="",LINEAS!$U$134=0,ABS(IF(OR(LINEAS!$U$134=1,LINEAS!$U$134=3),1,-1)*LINEAS!$AF$134*DATOS!$C$67)&lt;0.00005),"*",LINEAS!$D$134&amp;" UNI "&amp;IF(LINEAS!$U$134&lt;=2,"GZ","GX")&amp;" "&amp;TEXT(IF(OR(LINEAS!$U$134=1,LINEAS!$U$134=3),1,-1)*LINEAS!$AF$134*DATOS!$C$67,DATOS!$C$68)))</f>
        <v/>
      </c>
      <c r="E1008" s="51" t="str">
        <f aca="false">IF(LEN($D1008)&gt;79,"MÁS DE 79 CARACTERES","")</f>
        <v/>
      </c>
    </row>
    <row r="1009" customFormat="false" ht="15" hidden="false" customHeight="true" outlineLevel="0" collapsed="false">
      <c r="B1009" s="53" t="str">
        <f aca="false">IF(OR(LINEAS!$D$135="",LINEAS!$U$135=0,ABS(IF(OR(LINEAS!$U$135=1,LINEAS!$U$135=3),1,-1)*LINEAS!$AF$135*DATOS!$C$67)&lt;0.00005),"*",LINEAS!$D$135&amp;" UNI "&amp;IF(LINEAS!$U$135&lt;=2,"GZ","GX")&amp;" "&amp;TEXT(IF(OR(LINEAS!$U$135=1,LINEAS!$U$135=3),1,-1)*LINEAS!$AF$135*DATOS!$C$67,DATOS!$C$68))</f>
        <v>323 UNI GZ -0.1019</v>
      </c>
      <c r="C1009" s="51" t="str">
        <f aca="false">IF(LEN($B1009)&gt;79,"MÁS DE 79 CARACTERES","")</f>
        <v/>
      </c>
      <c r="D1009" s="53" t="str">
        <f aca="false">IF(PRESIONES!$C$22="NO","",IF(OR(LINEAS!$D$135="",LINEAS!$U$135=0,ABS(IF(OR(LINEAS!$U$135=1,LINEAS!$U$135=3),1,-1)*LINEAS!$AF$135*DATOS!$C$67)&lt;0.00005),"*",LINEAS!$D$135&amp;" UNI "&amp;IF(LINEAS!$U$135&lt;=2,"GZ","GX")&amp;" "&amp;TEXT(IF(OR(LINEAS!$U$135=1,LINEAS!$U$135=3),1,-1)*LINEAS!$AF$135*DATOS!$C$67,DATOS!$C$68)))</f>
        <v/>
      </c>
      <c r="E1009" s="51" t="str">
        <f aca="false">IF(LEN($D1009)&gt;79,"MÁS DE 79 CARACTERES","")</f>
        <v/>
      </c>
    </row>
    <row r="1010" customFormat="false" ht="15" hidden="false" customHeight="true" outlineLevel="0" collapsed="false">
      <c r="B1010" s="53" t="str">
        <f aca="false">IF(OR(LINEAS!$D$136="",LINEAS!$U$136=0,ABS(IF(OR(LINEAS!$U$136=1,LINEAS!$U$136=3),1,-1)*LINEAS!$AF$136*DATOS!$C$67)&lt;0.00005),"*",LINEAS!$D$136&amp;" UNI "&amp;IF(LINEAS!$U$136&lt;=2,"GZ","GX")&amp;" "&amp;TEXT(IF(OR(LINEAS!$U$136=1,LINEAS!$U$136=3),1,-1)*LINEAS!$AF$136*DATOS!$C$67,DATOS!$C$68))</f>
        <v>22 85 TO 88 UNI GZ -0.0468</v>
      </c>
      <c r="C1010" s="51" t="str">
        <f aca="false">IF(LEN($B1010)&gt;79,"MÁS DE 79 CARACTERES","")</f>
        <v/>
      </c>
      <c r="D1010" s="53" t="str">
        <f aca="false">IF(PRESIONES!$C$22="NO","",IF(OR(LINEAS!$D$136="",LINEAS!$U$136=0,ABS(IF(OR(LINEAS!$U$136=1,LINEAS!$U$136=3),1,-1)*LINEAS!$AF$136*DATOS!$C$67)&lt;0.00005),"*",LINEAS!$D$136&amp;" UNI "&amp;IF(LINEAS!$U$136&lt;=2,"GZ","GX")&amp;" "&amp;TEXT(IF(OR(LINEAS!$U$136=1,LINEAS!$U$136=3),1,-1)*LINEAS!$AF$136*DATOS!$C$67,DATOS!$C$68)))</f>
        <v/>
      </c>
      <c r="E1010" s="51" t="str">
        <f aca="false">IF(LEN($D1010)&gt;79,"MÁS DE 79 CARACTERES","")</f>
        <v/>
      </c>
    </row>
    <row r="1011" customFormat="false" ht="15" hidden="false" customHeight="true" outlineLevel="0" collapsed="false">
      <c r="B1011" s="53" t="str">
        <f aca="false">IF(OR(LINEAS!$D$137="",LINEAS!$U$137=0,ABS(IF(OR(LINEAS!$U$137=1,LINEAS!$U$137=3),1,-1)*LINEAS!$AF$137*DATOS!$C$67)&lt;0.00005),"*",LINEAS!$D$137&amp;" UNI "&amp;IF(LINEAS!$U$137&lt;=2,"GZ","GX")&amp;" "&amp;TEXT(IF(OR(LINEAS!$U$137=1,LINEAS!$U$137=3),1,-1)*LINEAS!$AF$137*DATOS!$C$67,DATOS!$C$68))</f>
        <v>*</v>
      </c>
      <c r="C1011" s="51" t="str">
        <f aca="false">IF(LEN($B1011)&gt;79,"MÁS DE 79 CARACTERES","")</f>
        <v/>
      </c>
      <c r="D1011" s="53" t="str">
        <f aca="false">IF(PRESIONES!$C$22="NO","",IF(OR(LINEAS!$D$137="",LINEAS!$U$137=0,ABS(IF(OR(LINEAS!$U$137=1,LINEAS!$U$137=3),1,-1)*LINEAS!$AF$137*DATOS!$C$67)&lt;0.00005),"*",LINEAS!$D$137&amp;" UNI "&amp;IF(LINEAS!$U$137&lt;=2,"GZ","GX")&amp;" "&amp;TEXT(IF(OR(LINEAS!$U$137=1,LINEAS!$U$137=3),1,-1)*LINEAS!$AF$137*DATOS!$C$67,DATOS!$C$68)))</f>
        <v/>
      </c>
      <c r="E1011" s="51" t="str">
        <f aca="false">IF(LEN($D1011)&gt;79,"MÁS DE 79 CARACTERES","")</f>
        <v/>
      </c>
    </row>
    <row r="1012" customFormat="false" ht="15" hidden="false" customHeight="true" outlineLevel="0" collapsed="false">
      <c r="B1012" s="53" t="str">
        <f aca="false">IF(OR(LINEAS!$D$138="",LINEAS!$U$138=0,ABS(IF(OR(LINEAS!$U$138=1,LINEAS!$U$138=3),1,-1)*LINEAS!$AF$138*DATOS!$C$67)&lt;0.00005),"*",LINEAS!$D$138&amp;" UNI "&amp;IF(LINEAS!$U$138&lt;=2,"GZ","GX")&amp;" "&amp;TEXT(IF(OR(LINEAS!$U$138=1,LINEAS!$U$138=3),1,-1)*LINEAS!$AF$138*DATOS!$C$67,DATOS!$C$68))</f>
        <v>*</v>
      </c>
      <c r="C1012" s="51" t="str">
        <f aca="false">IF(LEN($B1012)&gt;79,"MÁS DE 79 CARACTERES","")</f>
        <v/>
      </c>
      <c r="D1012" s="53" t="str">
        <f aca="false">IF(PRESIONES!$C$22="NO","",IF(OR(LINEAS!$D$138="",LINEAS!$U$138=0,ABS(IF(OR(LINEAS!$U$138=1,LINEAS!$U$138=3),1,-1)*LINEAS!$AF$138*DATOS!$C$67)&lt;0.00005),"*",LINEAS!$D$138&amp;" UNI "&amp;IF(LINEAS!$U$138&lt;=2,"GZ","GX")&amp;" "&amp;TEXT(IF(OR(LINEAS!$U$138=1,LINEAS!$U$138=3),1,-1)*LINEAS!$AF$138*DATOS!$C$67,DATOS!$C$68)))</f>
        <v/>
      </c>
      <c r="E1012" s="51" t="str">
        <f aca="false">IF(LEN($D1012)&gt;79,"MÁS DE 79 CARACTERES","")</f>
        <v/>
      </c>
    </row>
    <row r="1013" customFormat="false" ht="15" hidden="false" customHeight="true" outlineLevel="0" collapsed="false">
      <c r="B1013" s="53" t="str">
        <f aca="false">IF(OR(LINEAS!$D$139="",LINEAS!$U$139=0,ABS(IF(OR(LINEAS!$U$139=1,LINEAS!$U$139=3),1,-1)*LINEAS!$AF$139*DATOS!$C$67)&lt;0.00005),"*",LINEAS!$D$139&amp;" UNI "&amp;IF(LINEAS!$U$139&lt;=2,"GZ","GX")&amp;" "&amp;TEXT(IF(OR(LINEAS!$U$139=1,LINEAS!$U$139=3),1,-1)*LINEAS!$AF$139*DATOS!$C$67,DATOS!$C$68))</f>
        <v>*</v>
      </c>
      <c r="C1013" s="51" t="str">
        <f aca="false">IF(LEN($B1013)&gt;79,"MÁS DE 79 CARACTERES","")</f>
        <v/>
      </c>
      <c r="D1013" s="53" t="str">
        <f aca="false">IF(PRESIONES!$C$22="NO","",IF(OR(LINEAS!$D$139="",LINEAS!$U$139=0,ABS(IF(OR(LINEAS!$U$139=1,LINEAS!$U$139=3),1,-1)*LINEAS!$AF$139*DATOS!$C$67)&lt;0.00005),"*",LINEAS!$D$139&amp;" UNI "&amp;IF(LINEAS!$U$139&lt;=2,"GZ","GX")&amp;" "&amp;TEXT(IF(OR(LINEAS!$U$139=1,LINEAS!$U$139=3),1,-1)*LINEAS!$AF$139*DATOS!$C$67,DATOS!$C$68)))</f>
        <v/>
      </c>
      <c r="E1013" s="51" t="str">
        <f aca="false">IF(LEN($D1013)&gt;79,"MÁS DE 79 CARACTERES","")</f>
        <v/>
      </c>
    </row>
    <row r="1014" customFormat="false" ht="15" hidden="false" customHeight="true" outlineLevel="0" collapsed="false">
      <c r="B1014" s="53" t="str">
        <f aca="false">IF(OR(LINEAS!$D$140="",LINEAS!$U$140=0,ABS(IF(OR(LINEAS!$U$140=1,LINEAS!$U$140=3),1,-1)*LINEAS!$AF$140*DATOS!$C$67)&lt;0.00005),"*",LINEAS!$D$140&amp;" UNI "&amp;IF(LINEAS!$U$140&lt;=2,"GZ","GX")&amp;" "&amp;TEXT(IF(OR(LINEAS!$U$140=1,LINEAS!$U$140=3),1,-1)*LINEAS!$AF$140*DATOS!$C$67,DATOS!$C$68))</f>
        <v>*</v>
      </c>
      <c r="C1014" s="51" t="str">
        <f aca="false">IF(LEN($B1014)&gt;79,"MÁS DE 79 CARACTERES","")</f>
        <v/>
      </c>
      <c r="D1014" s="53" t="str">
        <f aca="false">IF(PRESIONES!$C$22="NO","",IF(OR(LINEAS!$D$140="",LINEAS!$U$140=0,ABS(IF(OR(LINEAS!$U$140=1,LINEAS!$U$140=3),1,-1)*LINEAS!$AF$140*DATOS!$C$67)&lt;0.00005),"*",LINEAS!$D$140&amp;" UNI "&amp;IF(LINEAS!$U$140&lt;=2,"GZ","GX")&amp;" "&amp;TEXT(IF(OR(LINEAS!$U$140=1,LINEAS!$U$140=3),1,-1)*LINEAS!$AF$140*DATOS!$C$67,DATOS!$C$68)))</f>
        <v/>
      </c>
      <c r="E1014" s="51" t="str">
        <f aca="false">IF(LEN($D1014)&gt;79,"MÁS DE 79 CARACTERES","")</f>
        <v/>
      </c>
    </row>
    <row r="1015" customFormat="false" ht="15" hidden="false" customHeight="true" outlineLevel="0" collapsed="false">
      <c r="B1015" s="53" t="str">
        <f aca="false">IF(OR(LINEAS!$D$141="",LINEAS!$U$141=0,ABS(IF(OR(LINEAS!$U$141=1,LINEAS!$U$141=3),1,-1)*LINEAS!$AF$141*DATOS!$C$67)&lt;0.00005),"*",LINEAS!$D$141&amp;" UNI "&amp;IF(LINEAS!$U$141&lt;=2,"GZ","GX")&amp;" "&amp;TEXT(IF(OR(LINEAS!$U$141=1,LINEAS!$U$141=3),1,-1)*LINEAS!$AF$141*DATOS!$C$67,DATOS!$C$68))</f>
        <v>*</v>
      </c>
      <c r="C1015" s="51" t="str">
        <f aca="false">IF(LEN($B1015)&gt;79,"MÁS DE 79 CARACTERES","")</f>
        <v/>
      </c>
      <c r="D1015" s="53" t="str">
        <f aca="false">IF(PRESIONES!$C$22="NO","",IF(OR(LINEAS!$D$141="",LINEAS!$U$141=0,ABS(IF(OR(LINEAS!$U$141=1,LINEAS!$U$141=3),1,-1)*LINEAS!$AF$141*DATOS!$C$67)&lt;0.00005),"*",LINEAS!$D$141&amp;" UNI "&amp;IF(LINEAS!$U$141&lt;=2,"GZ","GX")&amp;" "&amp;TEXT(IF(OR(LINEAS!$U$141=1,LINEAS!$U$141=3),1,-1)*LINEAS!$AF$141*DATOS!$C$67,DATOS!$C$68)))</f>
        <v/>
      </c>
      <c r="E1015" s="51" t="str">
        <f aca="false">IF(LEN($D1015)&gt;79,"MÁS DE 79 CARACTERES","")</f>
        <v/>
      </c>
    </row>
    <row r="1016" customFormat="false" ht="15" hidden="false" customHeight="true" outlineLevel="0" collapsed="false">
      <c r="B1016" s="53" t="str">
        <f aca="false">IF(OR(LINEAS!$D$142="",LINEAS!$U$142=0,ABS(IF(OR(LINEAS!$U$142=1,LINEAS!$U$142=3),1,-1)*LINEAS!$AF$142*DATOS!$C$67)&lt;0.00005),"*",LINEAS!$D$142&amp;" UNI "&amp;IF(LINEAS!$U$142&lt;=2,"GZ","GX")&amp;" "&amp;TEXT(IF(OR(LINEAS!$U$142=1,LINEAS!$U$142=3),1,-1)*LINEAS!$AF$142*DATOS!$C$67,DATOS!$C$68))</f>
        <v>*</v>
      </c>
      <c r="C1016" s="51" t="str">
        <f aca="false">IF(LEN($B1016)&gt;79,"MÁS DE 79 CARACTERES","")</f>
        <v/>
      </c>
      <c r="D1016" s="53" t="str">
        <f aca="false">IF(PRESIONES!$C$22="NO","",IF(OR(LINEAS!$D$142="",LINEAS!$U$142=0,ABS(IF(OR(LINEAS!$U$142=1,LINEAS!$U$142=3),1,-1)*LINEAS!$AF$142*DATOS!$C$67)&lt;0.00005),"*",LINEAS!$D$142&amp;" UNI "&amp;IF(LINEAS!$U$142&lt;=2,"GZ","GX")&amp;" "&amp;TEXT(IF(OR(LINEAS!$U$142=1,LINEAS!$U$142=3),1,-1)*LINEAS!$AF$142*DATOS!$C$67,DATOS!$C$68)))</f>
        <v/>
      </c>
      <c r="E1016" s="51" t="str">
        <f aca="false">IF(LEN($D1016)&gt;79,"MÁS DE 79 CARACTERES","")</f>
        <v/>
      </c>
    </row>
    <row r="1017" customFormat="false" ht="15" hidden="false" customHeight="true" outlineLevel="0" collapsed="false">
      <c r="B1017" s="53" t="str">
        <f aca="false">IF(OR(LINEAS!$D$143="",LINEAS!$U$143=0,ABS(IF(OR(LINEAS!$U$143=1,LINEAS!$U$143=3),1,-1)*LINEAS!$AF$143*DATOS!$C$67)&lt;0.00005),"*",LINEAS!$D$143&amp;" UNI "&amp;IF(LINEAS!$U$143&lt;=2,"GZ","GX")&amp;" "&amp;TEXT(IF(OR(LINEAS!$U$143=1,LINEAS!$U$143=3),1,-1)*LINEAS!$AF$143*DATOS!$C$67,DATOS!$C$68))</f>
        <v>*</v>
      </c>
      <c r="C1017" s="51" t="str">
        <f aca="false">IF(LEN($B1017)&gt;79,"MÁS DE 79 CARACTERES","")</f>
        <v/>
      </c>
      <c r="D1017" s="53" t="str">
        <f aca="false">IF(PRESIONES!$C$22="NO","",IF(OR(LINEAS!$D$143="",LINEAS!$U$143=0,ABS(IF(OR(LINEAS!$U$143=1,LINEAS!$U$143=3),1,-1)*LINEAS!$AF$143*DATOS!$C$67)&lt;0.00005),"*",LINEAS!$D$143&amp;" UNI "&amp;IF(LINEAS!$U$143&lt;=2,"GZ","GX")&amp;" "&amp;TEXT(IF(OR(LINEAS!$U$143=1,LINEAS!$U$143=3),1,-1)*LINEAS!$AF$143*DATOS!$C$67,DATOS!$C$68)))</f>
        <v/>
      </c>
      <c r="E1017" s="51" t="str">
        <f aca="false">IF(LEN($D1017)&gt;79,"MÁS DE 79 CARACTERES","")</f>
        <v/>
      </c>
    </row>
    <row r="1018" customFormat="false" ht="15" hidden="false" customHeight="true" outlineLevel="0" collapsed="false">
      <c r="B1018" s="53" t="str">
        <f aca="false">IF(OR(LINEAS!$D$144="",LINEAS!$U$144=0,ABS(IF(OR(LINEAS!$U$144=1,LINEAS!$U$144=3),1,-1)*LINEAS!$AF$144*DATOS!$C$67)&lt;0.00005),"*",LINEAS!$D$144&amp;" UNI "&amp;IF(LINEAS!$U$144&lt;=2,"GZ","GX")&amp;" "&amp;TEXT(IF(OR(LINEAS!$U$144=1,LINEAS!$U$144=3),1,-1)*LINEAS!$AF$144*DATOS!$C$67,DATOS!$C$68))</f>
        <v>*</v>
      </c>
      <c r="C1018" s="51" t="str">
        <f aca="false">IF(LEN($B1018)&gt;79,"MÁS DE 79 CARACTERES","")</f>
        <v/>
      </c>
      <c r="D1018" s="53" t="str">
        <f aca="false">IF(PRESIONES!$C$22="NO","",IF(OR(LINEAS!$D$144="",LINEAS!$U$144=0,ABS(IF(OR(LINEAS!$U$144=1,LINEAS!$U$144=3),1,-1)*LINEAS!$AF$144*DATOS!$C$67)&lt;0.00005),"*",LINEAS!$D$144&amp;" UNI "&amp;IF(LINEAS!$U$144&lt;=2,"GZ","GX")&amp;" "&amp;TEXT(IF(OR(LINEAS!$U$144=1,LINEAS!$U$144=3),1,-1)*LINEAS!$AF$144*DATOS!$C$67,DATOS!$C$68)))</f>
        <v/>
      </c>
      <c r="E1018" s="51" t="str">
        <f aca="false">IF(LEN($D1018)&gt;79,"MÁS DE 79 CARACTERES","")</f>
        <v/>
      </c>
    </row>
    <row r="1019" customFormat="false" ht="15" hidden="false" customHeight="true" outlineLevel="0" collapsed="false">
      <c r="B1019" s="53" t="str">
        <f aca="false">IF(OR(LINEAS!$D$145="",LINEAS!$U$145=0,ABS(IF(OR(LINEAS!$U$145=1,LINEAS!$U$145=3),1,-1)*LINEAS!$AF$145*DATOS!$C$67)&lt;0.00005),"*",LINEAS!$D$145&amp;" UNI "&amp;IF(LINEAS!$U$145&lt;=2,"GZ","GX")&amp;" "&amp;TEXT(IF(OR(LINEAS!$U$145=1,LINEAS!$U$145=3),1,-1)*LINEAS!$AF$145*DATOS!$C$67,DATOS!$C$68))</f>
        <v>*</v>
      </c>
      <c r="C1019" s="51" t="str">
        <f aca="false">IF(LEN($B1019)&gt;79,"MÁS DE 79 CARACTERES","")</f>
        <v/>
      </c>
      <c r="D1019" s="53" t="str">
        <f aca="false">IF(PRESIONES!$C$22="NO","",IF(OR(LINEAS!$D$145="",LINEAS!$U$145=0,ABS(IF(OR(LINEAS!$U$145=1,LINEAS!$U$145=3),1,-1)*LINEAS!$AF$145*DATOS!$C$67)&lt;0.00005),"*",LINEAS!$D$145&amp;" UNI "&amp;IF(LINEAS!$U$145&lt;=2,"GZ","GX")&amp;" "&amp;TEXT(IF(OR(LINEAS!$U$145=1,LINEAS!$U$145=3),1,-1)*LINEAS!$AF$145*DATOS!$C$67,DATOS!$C$68)))</f>
        <v/>
      </c>
      <c r="E1019" s="51" t="str">
        <f aca="false">IF(LEN($D1019)&gt;79,"MÁS DE 79 CARACTERES","")</f>
        <v/>
      </c>
    </row>
    <row r="1020" customFormat="false" ht="15" hidden="false" customHeight="true" outlineLevel="0" collapsed="false">
      <c r="B1020" s="53" t="str">
        <f aca="false">IF(OR(LINEAS!$D$146="",LINEAS!$U$146=0,ABS(IF(OR(LINEAS!$U$146=1,LINEAS!$U$146=3),1,-1)*LINEAS!$AF$146*DATOS!$C$67)&lt;0.00005),"*",LINEAS!$D$146&amp;" UNI "&amp;IF(LINEAS!$U$146&lt;=2,"GZ","GX")&amp;" "&amp;TEXT(IF(OR(LINEAS!$U$146=1,LINEAS!$U$146=3),1,-1)*LINEAS!$AF$146*DATOS!$C$67,DATOS!$C$68))</f>
        <v>*</v>
      </c>
      <c r="C1020" s="51" t="str">
        <f aca="false">IF(LEN($B1020)&gt;79,"MÁS DE 79 CARACTERES","")</f>
        <v/>
      </c>
      <c r="D1020" s="53" t="str">
        <f aca="false">IF(PRESIONES!$C$22="NO","",IF(OR(LINEAS!$D$146="",LINEAS!$U$146=0,ABS(IF(OR(LINEAS!$U$146=1,LINEAS!$U$146=3),1,-1)*LINEAS!$AF$146*DATOS!$C$67)&lt;0.00005),"*",LINEAS!$D$146&amp;" UNI "&amp;IF(LINEAS!$U$146&lt;=2,"GZ","GX")&amp;" "&amp;TEXT(IF(OR(LINEAS!$U$146=1,LINEAS!$U$146=3),1,-1)*LINEAS!$AF$146*DATOS!$C$67,DATOS!$C$68)))</f>
        <v/>
      </c>
      <c r="E1020" s="51" t="str">
        <f aca="false">IF(LEN($D1020)&gt;79,"MÁS DE 79 CARACTERES","")</f>
        <v/>
      </c>
    </row>
    <row r="1021" customFormat="false" ht="15" hidden="false" customHeight="true" outlineLevel="0" collapsed="false">
      <c r="B1021" s="53" t="str">
        <f aca="false">IF(OR(LINEAS!$D$147="",LINEAS!$U$147=0,ABS(IF(OR(LINEAS!$U$147=1,LINEAS!$U$147=3),1,-1)*LINEAS!$AF$147*DATOS!$C$67)&lt;0.00005),"*",LINEAS!$D$147&amp;" UNI "&amp;IF(LINEAS!$U$147&lt;=2,"GZ","GX")&amp;" "&amp;TEXT(IF(OR(LINEAS!$U$147=1,LINEAS!$U$147=3),1,-1)*LINEAS!$AF$147*DATOS!$C$67,DATOS!$C$68))</f>
        <v>*</v>
      </c>
      <c r="C1021" s="51" t="str">
        <f aca="false">IF(LEN($B1021)&gt;79,"MÁS DE 79 CARACTERES","")</f>
        <v/>
      </c>
      <c r="D1021" s="53" t="str">
        <f aca="false">IF(PRESIONES!$C$22="NO","",IF(OR(LINEAS!$D$147="",LINEAS!$U$147=0,ABS(IF(OR(LINEAS!$U$147=1,LINEAS!$U$147=3),1,-1)*LINEAS!$AF$147*DATOS!$C$67)&lt;0.00005),"*",LINEAS!$D$147&amp;" UNI "&amp;IF(LINEAS!$U$147&lt;=2,"GZ","GX")&amp;" "&amp;TEXT(IF(OR(LINEAS!$U$147=1,LINEAS!$U$147=3),1,-1)*LINEAS!$AF$147*DATOS!$C$67,DATOS!$C$68)))</f>
        <v/>
      </c>
      <c r="E1021" s="51" t="str">
        <f aca="false">IF(LEN($D1021)&gt;79,"MÁS DE 79 CARACTERES","")</f>
        <v/>
      </c>
    </row>
    <row r="1022" customFormat="false" ht="15" hidden="false" customHeight="true" outlineLevel="0" collapsed="false">
      <c r="B1022" s="53" t="str">
        <f aca="false">IF(OR(LINEAS!$D$148="",LINEAS!$U$148=0,ABS(IF(OR(LINEAS!$U$148=1,LINEAS!$U$148=3),1,-1)*LINEAS!$AF$148*DATOS!$C$67)&lt;0.00005),"*",LINEAS!$D$148&amp;" UNI "&amp;IF(LINEAS!$U$148&lt;=2,"GZ","GX")&amp;" "&amp;TEXT(IF(OR(LINEAS!$U$148=1,LINEAS!$U$148=3),1,-1)*LINEAS!$AF$148*DATOS!$C$67,DATOS!$C$68))</f>
        <v>*</v>
      </c>
      <c r="C1022" s="51" t="str">
        <f aca="false">IF(LEN($B1022)&gt;79,"MÁS DE 79 CARACTERES","")</f>
        <v/>
      </c>
      <c r="D1022" s="53" t="str">
        <f aca="false">IF(PRESIONES!$C$22="NO","",IF(OR(LINEAS!$D$148="",LINEAS!$U$148=0,ABS(IF(OR(LINEAS!$U$148=1,LINEAS!$U$148=3),1,-1)*LINEAS!$AF$148*DATOS!$C$67)&lt;0.00005),"*",LINEAS!$D$148&amp;" UNI "&amp;IF(LINEAS!$U$148&lt;=2,"GZ","GX")&amp;" "&amp;TEXT(IF(OR(LINEAS!$U$148=1,LINEAS!$U$148=3),1,-1)*LINEAS!$AF$148*DATOS!$C$67,DATOS!$C$68)))</f>
        <v/>
      </c>
      <c r="E1022" s="51" t="str">
        <f aca="false">IF(LEN($D1022)&gt;79,"MÁS DE 79 CARACTERES","")</f>
        <v/>
      </c>
    </row>
    <row r="1023" customFormat="false" ht="15" hidden="false" customHeight="true" outlineLevel="0" collapsed="false">
      <c r="B1023" s="53" t="str">
        <f aca="false">IF(OR(LINEAS!$D$149="",LINEAS!$U$149=0,ABS(IF(OR(LINEAS!$U$149=1,LINEAS!$U$149=3),1,-1)*LINEAS!$AF$149*DATOS!$C$67)&lt;0.00005),"*",LINEAS!$D$149&amp;" UNI "&amp;IF(LINEAS!$U$149&lt;=2,"GZ","GX")&amp;" "&amp;TEXT(IF(OR(LINEAS!$U$149=1,LINEAS!$U$149=3),1,-1)*LINEAS!$AF$149*DATOS!$C$67,DATOS!$C$68))</f>
        <v>*</v>
      </c>
      <c r="C1023" s="51" t="str">
        <f aca="false">IF(LEN($B1023)&gt;79,"MÁS DE 79 CARACTERES","")</f>
        <v/>
      </c>
      <c r="D1023" s="53" t="str">
        <f aca="false">IF(PRESIONES!$C$22="NO","",IF(OR(LINEAS!$D$149="",LINEAS!$U$149=0,ABS(IF(OR(LINEAS!$U$149=1,LINEAS!$U$149=3),1,-1)*LINEAS!$AF$149*DATOS!$C$67)&lt;0.00005),"*",LINEAS!$D$149&amp;" UNI "&amp;IF(LINEAS!$U$149&lt;=2,"GZ","GX")&amp;" "&amp;TEXT(IF(OR(LINEAS!$U$149=1,LINEAS!$U$149=3),1,-1)*LINEAS!$AF$149*DATOS!$C$67,DATOS!$C$68)))</f>
        <v/>
      </c>
      <c r="E1023" s="51" t="str">
        <f aca="false">IF(LEN($D1023)&gt;79,"MÁS DE 79 CARACTERES","")</f>
        <v/>
      </c>
    </row>
    <row r="1024" customFormat="false" ht="15" hidden="false" customHeight="true" outlineLevel="0" collapsed="false">
      <c r="B1024" s="53" t="str">
        <f aca="false">IF(OR(LINEAS!$D$150="",LINEAS!$U$150=0,ABS(IF(OR(LINEAS!$U$150=1,LINEAS!$U$150=3),1,-1)*LINEAS!$AF$150*DATOS!$C$67)&lt;0.00005),"*",LINEAS!$D$150&amp;" UNI "&amp;IF(LINEAS!$U$150&lt;=2,"GZ","GX")&amp;" "&amp;TEXT(IF(OR(LINEAS!$U$150=1,LINEAS!$U$150=3),1,-1)*LINEAS!$AF$150*DATOS!$C$67,DATOS!$C$68))</f>
        <v>*</v>
      </c>
      <c r="C1024" s="51" t="str">
        <f aca="false">IF(LEN($B1024)&gt;79,"MÁS DE 79 CARACTERES","")</f>
        <v/>
      </c>
      <c r="D1024" s="53" t="str">
        <f aca="false">IF(PRESIONES!$C$22="NO","",IF(OR(LINEAS!$D$150="",LINEAS!$U$150=0,ABS(IF(OR(LINEAS!$U$150=1,LINEAS!$U$150=3),1,-1)*LINEAS!$AF$150*DATOS!$C$67)&lt;0.00005),"*",LINEAS!$D$150&amp;" UNI "&amp;IF(LINEAS!$U$150&lt;=2,"GZ","GX")&amp;" "&amp;TEXT(IF(OR(LINEAS!$U$150=1,LINEAS!$U$150=3),1,-1)*LINEAS!$AF$150*DATOS!$C$67,DATOS!$C$68)))</f>
        <v/>
      </c>
      <c r="E1024" s="51" t="str">
        <f aca="false">IF(LEN($D1024)&gt;79,"MÁS DE 79 CARACTERES","")</f>
        <v/>
      </c>
    </row>
    <row r="1025" customFormat="false" ht="15" hidden="false" customHeight="true" outlineLevel="0" collapsed="false">
      <c r="B1025" s="53" t="str">
        <f aca="false">IF(OR(LINEAS!$D$151="",LINEAS!$U$151=0,ABS(IF(OR(LINEAS!$U$151=1,LINEAS!$U$151=3),1,-1)*LINEAS!$AF$151*DATOS!$C$67)&lt;0.00005),"*",LINEAS!$D$151&amp;" UNI "&amp;IF(LINEAS!$U$151&lt;=2,"GZ","GX")&amp;" "&amp;TEXT(IF(OR(LINEAS!$U$151=1,LINEAS!$U$151=3),1,-1)*LINEAS!$AF$151*DATOS!$C$67,DATOS!$C$68))</f>
        <v>*</v>
      </c>
      <c r="C1025" s="51" t="str">
        <f aca="false">IF(LEN($B1025)&gt;79,"MÁS DE 79 CARACTERES","")</f>
        <v/>
      </c>
      <c r="D1025" s="53" t="str">
        <f aca="false">IF(PRESIONES!$C$22="NO","",IF(OR(LINEAS!$D$151="",LINEAS!$U$151=0,ABS(IF(OR(LINEAS!$U$151=1,LINEAS!$U$151=3),1,-1)*LINEAS!$AF$151*DATOS!$C$67)&lt;0.00005),"*",LINEAS!$D$151&amp;" UNI "&amp;IF(LINEAS!$U$151&lt;=2,"GZ","GX")&amp;" "&amp;TEXT(IF(OR(LINEAS!$U$151=1,LINEAS!$U$151=3),1,-1)*LINEAS!$AF$151*DATOS!$C$67,DATOS!$C$68)))</f>
        <v/>
      </c>
      <c r="E1025" s="51" t="str">
        <f aca="false">IF(LEN($D1025)&gt;79,"MÁS DE 79 CARACTERES","")</f>
        <v/>
      </c>
    </row>
    <row r="1026" customFormat="false" ht="15" hidden="false" customHeight="true" outlineLevel="0" collapsed="false">
      <c r="B1026" s="53" t="str">
        <f aca="false">IF(OR(LINEAS!$D$152="",LINEAS!$U$152=0,ABS(IF(OR(LINEAS!$U$152=1,LINEAS!$U$152=3),1,-1)*LINEAS!$AF$152*DATOS!$C$67)&lt;0.00005),"*",LINEAS!$D$152&amp;" UNI "&amp;IF(LINEAS!$U$152&lt;=2,"GZ","GX")&amp;" "&amp;TEXT(IF(OR(LINEAS!$U$152=1,LINEAS!$U$152=3),1,-1)*LINEAS!$AF$152*DATOS!$C$67,DATOS!$C$68))</f>
        <v>*</v>
      </c>
      <c r="C1026" s="51" t="str">
        <f aca="false">IF(LEN($B1026)&gt;79,"MÁS DE 79 CARACTERES","")</f>
        <v/>
      </c>
      <c r="D1026" s="53" t="str">
        <f aca="false">IF(PRESIONES!$C$22="NO","",IF(OR(LINEAS!$D$152="",LINEAS!$U$152=0,ABS(IF(OR(LINEAS!$U$152=1,LINEAS!$U$152=3),1,-1)*LINEAS!$AF$152*DATOS!$C$67)&lt;0.00005),"*",LINEAS!$D$152&amp;" UNI "&amp;IF(LINEAS!$U$152&lt;=2,"GZ","GX")&amp;" "&amp;TEXT(IF(OR(LINEAS!$U$152=1,LINEAS!$U$152=3),1,-1)*LINEAS!$AF$152*DATOS!$C$67,DATOS!$C$68)))</f>
        <v/>
      </c>
      <c r="E1026" s="51" t="str">
        <f aca="false">IF(LEN($D1026)&gt;79,"MÁS DE 79 CARACTERES","")</f>
        <v/>
      </c>
    </row>
    <row r="1027" customFormat="false" ht="15" hidden="false" customHeight="true" outlineLevel="0" collapsed="false">
      <c r="B1027" s="53" t="str">
        <f aca="false">IF(OR(LINEAS!$D$153="",LINEAS!$U$153=0,ABS(IF(OR(LINEAS!$U$153=1,LINEAS!$U$153=3),1,-1)*LINEAS!$AF$153*DATOS!$C$67)&lt;0.00005),"*",LINEAS!$D$153&amp;" UNI "&amp;IF(LINEAS!$U$153&lt;=2,"GZ","GX")&amp;" "&amp;TEXT(IF(OR(LINEAS!$U$153=1,LINEAS!$U$153=3),1,-1)*LINEAS!$AF$153*DATOS!$C$67,DATOS!$C$68))</f>
        <v>*</v>
      </c>
      <c r="C1027" s="51" t="str">
        <f aca="false">IF(LEN($B1027)&gt;79,"MÁS DE 79 CARACTERES","")</f>
        <v/>
      </c>
      <c r="D1027" s="53" t="str">
        <f aca="false">IF(PRESIONES!$C$22="NO","",IF(OR(LINEAS!$D$153="",LINEAS!$U$153=0,ABS(IF(OR(LINEAS!$U$153=1,LINEAS!$U$153=3),1,-1)*LINEAS!$AF$153*DATOS!$C$67)&lt;0.00005),"*",LINEAS!$D$153&amp;" UNI "&amp;IF(LINEAS!$U$153&lt;=2,"GZ","GX")&amp;" "&amp;TEXT(IF(OR(LINEAS!$U$153=1,LINEAS!$U$153=3),1,-1)*LINEAS!$AF$153*DATOS!$C$67,DATOS!$C$68)))</f>
        <v/>
      </c>
      <c r="E1027" s="51" t="str">
        <f aca="false">IF(LEN($D1027)&gt;79,"MÁS DE 79 CARACTERES","")</f>
        <v/>
      </c>
    </row>
    <row r="1028" customFormat="false" ht="15" hidden="false" customHeight="true" outlineLevel="0" collapsed="false">
      <c r="B1028" s="53" t="str">
        <f aca="false">IF(OR(LINEAS!$D$154="",LINEAS!$U$154=0,ABS(IF(OR(LINEAS!$U$154=1,LINEAS!$U$154=3),1,-1)*LINEAS!$AF$154*DATOS!$C$67)&lt;0.00005),"*",LINEAS!$D$154&amp;" UNI "&amp;IF(LINEAS!$U$154&lt;=2,"GZ","GX")&amp;" "&amp;TEXT(IF(OR(LINEAS!$U$154=1,LINEAS!$U$154=3),1,-1)*LINEAS!$AF$154*DATOS!$C$67,DATOS!$C$68))</f>
        <v>*</v>
      </c>
      <c r="C1028" s="51" t="str">
        <f aca="false">IF(LEN($B1028)&gt;79,"MÁS DE 79 CARACTERES","")</f>
        <v/>
      </c>
      <c r="D1028" s="53" t="str">
        <f aca="false">IF(PRESIONES!$C$22="NO","",IF(OR(LINEAS!$D$154="",LINEAS!$U$154=0,ABS(IF(OR(LINEAS!$U$154=1,LINEAS!$U$154=3),1,-1)*LINEAS!$AF$154*DATOS!$C$67)&lt;0.00005),"*",LINEAS!$D$154&amp;" UNI "&amp;IF(LINEAS!$U$154&lt;=2,"GZ","GX")&amp;" "&amp;TEXT(IF(OR(LINEAS!$U$154=1,LINEAS!$U$154=3),1,-1)*LINEAS!$AF$154*DATOS!$C$67,DATOS!$C$68)))</f>
        <v/>
      </c>
      <c r="E1028" s="51" t="str">
        <f aca="false">IF(LEN($D1028)&gt;79,"MÁS DE 79 CARACTERES","")</f>
        <v/>
      </c>
    </row>
    <row r="1029" customFormat="false" ht="15" hidden="false" customHeight="true" outlineLevel="0" collapsed="false">
      <c r="B1029" s="53" t="str">
        <f aca="false">IF(OR(LINEAS!$D$155="",LINEAS!$U$155=0,ABS(IF(OR(LINEAS!$U$155=1,LINEAS!$U$155=3),1,-1)*LINEAS!$AF$155*DATOS!$C$67)&lt;0.00005),"*",LINEAS!$D$155&amp;" UNI "&amp;IF(LINEAS!$U$155&lt;=2,"GZ","GX")&amp;" "&amp;TEXT(IF(OR(LINEAS!$U$155=1,LINEAS!$U$155=3),1,-1)*LINEAS!$AF$155*DATOS!$C$67,DATOS!$C$68))</f>
        <v>*</v>
      </c>
      <c r="C1029" s="51" t="str">
        <f aca="false">IF(LEN($B1029)&gt;79,"MÁS DE 79 CARACTERES","")</f>
        <v/>
      </c>
      <c r="D1029" s="53" t="str">
        <f aca="false">IF(PRESIONES!$C$22="NO","",IF(OR(LINEAS!$D$155="",LINEAS!$U$155=0,ABS(IF(OR(LINEAS!$U$155=1,LINEAS!$U$155=3),1,-1)*LINEAS!$AF$155*DATOS!$C$67)&lt;0.00005),"*",LINEAS!$D$155&amp;" UNI "&amp;IF(LINEAS!$U$155&lt;=2,"GZ","GX")&amp;" "&amp;TEXT(IF(OR(LINEAS!$U$155=1,LINEAS!$U$155=3),1,-1)*LINEAS!$AF$155*DATOS!$C$67,DATOS!$C$68)))</f>
        <v/>
      </c>
      <c r="E1029" s="51" t="str">
        <f aca="false">IF(LEN($D1029)&gt;79,"MÁS DE 79 CARACTERES","")</f>
        <v/>
      </c>
    </row>
    <row r="1030" customFormat="false" ht="15" hidden="false" customHeight="true" outlineLevel="0" collapsed="false">
      <c r="B1030" s="53" t="str">
        <f aca="false">IF(OR(LINEAS!$D$156="",LINEAS!$U$156=0,ABS(IF(OR(LINEAS!$U$156=1,LINEAS!$U$156=3),1,-1)*LINEAS!$AF$156*DATOS!$C$67)&lt;0.00005),"*",LINEAS!$D$156&amp;" UNI "&amp;IF(LINEAS!$U$156&lt;=2,"GZ","GX")&amp;" "&amp;TEXT(IF(OR(LINEAS!$U$156=1,LINEAS!$U$156=3),1,-1)*LINEAS!$AF$156*DATOS!$C$67,DATOS!$C$68))</f>
        <v>*</v>
      </c>
      <c r="C1030" s="51" t="str">
        <f aca="false">IF(LEN($B1030)&gt;79,"MÁS DE 79 CARACTERES","")</f>
        <v/>
      </c>
      <c r="D1030" s="53" t="str">
        <f aca="false">IF(PRESIONES!$C$22="NO","",IF(OR(LINEAS!$D$156="",LINEAS!$U$156=0,ABS(IF(OR(LINEAS!$U$156=1,LINEAS!$U$156=3),1,-1)*LINEAS!$AF$156*DATOS!$C$67)&lt;0.00005),"*",LINEAS!$D$156&amp;" UNI "&amp;IF(LINEAS!$U$156&lt;=2,"GZ","GX")&amp;" "&amp;TEXT(IF(OR(LINEAS!$U$156=1,LINEAS!$U$156=3),1,-1)*LINEAS!$AF$156*DATOS!$C$67,DATOS!$C$68)))</f>
        <v/>
      </c>
      <c r="E1030" s="51" t="str">
        <f aca="false">IF(LEN($D1030)&gt;79,"MÁS DE 79 CARACTERES","")</f>
        <v/>
      </c>
    </row>
    <row r="1031" customFormat="false" ht="15" hidden="false" customHeight="true" outlineLevel="0" collapsed="false">
      <c r="B1031" s="53" t="str">
        <f aca="false">IF(OR(LINEAS!$D$157="",LINEAS!$U$157=0,ABS(IF(OR(LINEAS!$U$157=1,LINEAS!$U$157=3),1,-1)*LINEAS!$AF$157*DATOS!$C$67)&lt;0.00005),"*",LINEAS!$D$157&amp;" UNI "&amp;IF(LINEAS!$U$157&lt;=2,"GZ","GX")&amp;" "&amp;TEXT(IF(OR(LINEAS!$U$157=1,LINEAS!$U$157=3),1,-1)*LINEAS!$AF$157*DATOS!$C$67,DATOS!$C$68))</f>
        <v>*</v>
      </c>
      <c r="C1031" s="51" t="str">
        <f aca="false">IF(LEN($B1031)&gt;79,"MÁS DE 79 CARACTERES","")</f>
        <v/>
      </c>
      <c r="D1031" s="53" t="str">
        <f aca="false">IF(PRESIONES!$C$22="NO","",IF(OR(LINEAS!$D$157="",LINEAS!$U$157=0,ABS(IF(OR(LINEAS!$U$157=1,LINEAS!$U$157=3),1,-1)*LINEAS!$AF$157*DATOS!$C$67)&lt;0.00005),"*",LINEAS!$D$157&amp;" UNI "&amp;IF(LINEAS!$U$157&lt;=2,"GZ","GX")&amp;" "&amp;TEXT(IF(OR(LINEAS!$U$157=1,LINEAS!$U$157=3),1,-1)*LINEAS!$AF$157*DATOS!$C$67,DATOS!$C$68)))</f>
        <v/>
      </c>
      <c r="E1031" s="51" t="str">
        <f aca="false">IF(LEN($D1031)&gt;79,"MÁS DE 79 CARACTERES","")</f>
        <v/>
      </c>
    </row>
    <row r="1032" customFormat="false" ht="15" hidden="false" customHeight="true" outlineLevel="0" collapsed="false">
      <c r="B1032" s="53" t="str">
        <f aca="false">IF(OR(LINEAS!$D$158="",LINEAS!$U$158=0,ABS(IF(OR(LINEAS!$U$158=1,LINEAS!$U$158=3),1,-1)*LINEAS!$AF$158*DATOS!$C$67)&lt;0.00005),"*",LINEAS!$D$158&amp;" UNI "&amp;IF(LINEAS!$U$158&lt;=2,"GZ","GX")&amp;" "&amp;TEXT(IF(OR(LINEAS!$U$158=1,LINEAS!$U$158=3),1,-1)*LINEAS!$AF$158*DATOS!$C$67,DATOS!$C$68))</f>
        <v>*</v>
      </c>
      <c r="C1032" s="51" t="str">
        <f aca="false">IF(LEN($B1032)&gt;79,"MÁS DE 79 CARACTERES","")</f>
        <v/>
      </c>
      <c r="D1032" s="53" t="str">
        <f aca="false">IF(PRESIONES!$C$22="NO","",IF(OR(LINEAS!$D$158="",LINEAS!$U$158=0,ABS(IF(OR(LINEAS!$U$158=1,LINEAS!$U$158=3),1,-1)*LINEAS!$AF$158*DATOS!$C$67)&lt;0.00005),"*",LINEAS!$D$158&amp;" UNI "&amp;IF(LINEAS!$U$158&lt;=2,"GZ","GX")&amp;" "&amp;TEXT(IF(OR(LINEAS!$U$158=1,LINEAS!$U$158=3),1,-1)*LINEAS!$AF$158*DATOS!$C$67,DATOS!$C$68)))</f>
        <v/>
      </c>
      <c r="E1032" s="51" t="str">
        <f aca="false">IF(LEN($D1032)&gt;79,"MÁS DE 79 CARACTERES","")</f>
        <v/>
      </c>
    </row>
    <row r="1033" customFormat="false" ht="15" hidden="false" customHeight="true" outlineLevel="0" collapsed="false">
      <c r="B1033" s="53" t="str">
        <f aca="false">IF(OR(LINEAS!$D$159="",LINEAS!$U$159=0,ABS(IF(OR(LINEAS!$U$159=1,LINEAS!$U$159=3),1,-1)*LINEAS!$AF$159*DATOS!$C$67)&lt;0.00005),"*",LINEAS!$D$159&amp;" UNI "&amp;IF(LINEAS!$U$159&lt;=2,"GZ","GX")&amp;" "&amp;TEXT(IF(OR(LINEAS!$U$159=1,LINEAS!$U$159=3),1,-1)*LINEAS!$AF$159*DATOS!$C$67,DATOS!$C$68))</f>
        <v>*</v>
      </c>
      <c r="C1033" s="51" t="str">
        <f aca="false">IF(LEN($B1033)&gt;79,"MÁS DE 79 CARACTERES","")</f>
        <v/>
      </c>
      <c r="D1033" s="53" t="str">
        <f aca="false">IF(PRESIONES!$C$22="NO","",IF(OR(LINEAS!$D$159="",LINEAS!$U$159=0,ABS(IF(OR(LINEAS!$U$159=1,LINEAS!$U$159=3),1,-1)*LINEAS!$AF$159*DATOS!$C$67)&lt;0.00005),"*",LINEAS!$D$159&amp;" UNI "&amp;IF(LINEAS!$U$159&lt;=2,"GZ","GX")&amp;" "&amp;TEXT(IF(OR(LINEAS!$U$159=1,LINEAS!$U$159=3),1,-1)*LINEAS!$AF$159*DATOS!$C$67,DATOS!$C$68)))</f>
        <v/>
      </c>
      <c r="E1033" s="51" t="str">
        <f aca="false">IF(LEN($D1033)&gt;79,"MÁS DE 79 CARACTERES","")</f>
        <v/>
      </c>
    </row>
    <row r="1034" customFormat="false" ht="15" hidden="false" customHeight="true" outlineLevel="0" collapsed="false">
      <c r="B1034" s="53" t="str">
        <f aca="false">IF(OR(LINEAS!$D$160="",LINEAS!$U$160=0,ABS(IF(OR(LINEAS!$U$160=1,LINEAS!$U$160=3),1,-1)*LINEAS!$AF$160*DATOS!$C$67)&lt;0.00005),"*",LINEAS!$D$160&amp;" UNI "&amp;IF(LINEAS!$U$160&lt;=2,"GZ","GX")&amp;" "&amp;TEXT(IF(OR(LINEAS!$U$160=1,LINEAS!$U$160=3),1,-1)*LINEAS!$AF$160*DATOS!$C$67,DATOS!$C$68))</f>
        <v>*</v>
      </c>
      <c r="C1034" s="51" t="str">
        <f aca="false">IF(LEN($B1034)&gt;79,"MÁS DE 79 CARACTERES","")</f>
        <v/>
      </c>
      <c r="D1034" s="53" t="str">
        <f aca="false">IF(PRESIONES!$C$22="NO","",IF(OR(LINEAS!$D$160="",LINEAS!$U$160=0,ABS(IF(OR(LINEAS!$U$160=1,LINEAS!$U$160=3),1,-1)*LINEAS!$AF$160*DATOS!$C$67)&lt;0.00005),"*",LINEAS!$D$160&amp;" UNI "&amp;IF(LINEAS!$U$160&lt;=2,"GZ","GX")&amp;" "&amp;TEXT(IF(OR(LINEAS!$U$160=1,LINEAS!$U$160=3),1,-1)*LINEAS!$AF$160*DATOS!$C$67,DATOS!$C$68)))</f>
        <v/>
      </c>
      <c r="E1034" s="51" t="str">
        <f aca="false">IF(LEN($D1034)&gt;79,"MÁS DE 79 CARACTERES","")</f>
        <v/>
      </c>
    </row>
    <row r="1035" customFormat="false" ht="15" hidden="false" customHeight="true" outlineLevel="0" collapsed="false">
      <c r="B1035" s="53" t="str">
        <f aca="false">IF(OR(LINEAS!$D$161="",LINEAS!$U$161=0,ABS(IF(OR(LINEAS!$U$161=1,LINEAS!$U$161=3),1,-1)*LINEAS!$AF$161*DATOS!$C$67)&lt;0.00005),"*",LINEAS!$D$161&amp;" UNI "&amp;IF(LINEAS!$U$161&lt;=2,"GZ","GX")&amp;" "&amp;TEXT(IF(OR(LINEAS!$U$161=1,LINEAS!$U$161=3),1,-1)*LINEAS!$AF$161*DATOS!$C$67,DATOS!$C$68))</f>
        <v>*</v>
      </c>
      <c r="C1035" s="51" t="str">
        <f aca="false">IF(LEN($B1035)&gt;79,"MÁS DE 79 CARACTERES","")</f>
        <v/>
      </c>
      <c r="D1035" s="53" t="str">
        <f aca="false">IF(PRESIONES!$C$22="NO","",IF(OR(LINEAS!$D$161="",LINEAS!$U$161=0,ABS(IF(OR(LINEAS!$U$161=1,LINEAS!$U$161=3),1,-1)*LINEAS!$AF$161*DATOS!$C$67)&lt;0.00005),"*",LINEAS!$D$161&amp;" UNI "&amp;IF(LINEAS!$U$161&lt;=2,"GZ","GX")&amp;" "&amp;TEXT(IF(OR(LINEAS!$U$161=1,LINEAS!$U$161=3),1,-1)*LINEAS!$AF$161*DATOS!$C$67,DATOS!$C$68)))</f>
        <v/>
      </c>
      <c r="E1035" s="51" t="str">
        <f aca="false">IF(LEN($D1035)&gt;79,"MÁS DE 79 CARACTERES","")</f>
        <v/>
      </c>
    </row>
    <row r="1036" customFormat="false" ht="15" hidden="false" customHeight="true" outlineLevel="0" collapsed="false">
      <c r="B1036" s="53" t="str">
        <f aca="false">IF(OR(LINEAS!$D$162="",LINEAS!$U$162=0,ABS(IF(OR(LINEAS!$U$162=1,LINEAS!$U$162=3),1,-1)*LINEAS!$AF$162*DATOS!$C$67)&lt;0.00005),"*",LINEAS!$D$162&amp;" UNI "&amp;IF(LINEAS!$U$162&lt;=2,"GZ","GX")&amp;" "&amp;TEXT(IF(OR(LINEAS!$U$162=1,LINEAS!$U$162=3),1,-1)*LINEAS!$AF$162*DATOS!$C$67,DATOS!$C$68))</f>
        <v>*</v>
      </c>
      <c r="C1036" s="51" t="str">
        <f aca="false">IF(LEN($B1036)&gt;79,"MÁS DE 79 CARACTERES","")</f>
        <v/>
      </c>
      <c r="D1036" s="53" t="str">
        <f aca="false">IF(PRESIONES!$C$22="NO","",IF(OR(LINEAS!$D$162="",LINEAS!$U$162=0,ABS(IF(OR(LINEAS!$U$162=1,LINEAS!$U$162=3),1,-1)*LINEAS!$AF$162*DATOS!$C$67)&lt;0.00005),"*",LINEAS!$D$162&amp;" UNI "&amp;IF(LINEAS!$U$162&lt;=2,"GZ","GX")&amp;" "&amp;TEXT(IF(OR(LINEAS!$U$162=1,LINEAS!$U$162=3),1,-1)*LINEAS!$AF$162*DATOS!$C$67,DATOS!$C$68)))</f>
        <v/>
      </c>
      <c r="E1036" s="51" t="str">
        <f aca="false">IF(LEN($D1036)&gt;79,"MÁS DE 79 CARACTERES","")</f>
        <v/>
      </c>
    </row>
    <row r="1037" customFormat="false" ht="15" hidden="false" customHeight="true" outlineLevel="0" collapsed="false">
      <c r="B1037" s="53" t="str">
        <f aca="false">IF(OR(LINEAS!$D$163="",LINEAS!$U$163=0,ABS(IF(OR(LINEAS!$U$163=1,LINEAS!$U$163=3),1,-1)*LINEAS!$AF$163*DATOS!$C$67)&lt;0.00005),"*",LINEAS!$D$163&amp;" UNI "&amp;IF(LINEAS!$U$163&lt;=2,"GZ","GX")&amp;" "&amp;TEXT(IF(OR(LINEAS!$U$163=1,LINEAS!$U$163=3),1,-1)*LINEAS!$AF$163*DATOS!$C$67,DATOS!$C$68))</f>
        <v>*</v>
      </c>
      <c r="C1037" s="51" t="str">
        <f aca="false">IF(LEN($B1037)&gt;79,"MÁS DE 79 CARACTERES","")</f>
        <v/>
      </c>
      <c r="D1037" s="53" t="str">
        <f aca="false">IF(PRESIONES!$C$22="NO","",IF(OR(LINEAS!$D$163="",LINEAS!$U$163=0,ABS(IF(OR(LINEAS!$U$163=1,LINEAS!$U$163=3),1,-1)*LINEAS!$AF$163*DATOS!$C$67)&lt;0.00005),"*",LINEAS!$D$163&amp;" UNI "&amp;IF(LINEAS!$U$163&lt;=2,"GZ","GX")&amp;" "&amp;TEXT(IF(OR(LINEAS!$U$163=1,LINEAS!$U$163=3),1,-1)*LINEAS!$AF$163*DATOS!$C$67,DATOS!$C$68)))</f>
        <v/>
      </c>
      <c r="E1037" s="51" t="str">
        <f aca="false">IF(LEN($D1037)&gt;79,"MÁS DE 79 CARACTERES","")</f>
        <v/>
      </c>
    </row>
    <row r="1038" customFormat="false" ht="15" hidden="false" customHeight="true" outlineLevel="0" collapsed="false">
      <c r="B1038" s="53" t="str">
        <f aca="false">IF(OR(LINEAS!$D$164="",LINEAS!$U$164=0,ABS(IF(OR(LINEAS!$U$164=1,LINEAS!$U$164=3),1,-1)*LINEAS!$AF$164*DATOS!$C$67)&lt;0.00005),"*",LINEAS!$D$164&amp;" UNI "&amp;IF(LINEAS!$U$164&lt;=2,"GZ","GX")&amp;" "&amp;TEXT(IF(OR(LINEAS!$U$164=1,LINEAS!$U$164=3),1,-1)*LINEAS!$AF$164*DATOS!$C$67,DATOS!$C$68))</f>
        <v>*</v>
      </c>
      <c r="C1038" s="51" t="str">
        <f aca="false">IF(LEN($B1038)&gt;79,"MÁS DE 79 CARACTERES","")</f>
        <v/>
      </c>
      <c r="D1038" s="53" t="str">
        <f aca="false">IF(PRESIONES!$C$22="NO","",IF(OR(LINEAS!$D$164="",LINEAS!$U$164=0,ABS(IF(OR(LINEAS!$U$164=1,LINEAS!$U$164=3),1,-1)*LINEAS!$AF$164*DATOS!$C$67)&lt;0.00005),"*",LINEAS!$D$164&amp;" UNI "&amp;IF(LINEAS!$U$164&lt;=2,"GZ","GX")&amp;" "&amp;TEXT(IF(OR(LINEAS!$U$164=1,LINEAS!$U$164=3),1,-1)*LINEAS!$AF$164*DATOS!$C$67,DATOS!$C$68)))</f>
        <v/>
      </c>
      <c r="E1038" s="51" t="str">
        <f aca="false">IF(LEN($D1038)&gt;79,"MÁS DE 79 CARACTERES","")</f>
        <v/>
      </c>
    </row>
    <row r="1039" customFormat="false" ht="15" hidden="false" customHeight="true" outlineLevel="0" collapsed="false">
      <c r="B1039" s="53" t="str">
        <f aca="false">IF(OR(LINEAS!$D$165="",LINEAS!$U$165=0,ABS(IF(OR(LINEAS!$U$165=1,LINEAS!$U$165=3),1,-1)*LINEAS!$AF$165*DATOS!$C$67)&lt;0.00005),"*",LINEAS!$D$165&amp;" UNI "&amp;IF(LINEAS!$U$165&lt;=2,"GZ","GX")&amp;" "&amp;TEXT(IF(OR(LINEAS!$U$165=1,LINEAS!$U$165=3),1,-1)*LINEAS!$AF$165*DATOS!$C$67,DATOS!$C$68))</f>
        <v>*</v>
      </c>
      <c r="C1039" s="51" t="str">
        <f aca="false">IF(LEN($B1039)&gt;79,"MÁS DE 79 CARACTERES","")</f>
        <v/>
      </c>
      <c r="D1039" s="53" t="str">
        <f aca="false">IF(PRESIONES!$C$22="NO","",IF(OR(LINEAS!$D$165="",LINEAS!$U$165=0,ABS(IF(OR(LINEAS!$U$165=1,LINEAS!$U$165=3),1,-1)*LINEAS!$AF$165*DATOS!$C$67)&lt;0.00005),"*",LINEAS!$D$165&amp;" UNI "&amp;IF(LINEAS!$U$165&lt;=2,"GZ","GX")&amp;" "&amp;TEXT(IF(OR(LINEAS!$U$165=1,LINEAS!$U$165=3),1,-1)*LINEAS!$AF$165*DATOS!$C$67,DATOS!$C$68)))</f>
        <v/>
      </c>
      <c r="E1039" s="51" t="str">
        <f aca="false">IF(LEN($D1039)&gt;79,"MÁS DE 79 CARACTERES","")</f>
        <v/>
      </c>
    </row>
    <row r="1040" customFormat="false" ht="15" hidden="false" customHeight="true" outlineLevel="0" collapsed="false">
      <c r="B1040" s="53" t="str">
        <f aca="false">IF(OR(LINEAS!$D$166="",LINEAS!$U$166=0,ABS(IF(OR(LINEAS!$U$166=1,LINEAS!$U$166=3),1,-1)*LINEAS!$AF$166*DATOS!$C$67)&lt;0.00005),"*",LINEAS!$D$166&amp;" UNI "&amp;IF(LINEAS!$U$166&lt;=2,"GZ","GX")&amp;" "&amp;TEXT(IF(OR(LINEAS!$U$166=1,LINEAS!$U$166=3),1,-1)*LINEAS!$AF$166*DATOS!$C$67,DATOS!$C$68))</f>
        <v>*</v>
      </c>
      <c r="C1040" s="51" t="str">
        <f aca="false">IF(LEN($B1040)&gt;79,"MÁS DE 79 CARACTERES","")</f>
        <v/>
      </c>
      <c r="D1040" s="53" t="str">
        <f aca="false">IF(PRESIONES!$C$22="NO","",IF(OR(LINEAS!$D$166="",LINEAS!$U$166=0,ABS(IF(OR(LINEAS!$U$166=1,LINEAS!$U$166=3),1,-1)*LINEAS!$AF$166*DATOS!$C$67)&lt;0.00005),"*",LINEAS!$D$166&amp;" UNI "&amp;IF(LINEAS!$U$166&lt;=2,"GZ","GX")&amp;" "&amp;TEXT(IF(OR(LINEAS!$U$166=1,LINEAS!$U$166=3),1,-1)*LINEAS!$AF$166*DATOS!$C$67,DATOS!$C$68)))</f>
        <v/>
      </c>
      <c r="E1040" s="51" t="str">
        <f aca="false">IF(LEN($D1040)&gt;79,"MÁS DE 79 CARACTERES","")</f>
        <v/>
      </c>
    </row>
    <row r="1041" customFormat="false" ht="15" hidden="false" customHeight="true" outlineLevel="0" collapsed="false">
      <c r="B1041" s="53" t="str">
        <f aca="false">IF(OR(LINEAS!$D$167="",LINEAS!$U$167=0,ABS(IF(OR(LINEAS!$U$167=1,LINEAS!$U$167=3),1,-1)*LINEAS!$AF$167*DATOS!$C$67)&lt;0.00005),"*",LINEAS!$D$167&amp;" UNI "&amp;IF(LINEAS!$U$167&lt;=2,"GZ","GX")&amp;" "&amp;TEXT(IF(OR(LINEAS!$U$167=1,LINEAS!$U$167=3),1,-1)*LINEAS!$AF$167*DATOS!$C$67,DATOS!$C$68))</f>
        <v>*</v>
      </c>
      <c r="C1041" s="51" t="str">
        <f aca="false">IF(LEN($B1041)&gt;79,"MÁS DE 79 CARACTERES","")</f>
        <v/>
      </c>
      <c r="D1041" s="53" t="str">
        <f aca="false">IF(PRESIONES!$C$22="NO","",IF(OR(LINEAS!$D$167="",LINEAS!$U$167=0,ABS(IF(OR(LINEAS!$U$167=1,LINEAS!$U$167=3),1,-1)*LINEAS!$AF$167*DATOS!$C$67)&lt;0.00005),"*",LINEAS!$D$167&amp;" UNI "&amp;IF(LINEAS!$U$167&lt;=2,"GZ","GX")&amp;" "&amp;TEXT(IF(OR(LINEAS!$U$167=1,LINEAS!$U$167=3),1,-1)*LINEAS!$AF$167*DATOS!$C$67,DATOS!$C$68)))</f>
        <v/>
      </c>
      <c r="E1041" s="51" t="str">
        <f aca="false">IF(LEN($D1041)&gt;79,"MÁS DE 79 CARACTERES","")</f>
        <v/>
      </c>
    </row>
    <row r="1042" customFormat="false" ht="15" hidden="false" customHeight="true" outlineLevel="0" collapsed="false">
      <c r="B1042" s="53" t="str">
        <f aca="false">IF(OR(LINEAS!$D$168="",LINEAS!$U$168=0,ABS(IF(OR(LINEAS!$U$168=1,LINEAS!$U$168=3),1,-1)*LINEAS!$AF$168*DATOS!$C$67)&lt;0.00005),"*",LINEAS!$D$168&amp;" UNI "&amp;IF(LINEAS!$U$168&lt;=2,"GZ","GX")&amp;" "&amp;TEXT(IF(OR(LINEAS!$U$168=1,LINEAS!$U$168=3),1,-1)*LINEAS!$AF$168*DATOS!$C$67,DATOS!$C$68))</f>
        <v>*</v>
      </c>
      <c r="C1042" s="51" t="str">
        <f aca="false">IF(LEN($B1042)&gt;79,"MÁS DE 79 CARACTERES","")</f>
        <v/>
      </c>
      <c r="D1042" s="53" t="str">
        <f aca="false">IF(PRESIONES!$C$22="NO","",IF(OR(LINEAS!$D$168="",LINEAS!$U$168=0,ABS(IF(OR(LINEAS!$U$168=1,LINEAS!$U$168=3),1,-1)*LINEAS!$AF$168*DATOS!$C$67)&lt;0.00005),"*",LINEAS!$D$168&amp;" UNI "&amp;IF(LINEAS!$U$168&lt;=2,"GZ","GX")&amp;" "&amp;TEXT(IF(OR(LINEAS!$U$168=1,LINEAS!$U$168=3),1,-1)*LINEAS!$AF$168*DATOS!$C$67,DATOS!$C$68)))</f>
        <v/>
      </c>
      <c r="E1042" s="51" t="str">
        <f aca="false">IF(LEN($D1042)&gt;79,"MÁS DE 79 CARACTERES","")</f>
        <v/>
      </c>
    </row>
    <row r="1043" customFormat="false" ht="15" hidden="false" customHeight="true" outlineLevel="0" collapsed="false">
      <c r="B1043" s="53" t="str">
        <f aca="false">IF(OR(LINEAS!$D$169="",LINEAS!$U$169=0,ABS(IF(OR(LINEAS!$U$169=1,LINEAS!$U$169=3),1,-1)*LINEAS!$AF$169*DATOS!$C$67)&lt;0.00005),"*",LINEAS!$D$169&amp;" UNI "&amp;IF(LINEAS!$U$169&lt;=2,"GZ","GX")&amp;" "&amp;TEXT(IF(OR(LINEAS!$U$169=1,LINEAS!$U$169=3),1,-1)*LINEAS!$AF$169*DATOS!$C$67,DATOS!$C$68))</f>
        <v>*</v>
      </c>
      <c r="C1043" s="51" t="str">
        <f aca="false">IF(LEN($B1043)&gt;79,"MÁS DE 79 CARACTERES","")</f>
        <v/>
      </c>
      <c r="D1043" s="53" t="str">
        <f aca="false">IF(PRESIONES!$C$22="NO","",IF(OR(LINEAS!$D$169="",LINEAS!$U$169=0,ABS(IF(OR(LINEAS!$U$169=1,LINEAS!$U$169=3),1,-1)*LINEAS!$AF$169*DATOS!$C$67)&lt;0.00005),"*",LINEAS!$D$169&amp;" UNI "&amp;IF(LINEAS!$U$169&lt;=2,"GZ","GX")&amp;" "&amp;TEXT(IF(OR(LINEAS!$U$169=1,LINEAS!$U$169=3),1,-1)*LINEAS!$AF$169*DATOS!$C$67,DATOS!$C$68)))</f>
        <v/>
      </c>
      <c r="E1043" s="51" t="str">
        <f aca="false">IF(LEN($D1043)&gt;79,"MÁS DE 79 CARACTERES","")</f>
        <v/>
      </c>
    </row>
    <row r="1044" customFormat="false" ht="15" hidden="false" customHeight="true" outlineLevel="0" collapsed="false">
      <c r="B1044" s="53" t="str">
        <f aca="false">IF(OR(LINEAS!$D$170="",LINEAS!$U$170=0,ABS(IF(OR(LINEAS!$U$170=1,LINEAS!$U$170=3),1,-1)*LINEAS!$AF$170*DATOS!$C$67)&lt;0.00005),"*",LINEAS!$D$170&amp;" UNI "&amp;IF(LINEAS!$U$170&lt;=2,"GZ","GX")&amp;" "&amp;TEXT(IF(OR(LINEAS!$U$170=1,LINEAS!$U$170=3),1,-1)*LINEAS!$AF$170*DATOS!$C$67,DATOS!$C$68))</f>
        <v>*</v>
      </c>
      <c r="C1044" s="51" t="str">
        <f aca="false">IF(LEN($B1044)&gt;79,"MÁS DE 79 CARACTERES","")</f>
        <v/>
      </c>
      <c r="D1044" s="53" t="str">
        <f aca="false">IF(PRESIONES!$C$22="NO","",IF(OR(LINEAS!$D$170="",LINEAS!$U$170=0,ABS(IF(OR(LINEAS!$U$170=1,LINEAS!$U$170=3),1,-1)*LINEAS!$AF$170*DATOS!$C$67)&lt;0.00005),"*",LINEAS!$D$170&amp;" UNI "&amp;IF(LINEAS!$U$170&lt;=2,"GZ","GX")&amp;" "&amp;TEXT(IF(OR(LINEAS!$U$170=1,LINEAS!$U$170=3),1,-1)*LINEAS!$AF$170*DATOS!$C$67,DATOS!$C$68)))</f>
        <v/>
      </c>
      <c r="E1044" s="51" t="str">
        <f aca="false">IF(LEN($D1044)&gt;79,"MÁS DE 79 CARACTERES","")</f>
        <v/>
      </c>
    </row>
    <row r="1045" customFormat="false" ht="15" hidden="false" customHeight="true" outlineLevel="0" collapsed="false">
      <c r="B1045" s="53" t="str">
        <f aca="false">IF(OR(LINEAS!$D$171="",LINEAS!$U$171=0,ABS(IF(OR(LINEAS!$U$171=1,LINEAS!$U$171=3),1,-1)*LINEAS!$AF$171*DATOS!$C$67)&lt;0.00005),"*",LINEAS!$D$171&amp;" UNI "&amp;IF(LINEAS!$U$171&lt;=2,"GZ","GX")&amp;" "&amp;TEXT(IF(OR(LINEAS!$U$171=1,LINEAS!$U$171=3),1,-1)*LINEAS!$AF$171*DATOS!$C$67,DATOS!$C$68))</f>
        <v>*</v>
      </c>
      <c r="C1045" s="51" t="str">
        <f aca="false">IF(LEN($B1045)&gt;79,"MÁS DE 79 CARACTERES","")</f>
        <v/>
      </c>
      <c r="D1045" s="53" t="str">
        <f aca="false">IF(PRESIONES!$C$22="NO","",IF(OR(LINEAS!$D$171="",LINEAS!$U$171=0,ABS(IF(OR(LINEAS!$U$171=1,LINEAS!$U$171=3),1,-1)*LINEAS!$AF$171*DATOS!$C$67)&lt;0.00005),"*",LINEAS!$D$171&amp;" UNI "&amp;IF(LINEAS!$U$171&lt;=2,"GZ","GX")&amp;" "&amp;TEXT(IF(OR(LINEAS!$U$171=1,LINEAS!$U$171=3),1,-1)*LINEAS!$AF$171*DATOS!$C$67,DATOS!$C$68)))</f>
        <v/>
      </c>
      <c r="E1045" s="51" t="str">
        <f aca="false">IF(LEN($D1045)&gt;79,"MÁS DE 79 CARACTERES","")</f>
        <v/>
      </c>
    </row>
    <row r="1046" customFormat="false" ht="15" hidden="false" customHeight="true" outlineLevel="0" collapsed="false">
      <c r="B1046" s="53" t="str">
        <f aca="false">IF(OR(LINEAS!$D$172="",LINEAS!$U$172=0,ABS(IF(OR(LINEAS!$U$172=1,LINEAS!$U$172=3),1,-1)*LINEAS!$AF$172*DATOS!$C$67)&lt;0.00005),"*",LINEAS!$D$172&amp;" UNI "&amp;IF(LINEAS!$U$172&lt;=2,"GZ","GX")&amp;" "&amp;TEXT(IF(OR(LINEAS!$U$172=1,LINEAS!$U$172=3),1,-1)*LINEAS!$AF$172*DATOS!$C$67,DATOS!$C$68))</f>
        <v>*</v>
      </c>
      <c r="C1046" s="51" t="str">
        <f aca="false">IF(LEN($B1046)&gt;79,"MÁS DE 79 CARACTERES","")</f>
        <v/>
      </c>
      <c r="D1046" s="53" t="str">
        <f aca="false">IF(PRESIONES!$C$22="NO","",IF(OR(LINEAS!$D$172="",LINEAS!$U$172=0,ABS(IF(OR(LINEAS!$U$172=1,LINEAS!$U$172=3),1,-1)*LINEAS!$AF$172*DATOS!$C$67)&lt;0.00005),"*",LINEAS!$D$172&amp;" UNI "&amp;IF(LINEAS!$U$172&lt;=2,"GZ","GX")&amp;" "&amp;TEXT(IF(OR(LINEAS!$U$172=1,LINEAS!$U$172=3),1,-1)*LINEAS!$AF$172*DATOS!$C$67,DATOS!$C$68)))</f>
        <v/>
      </c>
      <c r="E1046" s="51" t="str">
        <f aca="false">IF(LEN($D1046)&gt;79,"MÁS DE 79 CARACTERES","")</f>
        <v/>
      </c>
    </row>
    <row r="1047" customFormat="false" ht="15" hidden="false" customHeight="true" outlineLevel="0" collapsed="false">
      <c r="B1047" s="53" t="str">
        <f aca="false">IF(OR(LINEAS!$D$173="",LINEAS!$U$173=0,ABS(IF(OR(LINEAS!$U$173=1,LINEAS!$U$173=3),1,-1)*LINEAS!$AF$173*DATOS!$C$67)&lt;0.00005),"*",LINEAS!$D$173&amp;" UNI "&amp;IF(LINEAS!$U$173&lt;=2,"GZ","GX")&amp;" "&amp;TEXT(IF(OR(LINEAS!$U$173=1,LINEAS!$U$173=3),1,-1)*LINEAS!$AF$173*DATOS!$C$67,DATOS!$C$68))</f>
        <v>*</v>
      </c>
      <c r="C1047" s="51" t="str">
        <f aca="false">IF(LEN($B1047)&gt;79,"MÁS DE 79 CARACTERES","")</f>
        <v/>
      </c>
      <c r="D1047" s="53" t="str">
        <f aca="false">IF(PRESIONES!$C$22="NO","",IF(OR(LINEAS!$D$173="",LINEAS!$U$173=0,ABS(IF(OR(LINEAS!$U$173=1,LINEAS!$U$173=3),1,-1)*LINEAS!$AF$173*DATOS!$C$67)&lt;0.00005),"*",LINEAS!$D$173&amp;" UNI "&amp;IF(LINEAS!$U$173&lt;=2,"GZ","GX")&amp;" "&amp;TEXT(IF(OR(LINEAS!$U$173=1,LINEAS!$U$173=3),1,-1)*LINEAS!$AF$173*DATOS!$C$67,DATOS!$C$68)))</f>
        <v/>
      </c>
      <c r="E1047" s="51" t="str">
        <f aca="false">IF(LEN($D1047)&gt;79,"MÁS DE 79 CARACTERES","")</f>
        <v/>
      </c>
    </row>
    <row r="1048" customFormat="false" ht="15" hidden="false" customHeight="true" outlineLevel="0" collapsed="false">
      <c r="B1048" s="53" t="str">
        <f aca="false">IF(OR(LINEAS!$D$174="",LINEAS!$U$174=0,ABS(IF(OR(LINEAS!$U$174=1,LINEAS!$U$174=3),1,-1)*LINEAS!$AF$174*DATOS!$C$67)&lt;0.00005),"*",LINEAS!$D$174&amp;" UNI "&amp;IF(LINEAS!$U$174&lt;=2,"GZ","GX")&amp;" "&amp;TEXT(IF(OR(LINEAS!$U$174=1,LINEAS!$U$174=3),1,-1)*LINEAS!$AF$174*DATOS!$C$67,DATOS!$C$68))</f>
        <v>*</v>
      </c>
      <c r="C1048" s="51" t="str">
        <f aca="false">IF(LEN($B1048)&gt;79,"MÁS DE 79 CARACTERES","")</f>
        <v/>
      </c>
      <c r="D1048" s="53" t="str">
        <f aca="false">IF(PRESIONES!$C$22="NO","",IF(OR(LINEAS!$D$174="",LINEAS!$U$174=0,ABS(IF(OR(LINEAS!$U$174=1,LINEAS!$U$174=3),1,-1)*LINEAS!$AF$174*DATOS!$C$67)&lt;0.00005),"*",LINEAS!$D$174&amp;" UNI "&amp;IF(LINEAS!$U$174&lt;=2,"GZ","GX")&amp;" "&amp;TEXT(IF(OR(LINEAS!$U$174=1,LINEAS!$U$174=3),1,-1)*LINEAS!$AF$174*DATOS!$C$67,DATOS!$C$68)))</f>
        <v/>
      </c>
      <c r="E1048" s="51" t="str">
        <f aca="false">IF(LEN($D1048)&gt;79,"MÁS DE 79 CARACTERES","")</f>
        <v/>
      </c>
    </row>
    <row r="1049" customFormat="false" ht="15" hidden="false" customHeight="true" outlineLevel="0" collapsed="false">
      <c r="B1049" s="53" t="str">
        <f aca="false">IF(OR(LINEAS!$D$175="",LINEAS!$U$175=0,ABS(IF(OR(LINEAS!$U$175=1,LINEAS!$U$175=3),1,-1)*LINEAS!$AF$175*DATOS!$C$67)&lt;0.00005),"*",LINEAS!$D$175&amp;" UNI "&amp;IF(LINEAS!$U$175&lt;=2,"GZ","GX")&amp;" "&amp;TEXT(IF(OR(LINEAS!$U$175=1,LINEAS!$U$175=3),1,-1)*LINEAS!$AF$175*DATOS!$C$67,DATOS!$C$68))</f>
        <v>*</v>
      </c>
      <c r="C1049" s="51" t="str">
        <f aca="false">IF(LEN($B1049)&gt;79,"MÁS DE 79 CARACTERES","")</f>
        <v/>
      </c>
      <c r="D1049" s="53" t="str">
        <f aca="false">IF(PRESIONES!$C$22="NO","",IF(OR(LINEAS!$D$175="",LINEAS!$U$175=0,ABS(IF(OR(LINEAS!$U$175=1,LINEAS!$U$175=3),1,-1)*LINEAS!$AF$175*DATOS!$C$67)&lt;0.00005),"*",LINEAS!$D$175&amp;" UNI "&amp;IF(LINEAS!$U$175&lt;=2,"GZ","GX")&amp;" "&amp;TEXT(IF(OR(LINEAS!$U$175=1,LINEAS!$U$175=3),1,-1)*LINEAS!$AF$175*DATOS!$C$67,DATOS!$C$68)))</f>
        <v/>
      </c>
      <c r="E1049" s="51" t="str">
        <f aca="false">IF(LEN($D1049)&gt;79,"MÁS DE 79 CARACTERES","")</f>
        <v/>
      </c>
    </row>
    <row r="1050" customFormat="false" ht="15" hidden="false" customHeight="true" outlineLevel="0" collapsed="false">
      <c r="B1050" s="53" t="str">
        <f aca="false">IF(OR(LINEAS!$D$176="",LINEAS!$U$176=0,ABS(IF(OR(LINEAS!$U$176=1,LINEAS!$U$176=3),1,-1)*LINEAS!$AF$176*DATOS!$C$67)&lt;0.00005),"*",LINEAS!$D$176&amp;" UNI "&amp;IF(LINEAS!$U$176&lt;=2,"GZ","GX")&amp;" "&amp;TEXT(IF(OR(LINEAS!$U$176=1,LINEAS!$U$176=3),1,-1)*LINEAS!$AF$176*DATOS!$C$67,DATOS!$C$68))</f>
        <v>*</v>
      </c>
      <c r="C1050" s="51" t="str">
        <f aca="false">IF(LEN($B1050)&gt;79,"MÁS DE 79 CARACTERES","")</f>
        <v/>
      </c>
      <c r="D1050" s="53" t="str">
        <f aca="false">IF(PRESIONES!$C$22="NO","",IF(OR(LINEAS!$D$176="",LINEAS!$U$176=0,ABS(IF(OR(LINEAS!$U$176=1,LINEAS!$U$176=3),1,-1)*LINEAS!$AF$176*DATOS!$C$67)&lt;0.00005),"*",LINEAS!$D$176&amp;" UNI "&amp;IF(LINEAS!$U$176&lt;=2,"GZ","GX")&amp;" "&amp;TEXT(IF(OR(LINEAS!$U$176=1,LINEAS!$U$176=3),1,-1)*LINEAS!$AF$176*DATOS!$C$67,DATOS!$C$68)))</f>
        <v/>
      </c>
      <c r="E1050" s="51" t="str">
        <f aca="false">IF(LEN($D1050)&gt;79,"MÁS DE 79 CARACTERES","")</f>
        <v/>
      </c>
    </row>
    <row r="1051" customFormat="false" ht="15" hidden="false" customHeight="true" outlineLevel="0" collapsed="false">
      <c r="B1051" s="53" t="str">
        <f aca="false">IF(OR(LINEAS!$D$177="",LINEAS!$U$177=0,ABS(IF(OR(LINEAS!$U$177=1,LINEAS!$U$177=3),1,-1)*LINEAS!$AF$177*DATOS!$C$67)&lt;0.00005),"*",LINEAS!$D$177&amp;" UNI "&amp;IF(LINEAS!$U$177&lt;=2,"GZ","GX")&amp;" "&amp;TEXT(IF(OR(LINEAS!$U$177=1,LINEAS!$U$177=3),1,-1)*LINEAS!$AF$177*DATOS!$C$67,DATOS!$C$68))</f>
        <v>*</v>
      </c>
      <c r="C1051" s="51" t="str">
        <f aca="false">IF(LEN($B1051)&gt;79,"MÁS DE 79 CARACTERES","")</f>
        <v/>
      </c>
      <c r="D1051" s="53" t="str">
        <f aca="false">IF(PRESIONES!$C$22="NO","",IF(OR(LINEAS!$D$177="",LINEAS!$U$177=0,ABS(IF(OR(LINEAS!$U$177=1,LINEAS!$U$177=3),1,-1)*LINEAS!$AF$177*DATOS!$C$67)&lt;0.00005),"*",LINEAS!$D$177&amp;" UNI "&amp;IF(LINEAS!$U$177&lt;=2,"GZ","GX")&amp;" "&amp;TEXT(IF(OR(LINEAS!$U$177=1,LINEAS!$U$177=3),1,-1)*LINEAS!$AF$177*DATOS!$C$67,DATOS!$C$68)))</f>
        <v/>
      </c>
      <c r="E1051" s="51" t="str">
        <f aca="false">IF(LEN($D1051)&gt;79,"MÁS DE 79 CARACTERES","")</f>
        <v/>
      </c>
    </row>
    <row r="1052" customFormat="false" ht="15" hidden="false" customHeight="true" outlineLevel="0" collapsed="false">
      <c r="B1052" s="53" t="str">
        <f aca="false">IF(OR(LINEAS!$D$178="",LINEAS!$U$178=0,ABS(IF(OR(LINEAS!$U$178=1,LINEAS!$U$178=3),1,-1)*LINEAS!$AF$178*DATOS!$C$67)&lt;0.00005),"*",LINEAS!$D$178&amp;" UNI "&amp;IF(LINEAS!$U$178&lt;=2,"GZ","GX")&amp;" "&amp;TEXT(IF(OR(LINEAS!$U$178=1,LINEAS!$U$178=3),1,-1)*LINEAS!$AF$178*DATOS!$C$67,DATOS!$C$68))</f>
        <v>*</v>
      </c>
      <c r="C1052" s="51" t="str">
        <f aca="false">IF(LEN($B1052)&gt;79,"MÁS DE 79 CARACTERES","")</f>
        <v/>
      </c>
      <c r="D1052" s="53" t="str">
        <f aca="false">IF(PRESIONES!$C$22="NO","",IF(OR(LINEAS!$D$178="",LINEAS!$U$178=0,ABS(IF(OR(LINEAS!$U$178=1,LINEAS!$U$178=3),1,-1)*LINEAS!$AF$178*DATOS!$C$67)&lt;0.00005),"*",LINEAS!$D$178&amp;" UNI "&amp;IF(LINEAS!$U$178&lt;=2,"GZ","GX")&amp;" "&amp;TEXT(IF(OR(LINEAS!$U$178=1,LINEAS!$U$178=3),1,-1)*LINEAS!$AF$178*DATOS!$C$67,DATOS!$C$68)))</f>
        <v/>
      </c>
      <c r="E1052" s="51" t="str">
        <f aca="false">IF(LEN($D1052)&gt;79,"MÁS DE 79 CARACTERES","")</f>
        <v/>
      </c>
    </row>
    <row r="1053" customFormat="false" ht="15" hidden="false" customHeight="true" outlineLevel="0" collapsed="false">
      <c r="B1053" s="53" t="str">
        <f aca="false">IF(OR(LINEAS!$D$179="",LINEAS!$U$179=0,ABS(IF(OR(LINEAS!$U$179=1,LINEAS!$U$179=3),1,-1)*LINEAS!$AF$179*DATOS!$C$67)&lt;0.00005),"*",LINEAS!$D$179&amp;" UNI "&amp;IF(LINEAS!$U$179&lt;=2,"GZ","GX")&amp;" "&amp;TEXT(IF(OR(LINEAS!$U$179=1,LINEAS!$U$179=3),1,-1)*LINEAS!$AF$179*DATOS!$C$67,DATOS!$C$68))</f>
        <v>*</v>
      </c>
      <c r="C1053" s="51" t="str">
        <f aca="false">IF(LEN($B1053)&gt;79,"MÁS DE 79 CARACTERES","")</f>
        <v/>
      </c>
      <c r="D1053" s="53" t="str">
        <f aca="false">IF(PRESIONES!$C$22="NO","",IF(OR(LINEAS!$D$179="",LINEAS!$U$179=0,ABS(IF(OR(LINEAS!$U$179=1,LINEAS!$U$179=3),1,-1)*LINEAS!$AF$179*DATOS!$C$67)&lt;0.00005),"*",LINEAS!$D$179&amp;" UNI "&amp;IF(LINEAS!$U$179&lt;=2,"GZ","GX")&amp;" "&amp;TEXT(IF(OR(LINEAS!$U$179=1,LINEAS!$U$179=3),1,-1)*LINEAS!$AF$179*DATOS!$C$67,DATOS!$C$68)))</f>
        <v/>
      </c>
      <c r="E1053" s="51" t="str">
        <f aca="false">IF(LEN($D1053)&gt;79,"MÁS DE 79 CARACTERES","")</f>
        <v/>
      </c>
    </row>
    <row r="1054" customFormat="false" ht="15" hidden="false" customHeight="true" outlineLevel="0" collapsed="false">
      <c r="B1054" s="53" t="str">
        <f aca="false">IF(OR(LINEAS!$D$180="",LINEAS!$U$180=0,ABS(IF(OR(LINEAS!$U$180=1,LINEAS!$U$180=3),1,-1)*LINEAS!$AF$180*DATOS!$C$67)&lt;0.00005),"*",LINEAS!$D$180&amp;" UNI "&amp;IF(LINEAS!$U$180&lt;=2,"GZ","GX")&amp;" "&amp;TEXT(IF(OR(LINEAS!$U$180=1,LINEAS!$U$180=3),1,-1)*LINEAS!$AF$180*DATOS!$C$67,DATOS!$C$68))</f>
        <v>*</v>
      </c>
      <c r="C1054" s="51" t="str">
        <f aca="false">IF(LEN($B1054)&gt;79,"MÁS DE 79 CARACTERES","")</f>
        <v/>
      </c>
      <c r="D1054" s="53" t="str">
        <f aca="false">IF(PRESIONES!$C$22="NO","",IF(OR(LINEAS!$D$180="",LINEAS!$U$180=0,ABS(IF(OR(LINEAS!$U$180=1,LINEAS!$U$180=3),1,-1)*LINEAS!$AF$180*DATOS!$C$67)&lt;0.00005),"*",LINEAS!$D$180&amp;" UNI "&amp;IF(LINEAS!$U$180&lt;=2,"GZ","GX")&amp;" "&amp;TEXT(IF(OR(LINEAS!$U$180=1,LINEAS!$U$180=3),1,-1)*LINEAS!$AF$180*DATOS!$C$67,DATOS!$C$68)))</f>
        <v/>
      </c>
      <c r="E1054" s="51" t="str">
        <f aca="false">IF(LEN($D1054)&gt;79,"MÁS DE 79 CARACTERES","")</f>
        <v/>
      </c>
    </row>
    <row r="1055" customFormat="false" ht="15" hidden="false" customHeight="true" outlineLevel="0" collapsed="false">
      <c r="B1055" s="53" t="str">
        <f aca="false">IF(OR(LINEAS!$D$181="",LINEAS!$U$181=0,ABS(IF(OR(LINEAS!$U$181=1,LINEAS!$U$181=3),1,-1)*LINEAS!$AF$181*DATOS!$C$67)&lt;0.00005),"*",LINEAS!$D$181&amp;" UNI "&amp;IF(LINEAS!$U$181&lt;=2,"GZ","GX")&amp;" "&amp;TEXT(IF(OR(LINEAS!$U$181=1,LINEAS!$U$181=3),1,-1)*LINEAS!$AF$181*DATOS!$C$67,DATOS!$C$68))</f>
        <v>*</v>
      </c>
      <c r="C1055" s="51" t="str">
        <f aca="false">IF(LEN($B1055)&gt;79,"MÁS DE 79 CARACTERES","")</f>
        <v/>
      </c>
      <c r="D1055" s="53" t="str">
        <f aca="false">IF(PRESIONES!$C$22="NO","",IF(OR(LINEAS!$D$181="",LINEAS!$U$181=0,ABS(IF(OR(LINEAS!$U$181=1,LINEAS!$U$181=3),1,-1)*LINEAS!$AF$181*DATOS!$C$67)&lt;0.00005),"*",LINEAS!$D$181&amp;" UNI "&amp;IF(LINEAS!$U$181&lt;=2,"GZ","GX")&amp;" "&amp;TEXT(IF(OR(LINEAS!$U$181=1,LINEAS!$U$181=3),1,-1)*LINEAS!$AF$181*DATOS!$C$67,DATOS!$C$68)))</f>
        <v/>
      </c>
      <c r="E1055" s="51" t="str">
        <f aca="false">IF(LEN($D1055)&gt;79,"MÁS DE 79 CARACTERES","")</f>
        <v/>
      </c>
    </row>
    <row r="1056" customFormat="false" ht="15" hidden="false" customHeight="true" outlineLevel="0" collapsed="false">
      <c r="B1056" s="53" t="str">
        <f aca="false">IF(OR(LINEAS!$D$182="",LINEAS!$U$182=0,ABS(IF(OR(LINEAS!$U$182=1,LINEAS!$U$182=3),1,-1)*LINEAS!$AF$182*DATOS!$C$67)&lt;0.00005),"*",LINEAS!$D$182&amp;" UNI "&amp;IF(LINEAS!$U$182&lt;=2,"GZ","GX")&amp;" "&amp;TEXT(IF(OR(LINEAS!$U$182=1,LINEAS!$U$182=3),1,-1)*LINEAS!$AF$182*DATOS!$C$67,DATOS!$C$68))</f>
        <v>*</v>
      </c>
      <c r="C1056" s="51" t="str">
        <f aca="false">IF(LEN($B1056)&gt;79,"MÁS DE 79 CARACTERES","")</f>
        <v/>
      </c>
      <c r="D1056" s="53" t="str">
        <f aca="false">IF(PRESIONES!$C$22="NO","",IF(OR(LINEAS!$D$182="",LINEAS!$U$182=0,ABS(IF(OR(LINEAS!$U$182=1,LINEAS!$U$182=3),1,-1)*LINEAS!$AF$182*DATOS!$C$67)&lt;0.00005),"*",LINEAS!$D$182&amp;" UNI "&amp;IF(LINEAS!$U$182&lt;=2,"GZ","GX")&amp;" "&amp;TEXT(IF(OR(LINEAS!$U$182=1,LINEAS!$U$182=3),1,-1)*LINEAS!$AF$182*DATOS!$C$67,DATOS!$C$68)))</f>
        <v/>
      </c>
      <c r="E1056" s="51" t="str">
        <f aca="false">IF(LEN($D1056)&gt;79,"MÁS DE 79 CARACTERES","")</f>
        <v/>
      </c>
    </row>
    <row r="1057" customFormat="false" ht="15" hidden="false" customHeight="true" outlineLevel="0" collapsed="false">
      <c r="B1057" s="53" t="str">
        <f aca="false">IF(OR(LINEAS!$D$183="",LINEAS!$U$183=0,ABS(IF(OR(LINEAS!$U$183=1,LINEAS!$U$183=3),1,-1)*LINEAS!$AF$183*DATOS!$C$67)&lt;0.00005),"*",LINEAS!$D$183&amp;" UNI "&amp;IF(LINEAS!$U$183&lt;=2,"GZ","GX")&amp;" "&amp;TEXT(IF(OR(LINEAS!$U$183=1,LINEAS!$U$183=3),1,-1)*LINEAS!$AF$183*DATOS!$C$67,DATOS!$C$68))</f>
        <v>*</v>
      </c>
      <c r="C1057" s="51" t="str">
        <f aca="false">IF(LEN($B1057)&gt;79,"MÁS DE 79 CARACTERES","")</f>
        <v/>
      </c>
      <c r="D1057" s="53" t="str">
        <f aca="false">IF(PRESIONES!$C$22="NO","",IF(OR(LINEAS!$D$183="",LINEAS!$U$183=0,ABS(IF(OR(LINEAS!$U$183=1,LINEAS!$U$183=3),1,-1)*LINEAS!$AF$183*DATOS!$C$67)&lt;0.00005),"*",LINEAS!$D$183&amp;" UNI "&amp;IF(LINEAS!$U$183&lt;=2,"GZ","GX")&amp;" "&amp;TEXT(IF(OR(LINEAS!$U$183=1,LINEAS!$U$183=3),1,-1)*LINEAS!$AF$183*DATOS!$C$67,DATOS!$C$68)))</f>
        <v/>
      </c>
      <c r="E1057" s="51" t="str">
        <f aca="false">IF(LEN($D1057)&gt;79,"MÁS DE 79 CARACTERES","")</f>
        <v/>
      </c>
    </row>
    <row r="1058" customFormat="false" ht="15" hidden="false" customHeight="true" outlineLevel="0" collapsed="false">
      <c r="B1058" s="53" t="str">
        <f aca="false">IF(OR(LINEAS!$D$184="",LINEAS!$U$184=0,ABS(IF(OR(LINEAS!$U$184=1,LINEAS!$U$184=3),1,-1)*LINEAS!$AF$184*DATOS!$C$67)&lt;0.00005),"*",LINEAS!$D$184&amp;" UNI "&amp;IF(LINEAS!$U$184&lt;=2,"GZ","GX")&amp;" "&amp;TEXT(IF(OR(LINEAS!$U$184=1,LINEAS!$U$184=3),1,-1)*LINEAS!$AF$184*DATOS!$C$67,DATOS!$C$68))</f>
        <v>*</v>
      </c>
      <c r="C1058" s="51" t="str">
        <f aca="false">IF(LEN($B1058)&gt;79,"MÁS DE 79 CARACTERES","")</f>
        <v/>
      </c>
      <c r="D1058" s="53" t="str">
        <f aca="false">IF(PRESIONES!$C$22="NO","",IF(OR(LINEAS!$D$184="",LINEAS!$U$184=0,ABS(IF(OR(LINEAS!$U$184=1,LINEAS!$U$184=3),1,-1)*LINEAS!$AF$184*DATOS!$C$67)&lt;0.00005),"*",LINEAS!$D$184&amp;" UNI "&amp;IF(LINEAS!$U$184&lt;=2,"GZ","GX")&amp;" "&amp;TEXT(IF(OR(LINEAS!$U$184=1,LINEAS!$U$184=3),1,-1)*LINEAS!$AF$184*DATOS!$C$67,DATOS!$C$68)))</f>
        <v/>
      </c>
      <c r="E1058" s="51" t="str">
        <f aca="false">IF(LEN($D1058)&gt;79,"MÁS DE 79 CARACTERES","")</f>
        <v/>
      </c>
    </row>
    <row r="1059" customFormat="false" ht="15" hidden="false" customHeight="true" outlineLevel="0" collapsed="false">
      <c r="B1059" s="53" t="str">
        <f aca="false">IF(OR(LINEAS!$D$185="",LINEAS!$U$185=0,ABS(IF(OR(LINEAS!$U$185=1,LINEAS!$U$185=3),1,-1)*LINEAS!$AF$185*DATOS!$C$67)&lt;0.00005),"*",LINEAS!$D$185&amp;" UNI "&amp;IF(LINEAS!$U$185&lt;=2,"GZ","GX")&amp;" "&amp;TEXT(IF(OR(LINEAS!$U$185=1,LINEAS!$U$185=3),1,-1)*LINEAS!$AF$185*DATOS!$C$67,DATOS!$C$68))</f>
        <v>*</v>
      </c>
      <c r="C1059" s="51" t="str">
        <f aca="false">IF(LEN($B1059)&gt;79,"MÁS DE 79 CARACTERES","")</f>
        <v/>
      </c>
      <c r="D1059" s="53" t="str">
        <f aca="false">IF(PRESIONES!$C$22="NO","",IF(OR(LINEAS!$D$185="",LINEAS!$U$185=0,ABS(IF(OR(LINEAS!$U$185=1,LINEAS!$U$185=3),1,-1)*LINEAS!$AF$185*DATOS!$C$67)&lt;0.00005),"*",LINEAS!$D$185&amp;" UNI "&amp;IF(LINEAS!$U$185&lt;=2,"GZ","GX")&amp;" "&amp;TEXT(IF(OR(LINEAS!$U$185=1,LINEAS!$U$185=3),1,-1)*LINEAS!$AF$185*DATOS!$C$67,DATOS!$C$68)))</f>
        <v/>
      </c>
      <c r="E1059" s="51" t="str">
        <f aca="false">IF(LEN($D1059)&gt;79,"MÁS DE 79 CARACTERES","")</f>
        <v/>
      </c>
    </row>
    <row r="1060" customFormat="false" ht="15" hidden="false" customHeight="true" outlineLevel="0" collapsed="false">
      <c r="B1060" s="53" t="str">
        <f aca="false">IF(OR(LINEAS!$D$186="",LINEAS!$U$186=0,ABS(IF(OR(LINEAS!$U$186=1,LINEAS!$U$186=3),1,-1)*LINEAS!$AF$186*DATOS!$C$67)&lt;0.00005),"*",LINEAS!$D$186&amp;" UNI "&amp;IF(LINEAS!$U$186&lt;=2,"GZ","GX")&amp;" "&amp;TEXT(IF(OR(LINEAS!$U$186=1,LINEAS!$U$186=3),1,-1)*LINEAS!$AF$186*DATOS!$C$67,DATOS!$C$68))</f>
        <v>*</v>
      </c>
      <c r="C1060" s="51" t="str">
        <f aca="false">IF(LEN($B1060)&gt;79,"MÁS DE 79 CARACTERES","")</f>
        <v/>
      </c>
      <c r="D1060" s="53" t="str">
        <f aca="false">IF(PRESIONES!$C$22="NO","",IF(OR(LINEAS!$D$186="",LINEAS!$U$186=0,ABS(IF(OR(LINEAS!$U$186=1,LINEAS!$U$186=3),1,-1)*LINEAS!$AF$186*DATOS!$C$67)&lt;0.00005),"*",LINEAS!$D$186&amp;" UNI "&amp;IF(LINEAS!$U$186&lt;=2,"GZ","GX")&amp;" "&amp;TEXT(IF(OR(LINEAS!$U$186=1,LINEAS!$U$186=3),1,-1)*LINEAS!$AF$186*DATOS!$C$67,DATOS!$C$68)))</f>
        <v/>
      </c>
      <c r="E1060" s="51" t="str">
        <f aca="false">IF(LEN($D1060)&gt;79,"MÁS DE 79 CARACTERES","")</f>
        <v/>
      </c>
    </row>
    <row r="1061" customFormat="false" ht="15" hidden="false" customHeight="true" outlineLevel="0" collapsed="false">
      <c r="B1061" s="53" t="str">
        <f aca="false">IF(OR(LINEAS!$D$187="",LINEAS!$U$187=0,ABS(IF(OR(LINEAS!$U$187=1,LINEAS!$U$187=3),1,-1)*LINEAS!$AF$187*DATOS!$C$67)&lt;0.00005),"*",LINEAS!$D$187&amp;" UNI "&amp;IF(LINEAS!$U$187&lt;=2,"GZ","GX")&amp;" "&amp;TEXT(IF(OR(LINEAS!$U$187=1,LINEAS!$U$187=3),1,-1)*LINEAS!$AF$187*DATOS!$C$67,DATOS!$C$68))</f>
        <v>*</v>
      </c>
      <c r="C1061" s="51" t="str">
        <f aca="false">IF(LEN($B1061)&gt;79,"MÁS DE 79 CARACTERES","")</f>
        <v/>
      </c>
      <c r="D1061" s="53" t="str">
        <f aca="false">IF(PRESIONES!$C$22="NO","",IF(OR(LINEAS!$D$187="",LINEAS!$U$187=0,ABS(IF(OR(LINEAS!$U$187=1,LINEAS!$U$187=3),1,-1)*LINEAS!$AF$187*DATOS!$C$67)&lt;0.00005),"*",LINEAS!$D$187&amp;" UNI "&amp;IF(LINEAS!$U$187&lt;=2,"GZ","GX")&amp;" "&amp;TEXT(IF(OR(LINEAS!$U$187=1,LINEAS!$U$187=3),1,-1)*LINEAS!$AF$187*DATOS!$C$67,DATOS!$C$68)))</f>
        <v/>
      </c>
      <c r="E1061" s="51" t="str">
        <f aca="false">IF(LEN($D1061)&gt;79,"MÁS DE 79 CARACTERES","")</f>
        <v/>
      </c>
    </row>
    <row r="1062" customFormat="false" ht="15" hidden="false" customHeight="true" outlineLevel="0" collapsed="false">
      <c r="B1062" s="53" t="str">
        <f aca="false">IF(OR(LINEAS!$D$188="",LINEAS!$U$188=0,ABS(IF(OR(LINEAS!$U$188=1,LINEAS!$U$188=3),1,-1)*LINEAS!$AF$188*DATOS!$C$67)&lt;0.00005),"*",LINEAS!$D$188&amp;" UNI "&amp;IF(LINEAS!$U$188&lt;=2,"GZ","GX")&amp;" "&amp;TEXT(IF(OR(LINEAS!$U$188=1,LINEAS!$U$188=3),1,-1)*LINEAS!$AF$188*DATOS!$C$67,DATOS!$C$68))</f>
        <v>*</v>
      </c>
      <c r="C1062" s="51" t="str">
        <f aca="false">IF(LEN($B1062)&gt;79,"MÁS DE 79 CARACTERES","")</f>
        <v/>
      </c>
      <c r="D1062" s="53" t="str">
        <f aca="false">IF(PRESIONES!$C$22="NO","",IF(OR(LINEAS!$D$188="",LINEAS!$U$188=0,ABS(IF(OR(LINEAS!$U$188=1,LINEAS!$U$188=3),1,-1)*LINEAS!$AF$188*DATOS!$C$67)&lt;0.00005),"*",LINEAS!$D$188&amp;" UNI "&amp;IF(LINEAS!$U$188&lt;=2,"GZ","GX")&amp;" "&amp;TEXT(IF(OR(LINEAS!$U$188=1,LINEAS!$U$188=3),1,-1)*LINEAS!$AF$188*DATOS!$C$67,DATOS!$C$68)))</f>
        <v/>
      </c>
      <c r="E1062" s="51" t="str">
        <f aca="false">IF(LEN($D1062)&gt;79,"MÁS DE 79 CARACTERES","")</f>
        <v/>
      </c>
    </row>
    <row r="1063" customFormat="false" ht="15" hidden="false" customHeight="true" outlineLevel="0" collapsed="false">
      <c r="B1063" s="53" t="str">
        <f aca="false">IF(OR(LINEAS!$D$189="",LINEAS!$U$189=0,ABS(IF(OR(LINEAS!$U$189=1,LINEAS!$U$189=3),1,-1)*LINEAS!$AF$189*DATOS!$C$67)&lt;0.00005),"*",LINEAS!$D$189&amp;" UNI "&amp;IF(LINEAS!$U$189&lt;=2,"GZ","GX")&amp;" "&amp;TEXT(IF(OR(LINEAS!$U$189=1,LINEAS!$U$189=3),1,-1)*LINEAS!$AF$189*DATOS!$C$67,DATOS!$C$68))</f>
        <v>*</v>
      </c>
      <c r="C1063" s="51" t="str">
        <f aca="false">IF(LEN($B1063)&gt;79,"MÁS DE 79 CARACTERES","")</f>
        <v/>
      </c>
      <c r="D1063" s="53" t="str">
        <f aca="false">IF(PRESIONES!$C$22="NO","",IF(OR(LINEAS!$D$189="",LINEAS!$U$189=0,ABS(IF(OR(LINEAS!$U$189=1,LINEAS!$U$189=3),1,-1)*LINEAS!$AF$189*DATOS!$C$67)&lt;0.00005),"*",LINEAS!$D$189&amp;" UNI "&amp;IF(LINEAS!$U$189&lt;=2,"GZ","GX")&amp;" "&amp;TEXT(IF(OR(LINEAS!$U$189=1,LINEAS!$U$189=3),1,-1)*LINEAS!$AF$189*DATOS!$C$67,DATOS!$C$68)))</f>
        <v/>
      </c>
      <c r="E1063" s="51" t="str">
        <f aca="false">IF(LEN($D1063)&gt;79,"MÁS DE 79 CARACTERES","")</f>
        <v/>
      </c>
    </row>
    <row r="1064" customFormat="false" ht="15" hidden="false" customHeight="true" outlineLevel="0" collapsed="false">
      <c r="B1064" s="53" t="str">
        <f aca="false">IF(OR(LINEAS!$D$190="",LINEAS!$U$190=0,ABS(IF(OR(LINEAS!$U$190=1,LINEAS!$U$190=3),1,-1)*LINEAS!$AF$190*DATOS!$C$67)&lt;0.00005),"*",LINEAS!$D$190&amp;" UNI "&amp;IF(LINEAS!$U$190&lt;=2,"GZ","GX")&amp;" "&amp;TEXT(IF(OR(LINEAS!$U$190=1,LINEAS!$U$190=3),1,-1)*LINEAS!$AF$190*DATOS!$C$67,DATOS!$C$68))</f>
        <v>*</v>
      </c>
      <c r="C1064" s="51" t="str">
        <f aca="false">IF(LEN($B1064)&gt;79,"MÁS DE 79 CARACTERES","")</f>
        <v/>
      </c>
      <c r="D1064" s="53" t="str">
        <f aca="false">IF(PRESIONES!$C$22="NO","",IF(OR(LINEAS!$D$190="",LINEAS!$U$190=0,ABS(IF(OR(LINEAS!$U$190=1,LINEAS!$U$190=3),1,-1)*LINEAS!$AF$190*DATOS!$C$67)&lt;0.00005),"*",LINEAS!$D$190&amp;" UNI "&amp;IF(LINEAS!$U$190&lt;=2,"GZ","GX")&amp;" "&amp;TEXT(IF(OR(LINEAS!$U$190=1,LINEAS!$U$190=3),1,-1)*LINEAS!$AF$190*DATOS!$C$67,DATOS!$C$68)))</f>
        <v/>
      </c>
      <c r="E1064" s="51" t="str">
        <f aca="false">IF(LEN($D1064)&gt;79,"MÁS DE 79 CARACTERES","")</f>
        <v/>
      </c>
    </row>
    <row r="1065" customFormat="false" ht="15" hidden="false" customHeight="true" outlineLevel="0" collapsed="false">
      <c r="B1065" s="53" t="str">
        <f aca="false">IF(OR(LINEAS!$D$191="",LINEAS!$U$191=0,ABS(IF(OR(LINEAS!$U$191=1,LINEAS!$U$191=3),1,-1)*LINEAS!$AF$191*DATOS!$C$67)&lt;0.00005),"*",LINEAS!$D$191&amp;" UNI "&amp;IF(LINEAS!$U$191&lt;=2,"GZ","GX")&amp;" "&amp;TEXT(IF(OR(LINEAS!$U$191=1,LINEAS!$U$191=3),1,-1)*LINEAS!$AF$191*DATOS!$C$67,DATOS!$C$68))</f>
        <v>*</v>
      </c>
      <c r="C1065" s="51" t="str">
        <f aca="false">IF(LEN($B1065)&gt;79,"MÁS DE 79 CARACTERES","")</f>
        <v/>
      </c>
      <c r="D1065" s="53" t="str">
        <f aca="false">IF(PRESIONES!$C$22="NO","",IF(OR(LINEAS!$D$191="",LINEAS!$U$191=0,ABS(IF(OR(LINEAS!$U$191=1,LINEAS!$U$191=3),1,-1)*LINEAS!$AF$191*DATOS!$C$67)&lt;0.00005),"*",LINEAS!$D$191&amp;" UNI "&amp;IF(LINEAS!$U$191&lt;=2,"GZ","GX")&amp;" "&amp;TEXT(IF(OR(LINEAS!$U$191=1,LINEAS!$U$191=3),1,-1)*LINEAS!$AF$191*DATOS!$C$67,DATOS!$C$68)))</f>
        <v/>
      </c>
      <c r="E1065" s="51" t="str">
        <f aca="false">IF(LEN($D1065)&gt;79,"MÁS DE 79 CARACTERES","")</f>
        <v/>
      </c>
    </row>
    <row r="1066" customFormat="false" ht="15" hidden="false" customHeight="true" outlineLevel="0" collapsed="false">
      <c r="B1066" s="53" t="str">
        <f aca="false">IF(OR(LINEAS!$D$192="",LINEAS!$U$192=0,ABS(IF(OR(LINEAS!$U$192=1,LINEAS!$U$192=3),1,-1)*LINEAS!$AF$192*DATOS!$C$67)&lt;0.00005),"*",LINEAS!$D$192&amp;" UNI "&amp;IF(LINEAS!$U$192&lt;=2,"GZ","GX")&amp;" "&amp;TEXT(IF(OR(LINEAS!$U$192=1,LINEAS!$U$192=3),1,-1)*LINEAS!$AF$192*DATOS!$C$67,DATOS!$C$68))</f>
        <v>*</v>
      </c>
      <c r="C1066" s="51" t="str">
        <f aca="false">IF(LEN($B1066)&gt;79,"MÁS DE 79 CARACTERES","")</f>
        <v/>
      </c>
      <c r="D1066" s="53" t="str">
        <f aca="false">IF(PRESIONES!$C$22="NO","",IF(OR(LINEAS!$D$192="",LINEAS!$U$192=0,ABS(IF(OR(LINEAS!$U$192=1,LINEAS!$U$192=3),1,-1)*LINEAS!$AF$192*DATOS!$C$67)&lt;0.00005),"*",LINEAS!$D$192&amp;" UNI "&amp;IF(LINEAS!$U$192&lt;=2,"GZ","GX")&amp;" "&amp;TEXT(IF(OR(LINEAS!$U$192=1,LINEAS!$U$192=3),1,-1)*LINEAS!$AF$192*DATOS!$C$67,DATOS!$C$68)))</f>
        <v/>
      </c>
      <c r="E1066" s="51" t="str">
        <f aca="false">IF(LEN($D1066)&gt;79,"MÁS DE 79 CARACTERES","")</f>
        <v/>
      </c>
    </row>
    <row r="1067" customFormat="false" ht="15" hidden="false" customHeight="true" outlineLevel="0" collapsed="false">
      <c r="B1067" s="53" t="str">
        <f aca="false">IF(OR(LINEAS!$D$193="",LINEAS!$U$193=0,ABS(IF(OR(LINEAS!$U$193=1,LINEAS!$U$193=3),1,-1)*LINEAS!$AF$193*DATOS!$C$67)&lt;0.00005),"*",LINEAS!$D$193&amp;" UNI "&amp;IF(LINEAS!$U$193&lt;=2,"GZ","GX")&amp;" "&amp;TEXT(IF(OR(LINEAS!$U$193=1,LINEAS!$U$193=3),1,-1)*LINEAS!$AF$193*DATOS!$C$67,DATOS!$C$68))</f>
        <v>*</v>
      </c>
      <c r="C1067" s="51" t="str">
        <f aca="false">IF(LEN($B1067)&gt;79,"MÁS DE 79 CARACTERES","")</f>
        <v/>
      </c>
      <c r="D1067" s="53" t="str">
        <f aca="false">IF(PRESIONES!$C$22="NO","",IF(OR(LINEAS!$D$193="",LINEAS!$U$193=0,ABS(IF(OR(LINEAS!$U$193=1,LINEAS!$U$193=3),1,-1)*LINEAS!$AF$193*DATOS!$C$67)&lt;0.00005),"*",LINEAS!$D$193&amp;" UNI "&amp;IF(LINEAS!$U$193&lt;=2,"GZ","GX")&amp;" "&amp;TEXT(IF(OR(LINEAS!$U$193=1,LINEAS!$U$193=3),1,-1)*LINEAS!$AF$193*DATOS!$C$67,DATOS!$C$68)))</f>
        <v/>
      </c>
      <c r="E1067" s="51" t="str">
        <f aca="false">IF(LEN($D1067)&gt;79,"MÁS DE 79 CARACTERES","")</f>
        <v/>
      </c>
    </row>
    <row r="1068" customFormat="false" ht="15" hidden="false" customHeight="true" outlineLevel="0" collapsed="false">
      <c r="B1068" s="53" t="str">
        <f aca="false">IF(OR(LINEAS!$D$194="",LINEAS!$U$194=0,ABS(IF(OR(LINEAS!$U$194=1,LINEAS!$U$194=3),1,-1)*LINEAS!$AF$194*DATOS!$C$67)&lt;0.00005),"*",LINEAS!$D$194&amp;" UNI "&amp;IF(LINEAS!$U$194&lt;=2,"GZ","GX")&amp;" "&amp;TEXT(IF(OR(LINEAS!$U$194=1,LINEAS!$U$194=3),1,-1)*LINEAS!$AF$194*DATOS!$C$67,DATOS!$C$68))</f>
        <v>*</v>
      </c>
      <c r="C1068" s="51" t="str">
        <f aca="false">IF(LEN($B1068)&gt;79,"MÁS DE 79 CARACTERES","")</f>
        <v/>
      </c>
      <c r="D1068" s="53" t="str">
        <f aca="false">IF(PRESIONES!$C$22="NO","",IF(OR(LINEAS!$D$194="",LINEAS!$U$194=0,ABS(IF(OR(LINEAS!$U$194=1,LINEAS!$U$194=3),1,-1)*LINEAS!$AF$194*DATOS!$C$67)&lt;0.00005),"*",LINEAS!$D$194&amp;" UNI "&amp;IF(LINEAS!$U$194&lt;=2,"GZ","GX")&amp;" "&amp;TEXT(IF(OR(LINEAS!$U$194=1,LINEAS!$U$194=3),1,-1)*LINEAS!$AF$194*DATOS!$C$67,DATOS!$C$68)))</f>
        <v/>
      </c>
      <c r="E1068" s="51" t="str">
        <f aca="false">IF(LEN($D1068)&gt;79,"MÁS DE 79 CARACTERES","")</f>
        <v/>
      </c>
    </row>
    <row r="1069" customFormat="false" ht="15" hidden="false" customHeight="true" outlineLevel="0" collapsed="false">
      <c r="B1069" s="52" t="str">
        <f aca="false">"LOAD "&amp;(DATOS!$C$66+5)&amp;" LOADTYPE Wind  TITLE "&amp;DATOS!$E$77</f>
        <v>LOAD 13 LOADTYPE Wind  TITLE VIENTO -X PA</v>
      </c>
      <c r="C1069" s="51" t="str">
        <f aca="false">IF(LEN($B1069)&gt;79,"MÁS DE 79 CARACTERES","")</f>
        <v/>
      </c>
      <c r="D1069" s="53" t="str">
        <f aca="false">IF(PRESIONES!$C$22="NO",IF(6=1,"* CASOS B = CASOS A (SIN ±0.4 NI +0.3 EN EL TECHO): NO HACE FALTA",""),"LOAD "&amp;(DATOS!$C$69+5)&amp;" LOADTYPE Wind  TITLE "&amp;DATOS!$E$77&amp;" B")</f>
        <v/>
      </c>
      <c r="E1069" s="51" t="str">
        <f aca="false">IF(LEN($D1069)&gt;79,"MÁS DE 79 CARACTERES","")</f>
        <v/>
      </c>
    </row>
    <row r="1070" customFormat="false" ht="15" hidden="false" customHeight="true" outlineLevel="0" collapsed="false">
      <c r="B1070" s="53" t="s">
        <v>634</v>
      </c>
      <c r="C1070" s="51" t="str">
        <f aca="false">IF(LEN($B1070)&gt;79,"MÁS DE 79 CARACTERES","")</f>
        <v/>
      </c>
      <c r="D1070" s="53" t="str">
        <f aca="false">IF(PRESIONES!$C$22="NO","","MEMBER LOAD")</f>
        <v/>
      </c>
      <c r="E1070" s="51" t="str">
        <f aca="false">IF(LEN($D1070)&gt;79,"MÁS DE 79 CARACTERES","")</f>
        <v/>
      </c>
    </row>
    <row r="1071" customFormat="false" ht="15" hidden="false" customHeight="true" outlineLevel="0" collapsed="false">
      <c r="B1071" s="53" t="str">
        <f aca="false">IF(OR(LINEAS!$D$9="",ABS(-LINEAS!$AG$9*DATOS!$C$67)&lt;0.00005),"*",LINEAS!$D$9&amp;" UNI GY "&amp;TEXT(-LINEAS!$AG$9*DATOS!$C$67,DATOS!$C$68))</f>
        <v>22 85 TO 88 UNI GY 0.0659</v>
      </c>
      <c r="C1071" s="51" t="str">
        <f aca="false">IF(LEN($B1071)&gt;79,"MÁS DE 79 CARACTERES","")</f>
        <v/>
      </c>
      <c r="D1071" s="53" t="str">
        <f aca="false">IF(PRESIONES!$C$22="NO","",IF(OR(LINEAS!$D$9="",ABS(-LINEAS!$AW$9*DATOS!$C$67)&lt;0.00005),"*",LINEAS!$D$9&amp;" UNI GY "&amp;TEXT(-LINEAS!$AW$9*DATOS!$C$67,DATOS!$C$68)))</f>
        <v/>
      </c>
      <c r="E1071" s="51" t="str">
        <f aca="false">IF(LEN($D1071)&gt;79,"MÁS DE 79 CARACTERES","")</f>
        <v/>
      </c>
    </row>
    <row r="1072" customFormat="false" ht="15" hidden="false" customHeight="true" outlineLevel="0" collapsed="false">
      <c r="B1072" s="53" t="str">
        <f aca="false">IF(OR(LINEAS!$D$9="",DATOS!$C$22="—",ABS(LINEAS!$AO$9*DATOS!$C$67)&lt;0.00005),"*",LINEAS!$D$9&amp;" UNI G"&amp;DATOS!$C$22&amp;" "&amp;TEXT(LINEAS!$AO$9*DATOS!$C$67,DATOS!$C$68))</f>
        <v>22 85 TO 88 UNI GZ 0.0033</v>
      </c>
      <c r="C1072" s="51" t="str">
        <f aca="false">IF(LEN($B1072)&gt;79,"MÁS DE 79 CARACTERES","")</f>
        <v/>
      </c>
      <c r="D1072" s="53" t="str">
        <f aca="false">IF(PRESIONES!$C$22="NO","",IF(OR(LINEAS!$D$9="",DATOS!$C$22="—",ABS(LINEAS!$BE$9*DATOS!$C$67)&lt;0.00005),"*",LINEAS!$D$9&amp;" UNI G"&amp;DATOS!$C$22&amp;" "&amp;TEXT(LINEAS!$BE$9*DATOS!$C$67,DATOS!$C$68)))</f>
        <v/>
      </c>
      <c r="E1072" s="51" t="str">
        <f aca="false">IF(LEN($D1072)&gt;79,"MÁS DE 79 CARACTERES","")</f>
        <v/>
      </c>
    </row>
    <row r="1073" customFormat="false" ht="15" hidden="false" customHeight="true" outlineLevel="0" collapsed="false">
      <c r="B1073" s="53" t="str">
        <f aca="false">IF(OR(LINEAS!$D$10="",ABS(-LINEAS!$AG$10*DATOS!$C$67)&lt;0.00005),"*",LINEAS!$D$10&amp;" UNI GY "&amp;TEXT(-LINEAS!$AG$10*DATOS!$C$67,DATOS!$C$68))</f>
        <v>80 129 TO 132 UNI GY 0.1318</v>
      </c>
      <c r="C1073" s="51" t="str">
        <f aca="false">IF(LEN($B1073)&gt;79,"MÁS DE 79 CARACTERES","")</f>
        <v/>
      </c>
      <c r="D1073" s="53" t="str">
        <f aca="false">IF(PRESIONES!$C$22="NO","",IF(OR(LINEAS!$D$10="",ABS(-LINEAS!$AW$10*DATOS!$C$67)&lt;0.00005),"*",LINEAS!$D$10&amp;" UNI GY "&amp;TEXT(-LINEAS!$AW$10*DATOS!$C$67,DATOS!$C$68)))</f>
        <v/>
      </c>
      <c r="E1073" s="51" t="str">
        <f aca="false">IF(LEN($D1073)&gt;79,"MÁS DE 79 CARACTERES","")</f>
        <v/>
      </c>
    </row>
    <row r="1074" customFormat="false" ht="15" hidden="false" customHeight="true" outlineLevel="0" collapsed="false">
      <c r="B1074" s="53" t="str">
        <f aca="false">IF(OR(LINEAS!$D$10="",DATOS!$C$22="—",ABS(LINEAS!$AO$10*DATOS!$C$67)&lt;0.00005),"*",LINEAS!$D$10&amp;" UNI G"&amp;DATOS!$C$22&amp;" "&amp;TEXT(LINEAS!$AO$10*DATOS!$C$67,DATOS!$C$68))</f>
        <v>80 129 TO 132 UNI GZ 0.0066</v>
      </c>
      <c r="C1074" s="51" t="str">
        <f aca="false">IF(LEN($B1074)&gt;79,"MÁS DE 79 CARACTERES","")</f>
        <v/>
      </c>
      <c r="D1074" s="53" t="str">
        <f aca="false">IF(PRESIONES!$C$22="NO","",IF(OR(LINEAS!$D$10="",DATOS!$C$22="—",ABS(LINEAS!$BE$10*DATOS!$C$67)&lt;0.00005),"*",LINEAS!$D$10&amp;" UNI G"&amp;DATOS!$C$22&amp;" "&amp;TEXT(LINEAS!$BE$10*DATOS!$C$67,DATOS!$C$68)))</f>
        <v/>
      </c>
      <c r="E1074" s="51" t="str">
        <f aca="false">IF(LEN($D1074)&gt;79,"MÁS DE 79 CARACTERES","")</f>
        <v/>
      </c>
    </row>
    <row r="1075" customFormat="false" ht="15" hidden="false" customHeight="true" outlineLevel="0" collapsed="false">
      <c r="B1075" s="53" t="str">
        <f aca="false">IF(OR(LINEAS!$D$11="",ABS(-LINEAS!$AG$11*DATOS!$C$67)&lt;0.00005),"*",LINEAS!$D$11&amp;" UNI GY "&amp;TEXT(-LINEAS!$AG$11*DATOS!$C$67,DATOS!$C$68))</f>
        <v>79 125 TO 128 UNI GY 0.1318</v>
      </c>
      <c r="C1075" s="51" t="str">
        <f aca="false">IF(LEN($B1075)&gt;79,"MÁS DE 79 CARACTERES","")</f>
        <v/>
      </c>
      <c r="D1075" s="53" t="str">
        <f aca="false">IF(PRESIONES!$C$22="NO","",IF(OR(LINEAS!$D$11="",ABS(-LINEAS!$AW$11*DATOS!$C$67)&lt;0.00005),"*",LINEAS!$D$11&amp;" UNI GY "&amp;TEXT(-LINEAS!$AW$11*DATOS!$C$67,DATOS!$C$68)))</f>
        <v/>
      </c>
      <c r="E1075" s="51" t="str">
        <f aca="false">IF(LEN($D1075)&gt;79,"MÁS DE 79 CARACTERES","")</f>
        <v/>
      </c>
    </row>
    <row r="1076" customFormat="false" ht="15" hidden="false" customHeight="true" outlineLevel="0" collapsed="false">
      <c r="B1076" s="53" t="str">
        <f aca="false">IF(OR(LINEAS!$D$11="",DATOS!$C$22="—",ABS(LINEAS!$AO$11*DATOS!$C$67)&lt;0.00005),"*",LINEAS!$D$11&amp;" UNI G"&amp;DATOS!$C$22&amp;" "&amp;TEXT(LINEAS!$AO$11*DATOS!$C$67,DATOS!$C$68))</f>
        <v>79 125 TO 128 UNI GZ 0.0066</v>
      </c>
      <c r="C1076" s="51" t="str">
        <f aca="false">IF(LEN($B1076)&gt;79,"MÁS DE 79 CARACTERES","")</f>
        <v/>
      </c>
      <c r="D1076" s="53" t="str">
        <f aca="false">IF(PRESIONES!$C$22="NO","",IF(OR(LINEAS!$D$11="",DATOS!$C$22="—",ABS(LINEAS!$BE$11*DATOS!$C$67)&lt;0.00005),"*",LINEAS!$D$11&amp;" UNI G"&amp;DATOS!$C$22&amp;" "&amp;TEXT(LINEAS!$BE$11*DATOS!$C$67,DATOS!$C$68)))</f>
        <v/>
      </c>
      <c r="E1076" s="51" t="str">
        <f aca="false">IF(LEN($D1076)&gt;79,"MÁS DE 79 CARACTERES","")</f>
        <v/>
      </c>
    </row>
    <row r="1077" customFormat="false" ht="15" hidden="false" customHeight="true" outlineLevel="0" collapsed="false">
      <c r="B1077" s="53" t="str">
        <f aca="false">IF(OR(LINEAS!$D$12="",ABS(-LINEAS!$AG$12*DATOS!$C$67)&lt;0.00005),"*",LINEAS!$D$12&amp;" UNI GY "&amp;TEXT(-LINEAS!$AG$12*DATOS!$C$67,DATOS!$C$68))</f>
        <v>78 121 TO 124 UNI GY 0.1318</v>
      </c>
      <c r="C1077" s="51" t="str">
        <f aca="false">IF(LEN($B1077)&gt;79,"MÁS DE 79 CARACTERES","")</f>
        <v/>
      </c>
      <c r="D1077" s="53" t="str">
        <f aca="false">IF(PRESIONES!$C$22="NO","",IF(OR(LINEAS!$D$12="",ABS(-LINEAS!$AW$12*DATOS!$C$67)&lt;0.00005),"*",LINEAS!$D$12&amp;" UNI GY "&amp;TEXT(-LINEAS!$AW$12*DATOS!$C$67,DATOS!$C$68)))</f>
        <v/>
      </c>
      <c r="E1077" s="51" t="str">
        <f aca="false">IF(LEN($D1077)&gt;79,"MÁS DE 79 CARACTERES","")</f>
        <v/>
      </c>
    </row>
    <row r="1078" customFormat="false" ht="15" hidden="false" customHeight="true" outlineLevel="0" collapsed="false">
      <c r="B1078" s="53" t="str">
        <f aca="false">IF(OR(LINEAS!$D$12="",DATOS!$C$22="—",ABS(LINEAS!$AO$12*DATOS!$C$67)&lt;0.00005),"*",LINEAS!$D$12&amp;" UNI G"&amp;DATOS!$C$22&amp;" "&amp;TEXT(LINEAS!$AO$12*DATOS!$C$67,DATOS!$C$68))</f>
        <v>78 121 TO 124 UNI GZ 0.0066</v>
      </c>
      <c r="C1078" s="51" t="str">
        <f aca="false">IF(LEN($B1078)&gt;79,"MÁS DE 79 CARACTERES","")</f>
        <v/>
      </c>
      <c r="D1078" s="53" t="str">
        <f aca="false">IF(PRESIONES!$C$22="NO","",IF(OR(LINEAS!$D$12="",DATOS!$C$22="—",ABS(LINEAS!$BE$12*DATOS!$C$67)&lt;0.00005),"*",LINEAS!$D$12&amp;" UNI G"&amp;DATOS!$C$22&amp;" "&amp;TEXT(LINEAS!$BE$12*DATOS!$C$67,DATOS!$C$68)))</f>
        <v/>
      </c>
      <c r="E1078" s="51" t="str">
        <f aca="false">IF(LEN($D1078)&gt;79,"MÁS DE 79 CARACTERES","")</f>
        <v/>
      </c>
    </row>
    <row r="1079" customFormat="false" ht="15" hidden="false" customHeight="true" outlineLevel="0" collapsed="false">
      <c r="B1079" s="53" t="str">
        <f aca="false">IF(OR(LINEAS!$D$13="",ABS(-LINEAS!$AG$13*DATOS!$C$67)&lt;0.00005),"*",LINEAS!$D$13&amp;" UNI GY "&amp;TEXT(-LINEAS!$AG$13*DATOS!$C$67,DATOS!$C$68))</f>
        <v>77 117 TO 120 UNI GY 0.1318</v>
      </c>
      <c r="C1079" s="51" t="str">
        <f aca="false">IF(LEN($B1079)&gt;79,"MÁS DE 79 CARACTERES","")</f>
        <v/>
      </c>
      <c r="D1079" s="53" t="str">
        <f aca="false">IF(PRESIONES!$C$22="NO","",IF(OR(LINEAS!$D$13="",ABS(-LINEAS!$AW$13*DATOS!$C$67)&lt;0.00005),"*",LINEAS!$D$13&amp;" UNI GY "&amp;TEXT(-LINEAS!$AW$13*DATOS!$C$67,DATOS!$C$68)))</f>
        <v/>
      </c>
      <c r="E1079" s="51" t="str">
        <f aca="false">IF(LEN($D1079)&gt;79,"MÁS DE 79 CARACTERES","")</f>
        <v/>
      </c>
    </row>
    <row r="1080" customFormat="false" ht="15" hidden="false" customHeight="true" outlineLevel="0" collapsed="false">
      <c r="B1080" s="53" t="str">
        <f aca="false">IF(OR(LINEAS!$D$13="",DATOS!$C$22="—",ABS(LINEAS!$AO$13*DATOS!$C$67)&lt;0.00005),"*",LINEAS!$D$13&amp;" UNI G"&amp;DATOS!$C$22&amp;" "&amp;TEXT(LINEAS!$AO$13*DATOS!$C$67,DATOS!$C$68))</f>
        <v>77 117 TO 120 UNI GZ 0.0066</v>
      </c>
      <c r="C1080" s="51" t="str">
        <f aca="false">IF(LEN($B1080)&gt;79,"MÁS DE 79 CARACTERES","")</f>
        <v/>
      </c>
      <c r="D1080" s="53" t="str">
        <f aca="false">IF(PRESIONES!$C$22="NO","",IF(OR(LINEAS!$D$13="",DATOS!$C$22="—",ABS(LINEAS!$BE$13*DATOS!$C$67)&lt;0.00005),"*",LINEAS!$D$13&amp;" UNI G"&amp;DATOS!$C$22&amp;" "&amp;TEXT(LINEAS!$BE$13*DATOS!$C$67,DATOS!$C$68)))</f>
        <v/>
      </c>
      <c r="E1080" s="51" t="str">
        <f aca="false">IF(LEN($D1080)&gt;79,"MÁS DE 79 CARACTERES","")</f>
        <v/>
      </c>
    </row>
    <row r="1081" customFormat="false" ht="15" hidden="false" customHeight="true" outlineLevel="0" collapsed="false">
      <c r="B1081" s="53" t="str">
        <f aca="false">IF(OR(LINEAS!$D$14="",ABS(-LINEAS!$AG$14*DATOS!$C$67)&lt;0.00005),"*",LINEAS!$D$14&amp;" UNI GY "&amp;TEXT(-LINEAS!$AG$14*DATOS!$C$67,DATOS!$C$68))</f>
        <v>9 93 TO 96 UNI GY 0.1318</v>
      </c>
      <c r="C1081" s="51" t="str">
        <f aca="false">IF(LEN($B1081)&gt;79,"MÁS DE 79 CARACTERES","")</f>
        <v/>
      </c>
      <c r="D1081" s="53" t="str">
        <f aca="false">IF(PRESIONES!$C$22="NO","",IF(OR(LINEAS!$D$14="",ABS(-LINEAS!$AW$14*DATOS!$C$67)&lt;0.00005),"*",LINEAS!$D$14&amp;" UNI GY "&amp;TEXT(-LINEAS!$AW$14*DATOS!$C$67,DATOS!$C$68)))</f>
        <v/>
      </c>
      <c r="E1081" s="51" t="str">
        <f aca="false">IF(LEN($D1081)&gt;79,"MÁS DE 79 CARACTERES","")</f>
        <v/>
      </c>
    </row>
    <row r="1082" customFormat="false" ht="15" hidden="false" customHeight="true" outlineLevel="0" collapsed="false">
      <c r="B1082" s="53" t="str">
        <f aca="false">IF(OR(LINEAS!$D$14="",DATOS!$C$22="—",ABS(LINEAS!$AO$14*DATOS!$C$67)&lt;0.00005),"*",LINEAS!$D$14&amp;" UNI G"&amp;DATOS!$C$22&amp;" "&amp;TEXT(LINEAS!$AO$14*DATOS!$C$67,DATOS!$C$68))</f>
        <v>9 93 TO 96 UNI GZ 0.0066</v>
      </c>
      <c r="C1082" s="51" t="str">
        <f aca="false">IF(LEN($B1082)&gt;79,"MÁS DE 79 CARACTERES","")</f>
        <v/>
      </c>
      <c r="D1082" s="53" t="str">
        <f aca="false">IF(PRESIONES!$C$22="NO","",IF(OR(LINEAS!$D$14="",DATOS!$C$22="—",ABS(LINEAS!$BE$14*DATOS!$C$67)&lt;0.00005),"*",LINEAS!$D$14&amp;" UNI G"&amp;DATOS!$C$22&amp;" "&amp;TEXT(LINEAS!$BE$14*DATOS!$C$67,DATOS!$C$68)))</f>
        <v/>
      </c>
      <c r="E1082" s="51" t="str">
        <f aca="false">IF(LEN($D1082)&gt;79,"MÁS DE 79 CARACTERES","")</f>
        <v/>
      </c>
    </row>
    <row r="1083" customFormat="false" ht="15" hidden="false" customHeight="true" outlineLevel="0" collapsed="false">
      <c r="B1083" s="53" t="str">
        <f aca="false">IF(OR(LINEAS!$D$15="",ABS(-LINEAS!$AG$15*DATOS!$C$67)&lt;0.00005),"*",LINEAS!$D$15&amp;" UNI GY "&amp;TEXT(-LINEAS!$AG$15*DATOS!$C$67,DATOS!$C$68))</f>
        <v>76 113 TO 116 UNI GY 0.1318</v>
      </c>
      <c r="C1083" s="51" t="str">
        <f aca="false">IF(LEN($B1083)&gt;79,"MÁS DE 79 CARACTERES","")</f>
        <v/>
      </c>
      <c r="D1083" s="53" t="str">
        <f aca="false">IF(PRESIONES!$C$22="NO","",IF(OR(LINEAS!$D$15="",ABS(-LINEAS!$AW$15*DATOS!$C$67)&lt;0.00005),"*",LINEAS!$D$15&amp;" UNI GY "&amp;TEXT(-LINEAS!$AW$15*DATOS!$C$67,DATOS!$C$68)))</f>
        <v/>
      </c>
      <c r="E1083" s="51" t="str">
        <f aca="false">IF(LEN($D1083)&gt;79,"MÁS DE 79 CARACTERES","")</f>
        <v/>
      </c>
    </row>
    <row r="1084" customFormat="false" ht="15" hidden="false" customHeight="true" outlineLevel="0" collapsed="false">
      <c r="B1084" s="53" t="str">
        <f aca="false">IF(OR(LINEAS!$D$15="",DATOS!$C$22="—",ABS(LINEAS!$AO$15*DATOS!$C$67)&lt;0.00005),"*",LINEAS!$D$15&amp;" UNI G"&amp;DATOS!$C$22&amp;" "&amp;TEXT(LINEAS!$AO$15*DATOS!$C$67,DATOS!$C$68))</f>
        <v>76 113 TO 116 UNI GZ 0.0066</v>
      </c>
      <c r="C1084" s="51" t="str">
        <f aca="false">IF(LEN($B1084)&gt;79,"MÁS DE 79 CARACTERES","")</f>
        <v/>
      </c>
      <c r="D1084" s="53" t="str">
        <f aca="false">IF(PRESIONES!$C$22="NO","",IF(OR(LINEAS!$D$15="",DATOS!$C$22="—",ABS(LINEAS!$BE$15*DATOS!$C$67)&lt;0.00005),"*",LINEAS!$D$15&amp;" UNI G"&amp;DATOS!$C$22&amp;" "&amp;TEXT(LINEAS!$BE$15*DATOS!$C$67,DATOS!$C$68)))</f>
        <v/>
      </c>
      <c r="E1084" s="51" t="str">
        <f aca="false">IF(LEN($D1084)&gt;79,"MÁS DE 79 CARACTERES","")</f>
        <v/>
      </c>
    </row>
    <row r="1085" customFormat="false" ht="15" hidden="false" customHeight="true" outlineLevel="0" collapsed="false">
      <c r="B1085" s="53" t="str">
        <f aca="false">IF(OR(LINEAS!$D$16="",ABS(-LINEAS!$AG$16*DATOS!$C$67)&lt;0.00005),"*",LINEAS!$D$16&amp;" UNI GY "&amp;TEXT(-LINEAS!$AG$16*DATOS!$C$67,DATOS!$C$68))</f>
        <v>75 109 TO 112 UNI GY 0.1318</v>
      </c>
      <c r="C1085" s="51" t="str">
        <f aca="false">IF(LEN($B1085)&gt;79,"MÁS DE 79 CARACTERES","")</f>
        <v/>
      </c>
      <c r="D1085" s="53" t="str">
        <f aca="false">IF(PRESIONES!$C$22="NO","",IF(OR(LINEAS!$D$16="",ABS(-LINEAS!$AW$16*DATOS!$C$67)&lt;0.00005),"*",LINEAS!$D$16&amp;" UNI GY "&amp;TEXT(-LINEAS!$AW$16*DATOS!$C$67,DATOS!$C$68)))</f>
        <v/>
      </c>
      <c r="E1085" s="51" t="str">
        <f aca="false">IF(LEN($D1085)&gt;79,"MÁS DE 79 CARACTERES","")</f>
        <v/>
      </c>
    </row>
    <row r="1086" customFormat="false" ht="15" hidden="false" customHeight="true" outlineLevel="0" collapsed="false">
      <c r="B1086" s="53" t="str">
        <f aca="false">IF(OR(LINEAS!$D$16="",DATOS!$C$22="—",ABS(LINEAS!$AO$16*DATOS!$C$67)&lt;0.00005),"*",LINEAS!$D$16&amp;" UNI G"&amp;DATOS!$C$22&amp;" "&amp;TEXT(LINEAS!$AO$16*DATOS!$C$67,DATOS!$C$68))</f>
        <v>75 109 TO 112 UNI GZ 0.0066</v>
      </c>
      <c r="C1086" s="51" t="str">
        <f aca="false">IF(LEN($B1086)&gt;79,"MÁS DE 79 CARACTERES","")</f>
        <v/>
      </c>
      <c r="D1086" s="53" t="str">
        <f aca="false">IF(PRESIONES!$C$22="NO","",IF(OR(LINEAS!$D$16="",DATOS!$C$22="—",ABS(LINEAS!$BE$16*DATOS!$C$67)&lt;0.00005),"*",LINEAS!$D$16&amp;" UNI G"&amp;DATOS!$C$22&amp;" "&amp;TEXT(LINEAS!$BE$16*DATOS!$C$67,DATOS!$C$68)))</f>
        <v/>
      </c>
      <c r="E1086" s="51" t="str">
        <f aca="false">IF(LEN($D1086)&gt;79,"MÁS DE 79 CARACTERES","")</f>
        <v/>
      </c>
    </row>
    <row r="1087" customFormat="false" ht="15" hidden="false" customHeight="true" outlineLevel="0" collapsed="false">
      <c r="B1087" s="53" t="str">
        <f aca="false">IF(OR(LINEAS!$D$17="",ABS(-LINEAS!$AG$17*DATOS!$C$67)&lt;0.00005),"*",LINEAS!$D$17&amp;" UNI GY "&amp;TEXT(-LINEAS!$AG$17*DATOS!$C$67,DATOS!$C$68))</f>
        <v>74 105 TO 108 UNI GY 0.1318</v>
      </c>
      <c r="C1087" s="51" t="str">
        <f aca="false">IF(LEN($B1087)&gt;79,"MÁS DE 79 CARACTERES","")</f>
        <v/>
      </c>
      <c r="D1087" s="53" t="str">
        <f aca="false">IF(PRESIONES!$C$22="NO","",IF(OR(LINEAS!$D$17="",ABS(-LINEAS!$AW$17*DATOS!$C$67)&lt;0.00005),"*",LINEAS!$D$17&amp;" UNI GY "&amp;TEXT(-LINEAS!$AW$17*DATOS!$C$67,DATOS!$C$68)))</f>
        <v/>
      </c>
      <c r="E1087" s="51" t="str">
        <f aca="false">IF(LEN($D1087)&gt;79,"MÁS DE 79 CARACTERES","")</f>
        <v/>
      </c>
    </row>
    <row r="1088" customFormat="false" ht="15" hidden="false" customHeight="true" outlineLevel="0" collapsed="false">
      <c r="B1088" s="53" t="str">
        <f aca="false">IF(OR(LINEAS!$D$17="",DATOS!$C$22="—",ABS(LINEAS!$AO$17*DATOS!$C$67)&lt;0.00005),"*",LINEAS!$D$17&amp;" UNI G"&amp;DATOS!$C$22&amp;" "&amp;TEXT(LINEAS!$AO$17*DATOS!$C$67,DATOS!$C$68))</f>
        <v>74 105 TO 108 UNI GZ 0.0066</v>
      </c>
      <c r="C1088" s="51" t="str">
        <f aca="false">IF(LEN($B1088)&gt;79,"MÁS DE 79 CARACTERES","")</f>
        <v/>
      </c>
      <c r="D1088" s="53" t="str">
        <f aca="false">IF(PRESIONES!$C$22="NO","",IF(OR(LINEAS!$D$17="",DATOS!$C$22="—",ABS(LINEAS!$BE$17*DATOS!$C$67)&lt;0.00005),"*",LINEAS!$D$17&amp;" UNI G"&amp;DATOS!$C$22&amp;" "&amp;TEXT(LINEAS!$BE$17*DATOS!$C$67,DATOS!$C$68)))</f>
        <v/>
      </c>
      <c r="E1088" s="51" t="str">
        <f aca="false">IF(LEN($D1088)&gt;79,"MÁS DE 79 CARACTERES","")</f>
        <v/>
      </c>
    </row>
    <row r="1089" customFormat="false" ht="15" hidden="false" customHeight="true" outlineLevel="0" collapsed="false">
      <c r="B1089" s="53" t="str">
        <f aca="false">IF(OR(LINEAS!$D$18="",ABS(-LINEAS!$AG$18*DATOS!$C$67)&lt;0.00005),"*",LINEAS!$D$18&amp;" UNI GY "&amp;TEXT(-LINEAS!$AG$18*DATOS!$C$67,DATOS!$C$68))</f>
        <v>73 101 TO 104 UNI GY 0.1318</v>
      </c>
      <c r="C1089" s="51" t="str">
        <f aca="false">IF(LEN($B1089)&gt;79,"MÁS DE 79 CARACTERES","")</f>
        <v/>
      </c>
      <c r="D1089" s="53" t="str">
        <f aca="false">IF(PRESIONES!$C$22="NO","",IF(OR(LINEAS!$D$18="",ABS(-LINEAS!$AW$18*DATOS!$C$67)&lt;0.00005),"*",LINEAS!$D$18&amp;" UNI GY "&amp;TEXT(-LINEAS!$AW$18*DATOS!$C$67,DATOS!$C$68)))</f>
        <v/>
      </c>
      <c r="E1089" s="51" t="str">
        <f aca="false">IF(LEN($D1089)&gt;79,"MÁS DE 79 CARACTERES","")</f>
        <v/>
      </c>
    </row>
    <row r="1090" customFormat="false" ht="15" hidden="false" customHeight="true" outlineLevel="0" collapsed="false">
      <c r="B1090" s="53" t="str">
        <f aca="false">IF(OR(LINEAS!$D$18="",DATOS!$C$22="—",ABS(LINEAS!$AO$18*DATOS!$C$67)&lt;0.00005),"*",LINEAS!$D$18&amp;" UNI G"&amp;DATOS!$C$22&amp;" "&amp;TEXT(LINEAS!$AO$18*DATOS!$C$67,DATOS!$C$68))</f>
        <v>73 101 TO 104 UNI GZ 0.0066</v>
      </c>
      <c r="C1090" s="51" t="str">
        <f aca="false">IF(LEN($B1090)&gt;79,"MÁS DE 79 CARACTERES","")</f>
        <v/>
      </c>
      <c r="D1090" s="53" t="str">
        <f aca="false">IF(PRESIONES!$C$22="NO","",IF(OR(LINEAS!$D$18="",DATOS!$C$22="—",ABS(LINEAS!$BE$18*DATOS!$C$67)&lt;0.00005),"*",LINEAS!$D$18&amp;" UNI G"&amp;DATOS!$C$22&amp;" "&amp;TEXT(LINEAS!$BE$18*DATOS!$C$67,DATOS!$C$68)))</f>
        <v/>
      </c>
      <c r="E1090" s="51" t="str">
        <f aca="false">IF(LEN($D1090)&gt;79,"MÁS DE 79 CARACTERES","")</f>
        <v/>
      </c>
    </row>
    <row r="1091" customFormat="false" ht="15" hidden="false" customHeight="true" outlineLevel="0" collapsed="false">
      <c r="B1091" s="53" t="str">
        <f aca="false">IF(OR(LINEAS!$D$19="",ABS(-LINEAS!$AG$19*DATOS!$C$67)&lt;0.00005),"*",LINEAS!$D$19&amp;" UNI GY "&amp;TEXT(-LINEAS!$AG$19*DATOS!$C$67,DATOS!$C$68))</f>
        <v>8 89 TO 92 UNI GY 0.1270</v>
      </c>
      <c r="C1091" s="51" t="str">
        <f aca="false">IF(LEN($B1091)&gt;79,"MÁS DE 79 CARACTERES","")</f>
        <v/>
      </c>
      <c r="D1091" s="53" t="str">
        <f aca="false">IF(PRESIONES!$C$22="NO","",IF(OR(LINEAS!$D$19="",ABS(-LINEAS!$AW$19*DATOS!$C$67)&lt;0.00005),"*",LINEAS!$D$19&amp;" UNI GY "&amp;TEXT(-LINEAS!$AW$19*DATOS!$C$67,DATOS!$C$68)))</f>
        <v/>
      </c>
      <c r="E1091" s="51" t="str">
        <f aca="false">IF(LEN($D1091)&gt;79,"MÁS DE 79 CARACTERES","")</f>
        <v/>
      </c>
    </row>
    <row r="1092" customFormat="false" ht="15" hidden="false" customHeight="true" outlineLevel="0" collapsed="false">
      <c r="B1092" s="53" t="str">
        <f aca="false">IF(OR(LINEAS!$D$19="",DATOS!$C$22="—",ABS(LINEAS!$AO$19*DATOS!$C$67)&lt;0.00005),"*",LINEAS!$D$19&amp;" UNI G"&amp;DATOS!$C$22&amp;" "&amp;TEXT(LINEAS!$AO$19*DATOS!$C$67,DATOS!$C$68))</f>
        <v>8 89 TO 92 UNI GZ 0.0063</v>
      </c>
      <c r="C1092" s="51" t="str">
        <f aca="false">IF(LEN($B1092)&gt;79,"MÁS DE 79 CARACTERES","")</f>
        <v/>
      </c>
      <c r="D1092" s="53" t="str">
        <f aca="false">IF(PRESIONES!$C$22="NO","",IF(OR(LINEAS!$D$19="",DATOS!$C$22="—",ABS(LINEAS!$BE$19*DATOS!$C$67)&lt;0.00005),"*",LINEAS!$D$19&amp;" UNI G"&amp;DATOS!$C$22&amp;" "&amp;TEXT(LINEAS!$BE$19*DATOS!$C$67,DATOS!$C$68)))</f>
        <v/>
      </c>
      <c r="E1092" s="51" t="str">
        <f aca="false">IF(LEN($D1092)&gt;79,"MÁS DE 79 CARACTERES","")</f>
        <v/>
      </c>
    </row>
    <row r="1093" customFormat="false" ht="15" hidden="false" customHeight="true" outlineLevel="0" collapsed="false">
      <c r="B1093" s="53" t="str">
        <f aca="false">IF(OR(LINEAS!$D$20="",ABS(-LINEAS!$AG$20*DATOS!$C$67)&lt;0.00005),"*",LINEAS!$D$20&amp;" UNI GY "&amp;TEXT(-LINEAS!$AG$20*DATOS!$C$67,DATOS!$C$68))</f>
        <v>56 97 TO 100 UNI GY 0.1221</v>
      </c>
      <c r="C1093" s="51" t="str">
        <f aca="false">IF(LEN($B1093)&gt;79,"MÁS DE 79 CARACTERES","")</f>
        <v/>
      </c>
      <c r="D1093" s="53" t="str">
        <f aca="false">IF(PRESIONES!$C$22="NO","",IF(OR(LINEAS!$D$20="",ABS(-LINEAS!$AW$20*DATOS!$C$67)&lt;0.00005),"*",LINEAS!$D$20&amp;" UNI GY "&amp;TEXT(-LINEAS!$AW$20*DATOS!$C$67,DATOS!$C$68)))</f>
        <v/>
      </c>
      <c r="E1093" s="51" t="str">
        <f aca="false">IF(LEN($D1093)&gt;79,"MÁS DE 79 CARACTERES","")</f>
        <v/>
      </c>
    </row>
    <row r="1094" customFormat="false" ht="15" hidden="false" customHeight="true" outlineLevel="0" collapsed="false">
      <c r="B1094" s="53" t="str">
        <f aca="false">IF(OR(LINEAS!$D$20="",DATOS!$C$22="—",ABS(LINEAS!$AO$20*DATOS!$C$67)&lt;0.00005),"*",LINEAS!$D$20&amp;" UNI G"&amp;DATOS!$C$22&amp;" "&amp;TEXT(LINEAS!$AO$20*DATOS!$C$67,DATOS!$C$68))</f>
        <v>56 97 TO 100 UNI GZ 0.0061</v>
      </c>
      <c r="C1094" s="51" t="str">
        <f aca="false">IF(LEN($B1094)&gt;79,"MÁS DE 79 CARACTERES","")</f>
        <v/>
      </c>
      <c r="D1094" s="53" t="str">
        <f aca="false">IF(PRESIONES!$C$22="NO","",IF(OR(LINEAS!$D$20="",DATOS!$C$22="—",ABS(LINEAS!$BE$20*DATOS!$C$67)&lt;0.00005),"*",LINEAS!$D$20&amp;" UNI G"&amp;DATOS!$C$22&amp;" "&amp;TEXT(LINEAS!$BE$20*DATOS!$C$67,DATOS!$C$68)))</f>
        <v/>
      </c>
      <c r="E1094" s="51" t="str">
        <f aca="false">IF(LEN($D1094)&gt;79,"MÁS DE 79 CARACTERES","")</f>
        <v/>
      </c>
    </row>
    <row r="1095" customFormat="false" ht="15" hidden="false" customHeight="true" outlineLevel="0" collapsed="false">
      <c r="B1095" s="53" t="str">
        <f aca="false">IF(OR(LINEAS!$D$21="",ABS(-LINEAS!$AG$21*DATOS!$C$67)&lt;0.00005),"*",LINEAS!$D$21&amp;" UNI GY "&amp;TEXT(-LINEAS!$AG$21*DATOS!$C$67,DATOS!$C$68))</f>
        <v>7 81 TO 84 UNI GY 0.0610</v>
      </c>
      <c r="C1095" s="51" t="str">
        <f aca="false">IF(LEN($B1095)&gt;79,"MÁS DE 79 CARACTERES","")</f>
        <v/>
      </c>
      <c r="D1095" s="53" t="str">
        <f aca="false">IF(PRESIONES!$C$22="NO","",IF(OR(LINEAS!$D$21="",ABS(-LINEAS!$AW$21*DATOS!$C$67)&lt;0.00005),"*",LINEAS!$D$21&amp;" UNI GY "&amp;TEXT(-LINEAS!$AW$21*DATOS!$C$67,DATOS!$C$68)))</f>
        <v/>
      </c>
      <c r="E1095" s="51" t="str">
        <f aca="false">IF(LEN($D1095)&gt;79,"MÁS DE 79 CARACTERES","")</f>
        <v/>
      </c>
    </row>
    <row r="1096" customFormat="false" ht="15" hidden="false" customHeight="true" outlineLevel="0" collapsed="false">
      <c r="B1096" s="53" t="str">
        <f aca="false">IF(OR(LINEAS!$D$21="",DATOS!$C$22="—",ABS(LINEAS!$AO$21*DATOS!$C$67)&lt;0.00005),"*",LINEAS!$D$21&amp;" UNI G"&amp;DATOS!$C$22&amp;" "&amp;TEXT(LINEAS!$AO$21*DATOS!$C$67,DATOS!$C$68))</f>
        <v>7 81 TO 84 UNI GZ 0.0031</v>
      </c>
      <c r="C1096" s="51" t="str">
        <f aca="false">IF(LEN($B1096)&gt;79,"MÁS DE 79 CARACTERES","")</f>
        <v/>
      </c>
      <c r="D1096" s="53" t="str">
        <f aca="false">IF(PRESIONES!$C$22="NO","",IF(OR(LINEAS!$D$21="",DATOS!$C$22="—",ABS(LINEAS!$BE$21*DATOS!$C$67)&lt;0.00005),"*",LINEAS!$D$21&amp;" UNI G"&amp;DATOS!$C$22&amp;" "&amp;TEXT(LINEAS!$BE$21*DATOS!$C$67,DATOS!$C$68)))</f>
        <v/>
      </c>
      <c r="E1096" s="51" t="str">
        <f aca="false">IF(LEN($D1096)&gt;79,"MÁS DE 79 CARACTERES","")</f>
        <v/>
      </c>
    </row>
    <row r="1097" customFormat="false" ht="15" hidden="false" customHeight="true" outlineLevel="0" collapsed="false">
      <c r="B1097" s="53" t="str">
        <f aca="false">IF(OR(LINEAS!$D$22="",ABS(-LINEAS!$AG$22*DATOS!$C$67)&lt;0.00005),"*",LINEAS!$D$22&amp;" UNI GY "&amp;TEXT(-LINEAS!$AG$22*DATOS!$C$67,DATOS!$C$68))</f>
        <v>*</v>
      </c>
      <c r="C1097" s="51" t="str">
        <f aca="false">IF(LEN($B1097)&gt;79,"MÁS DE 79 CARACTERES","")</f>
        <v/>
      </c>
      <c r="D1097" s="53" t="str">
        <f aca="false">IF(PRESIONES!$C$22="NO","",IF(OR(LINEAS!$D$22="",ABS(-LINEAS!$AW$22*DATOS!$C$67)&lt;0.00005),"*",LINEAS!$D$22&amp;" UNI GY "&amp;TEXT(-LINEAS!$AW$22*DATOS!$C$67,DATOS!$C$68)))</f>
        <v/>
      </c>
      <c r="E1097" s="51" t="str">
        <f aca="false">IF(LEN($D1097)&gt;79,"MÁS DE 79 CARACTERES","")</f>
        <v/>
      </c>
    </row>
    <row r="1098" customFormat="false" ht="15" hidden="false" customHeight="true" outlineLevel="0" collapsed="false">
      <c r="B1098" s="53" t="str">
        <f aca="false">IF(OR(LINEAS!$D$22="",DATOS!$C$22="—",ABS(LINEAS!$AO$22*DATOS!$C$67)&lt;0.00005),"*",LINEAS!$D$22&amp;" UNI G"&amp;DATOS!$C$22&amp;" "&amp;TEXT(LINEAS!$AO$22*DATOS!$C$67,DATOS!$C$68))</f>
        <v>*</v>
      </c>
      <c r="C1098" s="51" t="str">
        <f aca="false">IF(LEN($B1098)&gt;79,"MÁS DE 79 CARACTERES","")</f>
        <v/>
      </c>
      <c r="D1098" s="53" t="str">
        <f aca="false">IF(PRESIONES!$C$22="NO","",IF(OR(LINEAS!$D$22="",DATOS!$C$22="—",ABS(LINEAS!$BE$22*DATOS!$C$67)&lt;0.00005),"*",LINEAS!$D$22&amp;" UNI G"&amp;DATOS!$C$22&amp;" "&amp;TEXT(LINEAS!$BE$22*DATOS!$C$67,DATOS!$C$68)))</f>
        <v/>
      </c>
      <c r="E1098" s="51" t="str">
        <f aca="false">IF(LEN($D1098)&gt;79,"MÁS DE 79 CARACTERES","")</f>
        <v/>
      </c>
    </row>
    <row r="1099" customFormat="false" ht="15" hidden="false" customHeight="true" outlineLevel="0" collapsed="false">
      <c r="B1099" s="53" t="str">
        <f aca="false">IF(OR(LINEAS!$D$23="",ABS(-LINEAS!$AG$23*DATOS!$C$67)&lt;0.00005),"*",LINEAS!$D$23&amp;" UNI GY "&amp;TEXT(-LINEAS!$AG$23*DATOS!$C$67,DATOS!$C$68))</f>
        <v>*</v>
      </c>
      <c r="C1099" s="51" t="str">
        <f aca="false">IF(LEN($B1099)&gt;79,"MÁS DE 79 CARACTERES","")</f>
        <v/>
      </c>
      <c r="D1099" s="53" t="str">
        <f aca="false">IF(PRESIONES!$C$22="NO","",IF(OR(LINEAS!$D$23="",ABS(-LINEAS!$AW$23*DATOS!$C$67)&lt;0.00005),"*",LINEAS!$D$23&amp;" UNI GY "&amp;TEXT(-LINEAS!$AW$23*DATOS!$C$67,DATOS!$C$68)))</f>
        <v/>
      </c>
      <c r="E1099" s="51" t="str">
        <f aca="false">IF(LEN($D1099)&gt;79,"MÁS DE 79 CARACTERES","")</f>
        <v/>
      </c>
    </row>
    <row r="1100" customFormat="false" ht="15" hidden="false" customHeight="true" outlineLevel="0" collapsed="false">
      <c r="B1100" s="53" t="str">
        <f aca="false">IF(OR(LINEAS!$D$23="",DATOS!$C$22="—",ABS(LINEAS!$AO$23*DATOS!$C$67)&lt;0.00005),"*",LINEAS!$D$23&amp;" UNI G"&amp;DATOS!$C$22&amp;" "&amp;TEXT(LINEAS!$AO$23*DATOS!$C$67,DATOS!$C$68))</f>
        <v>*</v>
      </c>
      <c r="C1100" s="51" t="str">
        <f aca="false">IF(LEN($B1100)&gt;79,"MÁS DE 79 CARACTERES","")</f>
        <v/>
      </c>
      <c r="D1100" s="53" t="str">
        <f aca="false">IF(PRESIONES!$C$22="NO","",IF(OR(LINEAS!$D$23="",DATOS!$C$22="—",ABS(LINEAS!$BE$23*DATOS!$C$67)&lt;0.00005),"*",LINEAS!$D$23&amp;" UNI G"&amp;DATOS!$C$22&amp;" "&amp;TEXT(LINEAS!$BE$23*DATOS!$C$67,DATOS!$C$68)))</f>
        <v/>
      </c>
      <c r="E1100" s="51" t="str">
        <f aca="false">IF(LEN($D1100)&gt;79,"MÁS DE 79 CARACTERES","")</f>
        <v/>
      </c>
    </row>
    <row r="1101" customFormat="false" ht="15" hidden="false" customHeight="true" outlineLevel="0" collapsed="false">
      <c r="B1101" s="53" t="str">
        <f aca="false">IF(OR(LINEAS!$D$24="",ABS(-LINEAS!$AG$24*DATOS!$C$67)&lt;0.00005),"*",LINEAS!$D$24&amp;" UNI GY "&amp;TEXT(-LINEAS!$AG$24*DATOS!$C$67,DATOS!$C$68))</f>
        <v>*</v>
      </c>
      <c r="C1101" s="51" t="str">
        <f aca="false">IF(LEN($B1101)&gt;79,"MÁS DE 79 CARACTERES","")</f>
        <v/>
      </c>
      <c r="D1101" s="53" t="str">
        <f aca="false">IF(PRESIONES!$C$22="NO","",IF(OR(LINEAS!$D$24="",ABS(-LINEAS!$AW$24*DATOS!$C$67)&lt;0.00005),"*",LINEAS!$D$24&amp;" UNI GY "&amp;TEXT(-LINEAS!$AW$24*DATOS!$C$67,DATOS!$C$68)))</f>
        <v/>
      </c>
      <c r="E1101" s="51" t="str">
        <f aca="false">IF(LEN($D1101)&gt;79,"MÁS DE 79 CARACTERES","")</f>
        <v/>
      </c>
    </row>
    <row r="1102" customFormat="false" ht="15" hidden="false" customHeight="true" outlineLevel="0" collapsed="false">
      <c r="B1102" s="53" t="str">
        <f aca="false">IF(OR(LINEAS!$D$24="",DATOS!$C$22="—",ABS(LINEAS!$AO$24*DATOS!$C$67)&lt;0.00005),"*",LINEAS!$D$24&amp;" UNI G"&amp;DATOS!$C$22&amp;" "&amp;TEXT(LINEAS!$AO$24*DATOS!$C$67,DATOS!$C$68))</f>
        <v>*</v>
      </c>
      <c r="C1102" s="51" t="str">
        <f aca="false">IF(LEN($B1102)&gt;79,"MÁS DE 79 CARACTERES","")</f>
        <v/>
      </c>
      <c r="D1102" s="53" t="str">
        <f aca="false">IF(PRESIONES!$C$22="NO","",IF(OR(LINEAS!$D$24="",DATOS!$C$22="—",ABS(LINEAS!$BE$24*DATOS!$C$67)&lt;0.00005),"*",LINEAS!$D$24&amp;" UNI G"&amp;DATOS!$C$22&amp;" "&amp;TEXT(LINEAS!$BE$24*DATOS!$C$67,DATOS!$C$68)))</f>
        <v/>
      </c>
      <c r="E1102" s="51" t="str">
        <f aca="false">IF(LEN($D1102)&gt;79,"MÁS DE 79 CARACTERES","")</f>
        <v/>
      </c>
    </row>
    <row r="1103" customFormat="false" ht="15" hidden="false" customHeight="true" outlineLevel="0" collapsed="false">
      <c r="B1103" s="53" t="str">
        <f aca="false">IF(OR(LINEAS!$D$25="",ABS(-LINEAS!$AG$25*DATOS!$C$67)&lt;0.00005),"*",LINEAS!$D$25&amp;" UNI GY "&amp;TEXT(-LINEAS!$AG$25*DATOS!$C$67,DATOS!$C$68))</f>
        <v>*</v>
      </c>
      <c r="C1103" s="51" t="str">
        <f aca="false">IF(LEN($B1103)&gt;79,"MÁS DE 79 CARACTERES","")</f>
        <v/>
      </c>
      <c r="D1103" s="53" t="str">
        <f aca="false">IF(PRESIONES!$C$22="NO","",IF(OR(LINEAS!$D$25="",ABS(-LINEAS!$AW$25*DATOS!$C$67)&lt;0.00005),"*",LINEAS!$D$25&amp;" UNI GY "&amp;TEXT(-LINEAS!$AW$25*DATOS!$C$67,DATOS!$C$68)))</f>
        <v/>
      </c>
      <c r="E1103" s="51" t="str">
        <f aca="false">IF(LEN($D1103)&gt;79,"MÁS DE 79 CARACTERES","")</f>
        <v/>
      </c>
    </row>
    <row r="1104" customFormat="false" ht="15" hidden="false" customHeight="true" outlineLevel="0" collapsed="false">
      <c r="B1104" s="53" t="str">
        <f aca="false">IF(OR(LINEAS!$D$25="",DATOS!$C$22="—",ABS(LINEAS!$AO$25*DATOS!$C$67)&lt;0.00005),"*",LINEAS!$D$25&amp;" UNI G"&amp;DATOS!$C$22&amp;" "&amp;TEXT(LINEAS!$AO$25*DATOS!$C$67,DATOS!$C$68))</f>
        <v>*</v>
      </c>
      <c r="C1104" s="51" t="str">
        <f aca="false">IF(LEN($B1104)&gt;79,"MÁS DE 79 CARACTERES","")</f>
        <v/>
      </c>
      <c r="D1104" s="53" t="str">
        <f aca="false">IF(PRESIONES!$C$22="NO","",IF(OR(LINEAS!$D$25="",DATOS!$C$22="—",ABS(LINEAS!$BE$25*DATOS!$C$67)&lt;0.00005),"*",LINEAS!$D$25&amp;" UNI G"&amp;DATOS!$C$22&amp;" "&amp;TEXT(LINEAS!$BE$25*DATOS!$C$67,DATOS!$C$68)))</f>
        <v/>
      </c>
      <c r="E1104" s="51" t="str">
        <f aca="false">IF(LEN($D1104)&gt;79,"MÁS DE 79 CARACTERES","")</f>
        <v/>
      </c>
    </row>
    <row r="1105" customFormat="false" ht="15" hidden="false" customHeight="true" outlineLevel="0" collapsed="false">
      <c r="B1105" s="53" t="str">
        <f aca="false">IF(OR(LINEAS!$D$26="",ABS(-LINEAS!$AG$26*DATOS!$C$67)&lt;0.00005),"*",LINEAS!$D$26&amp;" UNI GY "&amp;TEXT(-LINEAS!$AG$26*DATOS!$C$67,DATOS!$C$68))</f>
        <v>*</v>
      </c>
      <c r="C1105" s="51" t="str">
        <f aca="false">IF(LEN($B1105)&gt;79,"MÁS DE 79 CARACTERES","")</f>
        <v/>
      </c>
      <c r="D1105" s="53" t="str">
        <f aca="false">IF(PRESIONES!$C$22="NO","",IF(OR(LINEAS!$D$26="",ABS(-LINEAS!$AW$26*DATOS!$C$67)&lt;0.00005),"*",LINEAS!$D$26&amp;" UNI GY "&amp;TEXT(-LINEAS!$AW$26*DATOS!$C$67,DATOS!$C$68)))</f>
        <v/>
      </c>
      <c r="E1105" s="51" t="str">
        <f aca="false">IF(LEN($D1105)&gt;79,"MÁS DE 79 CARACTERES","")</f>
        <v/>
      </c>
    </row>
    <row r="1106" customFormat="false" ht="15" hidden="false" customHeight="true" outlineLevel="0" collapsed="false">
      <c r="B1106" s="53" t="str">
        <f aca="false">IF(OR(LINEAS!$D$26="",DATOS!$C$22="—",ABS(LINEAS!$AO$26*DATOS!$C$67)&lt;0.00005),"*",LINEAS!$D$26&amp;" UNI G"&amp;DATOS!$C$22&amp;" "&amp;TEXT(LINEAS!$AO$26*DATOS!$C$67,DATOS!$C$68))</f>
        <v>*</v>
      </c>
      <c r="C1106" s="51" t="str">
        <f aca="false">IF(LEN($B1106)&gt;79,"MÁS DE 79 CARACTERES","")</f>
        <v/>
      </c>
      <c r="D1106" s="53" t="str">
        <f aca="false">IF(PRESIONES!$C$22="NO","",IF(OR(LINEAS!$D$26="",DATOS!$C$22="—",ABS(LINEAS!$BE$26*DATOS!$C$67)&lt;0.00005),"*",LINEAS!$D$26&amp;" UNI G"&amp;DATOS!$C$22&amp;" "&amp;TEXT(LINEAS!$BE$26*DATOS!$C$67,DATOS!$C$68)))</f>
        <v/>
      </c>
      <c r="E1106" s="51" t="str">
        <f aca="false">IF(LEN($D1106)&gt;79,"MÁS DE 79 CARACTERES","")</f>
        <v/>
      </c>
    </row>
    <row r="1107" customFormat="false" ht="15" hidden="false" customHeight="true" outlineLevel="0" collapsed="false">
      <c r="B1107" s="53" t="str">
        <f aca="false">IF(OR(LINEAS!$D$27="",ABS(-LINEAS!$AG$27*DATOS!$C$67)&lt;0.00005),"*",LINEAS!$D$27&amp;" UNI GY "&amp;TEXT(-LINEAS!$AG$27*DATOS!$C$67,DATOS!$C$68))</f>
        <v>*</v>
      </c>
      <c r="C1107" s="51" t="str">
        <f aca="false">IF(LEN($B1107)&gt;79,"MÁS DE 79 CARACTERES","")</f>
        <v/>
      </c>
      <c r="D1107" s="53" t="str">
        <f aca="false">IF(PRESIONES!$C$22="NO","",IF(OR(LINEAS!$D$27="",ABS(-LINEAS!$AW$27*DATOS!$C$67)&lt;0.00005),"*",LINEAS!$D$27&amp;" UNI GY "&amp;TEXT(-LINEAS!$AW$27*DATOS!$C$67,DATOS!$C$68)))</f>
        <v/>
      </c>
      <c r="E1107" s="51" t="str">
        <f aca="false">IF(LEN($D1107)&gt;79,"MÁS DE 79 CARACTERES","")</f>
        <v/>
      </c>
    </row>
    <row r="1108" customFormat="false" ht="15" hidden="false" customHeight="true" outlineLevel="0" collapsed="false">
      <c r="B1108" s="53" t="str">
        <f aca="false">IF(OR(LINEAS!$D$27="",DATOS!$C$22="—",ABS(LINEAS!$AO$27*DATOS!$C$67)&lt;0.00005),"*",LINEAS!$D$27&amp;" UNI G"&amp;DATOS!$C$22&amp;" "&amp;TEXT(LINEAS!$AO$27*DATOS!$C$67,DATOS!$C$68))</f>
        <v>*</v>
      </c>
      <c r="C1108" s="51" t="str">
        <f aca="false">IF(LEN($B1108)&gt;79,"MÁS DE 79 CARACTERES","")</f>
        <v/>
      </c>
      <c r="D1108" s="53" t="str">
        <f aca="false">IF(PRESIONES!$C$22="NO","",IF(OR(LINEAS!$D$27="",DATOS!$C$22="—",ABS(LINEAS!$BE$27*DATOS!$C$67)&lt;0.00005),"*",LINEAS!$D$27&amp;" UNI G"&amp;DATOS!$C$22&amp;" "&amp;TEXT(LINEAS!$BE$27*DATOS!$C$67,DATOS!$C$68)))</f>
        <v/>
      </c>
      <c r="E1108" s="51" t="str">
        <f aca="false">IF(LEN($D1108)&gt;79,"MÁS DE 79 CARACTERES","")</f>
        <v/>
      </c>
    </row>
    <row r="1109" customFormat="false" ht="15" hidden="false" customHeight="true" outlineLevel="0" collapsed="false">
      <c r="B1109" s="53" t="str">
        <f aca="false">IF(OR(LINEAS!$D$28="",ABS(-LINEAS!$AG$28*DATOS!$C$67)&lt;0.00005),"*",LINEAS!$D$28&amp;" UNI GY "&amp;TEXT(-LINEAS!$AG$28*DATOS!$C$67,DATOS!$C$68))</f>
        <v>*</v>
      </c>
      <c r="C1109" s="51" t="str">
        <f aca="false">IF(LEN($B1109)&gt;79,"MÁS DE 79 CARACTERES","")</f>
        <v/>
      </c>
      <c r="D1109" s="53" t="str">
        <f aca="false">IF(PRESIONES!$C$22="NO","",IF(OR(LINEAS!$D$28="",ABS(-LINEAS!$AW$28*DATOS!$C$67)&lt;0.00005),"*",LINEAS!$D$28&amp;" UNI GY "&amp;TEXT(-LINEAS!$AW$28*DATOS!$C$67,DATOS!$C$68)))</f>
        <v/>
      </c>
      <c r="E1109" s="51" t="str">
        <f aca="false">IF(LEN($D1109)&gt;79,"MÁS DE 79 CARACTERES","")</f>
        <v/>
      </c>
    </row>
    <row r="1110" customFormat="false" ht="15" hidden="false" customHeight="true" outlineLevel="0" collapsed="false">
      <c r="B1110" s="53" t="str">
        <f aca="false">IF(OR(LINEAS!$D$28="",DATOS!$C$22="—",ABS(LINEAS!$AO$28*DATOS!$C$67)&lt;0.00005),"*",LINEAS!$D$28&amp;" UNI G"&amp;DATOS!$C$22&amp;" "&amp;TEXT(LINEAS!$AO$28*DATOS!$C$67,DATOS!$C$68))</f>
        <v>*</v>
      </c>
      <c r="C1110" s="51" t="str">
        <f aca="false">IF(LEN($B1110)&gt;79,"MÁS DE 79 CARACTERES","")</f>
        <v/>
      </c>
      <c r="D1110" s="53" t="str">
        <f aca="false">IF(PRESIONES!$C$22="NO","",IF(OR(LINEAS!$D$28="",DATOS!$C$22="—",ABS(LINEAS!$BE$28*DATOS!$C$67)&lt;0.00005),"*",LINEAS!$D$28&amp;" UNI G"&amp;DATOS!$C$22&amp;" "&amp;TEXT(LINEAS!$BE$28*DATOS!$C$67,DATOS!$C$68)))</f>
        <v/>
      </c>
      <c r="E1110" s="51" t="str">
        <f aca="false">IF(LEN($D1110)&gt;79,"MÁS DE 79 CARACTERES","")</f>
        <v/>
      </c>
    </row>
    <row r="1111" customFormat="false" ht="15" hidden="false" customHeight="true" outlineLevel="0" collapsed="false">
      <c r="B1111" s="53" t="str">
        <f aca="false">IF(OR(LINEAS!$D$29="",ABS(-LINEAS!$AG$29*DATOS!$C$67)&lt;0.00005),"*",LINEAS!$D$29&amp;" UNI GY "&amp;TEXT(-LINEAS!$AG$29*DATOS!$C$67,DATOS!$C$68))</f>
        <v>*</v>
      </c>
      <c r="C1111" s="51" t="str">
        <f aca="false">IF(LEN($B1111)&gt;79,"MÁS DE 79 CARACTERES","")</f>
        <v/>
      </c>
      <c r="D1111" s="53" t="str">
        <f aca="false">IF(PRESIONES!$C$22="NO","",IF(OR(LINEAS!$D$29="",ABS(-LINEAS!$AW$29*DATOS!$C$67)&lt;0.00005),"*",LINEAS!$D$29&amp;" UNI GY "&amp;TEXT(-LINEAS!$AW$29*DATOS!$C$67,DATOS!$C$68)))</f>
        <v/>
      </c>
      <c r="E1111" s="51" t="str">
        <f aca="false">IF(LEN($D1111)&gt;79,"MÁS DE 79 CARACTERES","")</f>
        <v/>
      </c>
    </row>
    <row r="1112" customFormat="false" ht="15" hidden="false" customHeight="true" outlineLevel="0" collapsed="false">
      <c r="B1112" s="53" t="str">
        <f aca="false">IF(OR(LINEAS!$D$29="",DATOS!$C$22="—",ABS(LINEAS!$AO$29*DATOS!$C$67)&lt;0.00005),"*",LINEAS!$D$29&amp;" UNI G"&amp;DATOS!$C$22&amp;" "&amp;TEXT(LINEAS!$AO$29*DATOS!$C$67,DATOS!$C$68))</f>
        <v>*</v>
      </c>
      <c r="C1112" s="51" t="str">
        <f aca="false">IF(LEN($B1112)&gt;79,"MÁS DE 79 CARACTERES","")</f>
        <v/>
      </c>
      <c r="D1112" s="53" t="str">
        <f aca="false">IF(PRESIONES!$C$22="NO","",IF(OR(LINEAS!$D$29="",DATOS!$C$22="—",ABS(LINEAS!$BE$29*DATOS!$C$67)&lt;0.00005),"*",LINEAS!$D$29&amp;" UNI G"&amp;DATOS!$C$22&amp;" "&amp;TEXT(LINEAS!$BE$29*DATOS!$C$67,DATOS!$C$68)))</f>
        <v/>
      </c>
      <c r="E1112" s="51" t="str">
        <f aca="false">IF(LEN($D1112)&gt;79,"MÁS DE 79 CARACTERES","")</f>
        <v/>
      </c>
    </row>
    <row r="1113" customFormat="false" ht="15" hidden="false" customHeight="true" outlineLevel="0" collapsed="false">
      <c r="B1113" s="53" t="str">
        <f aca="false">IF(OR(LINEAS!$D$30="",ABS(-LINEAS!$AG$30*DATOS!$C$67)&lt;0.00005),"*",LINEAS!$D$30&amp;" UNI GY "&amp;TEXT(-LINEAS!$AG$30*DATOS!$C$67,DATOS!$C$68))</f>
        <v>*</v>
      </c>
      <c r="C1113" s="51" t="str">
        <f aca="false">IF(LEN($B1113)&gt;79,"MÁS DE 79 CARACTERES","")</f>
        <v/>
      </c>
      <c r="D1113" s="53" t="str">
        <f aca="false">IF(PRESIONES!$C$22="NO","",IF(OR(LINEAS!$D$30="",ABS(-LINEAS!$AW$30*DATOS!$C$67)&lt;0.00005),"*",LINEAS!$D$30&amp;" UNI GY "&amp;TEXT(-LINEAS!$AW$30*DATOS!$C$67,DATOS!$C$68)))</f>
        <v/>
      </c>
      <c r="E1113" s="51" t="str">
        <f aca="false">IF(LEN($D1113)&gt;79,"MÁS DE 79 CARACTERES","")</f>
        <v/>
      </c>
    </row>
    <row r="1114" customFormat="false" ht="15" hidden="false" customHeight="true" outlineLevel="0" collapsed="false">
      <c r="B1114" s="53" t="str">
        <f aca="false">IF(OR(LINEAS!$D$30="",DATOS!$C$22="—",ABS(LINEAS!$AO$30*DATOS!$C$67)&lt;0.00005),"*",LINEAS!$D$30&amp;" UNI G"&amp;DATOS!$C$22&amp;" "&amp;TEXT(LINEAS!$AO$30*DATOS!$C$67,DATOS!$C$68))</f>
        <v>*</v>
      </c>
      <c r="C1114" s="51" t="str">
        <f aca="false">IF(LEN($B1114)&gt;79,"MÁS DE 79 CARACTERES","")</f>
        <v/>
      </c>
      <c r="D1114" s="53" t="str">
        <f aca="false">IF(PRESIONES!$C$22="NO","",IF(OR(LINEAS!$D$30="",DATOS!$C$22="—",ABS(LINEAS!$BE$30*DATOS!$C$67)&lt;0.00005),"*",LINEAS!$D$30&amp;" UNI G"&amp;DATOS!$C$22&amp;" "&amp;TEXT(LINEAS!$BE$30*DATOS!$C$67,DATOS!$C$68)))</f>
        <v/>
      </c>
      <c r="E1114" s="51" t="str">
        <f aca="false">IF(LEN($D1114)&gt;79,"MÁS DE 79 CARACTERES","")</f>
        <v/>
      </c>
    </row>
    <row r="1115" customFormat="false" ht="15" hidden="false" customHeight="true" outlineLevel="0" collapsed="false">
      <c r="B1115" s="53" t="str">
        <f aca="false">IF(OR(LINEAS!$D$31="",ABS(-LINEAS!$AG$31*DATOS!$C$67)&lt;0.00005),"*",LINEAS!$D$31&amp;" UNI GY "&amp;TEXT(-LINEAS!$AG$31*DATOS!$C$67,DATOS!$C$68))</f>
        <v>*</v>
      </c>
      <c r="C1115" s="51" t="str">
        <f aca="false">IF(LEN($B1115)&gt;79,"MÁS DE 79 CARACTERES","")</f>
        <v/>
      </c>
      <c r="D1115" s="53" t="str">
        <f aca="false">IF(PRESIONES!$C$22="NO","",IF(OR(LINEAS!$D$31="",ABS(-LINEAS!$AW$31*DATOS!$C$67)&lt;0.00005),"*",LINEAS!$D$31&amp;" UNI GY "&amp;TEXT(-LINEAS!$AW$31*DATOS!$C$67,DATOS!$C$68)))</f>
        <v/>
      </c>
      <c r="E1115" s="51" t="str">
        <f aca="false">IF(LEN($D1115)&gt;79,"MÁS DE 79 CARACTERES","")</f>
        <v/>
      </c>
    </row>
    <row r="1116" customFormat="false" ht="15" hidden="false" customHeight="true" outlineLevel="0" collapsed="false">
      <c r="B1116" s="53" t="str">
        <f aca="false">IF(OR(LINEAS!$D$31="",DATOS!$C$22="—",ABS(LINEAS!$AO$31*DATOS!$C$67)&lt;0.00005),"*",LINEAS!$D$31&amp;" UNI G"&amp;DATOS!$C$22&amp;" "&amp;TEXT(LINEAS!$AO$31*DATOS!$C$67,DATOS!$C$68))</f>
        <v>*</v>
      </c>
      <c r="C1116" s="51" t="str">
        <f aca="false">IF(LEN($B1116)&gt;79,"MÁS DE 79 CARACTERES","")</f>
        <v/>
      </c>
      <c r="D1116" s="53" t="str">
        <f aca="false">IF(PRESIONES!$C$22="NO","",IF(OR(LINEAS!$D$31="",DATOS!$C$22="—",ABS(LINEAS!$BE$31*DATOS!$C$67)&lt;0.00005),"*",LINEAS!$D$31&amp;" UNI G"&amp;DATOS!$C$22&amp;" "&amp;TEXT(LINEAS!$BE$31*DATOS!$C$67,DATOS!$C$68)))</f>
        <v/>
      </c>
      <c r="E1116" s="51" t="str">
        <f aca="false">IF(LEN($D1116)&gt;79,"MÁS DE 79 CARACTERES","")</f>
        <v/>
      </c>
    </row>
    <row r="1117" customFormat="false" ht="15" hidden="false" customHeight="true" outlineLevel="0" collapsed="false">
      <c r="B1117" s="53" t="str">
        <f aca="false">IF(OR(LINEAS!$D$32="",ABS(-LINEAS!$AG$32*DATOS!$C$67)&lt;0.00005),"*",LINEAS!$D$32&amp;" UNI GY "&amp;TEXT(-LINEAS!$AG$32*DATOS!$C$67,DATOS!$C$68))</f>
        <v>*</v>
      </c>
      <c r="C1117" s="51" t="str">
        <f aca="false">IF(LEN($B1117)&gt;79,"MÁS DE 79 CARACTERES","")</f>
        <v/>
      </c>
      <c r="D1117" s="53" t="str">
        <f aca="false">IF(PRESIONES!$C$22="NO","",IF(OR(LINEAS!$D$32="",ABS(-LINEAS!$AW$32*DATOS!$C$67)&lt;0.00005),"*",LINEAS!$D$32&amp;" UNI GY "&amp;TEXT(-LINEAS!$AW$32*DATOS!$C$67,DATOS!$C$68)))</f>
        <v/>
      </c>
      <c r="E1117" s="51" t="str">
        <f aca="false">IF(LEN($D1117)&gt;79,"MÁS DE 79 CARACTERES","")</f>
        <v/>
      </c>
    </row>
    <row r="1118" customFormat="false" ht="15" hidden="false" customHeight="true" outlineLevel="0" collapsed="false">
      <c r="B1118" s="53" t="str">
        <f aca="false">IF(OR(LINEAS!$D$32="",DATOS!$C$22="—",ABS(LINEAS!$AO$32*DATOS!$C$67)&lt;0.00005),"*",LINEAS!$D$32&amp;" UNI G"&amp;DATOS!$C$22&amp;" "&amp;TEXT(LINEAS!$AO$32*DATOS!$C$67,DATOS!$C$68))</f>
        <v>*</v>
      </c>
      <c r="C1118" s="51" t="str">
        <f aca="false">IF(LEN($B1118)&gt;79,"MÁS DE 79 CARACTERES","")</f>
        <v/>
      </c>
      <c r="D1118" s="53" t="str">
        <f aca="false">IF(PRESIONES!$C$22="NO","",IF(OR(LINEAS!$D$32="",DATOS!$C$22="—",ABS(LINEAS!$BE$32*DATOS!$C$67)&lt;0.00005),"*",LINEAS!$D$32&amp;" UNI G"&amp;DATOS!$C$22&amp;" "&amp;TEXT(LINEAS!$BE$32*DATOS!$C$67,DATOS!$C$68)))</f>
        <v/>
      </c>
      <c r="E1118" s="51" t="str">
        <f aca="false">IF(LEN($D1118)&gt;79,"MÁS DE 79 CARACTERES","")</f>
        <v/>
      </c>
    </row>
    <row r="1119" customFormat="false" ht="15" hidden="false" customHeight="true" outlineLevel="0" collapsed="false">
      <c r="B1119" s="53" t="str">
        <f aca="false">IF(OR(LINEAS!$D$33="",ABS(-LINEAS!$AG$33*DATOS!$C$67)&lt;0.00005),"*",LINEAS!$D$33&amp;" UNI GY "&amp;TEXT(-LINEAS!$AG$33*DATOS!$C$67,DATOS!$C$68))</f>
        <v>*</v>
      </c>
      <c r="C1119" s="51" t="str">
        <f aca="false">IF(LEN($B1119)&gt;79,"MÁS DE 79 CARACTERES","")</f>
        <v/>
      </c>
      <c r="D1119" s="53" t="str">
        <f aca="false">IF(PRESIONES!$C$22="NO","",IF(OR(LINEAS!$D$33="",ABS(-LINEAS!$AW$33*DATOS!$C$67)&lt;0.00005),"*",LINEAS!$D$33&amp;" UNI GY "&amp;TEXT(-LINEAS!$AW$33*DATOS!$C$67,DATOS!$C$68)))</f>
        <v/>
      </c>
      <c r="E1119" s="51" t="str">
        <f aca="false">IF(LEN($D1119)&gt;79,"MÁS DE 79 CARACTERES","")</f>
        <v/>
      </c>
    </row>
    <row r="1120" customFormat="false" ht="15" hidden="false" customHeight="true" outlineLevel="0" collapsed="false">
      <c r="B1120" s="53" t="str">
        <f aca="false">IF(OR(LINEAS!$D$33="",DATOS!$C$22="—",ABS(LINEAS!$AO$33*DATOS!$C$67)&lt;0.00005),"*",LINEAS!$D$33&amp;" UNI G"&amp;DATOS!$C$22&amp;" "&amp;TEXT(LINEAS!$AO$33*DATOS!$C$67,DATOS!$C$68))</f>
        <v>*</v>
      </c>
      <c r="C1120" s="51" t="str">
        <f aca="false">IF(LEN($B1120)&gt;79,"MÁS DE 79 CARACTERES","")</f>
        <v/>
      </c>
      <c r="D1120" s="53" t="str">
        <f aca="false">IF(PRESIONES!$C$22="NO","",IF(OR(LINEAS!$D$33="",DATOS!$C$22="—",ABS(LINEAS!$BE$33*DATOS!$C$67)&lt;0.00005),"*",LINEAS!$D$33&amp;" UNI G"&amp;DATOS!$C$22&amp;" "&amp;TEXT(LINEAS!$BE$33*DATOS!$C$67,DATOS!$C$68)))</f>
        <v/>
      </c>
      <c r="E1120" s="51" t="str">
        <f aca="false">IF(LEN($D1120)&gt;79,"MÁS DE 79 CARACTERES","")</f>
        <v/>
      </c>
    </row>
    <row r="1121" customFormat="false" ht="15" hidden="false" customHeight="true" outlineLevel="0" collapsed="false">
      <c r="B1121" s="53" t="str">
        <f aca="false">IF(OR(LINEAS!$D$34="",ABS(-LINEAS!$AG$34*DATOS!$C$67)&lt;0.00005),"*",LINEAS!$D$34&amp;" UNI GY "&amp;TEXT(-LINEAS!$AG$34*DATOS!$C$67,DATOS!$C$68))</f>
        <v>*</v>
      </c>
      <c r="C1121" s="51" t="str">
        <f aca="false">IF(LEN($B1121)&gt;79,"MÁS DE 79 CARACTERES","")</f>
        <v/>
      </c>
      <c r="D1121" s="53" t="str">
        <f aca="false">IF(PRESIONES!$C$22="NO","",IF(OR(LINEAS!$D$34="",ABS(-LINEAS!$AW$34*DATOS!$C$67)&lt;0.00005),"*",LINEAS!$D$34&amp;" UNI GY "&amp;TEXT(-LINEAS!$AW$34*DATOS!$C$67,DATOS!$C$68)))</f>
        <v/>
      </c>
      <c r="E1121" s="51" t="str">
        <f aca="false">IF(LEN($D1121)&gt;79,"MÁS DE 79 CARACTERES","")</f>
        <v/>
      </c>
    </row>
    <row r="1122" customFormat="false" ht="15" hidden="false" customHeight="true" outlineLevel="0" collapsed="false">
      <c r="B1122" s="53" t="str">
        <f aca="false">IF(OR(LINEAS!$D$34="",DATOS!$C$22="—",ABS(LINEAS!$AO$34*DATOS!$C$67)&lt;0.00005),"*",LINEAS!$D$34&amp;" UNI G"&amp;DATOS!$C$22&amp;" "&amp;TEXT(LINEAS!$AO$34*DATOS!$C$67,DATOS!$C$68))</f>
        <v>*</v>
      </c>
      <c r="C1122" s="51" t="str">
        <f aca="false">IF(LEN($B1122)&gt;79,"MÁS DE 79 CARACTERES","")</f>
        <v/>
      </c>
      <c r="D1122" s="53" t="str">
        <f aca="false">IF(PRESIONES!$C$22="NO","",IF(OR(LINEAS!$D$34="",DATOS!$C$22="—",ABS(LINEAS!$BE$34*DATOS!$C$67)&lt;0.00005),"*",LINEAS!$D$34&amp;" UNI G"&amp;DATOS!$C$22&amp;" "&amp;TEXT(LINEAS!$BE$34*DATOS!$C$67,DATOS!$C$68)))</f>
        <v/>
      </c>
      <c r="E1122" s="51" t="str">
        <f aca="false">IF(LEN($D1122)&gt;79,"MÁS DE 79 CARACTERES","")</f>
        <v/>
      </c>
    </row>
    <row r="1123" customFormat="false" ht="15" hidden="false" customHeight="true" outlineLevel="0" collapsed="false">
      <c r="B1123" s="53" t="str">
        <f aca="false">IF(OR(LINEAS!$D$35="",ABS(-LINEAS!$AG$35*DATOS!$C$67)&lt;0.00005),"*",LINEAS!$D$35&amp;" UNI GY "&amp;TEXT(-LINEAS!$AG$35*DATOS!$C$67,DATOS!$C$68))</f>
        <v>*</v>
      </c>
      <c r="C1123" s="51" t="str">
        <f aca="false">IF(LEN($B1123)&gt;79,"MÁS DE 79 CARACTERES","")</f>
        <v/>
      </c>
      <c r="D1123" s="53" t="str">
        <f aca="false">IF(PRESIONES!$C$22="NO","",IF(OR(LINEAS!$D$35="",ABS(-LINEAS!$AW$35*DATOS!$C$67)&lt;0.00005),"*",LINEAS!$D$35&amp;" UNI GY "&amp;TEXT(-LINEAS!$AW$35*DATOS!$C$67,DATOS!$C$68)))</f>
        <v/>
      </c>
      <c r="E1123" s="51" t="str">
        <f aca="false">IF(LEN($D1123)&gt;79,"MÁS DE 79 CARACTERES","")</f>
        <v/>
      </c>
    </row>
    <row r="1124" customFormat="false" ht="15" hidden="false" customHeight="true" outlineLevel="0" collapsed="false">
      <c r="B1124" s="53" t="str">
        <f aca="false">IF(OR(LINEAS!$D$35="",DATOS!$C$22="—",ABS(LINEAS!$AO$35*DATOS!$C$67)&lt;0.00005),"*",LINEAS!$D$35&amp;" UNI G"&amp;DATOS!$C$22&amp;" "&amp;TEXT(LINEAS!$AO$35*DATOS!$C$67,DATOS!$C$68))</f>
        <v>*</v>
      </c>
      <c r="C1124" s="51" t="str">
        <f aca="false">IF(LEN($B1124)&gt;79,"MÁS DE 79 CARACTERES","")</f>
        <v/>
      </c>
      <c r="D1124" s="53" t="str">
        <f aca="false">IF(PRESIONES!$C$22="NO","",IF(OR(LINEAS!$D$35="",DATOS!$C$22="—",ABS(LINEAS!$BE$35*DATOS!$C$67)&lt;0.00005),"*",LINEAS!$D$35&amp;" UNI G"&amp;DATOS!$C$22&amp;" "&amp;TEXT(LINEAS!$BE$35*DATOS!$C$67,DATOS!$C$68)))</f>
        <v/>
      </c>
      <c r="E1124" s="51" t="str">
        <f aca="false">IF(LEN($D1124)&gt;79,"MÁS DE 79 CARACTERES","")</f>
        <v/>
      </c>
    </row>
    <row r="1125" customFormat="false" ht="15" hidden="false" customHeight="true" outlineLevel="0" collapsed="false">
      <c r="B1125" s="53" t="str">
        <f aca="false">IF(OR(LINEAS!$D$36="",ABS(-LINEAS!$AG$36*DATOS!$C$67)&lt;0.00005),"*",LINEAS!$D$36&amp;" UNI GY "&amp;TEXT(-LINEAS!$AG$36*DATOS!$C$67,DATOS!$C$68))</f>
        <v>*</v>
      </c>
      <c r="C1125" s="51" t="str">
        <f aca="false">IF(LEN($B1125)&gt;79,"MÁS DE 79 CARACTERES","")</f>
        <v/>
      </c>
      <c r="D1125" s="53" t="str">
        <f aca="false">IF(PRESIONES!$C$22="NO","",IF(OR(LINEAS!$D$36="",ABS(-LINEAS!$AW$36*DATOS!$C$67)&lt;0.00005),"*",LINEAS!$D$36&amp;" UNI GY "&amp;TEXT(-LINEAS!$AW$36*DATOS!$C$67,DATOS!$C$68)))</f>
        <v/>
      </c>
      <c r="E1125" s="51" t="str">
        <f aca="false">IF(LEN($D1125)&gt;79,"MÁS DE 79 CARACTERES","")</f>
        <v/>
      </c>
    </row>
    <row r="1126" customFormat="false" ht="15" hidden="false" customHeight="true" outlineLevel="0" collapsed="false">
      <c r="B1126" s="53" t="str">
        <f aca="false">IF(OR(LINEAS!$D$36="",DATOS!$C$22="—",ABS(LINEAS!$AO$36*DATOS!$C$67)&lt;0.00005),"*",LINEAS!$D$36&amp;" UNI G"&amp;DATOS!$C$22&amp;" "&amp;TEXT(LINEAS!$AO$36*DATOS!$C$67,DATOS!$C$68))</f>
        <v>*</v>
      </c>
      <c r="C1126" s="51" t="str">
        <f aca="false">IF(LEN($B1126)&gt;79,"MÁS DE 79 CARACTERES","")</f>
        <v/>
      </c>
      <c r="D1126" s="53" t="str">
        <f aca="false">IF(PRESIONES!$C$22="NO","",IF(OR(LINEAS!$D$36="",DATOS!$C$22="—",ABS(LINEAS!$BE$36*DATOS!$C$67)&lt;0.00005),"*",LINEAS!$D$36&amp;" UNI G"&amp;DATOS!$C$22&amp;" "&amp;TEXT(LINEAS!$BE$36*DATOS!$C$67,DATOS!$C$68)))</f>
        <v/>
      </c>
      <c r="E1126" s="51" t="str">
        <f aca="false">IF(LEN($D1126)&gt;79,"MÁS DE 79 CARACTERES","")</f>
        <v/>
      </c>
    </row>
    <row r="1127" customFormat="false" ht="15" hidden="false" customHeight="true" outlineLevel="0" collapsed="false">
      <c r="B1127" s="53" t="str">
        <f aca="false">IF(OR(LINEAS!$D$37="",ABS(-LINEAS!$AG$37*DATOS!$C$67)&lt;0.00005),"*",LINEAS!$D$37&amp;" UNI GY "&amp;TEXT(-LINEAS!$AG$37*DATOS!$C$67,DATOS!$C$68))</f>
        <v>*</v>
      </c>
      <c r="C1127" s="51" t="str">
        <f aca="false">IF(LEN($B1127)&gt;79,"MÁS DE 79 CARACTERES","")</f>
        <v/>
      </c>
      <c r="D1127" s="53" t="str">
        <f aca="false">IF(PRESIONES!$C$22="NO","",IF(OR(LINEAS!$D$37="",ABS(-LINEAS!$AW$37*DATOS!$C$67)&lt;0.00005),"*",LINEAS!$D$37&amp;" UNI GY "&amp;TEXT(-LINEAS!$AW$37*DATOS!$C$67,DATOS!$C$68)))</f>
        <v/>
      </c>
      <c r="E1127" s="51" t="str">
        <f aca="false">IF(LEN($D1127)&gt;79,"MÁS DE 79 CARACTERES","")</f>
        <v/>
      </c>
    </row>
    <row r="1128" customFormat="false" ht="15" hidden="false" customHeight="true" outlineLevel="0" collapsed="false">
      <c r="B1128" s="53" t="str">
        <f aca="false">IF(OR(LINEAS!$D$37="",DATOS!$C$22="—",ABS(LINEAS!$AO$37*DATOS!$C$67)&lt;0.00005),"*",LINEAS!$D$37&amp;" UNI G"&amp;DATOS!$C$22&amp;" "&amp;TEXT(LINEAS!$AO$37*DATOS!$C$67,DATOS!$C$68))</f>
        <v>*</v>
      </c>
      <c r="C1128" s="51" t="str">
        <f aca="false">IF(LEN($B1128)&gt;79,"MÁS DE 79 CARACTERES","")</f>
        <v/>
      </c>
      <c r="D1128" s="53" t="str">
        <f aca="false">IF(PRESIONES!$C$22="NO","",IF(OR(LINEAS!$D$37="",DATOS!$C$22="—",ABS(LINEAS!$BE$37*DATOS!$C$67)&lt;0.00005),"*",LINEAS!$D$37&amp;" UNI G"&amp;DATOS!$C$22&amp;" "&amp;TEXT(LINEAS!$BE$37*DATOS!$C$67,DATOS!$C$68)))</f>
        <v/>
      </c>
      <c r="E1128" s="51" t="str">
        <f aca="false">IF(LEN($D1128)&gt;79,"MÁS DE 79 CARACTERES","")</f>
        <v/>
      </c>
    </row>
    <row r="1129" customFormat="false" ht="15" hidden="false" customHeight="true" outlineLevel="0" collapsed="false">
      <c r="B1129" s="53" t="str">
        <f aca="false">IF(OR(LINEAS!$D$38="",ABS(-LINEAS!$AG$38*DATOS!$C$67)&lt;0.00005),"*",LINEAS!$D$38&amp;" UNI GY "&amp;TEXT(-LINEAS!$AG$38*DATOS!$C$67,DATOS!$C$68))</f>
        <v>*</v>
      </c>
      <c r="C1129" s="51" t="str">
        <f aca="false">IF(LEN($B1129)&gt;79,"MÁS DE 79 CARACTERES","")</f>
        <v/>
      </c>
      <c r="D1129" s="53" t="str">
        <f aca="false">IF(PRESIONES!$C$22="NO","",IF(OR(LINEAS!$D$38="",ABS(-LINEAS!$AW$38*DATOS!$C$67)&lt;0.00005),"*",LINEAS!$D$38&amp;" UNI GY "&amp;TEXT(-LINEAS!$AW$38*DATOS!$C$67,DATOS!$C$68)))</f>
        <v/>
      </c>
      <c r="E1129" s="51" t="str">
        <f aca="false">IF(LEN($D1129)&gt;79,"MÁS DE 79 CARACTERES","")</f>
        <v/>
      </c>
    </row>
    <row r="1130" customFormat="false" ht="15" hidden="false" customHeight="true" outlineLevel="0" collapsed="false">
      <c r="B1130" s="53" t="str">
        <f aca="false">IF(OR(LINEAS!$D$38="",DATOS!$C$22="—",ABS(LINEAS!$AO$38*DATOS!$C$67)&lt;0.00005),"*",LINEAS!$D$38&amp;" UNI G"&amp;DATOS!$C$22&amp;" "&amp;TEXT(LINEAS!$AO$38*DATOS!$C$67,DATOS!$C$68))</f>
        <v>*</v>
      </c>
      <c r="C1130" s="51" t="str">
        <f aca="false">IF(LEN($B1130)&gt;79,"MÁS DE 79 CARACTERES","")</f>
        <v/>
      </c>
      <c r="D1130" s="53" t="str">
        <f aca="false">IF(PRESIONES!$C$22="NO","",IF(OR(LINEAS!$D$38="",DATOS!$C$22="—",ABS(LINEAS!$BE$38*DATOS!$C$67)&lt;0.00005),"*",LINEAS!$D$38&amp;" UNI G"&amp;DATOS!$C$22&amp;" "&amp;TEXT(LINEAS!$BE$38*DATOS!$C$67,DATOS!$C$68)))</f>
        <v/>
      </c>
      <c r="E1130" s="51" t="str">
        <f aca="false">IF(LEN($D1130)&gt;79,"MÁS DE 79 CARACTERES","")</f>
        <v/>
      </c>
    </row>
    <row r="1131" customFormat="false" ht="15" hidden="false" customHeight="true" outlineLevel="0" collapsed="false">
      <c r="B1131" s="53" t="str">
        <f aca="false">IF(OR(LINEAS!$D$45="",LINEAS!$U$45=0,ABS(IF(OR(LINEAS!$U$45=1,LINEAS!$U$45=3),1,-1)*LINEAS!$AG$45*DATOS!$C$67)&lt;0.00005),"*",LINEAS!$D$45&amp;" UNI "&amp;IF(LINEAS!$U$45&lt;=2,"GZ","GX")&amp;" "&amp;TEXT(IF(OR(LINEAS!$U$45=1,LINEAS!$U$45=3),1,-1)*LINEAS!$AG$45*DATOS!$C$67,DATOS!$C$68))</f>
        <v>261 UNI GX 0.0050</v>
      </c>
      <c r="C1131" s="51" t="str">
        <f aca="false">IF(LEN($B1131)&gt;79,"MÁS DE 79 CARACTERES","")</f>
        <v/>
      </c>
      <c r="D1131" s="53" t="str">
        <f aca="false">IF(PRESIONES!$C$22="NO","",IF(OR(LINEAS!$D$45="",LINEAS!$U$45=0,ABS(IF(OR(LINEAS!$U$45=1,LINEAS!$U$45=3),1,-1)*LINEAS!$AG$45*DATOS!$C$67)&lt;0.00005),"*",LINEAS!$D$45&amp;" UNI "&amp;IF(LINEAS!$U$45&lt;=2,"GZ","GX")&amp;" "&amp;TEXT(IF(OR(LINEAS!$U$45=1,LINEAS!$U$45=3),1,-1)*LINEAS!$AG$45*DATOS!$C$67,DATOS!$C$68)))</f>
        <v/>
      </c>
      <c r="E1131" s="51" t="str">
        <f aca="false">IF(LEN($D1131)&gt;79,"MÁS DE 79 CARACTERES","")</f>
        <v/>
      </c>
    </row>
    <row r="1132" customFormat="false" ht="15" hidden="false" customHeight="true" outlineLevel="0" collapsed="false">
      <c r="B1132" s="53" t="str">
        <f aca="false">IF(OR(LINEAS!$D$46="",LINEAS!$U$46=0,ABS(IF(OR(LINEAS!$U$46=1,LINEAS!$U$46=3),1,-1)*LINEAS!$AG$46*DATOS!$C$67)&lt;0.00005),"*",LINEAS!$D$46&amp;" UNI "&amp;IF(LINEAS!$U$46&lt;=2,"GZ","GX")&amp;" "&amp;TEXT(IF(OR(LINEAS!$U$46=1,LINEAS!$U$46=3),1,-1)*LINEAS!$AG$46*DATOS!$C$67,DATOS!$C$68))</f>
        <v>260 UNI GX 0.0050</v>
      </c>
      <c r="C1132" s="51" t="str">
        <f aca="false">IF(LEN($B1132)&gt;79,"MÁS DE 79 CARACTERES","")</f>
        <v/>
      </c>
      <c r="D1132" s="53" t="str">
        <f aca="false">IF(PRESIONES!$C$22="NO","",IF(OR(LINEAS!$D$46="",LINEAS!$U$46=0,ABS(IF(OR(LINEAS!$U$46=1,LINEAS!$U$46=3),1,-1)*LINEAS!$AG$46*DATOS!$C$67)&lt;0.00005),"*",LINEAS!$D$46&amp;" UNI "&amp;IF(LINEAS!$U$46&lt;=2,"GZ","GX")&amp;" "&amp;TEXT(IF(OR(LINEAS!$U$46=1,LINEAS!$U$46=3),1,-1)*LINEAS!$AG$46*DATOS!$C$67,DATOS!$C$68)))</f>
        <v/>
      </c>
      <c r="E1132" s="51" t="str">
        <f aca="false">IF(LEN($D1132)&gt;79,"MÁS DE 79 CARACTERES","")</f>
        <v/>
      </c>
    </row>
    <row r="1133" customFormat="false" ht="15" hidden="false" customHeight="true" outlineLevel="0" collapsed="false">
      <c r="B1133" s="53" t="str">
        <f aca="false">IF(OR(LINEAS!$D$47="",LINEAS!$U$47=0,ABS(IF(OR(LINEAS!$U$47=1,LINEAS!$U$47=3),1,-1)*LINEAS!$AG$47*DATOS!$C$67)&lt;0.00005),"*",LINEAS!$D$47&amp;" UNI "&amp;IF(LINEAS!$U$47&lt;=2,"GZ","GX")&amp;" "&amp;TEXT(IF(OR(LINEAS!$U$47=1,LINEAS!$U$47=3),1,-1)*LINEAS!$AG$47*DATOS!$C$67,DATOS!$C$68))</f>
        <v>259 UNI GX 0.0050</v>
      </c>
      <c r="C1133" s="51" t="str">
        <f aca="false">IF(LEN($B1133)&gt;79,"MÁS DE 79 CARACTERES","")</f>
        <v/>
      </c>
      <c r="D1133" s="53" t="str">
        <f aca="false">IF(PRESIONES!$C$22="NO","",IF(OR(LINEAS!$D$47="",LINEAS!$U$47=0,ABS(IF(OR(LINEAS!$U$47=1,LINEAS!$U$47=3),1,-1)*LINEAS!$AG$47*DATOS!$C$67)&lt;0.00005),"*",LINEAS!$D$47&amp;" UNI "&amp;IF(LINEAS!$U$47&lt;=2,"GZ","GX")&amp;" "&amp;TEXT(IF(OR(LINEAS!$U$47=1,LINEAS!$U$47=3),1,-1)*LINEAS!$AG$47*DATOS!$C$67,DATOS!$C$68)))</f>
        <v/>
      </c>
      <c r="E1133" s="51" t="str">
        <f aca="false">IF(LEN($D1133)&gt;79,"MÁS DE 79 CARACTERES","")</f>
        <v/>
      </c>
    </row>
    <row r="1134" customFormat="false" ht="15" hidden="false" customHeight="true" outlineLevel="0" collapsed="false">
      <c r="B1134" s="53" t="str">
        <f aca="false">IF(OR(LINEAS!$D$48="",LINEAS!$U$48=0,ABS(IF(OR(LINEAS!$U$48=1,LINEAS!$U$48=3),1,-1)*LINEAS!$AG$48*DATOS!$C$67)&lt;0.00005),"*",LINEAS!$D$48&amp;" UNI "&amp;IF(LINEAS!$U$48&lt;=2,"GZ","GX")&amp;" "&amp;TEXT(IF(OR(LINEAS!$U$48=1,LINEAS!$U$48=3),1,-1)*LINEAS!$AG$48*DATOS!$C$67,DATOS!$C$68))</f>
        <v>270 UNI GX 0.0050</v>
      </c>
      <c r="C1134" s="51" t="str">
        <f aca="false">IF(LEN($B1134)&gt;79,"MÁS DE 79 CARACTERES","")</f>
        <v/>
      </c>
      <c r="D1134" s="53" t="str">
        <f aca="false">IF(PRESIONES!$C$22="NO","",IF(OR(LINEAS!$D$48="",LINEAS!$U$48=0,ABS(IF(OR(LINEAS!$U$48=1,LINEAS!$U$48=3),1,-1)*LINEAS!$AG$48*DATOS!$C$67)&lt;0.00005),"*",LINEAS!$D$48&amp;" UNI "&amp;IF(LINEAS!$U$48&lt;=2,"GZ","GX")&amp;" "&amp;TEXT(IF(OR(LINEAS!$U$48=1,LINEAS!$U$48=3),1,-1)*LINEAS!$AG$48*DATOS!$C$67,DATOS!$C$68)))</f>
        <v/>
      </c>
      <c r="E1134" s="51" t="str">
        <f aca="false">IF(LEN($D1134)&gt;79,"MÁS DE 79 CARACTERES","")</f>
        <v/>
      </c>
    </row>
    <row r="1135" customFormat="false" ht="15" hidden="false" customHeight="true" outlineLevel="0" collapsed="false">
      <c r="B1135" s="53" t="str">
        <f aca="false">IF(OR(LINEAS!$D$49="",LINEAS!$U$49=0,ABS(IF(OR(LINEAS!$U$49=1,LINEAS!$U$49=3),1,-1)*LINEAS!$AG$49*DATOS!$C$67)&lt;0.00005),"*",LINEAS!$D$49&amp;" UNI "&amp;IF(LINEAS!$U$49&lt;=2,"GZ","GX")&amp;" "&amp;TEXT(IF(OR(LINEAS!$U$49=1,LINEAS!$U$49=3),1,-1)*LINEAS!$AG$49*DATOS!$C$67,DATOS!$C$68))</f>
        <v>269 UNI GX 0.0050</v>
      </c>
      <c r="C1135" s="51" t="str">
        <f aca="false">IF(LEN($B1135)&gt;79,"MÁS DE 79 CARACTERES","")</f>
        <v/>
      </c>
      <c r="D1135" s="53" t="str">
        <f aca="false">IF(PRESIONES!$C$22="NO","",IF(OR(LINEAS!$D$49="",LINEAS!$U$49=0,ABS(IF(OR(LINEAS!$U$49=1,LINEAS!$U$49=3),1,-1)*LINEAS!$AG$49*DATOS!$C$67)&lt;0.00005),"*",LINEAS!$D$49&amp;" UNI "&amp;IF(LINEAS!$U$49&lt;=2,"GZ","GX")&amp;" "&amp;TEXT(IF(OR(LINEAS!$U$49=1,LINEAS!$U$49=3),1,-1)*LINEAS!$AG$49*DATOS!$C$67,DATOS!$C$68)))</f>
        <v/>
      </c>
      <c r="E1135" s="51" t="str">
        <f aca="false">IF(LEN($D1135)&gt;79,"MÁS DE 79 CARACTERES","")</f>
        <v/>
      </c>
    </row>
    <row r="1136" customFormat="false" ht="15" hidden="false" customHeight="true" outlineLevel="0" collapsed="false">
      <c r="B1136" s="53" t="str">
        <f aca="false">IF(OR(LINEAS!$D$50="",LINEAS!$U$50=0,ABS(IF(OR(LINEAS!$U$50=1,LINEAS!$U$50=3),1,-1)*LINEAS!$AG$50*DATOS!$C$67)&lt;0.00005),"*",LINEAS!$D$50&amp;" UNI "&amp;IF(LINEAS!$U$50&lt;=2,"GZ","GX")&amp;" "&amp;TEXT(IF(OR(LINEAS!$U$50=1,LINEAS!$U$50=3),1,-1)*LINEAS!$AG$50*DATOS!$C$67,DATOS!$C$68))</f>
        <v>268 UNI GX 0.0050</v>
      </c>
      <c r="C1136" s="51" t="str">
        <f aca="false">IF(LEN($B1136)&gt;79,"MÁS DE 79 CARACTERES","")</f>
        <v/>
      </c>
      <c r="D1136" s="53" t="str">
        <f aca="false">IF(PRESIONES!$C$22="NO","",IF(OR(LINEAS!$D$50="",LINEAS!$U$50=0,ABS(IF(OR(LINEAS!$U$50=1,LINEAS!$U$50=3),1,-1)*LINEAS!$AG$50*DATOS!$C$67)&lt;0.00005),"*",LINEAS!$D$50&amp;" UNI "&amp;IF(LINEAS!$U$50&lt;=2,"GZ","GX")&amp;" "&amp;TEXT(IF(OR(LINEAS!$U$50=1,LINEAS!$U$50=3),1,-1)*LINEAS!$AG$50*DATOS!$C$67,DATOS!$C$68)))</f>
        <v/>
      </c>
      <c r="E1136" s="51" t="str">
        <f aca="false">IF(LEN($D1136)&gt;79,"MÁS DE 79 CARACTERES","")</f>
        <v/>
      </c>
    </row>
    <row r="1137" customFormat="false" ht="15" hidden="false" customHeight="true" outlineLevel="0" collapsed="false">
      <c r="B1137" s="53" t="str">
        <f aca="false">IF(OR(LINEAS!$D$51="",LINEAS!$U$51=0,ABS(IF(OR(LINEAS!$U$51=1,LINEAS!$U$51=3),1,-1)*LINEAS!$AG$51*DATOS!$C$67)&lt;0.00005),"*",LINEAS!$D$51&amp;" UNI "&amp;IF(LINEAS!$U$51&lt;=2,"GZ","GX")&amp;" "&amp;TEXT(IF(OR(LINEAS!$U$51=1,LINEAS!$U$51=3),1,-1)*LINEAS!$AG$51*DATOS!$C$67,DATOS!$C$68))</f>
        <v>279 UNI GX 0.0050</v>
      </c>
      <c r="C1137" s="51" t="str">
        <f aca="false">IF(LEN($B1137)&gt;79,"MÁS DE 79 CARACTERES","")</f>
        <v/>
      </c>
      <c r="D1137" s="53" t="str">
        <f aca="false">IF(PRESIONES!$C$22="NO","",IF(OR(LINEAS!$D$51="",LINEAS!$U$51=0,ABS(IF(OR(LINEAS!$U$51=1,LINEAS!$U$51=3),1,-1)*LINEAS!$AG$51*DATOS!$C$67)&lt;0.00005),"*",LINEAS!$D$51&amp;" UNI "&amp;IF(LINEAS!$U$51&lt;=2,"GZ","GX")&amp;" "&amp;TEXT(IF(OR(LINEAS!$U$51=1,LINEAS!$U$51=3),1,-1)*LINEAS!$AG$51*DATOS!$C$67,DATOS!$C$68)))</f>
        <v/>
      </c>
      <c r="E1137" s="51" t="str">
        <f aca="false">IF(LEN($D1137)&gt;79,"MÁS DE 79 CARACTERES","")</f>
        <v/>
      </c>
    </row>
    <row r="1138" customFormat="false" ht="15" hidden="false" customHeight="true" outlineLevel="0" collapsed="false">
      <c r="B1138" s="53" t="str">
        <f aca="false">IF(OR(LINEAS!$D$52="",LINEAS!$U$52=0,ABS(IF(OR(LINEAS!$U$52=1,LINEAS!$U$52=3),1,-1)*LINEAS!$AG$52*DATOS!$C$67)&lt;0.00005),"*",LINEAS!$D$52&amp;" UNI "&amp;IF(LINEAS!$U$52&lt;=2,"GZ","GX")&amp;" "&amp;TEXT(IF(OR(LINEAS!$U$52=1,LINEAS!$U$52=3),1,-1)*LINEAS!$AG$52*DATOS!$C$67,DATOS!$C$68))</f>
        <v>278 UNI GX 0.0050</v>
      </c>
      <c r="C1138" s="51" t="str">
        <f aca="false">IF(LEN($B1138)&gt;79,"MÁS DE 79 CARACTERES","")</f>
        <v/>
      </c>
      <c r="D1138" s="53" t="str">
        <f aca="false">IF(PRESIONES!$C$22="NO","",IF(OR(LINEAS!$D$52="",LINEAS!$U$52=0,ABS(IF(OR(LINEAS!$U$52=1,LINEAS!$U$52=3),1,-1)*LINEAS!$AG$52*DATOS!$C$67)&lt;0.00005),"*",LINEAS!$D$52&amp;" UNI "&amp;IF(LINEAS!$U$52&lt;=2,"GZ","GX")&amp;" "&amp;TEXT(IF(OR(LINEAS!$U$52=1,LINEAS!$U$52=3),1,-1)*LINEAS!$AG$52*DATOS!$C$67,DATOS!$C$68)))</f>
        <v/>
      </c>
      <c r="E1138" s="51" t="str">
        <f aca="false">IF(LEN($D1138)&gt;79,"MÁS DE 79 CARACTERES","")</f>
        <v/>
      </c>
    </row>
    <row r="1139" customFormat="false" ht="15" hidden="false" customHeight="true" outlineLevel="0" collapsed="false">
      <c r="B1139" s="53" t="str">
        <f aca="false">IF(OR(LINEAS!$D$53="",LINEAS!$U$53=0,ABS(IF(OR(LINEAS!$U$53=1,LINEAS!$U$53=3),1,-1)*LINEAS!$AG$53*DATOS!$C$67)&lt;0.00005),"*",LINEAS!$D$53&amp;" UNI "&amp;IF(LINEAS!$U$53&lt;=2,"GZ","GX")&amp;" "&amp;TEXT(IF(OR(LINEAS!$U$53=1,LINEAS!$U$53=3),1,-1)*LINEAS!$AG$53*DATOS!$C$67,DATOS!$C$68))</f>
        <v>277 UNI GX 0.0050</v>
      </c>
      <c r="C1139" s="51" t="str">
        <f aca="false">IF(LEN($B1139)&gt;79,"MÁS DE 79 CARACTERES","")</f>
        <v/>
      </c>
      <c r="D1139" s="53" t="str">
        <f aca="false">IF(PRESIONES!$C$22="NO","",IF(OR(LINEAS!$D$53="",LINEAS!$U$53=0,ABS(IF(OR(LINEAS!$U$53=1,LINEAS!$U$53=3),1,-1)*LINEAS!$AG$53*DATOS!$C$67)&lt;0.00005),"*",LINEAS!$D$53&amp;" UNI "&amp;IF(LINEAS!$U$53&lt;=2,"GZ","GX")&amp;" "&amp;TEXT(IF(OR(LINEAS!$U$53=1,LINEAS!$U$53=3),1,-1)*LINEAS!$AG$53*DATOS!$C$67,DATOS!$C$68)))</f>
        <v/>
      </c>
      <c r="E1139" s="51" t="str">
        <f aca="false">IF(LEN($D1139)&gt;79,"MÁS DE 79 CARACTERES","")</f>
        <v/>
      </c>
    </row>
    <row r="1140" customFormat="false" ht="15" hidden="false" customHeight="true" outlineLevel="0" collapsed="false">
      <c r="B1140" s="53" t="str">
        <f aca="false">IF(OR(LINEAS!$D$54="",LINEAS!$U$54=0,ABS(IF(OR(LINEAS!$U$54=1,LINEAS!$U$54=3),1,-1)*LINEAS!$AG$54*DATOS!$C$67)&lt;0.00005),"*",LINEAS!$D$54&amp;" UNI "&amp;IF(LINEAS!$U$54&lt;=2,"GZ","GX")&amp;" "&amp;TEXT(IF(OR(LINEAS!$U$54=1,LINEAS!$U$54=3),1,-1)*LINEAS!$AG$54*DATOS!$C$67,DATOS!$C$68))</f>
        <v>289 UNI GX 0.0050</v>
      </c>
      <c r="C1140" s="51" t="str">
        <f aca="false">IF(LEN($B1140)&gt;79,"MÁS DE 79 CARACTERES","")</f>
        <v/>
      </c>
      <c r="D1140" s="53" t="str">
        <f aca="false">IF(PRESIONES!$C$22="NO","",IF(OR(LINEAS!$D$54="",LINEAS!$U$54=0,ABS(IF(OR(LINEAS!$U$54=1,LINEAS!$U$54=3),1,-1)*LINEAS!$AG$54*DATOS!$C$67)&lt;0.00005),"*",LINEAS!$D$54&amp;" UNI "&amp;IF(LINEAS!$U$54&lt;=2,"GZ","GX")&amp;" "&amp;TEXT(IF(OR(LINEAS!$U$54=1,LINEAS!$U$54=3),1,-1)*LINEAS!$AG$54*DATOS!$C$67,DATOS!$C$68)))</f>
        <v/>
      </c>
      <c r="E1140" s="51" t="str">
        <f aca="false">IF(LEN($D1140)&gt;79,"MÁS DE 79 CARACTERES","")</f>
        <v/>
      </c>
    </row>
    <row r="1141" customFormat="false" ht="15" hidden="false" customHeight="true" outlineLevel="0" collapsed="false">
      <c r="B1141" s="53" t="str">
        <f aca="false">IF(OR(LINEAS!$D$55="",LINEAS!$U$55=0,ABS(IF(OR(LINEAS!$U$55=1,LINEAS!$U$55=3),1,-1)*LINEAS!$AG$55*DATOS!$C$67)&lt;0.00005),"*",LINEAS!$D$55&amp;" UNI "&amp;IF(LINEAS!$U$55&lt;=2,"GZ","GX")&amp;" "&amp;TEXT(IF(OR(LINEAS!$U$55=1,LINEAS!$U$55=3),1,-1)*LINEAS!$AG$55*DATOS!$C$67,DATOS!$C$68))</f>
        <v>288 UNI GX 0.0050</v>
      </c>
      <c r="C1141" s="51" t="str">
        <f aca="false">IF(LEN($B1141)&gt;79,"MÁS DE 79 CARACTERES","")</f>
        <v/>
      </c>
      <c r="D1141" s="53" t="str">
        <f aca="false">IF(PRESIONES!$C$22="NO","",IF(OR(LINEAS!$D$55="",LINEAS!$U$55=0,ABS(IF(OR(LINEAS!$U$55=1,LINEAS!$U$55=3),1,-1)*LINEAS!$AG$55*DATOS!$C$67)&lt;0.00005),"*",LINEAS!$D$55&amp;" UNI "&amp;IF(LINEAS!$U$55&lt;=2,"GZ","GX")&amp;" "&amp;TEXT(IF(OR(LINEAS!$U$55=1,LINEAS!$U$55=3),1,-1)*LINEAS!$AG$55*DATOS!$C$67,DATOS!$C$68)))</f>
        <v/>
      </c>
      <c r="E1141" s="51" t="str">
        <f aca="false">IF(LEN($D1141)&gt;79,"MÁS DE 79 CARACTERES","")</f>
        <v/>
      </c>
    </row>
    <row r="1142" customFormat="false" ht="15" hidden="false" customHeight="true" outlineLevel="0" collapsed="false">
      <c r="B1142" s="53" t="str">
        <f aca="false">IF(OR(LINEAS!$D$56="",LINEAS!$U$56=0,ABS(IF(OR(LINEAS!$U$56=1,LINEAS!$U$56=3),1,-1)*LINEAS!$AG$56*DATOS!$C$67)&lt;0.00005),"*",LINEAS!$D$56&amp;" UNI "&amp;IF(LINEAS!$U$56&lt;=2,"GZ","GX")&amp;" "&amp;TEXT(IF(OR(LINEAS!$U$56=1,LINEAS!$U$56=3),1,-1)*LINEAS!$AG$56*DATOS!$C$67,DATOS!$C$68))</f>
        <v>287 UNI GX 0.0050</v>
      </c>
      <c r="C1142" s="51" t="str">
        <f aca="false">IF(LEN($B1142)&gt;79,"MÁS DE 79 CARACTERES","")</f>
        <v/>
      </c>
      <c r="D1142" s="53" t="str">
        <f aca="false">IF(PRESIONES!$C$22="NO","",IF(OR(LINEAS!$D$56="",LINEAS!$U$56=0,ABS(IF(OR(LINEAS!$U$56=1,LINEAS!$U$56=3),1,-1)*LINEAS!$AG$56*DATOS!$C$67)&lt;0.00005),"*",LINEAS!$D$56&amp;" UNI "&amp;IF(LINEAS!$U$56&lt;=2,"GZ","GX")&amp;" "&amp;TEXT(IF(OR(LINEAS!$U$56=1,LINEAS!$U$56=3),1,-1)*LINEAS!$AG$56*DATOS!$C$67,DATOS!$C$68)))</f>
        <v/>
      </c>
      <c r="E1142" s="51" t="str">
        <f aca="false">IF(LEN($D1142)&gt;79,"MÁS DE 79 CARACTERES","")</f>
        <v/>
      </c>
    </row>
    <row r="1143" customFormat="false" ht="15" hidden="false" customHeight="true" outlineLevel="0" collapsed="false">
      <c r="B1143" s="53" t="str">
        <f aca="false">IF(OR(LINEAS!$D$57="",LINEAS!$U$57=0,ABS(IF(OR(LINEAS!$U$57=1,LINEAS!$U$57=3),1,-1)*LINEAS!$AG$57*DATOS!$C$67)&lt;0.00005),"*",LINEAS!$D$57&amp;" UNI "&amp;IF(LINEAS!$U$57&lt;=2,"GZ","GX")&amp;" "&amp;TEXT(IF(OR(LINEAS!$U$57=1,LINEAS!$U$57=3),1,-1)*LINEAS!$AG$57*DATOS!$C$67,DATOS!$C$68))</f>
        <v>297 UNI GX 0.0050</v>
      </c>
      <c r="C1143" s="51" t="str">
        <f aca="false">IF(LEN($B1143)&gt;79,"MÁS DE 79 CARACTERES","")</f>
        <v/>
      </c>
      <c r="D1143" s="53" t="str">
        <f aca="false">IF(PRESIONES!$C$22="NO","",IF(OR(LINEAS!$D$57="",LINEAS!$U$57=0,ABS(IF(OR(LINEAS!$U$57=1,LINEAS!$U$57=3),1,-1)*LINEAS!$AG$57*DATOS!$C$67)&lt;0.00005),"*",LINEAS!$D$57&amp;" UNI "&amp;IF(LINEAS!$U$57&lt;=2,"GZ","GX")&amp;" "&amp;TEXT(IF(OR(LINEAS!$U$57=1,LINEAS!$U$57=3),1,-1)*LINEAS!$AG$57*DATOS!$C$67,DATOS!$C$68)))</f>
        <v/>
      </c>
      <c r="E1143" s="51" t="str">
        <f aca="false">IF(LEN($D1143)&gt;79,"MÁS DE 79 CARACTERES","")</f>
        <v/>
      </c>
    </row>
    <row r="1144" customFormat="false" ht="15" hidden="false" customHeight="true" outlineLevel="0" collapsed="false">
      <c r="B1144" s="53" t="str">
        <f aca="false">IF(OR(LINEAS!$D$58="",LINEAS!$U$58=0,ABS(IF(OR(LINEAS!$U$58=1,LINEAS!$U$58=3),1,-1)*LINEAS!$AG$58*DATOS!$C$67)&lt;0.00005),"*",LINEAS!$D$58&amp;" UNI "&amp;IF(LINEAS!$U$58&lt;=2,"GZ","GX")&amp;" "&amp;TEXT(IF(OR(LINEAS!$U$58=1,LINEAS!$U$58=3),1,-1)*LINEAS!$AG$58*DATOS!$C$67,DATOS!$C$68))</f>
        <v>296 UNI GX 0.0050</v>
      </c>
      <c r="C1144" s="51" t="str">
        <f aca="false">IF(LEN($B1144)&gt;79,"MÁS DE 79 CARACTERES","")</f>
        <v/>
      </c>
      <c r="D1144" s="53" t="str">
        <f aca="false">IF(PRESIONES!$C$22="NO","",IF(OR(LINEAS!$D$58="",LINEAS!$U$58=0,ABS(IF(OR(LINEAS!$U$58=1,LINEAS!$U$58=3),1,-1)*LINEAS!$AG$58*DATOS!$C$67)&lt;0.00005),"*",LINEAS!$D$58&amp;" UNI "&amp;IF(LINEAS!$U$58&lt;=2,"GZ","GX")&amp;" "&amp;TEXT(IF(OR(LINEAS!$U$58=1,LINEAS!$U$58=3),1,-1)*LINEAS!$AG$58*DATOS!$C$67,DATOS!$C$68)))</f>
        <v/>
      </c>
      <c r="E1144" s="51" t="str">
        <f aca="false">IF(LEN($D1144)&gt;79,"MÁS DE 79 CARACTERES","")</f>
        <v/>
      </c>
    </row>
    <row r="1145" customFormat="false" ht="15" hidden="false" customHeight="true" outlineLevel="0" collapsed="false">
      <c r="B1145" s="53" t="str">
        <f aca="false">IF(OR(LINEAS!$D$59="",LINEAS!$U$59=0,ABS(IF(OR(LINEAS!$U$59=1,LINEAS!$U$59=3),1,-1)*LINEAS!$AG$59*DATOS!$C$67)&lt;0.00005),"*",LINEAS!$D$59&amp;" UNI "&amp;IF(LINEAS!$U$59&lt;=2,"GZ","GX")&amp;" "&amp;TEXT(IF(OR(LINEAS!$U$59=1,LINEAS!$U$59=3),1,-1)*LINEAS!$AG$59*DATOS!$C$67,DATOS!$C$68))</f>
        <v>295 UNI GX 0.0050</v>
      </c>
      <c r="C1145" s="51" t="str">
        <f aca="false">IF(LEN($B1145)&gt;79,"MÁS DE 79 CARACTERES","")</f>
        <v/>
      </c>
      <c r="D1145" s="53" t="str">
        <f aca="false">IF(PRESIONES!$C$22="NO","",IF(OR(LINEAS!$D$59="",LINEAS!$U$59=0,ABS(IF(OR(LINEAS!$U$59=1,LINEAS!$U$59=3),1,-1)*LINEAS!$AG$59*DATOS!$C$67)&lt;0.00005),"*",LINEAS!$D$59&amp;" UNI "&amp;IF(LINEAS!$U$59&lt;=2,"GZ","GX")&amp;" "&amp;TEXT(IF(OR(LINEAS!$U$59=1,LINEAS!$U$59=3),1,-1)*LINEAS!$AG$59*DATOS!$C$67,DATOS!$C$68)))</f>
        <v/>
      </c>
      <c r="E1145" s="51" t="str">
        <f aca="false">IF(LEN($D1145)&gt;79,"MÁS DE 79 CARACTERES","")</f>
        <v/>
      </c>
    </row>
    <row r="1146" customFormat="false" ht="15" hidden="false" customHeight="true" outlineLevel="0" collapsed="false">
      <c r="B1146" s="53" t="str">
        <f aca="false">IF(OR(LINEAS!$D$60="",LINEAS!$U$60=0,ABS(IF(OR(LINEAS!$U$60=1,LINEAS!$U$60=3),1,-1)*LINEAS!$AG$60*DATOS!$C$67)&lt;0.00005),"*",LINEAS!$D$60&amp;" UNI "&amp;IF(LINEAS!$U$60&lt;=2,"GZ","GX")&amp;" "&amp;TEXT(IF(OR(LINEAS!$U$60=1,LINEAS!$U$60=3),1,-1)*LINEAS!$AG$60*DATOS!$C$67,DATOS!$C$68))</f>
        <v>305 UNI GX 0.0050</v>
      </c>
      <c r="C1146" s="51" t="str">
        <f aca="false">IF(LEN($B1146)&gt;79,"MÁS DE 79 CARACTERES","")</f>
        <v/>
      </c>
      <c r="D1146" s="53" t="str">
        <f aca="false">IF(PRESIONES!$C$22="NO","",IF(OR(LINEAS!$D$60="",LINEAS!$U$60=0,ABS(IF(OR(LINEAS!$U$60=1,LINEAS!$U$60=3),1,-1)*LINEAS!$AG$60*DATOS!$C$67)&lt;0.00005),"*",LINEAS!$D$60&amp;" UNI "&amp;IF(LINEAS!$U$60&lt;=2,"GZ","GX")&amp;" "&amp;TEXT(IF(OR(LINEAS!$U$60=1,LINEAS!$U$60=3),1,-1)*LINEAS!$AG$60*DATOS!$C$67,DATOS!$C$68)))</f>
        <v/>
      </c>
      <c r="E1146" s="51" t="str">
        <f aca="false">IF(LEN($D1146)&gt;79,"MÁS DE 79 CARACTERES","")</f>
        <v/>
      </c>
    </row>
    <row r="1147" customFormat="false" ht="15" hidden="false" customHeight="true" outlineLevel="0" collapsed="false">
      <c r="B1147" s="53" t="str">
        <f aca="false">IF(OR(LINEAS!$D$61="",LINEAS!$U$61=0,ABS(IF(OR(LINEAS!$U$61=1,LINEAS!$U$61=3),1,-1)*LINEAS!$AG$61*DATOS!$C$67)&lt;0.00005),"*",LINEAS!$D$61&amp;" UNI "&amp;IF(LINEAS!$U$61&lt;=2,"GZ","GX")&amp;" "&amp;TEXT(IF(OR(LINEAS!$U$61=1,LINEAS!$U$61=3),1,-1)*LINEAS!$AG$61*DATOS!$C$67,DATOS!$C$68))</f>
        <v>304 UNI GX 0.0050</v>
      </c>
      <c r="C1147" s="51" t="str">
        <f aca="false">IF(LEN($B1147)&gt;79,"MÁS DE 79 CARACTERES","")</f>
        <v/>
      </c>
      <c r="D1147" s="53" t="str">
        <f aca="false">IF(PRESIONES!$C$22="NO","",IF(OR(LINEAS!$D$61="",LINEAS!$U$61=0,ABS(IF(OR(LINEAS!$U$61=1,LINEAS!$U$61=3),1,-1)*LINEAS!$AG$61*DATOS!$C$67)&lt;0.00005),"*",LINEAS!$D$61&amp;" UNI "&amp;IF(LINEAS!$U$61&lt;=2,"GZ","GX")&amp;" "&amp;TEXT(IF(OR(LINEAS!$U$61=1,LINEAS!$U$61=3),1,-1)*LINEAS!$AG$61*DATOS!$C$67,DATOS!$C$68)))</f>
        <v/>
      </c>
      <c r="E1147" s="51" t="str">
        <f aca="false">IF(LEN($D1147)&gt;79,"MÁS DE 79 CARACTERES","")</f>
        <v/>
      </c>
    </row>
    <row r="1148" customFormat="false" ht="15" hidden="false" customHeight="true" outlineLevel="0" collapsed="false">
      <c r="B1148" s="53" t="str">
        <f aca="false">IF(OR(LINEAS!$D$62="",LINEAS!$U$62=0,ABS(IF(OR(LINEAS!$U$62=1,LINEAS!$U$62=3),1,-1)*LINEAS!$AG$62*DATOS!$C$67)&lt;0.00005),"*",LINEAS!$D$62&amp;" UNI "&amp;IF(LINEAS!$U$62&lt;=2,"GZ","GX")&amp;" "&amp;TEXT(IF(OR(LINEAS!$U$62=1,LINEAS!$U$62=3),1,-1)*LINEAS!$AG$62*DATOS!$C$67,DATOS!$C$68))</f>
        <v>303 UNI GX 0.0050</v>
      </c>
      <c r="C1148" s="51" t="str">
        <f aca="false">IF(LEN($B1148)&gt;79,"MÁS DE 79 CARACTERES","")</f>
        <v/>
      </c>
      <c r="D1148" s="53" t="str">
        <f aca="false">IF(PRESIONES!$C$22="NO","",IF(OR(LINEAS!$D$62="",LINEAS!$U$62=0,ABS(IF(OR(LINEAS!$U$62=1,LINEAS!$U$62=3),1,-1)*LINEAS!$AG$62*DATOS!$C$67)&lt;0.00005),"*",LINEAS!$D$62&amp;" UNI "&amp;IF(LINEAS!$U$62&lt;=2,"GZ","GX")&amp;" "&amp;TEXT(IF(OR(LINEAS!$U$62=1,LINEAS!$U$62=3),1,-1)*LINEAS!$AG$62*DATOS!$C$67,DATOS!$C$68)))</f>
        <v/>
      </c>
      <c r="E1148" s="51" t="str">
        <f aca="false">IF(LEN($D1148)&gt;79,"MÁS DE 79 CARACTERES","")</f>
        <v/>
      </c>
    </row>
    <row r="1149" customFormat="false" ht="15" hidden="false" customHeight="true" outlineLevel="0" collapsed="false">
      <c r="B1149" s="53" t="str">
        <f aca="false">IF(OR(LINEAS!$D$63="",LINEAS!$U$63=0,ABS(IF(OR(LINEAS!$U$63=1,LINEAS!$U$63=3),1,-1)*LINEAS!$AG$63*DATOS!$C$67)&lt;0.00005),"*",LINEAS!$D$63&amp;" UNI "&amp;IF(LINEAS!$U$63&lt;=2,"GZ","GX")&amp;" "&amp;TEXT(IF(OR(LINEAS!$U$63=1,LINEAS!$U$63=3),1,-1)*LINEAS!$AG$63*DATOS!$C$67,DATOS!$C$68))</f>
        <v>314 UNI GX 0.0050</v>
      </c>
      <c r="C1149" s="51" t="str">
        <f aca="false">IF(LEN($B1149)&gt;79,"MÁS DE 79 CARACTERES","")</f>
        <v/>
      </c>
      <c r="D1149" s="53" t="str">
        <f aca="false">IF(PRESIONES!$C$22="NO","",IF(OR(LINEAS!$D$63="",LINEAS!$U$63=0,ABS(IF(OR(LINEAS!$U$63=1,LINEAS!$U$63=3),1,-1)*LINEAS!$AG$63*DATOS!$C$67)&lt;0.00005),"*",LINEAS!$D$63&amp;" UNI "&amp;IF(LINEAS!$U$63&lt;=2,"GZ","GX")&amp;" "&amp;TEXT(IF(OR(LINEAS!$U$63=1,LINEAS!$U$63=3),1,-1)*LINEAS!$AG$63*DATOS!$C$67,DATOS!$C$68)))</f>
        <v/>
      </c>
      <c r="E1149" s="51" t="str">
        <f aca="false">IF(LEN($D1149)&gt;79,"MÁS DE 79 CARACTERES","")</f>
        <v/>
      </c>
    </row>
    <row r="1150" customFormat="false" ht="15" hidden="false" customHeight="true" outlineLevel="0" collapsed="false">
      <c r="B1150" s="53" t="str">
        <f aca="false">IF(OR(LINEAS!$D$64="",LINEAS!$U$64=0,ABS(IF(OR(LINEAS!$U$64=1,LINEAS!$U$64=3),1,-1)*LINEAS!$AG$64*DATOS!$C$67)&lt;0.00005),"*",LINEAS!$D$64&amp;" UNI "&amp;IF(LINEAS!$U$64&lt;=2,"GZ","GX")&amp;" "&amp;TEXT(IF(OR(LINEAS!$U$64=1,LINEAS!$U$64=3),1,-1)*LINEAS!$AG$64*DATOS!$C$67,DATOS!$C$68))</f>
        <v>313 UNI GX 0.0050</v>
      </c>
      <c r="C1150" s="51" t="str">
        <f aca="false">IF(LEN($B1150)&gt;79,"MÁS DE 79 CARACTERES","")</f>
        <v/>
      </c>
      <c r="D1150" s="53" t="str">
        <f aca="false">IF(PRESIONES!$C$22="NO","",IF(OR(LINEAS!$D$64="",LINEAS!$U$64=0,ABS(IF(OR(LINEAS!$U$64=1,LINEAS!$U$64=3),1,-1)*LINEAS!$AG$64*DATOS!$C$67)&lt;0.00005),"*",LINEAS!$D$64&amp;" UNI "&amp;IF(LINEAS!$U$64&lt;=2,"GZ","GX")&amp;" "&amp;TEXT(IF(OR(LINEAS!$U$64=1,LINEAS!$U$64=3),1,-1)*LINEAS!$AG$64*DATOS!$C$67,DATOS!$C$68)))</f>
        <v/>
      </c>
      <c r="E1150" s="51" t="str">
        <f aca="false">IF(LEN($D1150)&gt;79,"MÁS DE 79 CARACTERES","")</f>
        <v/>
      </c>
    </row>
    <row r="1151" customFormat="false" ht="15" hidden="false" customHeight="true" outlineLevel="0" collapsed="false">
      <c r="B1151" s="53" t="str">
        <f aca="false">IF(OR(LINEAS!$D$65="",LINEAS!$U$65=0,ABS(IF(OR(LINEAS!$U$65=1,LINEAS!$U$65=3),1,-1)*LINEAS!$AG$65*DATOS!$C$67)&lt;0.00005),"*",LINEAS!$D$65&amp;" UNI "&amp;IF(LINEAS!$U$65&lt;=2,"GZ","GX")&amp;" "&amp;TEXT(IF(OR(LINEAS!$U$65=1,LINEAS!$U$65=3),1,-1)*LINEAS!$AG$65*DATOS!$C$67,DATOS!$C$68))</f>
        <v>312 UNI GX 0.0050</v>
      </c>
      <c r="C1151" s="51" t="str">
        <f aca="false">IF(LEN($B1151)&gt;79,"MÁS DE 79 CARACTERES","")</f>
        <v/>
      </c>
      <c r="D1151" s="53" t="str">
        <f aca="false">IF(PRESIONES!$C$22="NO","",IF(OR(LINEAS!$D$65="",LINEAS!$U$65=0,ABS(IF(OR(LINEAS!$U$65=1,LINEAS!$U$65=3),1,-1)*LINEAS!$AG$65*DATOS!$C$67)&lt;0.00005),"*",LINEAS!$D$65&amp;" UNI "&amp;IF(LINEAS!$U$65&lt;=2,"GZ","GX")&amp;" "&amp;TEXT(IF(OR(LINEAS!$U$65=1,LINEAS!$U$65=3),1,-1)*LINEAS!$AG$65*DATOS!$C$67,DATOS!$C$68)))</f>
        <v/>
      </c>
      <c r="E1151" s="51" t="str">
        <f aca="false">IF(LEN($D1151)&gt;79,"MÁS DE 79 CARACTERES","")</f>
        <v/>
      </c>
    </row>
    <row r="1152" customFormat="false" ht="15" hidden="false" customHeight="true" outlineLevel="0" collapsed="false">
      <c r="B1152" s="53" t="str">
        <f aca="false">IF(OR(LINEAS!$D$66="",LINEAS!$U$66=0,ABS(IF(OR(LINEAS!$U$66=1,LINEAS!$U$66=3),1,-1)*LINEAS!$AG$66*DATOS!$C$67)&lt;0.00005),"*",LINEAS!$D$66&amp;" UNI "&amp;IF(LINEAS!$U$66&lt;=2,"GZ","GX")&amp;" "&amp;TEXT(IF(OR(LINEAS!$U$66=1,LINEAS!$U$66=3),1,-1)*LINEAS!$AG$66*DATOS!$C$67,DATOS!$C$68))</f>
        <v>317 UNI GX 0.0043</v>
      </c>
      <c r="C1152" s="51" t="str">
        <f aca="false">IF(LEN($B1152)&gt;79,"MÁS DE 79 CARACTERES","")</f>
        <v/>
      </c>
      <c r="D1152" s="53" t="str">
        <f aca="false">IF(PRESIONES!$C$22="NO","",IF(OR(LINEAS!$D$66="",LINEAS!$U$66=0,ABS(IF(OR(LINEAS!$U$66=1,LINEAS!$U$66=3),1,-1)*LINEAS!$AG$66*DATOS!$C$67)&lt;0.00005),"*",LINEAS!$D$66&amp;" UNI "&amp;IF(LINEAS!$U$66&lt;=2,"GZ","GX")&amp;" "&amp;TEXT(IF(OR(LINEAS!$U$66=1,LINEAS!$U$66=3),1,-1)*LINEAS!$AG$66*DATOS!$C$67,DATOS!$C$68)))</f>
        <v/>
      </c>
      <c r="E1152" s="51" t="str">
        <f aca="false">IF(LEN($D1152)&gt;79,"MÁS DE 79 CARACTERES","")</f>
        <v/>
      </c>
    </row>
    <row r="1153" customFormat="false" ht="15" hidden="false" customHeight="true" outlineLevel="0" collapsed="false">
      <c r="B1153" s="53" t="str">
        <f aca="false">IF(OR(LINEAS!$D$67="",LINEAS!$U$67=0,ABS(IF(OR(LINEAS!$U$67=1,LINEAS!$U$67=3),1,-1)*LINEAS!$AG$67*DATOS!$C$67)&lt;0.00005),"*",LINEAS!$D$67&amp;" UNI "&amp;IF(LINEAS!$U$67&lt;=2,"GZ","GX")&amp;" "&amp;TEXT(IF(OR(LINEAS!$U$67=1,LINEAS!$U$67=3),1,-1)*LINEAS!$AG$67*DATOS!$C$67,DATOS!$C$68))</f>
        <v>316 UNI GX 0.0036</v>
      </c>
      <c r="C1153" s="51" t="str">
        <f aca="false">IF(LEN($B1153)&gt;79,"MÁS DE 79 CARACTERES","")</f>
        <v/>
      </c>
      <c r="D1153" s="53" t="str">
        <f aca="false">IF(PRESIONES!$C$22="NO","",IF(OR(LINEAS!$D$67="",LINEAS!$U$67=0,ABS(IF(OR(LINEAS!$U$67=1,LINEAS!$U$67=3),1,-1)*LINEAS!$AG$67*DATOS!$C$67)&lt;0.00005),"*",LINEAS!$D$67&amp;" UNI "&amp;IF(LINEAS!$U$67&lt;=2,"GZ","GX")&amp;" "&amp;TEXT(IF(OR(LINEAS!$U$67=1,LINEAS!$U$67=3),1,-1)*LINEAS!$AG$67*DATOS!$C$67,DATOS!$C$68)))</f>
        <v/>
      </c>
      <c r="E1153" s="51" t="str">
        <f aca="false">IF(LEN($D1153)&gt;79,"MÁS DE 79 CARACTERES","")</f>
        <v/>
      </c>
    </row>
    <row r="1154" customFormat="false" ht="15" hidden="false" customHeight="true" outlineLevel="0" collapsed="false">
      <c r="B1154" s="53" t="str">
        <f aca="false">IF(OR(LINEAS!$D$68="",LINEAS!$U$68=0,ABS(IF(OR(LINEAS!$U$68=1,LINEAS!$U$68=3),1,-1)*LINEAS!$AG$68*DATOS!$C$67)&lt;0.00005),"*",LINEAS!$D$68&amp;" UNI "&amp;IF(LINEAS!$U$68&lt;=2,"GZ","GX")&amp;" "&amp;TEXT(IF(OR(LINEAS!$U$68=1,LINEAS!$U$68=3),1,-1)*LINEAS!$AG$68*DATOS!$C$67,DATOS!$C$68))</f>
        <v>315 UNI GX 0.0031</v>
      </c>
      <c r="C1154" s="51" t="str">
        <f aca="false">IF(LEN($B1154)&gt;79,"MÁS DE 79 CARACTERES","")</f>
        <v/>
      </c>
      <c r="D1154" s="53" t="str">
        <f aca="false">IF(PRESIONES!$C$22="NO","",IF(OR(LINEAS!$D$68="",LINEAS!$U$68=0,ABS(IF(OR(LINEAS!$U$68=1,LINEAS!$U$68=3),1,-1)*LINEAS!$AG$68*DATOS!$C$67)&lt;0.00005),"*",LINEAS!$D$68&amp;" UNI "&amp;IF(LINEAS!$U$68&lt;=2,"GZ","GX")&amp;" "&amp;TEXT(IF(OR(LINEAS!$U$68=1,LINEAS!$U$68=3),1,-1)*LINEAS!$AG$68*DATOS!$C$67,DATOS!$C$68)))</f>
        <v/>
      </c>
      <c r="E1154" s="51" t="str">
        <f aca="false">IF(LEN($D1154)&gt;79,"MÁS DE 79 CARACTERES","")</f>
        <v/>
      </c>
    </row>
    <row r="1155" customFormat="false" ht="15" hidden="false" customHeight="true" outlineLevel="0" collapsed="false">
      <c r="B1155" s="53" t="str">
        <f aca="false">IF(OR(LINEAS!$D$69="",LINEAS!$U$69=0,ABS(IF(OR(LINEAS!$U$69=1,LINEAS!$U$69=3),1,-1)*LINEAS!$AG$69*DATOS!$C$67)&lt;0.00005),"*",LINEAS!$D$69&amp;" UNI "&amp;IF(LINEAS!$U$69&lt;=2,"GZ","GX")&amp;" "&amp;TEXT(IF(OR(LINEAS!$U$69=1,LINEAS!$U$69=3),1,-1)*LINEAS!$AG$69*DATOS!$C$67,DATOS!$C$68))</f>
        <v>265 UNI GX -0.7538</v>
      </c>
      <c r="C1155" s="51" t="str">
        <f aca="false">IF(LEN($B1155)&gt;79,"MÁS DE 79 CARACTERES","")</f>
        <v/>
      </c>
      <c r="D1155" s="53" t="str">
        <f aca="false">IF(PRESIONES!$C$22="NO","",IF(OR(LINEAS!$D$69="",LINEAS!$U$69=0,ABS(IF(OR(LINEAS!$U$69=1,LINEAS!$U$69=3),1,-1)*LINEAS!$AG$69*DATOS!$C$67)&lt;0.00005),"*",LINEAS!$D$69&amp;" UNI "&amp;IF(LINEAS!$U$69&lt;=2,"GZ","GX")&amp;" "&amp;TEXT(IF(OR(LINEAS!$U$69=1,LINEAS!$U$69=3),1,-1)*LINEAS!$AG$69*DATOS!$C$67,DATOS!$C$68)))</f>
        <v/>
      </c>
      <c r="E1155" s="51" t="str">
        <f aca="false">IF(LEN($D1155)&gt;79,"MÁS DE 79 CARACTERES","")</f>
        <v/>
      </c>
    </row>
    <row r="1156" customFormat="false" ht="15" hidden="false" customHeight="true" outlineLevel="0" collapsed="false">
      <c r="B1156" s="53" t="str">
        <f aca="false">IF(OR(LINEAS!$D$70="",LINEAS!$U$70=0,ABS(IF(OR(LINEAS!$U$70=1,LINEAS!$U$70=3),1,-1)*LINEAS!$AG$70*DATOS!$C$67)&lt;0.00005),"*",LINEAS!$D$70&amp;" UNI "&amp;IF(LINEAS!$U$70&lt;=2,"GZ","GX")&amp;" "&amp;TEXT(IF(OR(LINEAS!$U$70=1,LINEAS!$U$70=3),1,-1)*LINEAS!$AG$70*DATOS!$C$67,DATOS!$C$68))</f>
        <v>266 UNI GX -0.7538</v>
      </c>
      <c r="C1156" s="51" t="str">
        <f aca="false">IF(LEN($B1156)&gt;79,"MÁS DE 79 CARACTERES","")</f>
        <v/>
      </c>
      <c r="D1156" s="53" t="str">
        <f aca="false">IF(PRESIONES!$C$22="NO","",IF(OR(LINEAS!$D$70="",LINEAS!$U$70=0,ABS(IF(OR(LINEAS!$U$70=1,LINEAS!$U$70=3),1,-1)*LINEAS!$AG$70*DATOS!$C$67)&lt;0.00005),"*",LINEAS!$D$70&amp;" UNI "&amp;IF(LINEAS!$U$70&lt;=2,"GZ","GX")&amp;" "&amp;TEXT(IF(OR(LINEAS!$U$70=1,LINEAS!$U$70=3),1,-1)*LINEAS!$AG$70*DATOS!$C$67,DATOS!$C$68)))</f>
        <v/>
      </c>
      <c r="E1156" s="51" t="str">
        <f aca="false">IF(LEN($D1156)&gt;79,"MÁS DE 79 CARACTERES","")</f>
        <v/>
      </c>
    </row>
    <row r="1157" customFormat="false" ht="15" hidden="false" customHeight="true" outlineLevel="0" collapsed="false">
      <c r="B1157" s="53" t="str">
        <f aca="false">IF(OR(LINEAS!$D$71="",LINEAS!$U$71=0,ABS(IF(OR(LINEAS!$U$71=1,LINEAS!$U$71=3),1,-1)*LINEAS!$AG$71*DATOS!$C$67)&lt;0.00005),"*",LINEAS!$D$71&amp;" UNI "&amp;IF(LINEAS!$U$71&lt;=2,"GZ","GX")&amp;" "&amp;TEXT(IF(OR(LINEAS!$U$71=1,LINEAS!$U$71=3),1,-1)*LINEAS!$AG$71*DATOS!$C$67,DATOS!$C$68))</f>
        <v>267 UNI GX -0.7538</v>
      </c>
      <c r="C1157" s="51" t="str">
        <f aca="false">IF(LEN($B1157)&gt;79,"MÁS DE 79 CARACTERES","")</f>
        <v/>
      </c>
      <c r="D1157" s="53" t="str">
        <f aca="false">IF(PRESIONES!$C$22="NO","",IF(OR(LINEAS!$D$71="",LINEAS!$U$71=0,ABS(IF(OR(LINEAS!$U$71=1,LINEAS!$U$71=3),1,-1)*LINEAS!$AG$71*DATOS!$C$67)&lt;0.00005),"*",LINEAS!$D$71&amp;" UNI "&amp;IF(LINEAS!$U$71&lt;=2,"GZ","GX")&amp;" "&amp;TEXT(IF(OR(LINEAS!$U$71=1,LINEAS!$U$71=3),1,-1)*LINEAS!$AG$71*DATOS!$C$67,DATOS!$C$68)))</f>
        <v/>
      </c>
      <c r="E1157" s="51" t="str">
        <f aca="false">IF(LEN($D1157)&gt;79,"MÁS DE 79 CARACTERES","")</f>
        <v/>
      </c>
    </row>
    <row r="1158" customFormat="false" ht="15" hidden="false" customHeight="true" outlineLevel="0" collapsed="false">
      <c r="B1158" s="53" t="str">
        <f aca="false">IF(OR(LINEAS!$D$72="",LINEAS!$U$72=0,ABS(IF(OR(LINEAS!$U$72=1,LINEAS!$U$72=3),1,-1)*LINEAS!$AG$72*DATOS!$C$67)&lt;0.00005),"*",LINEAS!$D$72&amp;" UNI "&amp;IF(LINEAS!$U$72&lt;=2,"GZ","GX")&amp;" "&amp;TEXT(IF(OR(LINEAS!$U$72=1,LINEAS!$U$72=3),1,-1)*LINEAS!$AG$72*DATOS!$C$67,DATOS!$C$68))</f>
        <v>274 UNI GX -0.7538</v>
      </c>
      <c r="C1158" s="51" t="str">
        <f aca="false">IF(LEN($B1158)&gt;79,"MÁS DE 79 CARACTERES","")</f>
        <v/>
      </c>
      <c r="D1158" s="53" t="str">
        <f aca="false">IF(PRESIONES!$C$22="NO","",IF(OR(LINEAS!$D$72="",LINEAS!$U$72=0,ABS(IF(OR(LINEAS!$U$72=1,LINEAS!$U$72=3),1,-1)*LINEAS!$AG$72*DATOS!$C$67)&lt;0.00005),"*",LINEAS!$D$72&amp;" UNI "&amp;IF(LINEAS!$U$72&lt;=2,"GZ","GX")&amp;" "&amp;TEXT(IF(OR(LINEAS!$U$72=1,LINEAS!$U$72=3),1,-1)*LINEAS!$AG$72*DATOS!$C$67,DATOS!$C$68)))</f>
        <v/>
      </c>
      <c r="E1158" s="51" t="str">
        <f aca="false">IF(LEN($D1158)&gt;79,"MÁS DE 79 CARACTERES","")</f>
        <v/>
      </c>
    </row>
    <row r="1159" customFormat="false" ht="15" hidden="false" customHeight="true" outlineLevel="0" collapsed="false">
      <c r="B1159" s="53" t="str">
        <f aca="false">IF(OR(LINEAS!$D$73="",LINEAS!$U$73=0,ABS(IF(OR(LINEAS!$U$73=1,LINEAS!$U$73=3),1,-1)*LINEAS!$AG$73*DATOS!$C$67)&lt;0.00005),"*",LINEAS!$D$73&amp;" UNI "&amp;IF(LINEAS!$U$73&lt;=2,"GZ","GX")&amp;" "&amp;TEXT(IF(OR(LINEAS!$U$73=1,LINEAS!$U$73=3),1,-1)*LINEAS!$AG$73*DATOS!$C$67,DATOS!$C$68))</f>
        <v>275 UNI GX -0.7538</v>
      </c>
      <c r="C1159" s="51" t="str">
        <f aca="false">IF(LEN($B1159)&gt;79,"MÁS DE 79 CARACTERES","")</f>
        <v/>
      </c>
      <c r="D1159" s="53" t="str">
        <f aca="false">IF(PRESIONES!$C$22="NO","",IF(OR(LINEAS!$D$73="",LINEAS!$U$73=0,ABS(IF(OR(LINEAS!$U$73=1,LINEAS!$U$73=3),1,-1)*LINEAS!$AG$73*DATOS!$C$67)&lt;0.00005),"*",LINEAS!$D$73&amp;" UNI "&amp;IF(LINEAS!$U$73&lt;=2,"GZ","GX")&amp;" "&amp;TEXT(IF(OR(LINEAS!$U$73=1,LINEAS!$U$73=3),1,-1)*LINEAS!$AG$73*DATOS!$C$67,DATOS!$C$68)))</f>
        <v/>
      </c>
      <c r="E1159" s="51" t="str">
        <f aca="false">IF(LEN($D1159)&gt;79,"MÁS DE 79 CARACTERES","")</f>
        <v/>
      </c>
    </row>
    <row r="1160" customFormat="false" ht="15" hidden="false" customHeight="true" outlineLevel="0" collapsed="false">
      <c r="B1160" s="53" t="str">
        <f aca="false">IF(OR(LINEAS!$D$74="",LINEAS!$U$74=0,ABS(IF(OR(LINEAS!$U$74=1,LINEAS!$U$74=3),1,-1)*LINEAS!$AG$74*DATOS!$C$67)&lt;0.00005),"*",LINEAS!$D$74&amp;" UNI "&amp;IF(LINEAS!$U$74&lt;=2,"GZ","GX")&amp;" "&amp;TEXT(IF(OR(LINEAS!$U$74=1,LINEAS!$U$74=3),1,-1)*LINEAS!$AG$74*DATOS!$C$67,DATOS!$C$68))</f>
        <v>276 UNI GX -0.7538</v>
      </c>
      <c r="C1160" s="51" t="str">
        <f aca="false">IF(LEN($B1160)&gt;79,"MÁS DE 79 CARACTERES","")</f>
        <v/>
      </c>
      <c r="D1160" s="53" t="str">
        <f aca="false">IF(PRESIONES!$C$22="NO","",IF(OR(LINEAS!$D$74="",LINEAS!$U$74=0,ABS(IF(OR(LINEAS!$U$74=1,LINEAS!$U$74=3),1,-1)*LINEAS!$AG$74*DATOS!$C$67)&lt;0.00005),"*",LINEAS!$D$74&amp;" UNI "&amp;IF(LINEAS!$U$74&lt;=2,"GZ","GX")&amp;" "&amp;TEXT(IF(OR(LINEAS!$U$74=1,LINEAS!$U$74=3),1,-1)*LINEAS!$AG$74*DATOS!$C$67,DATOS!$C$68)))</f>
        <v/>
      </c>
      <c r="E1160" s="51" t="str">
        <f aca="false">IF(LEN($D1160)&gt;79,"MÁS DE 79 CARACTERES","")</f>
        <v/>
      </c>
    </row>
    <row r="1161" customFormat="false" ht="15" hidden="false" customHeight="true" outlineLevel="0" collapsed="false">
      <c r="B1161" s="53" t="str">
        <f aca="false">IF(OR(LINEAS!$D$75="",LINEAS!$U$75=0,ABS(IF(OR(LINEAS!$U$75=1,LINEAS!$U$75=3),1,-1)*LINEAS!$AG$75*DATOS!$C$67)&lt;0.00005),"*",LINEAS!$D$75&amp;" UNI "&amp;IF(LINEAS!$U$75&lt;=2,"GZ","GX")&amp;" "&amp;TEXT(IF(OR(LINEAS!$U$75=1,LINEAS!$U$75=3),1,-1)*LINEAS!$AG$75*DATOS!$C$67,DATOS!$C$68))</f>
        <v>283 UNI GX -0.7538</v>
      </c>
      <c r="C1161" s="51" t="str">
        <f aca="false">IF(LEN($B1161)&gt;79,"MÁS DE 79 CARACTERES","")</f>
        <v/>
      </c>
      <c r="D1161" s="53" t="str">
        <f aca="false">IF(PRESIONES!$C$22="NO","",IF(OR(LINEAS!$D$75="",LINEAS!$U$75=0,ABS(IF(OR(LINEAS!$U$75=1,LINEAS!$U$75=3),1,-1)*LINEAS!$AG$75*DATOS!$C$67)&lt;0.00005),"*",LINEAS!$D$75&amp;" UNI "&amp;IF(LINEAS!$U$75&lt;=2,"GZ","GX")&amp;" "&amp;TEXT(IF(OR(LINEAS!$U$75=1,LINEAS!$U$75=3),1,-1)*LINEAS!$AG$75*DATOS!$C$67,DATOS!$C$68)))</f>
        <v/>
      </c>
      <c r="E1161" s="51" t="str">
        <f aca="false">IF(LEN($D1161)&gt;79,"MÁS DE 79 CARACTERES","")</f>
        <v/>
      </c>
    </row>
    <row r="1162" customFormat="false" ht="15" hidden="false" customHeight="true" outlineLevel="0" collapsed="false">
      <c r="B1162" s="53" t="str">
        <f aca="false">IF(OR(LINEAS!$D$76="",LINEAS!$U$76=0,ABS(IF(OR(LINEAS!$U$76=1,LINEAS!$U$76=3),1,-1)*LINEAS!$AG$76*DATOS!$C$67)&lt;0.00005),"*",LINEAS!$D$76&amp;" UNI "&amp;IF(LINEAS!$U$76&lt;=2,"GZ","GX")&amp;" "&amp;TEXT(IF(OR(LINEAS!$U$76=1,LINEAS!$U$76=3),1,-1)*LINEAS!$AG$76*DATOS!$C$67,DATOS!$C$68))</f>
        <v>284 UNI GX -0.7538</v>
      </c>
      <c r="C1162" s="51" t="str">
        <f aca="false">IF(LEN($B1162)&gt;79,"MÁS DE 79 CARACTERES","")</f>
        <v/>
      </c>
      <c r="D1162" s="53" t="str">
        <f aca="false">IF(PRESIONES!$C$22="NO","",IF(OR(LINEAS!$D$76="",LINEAS!$U$76=0,ABS(IF(OR(LINEAS!$U$76=1,LINEAS!$U$76=3),1,-1)*LINEAS!$AG$76*DATOS!$C$67)&lt;0.00005),"*",LINEAS!$D$76&amp;" UNI "&amp;IF(LINEAS!$U$76&lt;=2,"GZ","GX")&amp;" "&amp;TEXT(IF(OR(LINEAS!$U$76=1,LINEAS!$U$76=3),1,-1)*LINEAS!$AG$76*DATOS!$C$67,DATOS!$C$68)))</f>
        <v/>
      </c>
      <c r="E1162" s="51" t="str">
        <f aca="false">IF(LEN($D1162)&gt;79,"MÁS DE 79 CARACTERES","")</f>
        <v/>
      </c>
    </row>
    <row r="1163" customFormat="false" ht="15" hidden="false" customHeight="true" outlineLevel="0" collapsed="false">
      <c r="B1163" s="53" t="str">
        <f aca="false">IF(OR(LINEAS!$D$77="",LINEAS!$U$77=0,ABS(IF(OR(LINEAS!$U$77=1,LINEAS!$U$77=3),1,-1)*LINEAS!$AG$77*DATOS!$C$67)&lt;0.00005),"*",LINEAS!$D$77&amp;" UNI "&amp;IF(LINEAS!$U$77&lt;=2,"GZ","GX")&amp;" "&amp;TEXT(IF(OR(LINEAS!$U$77=1,LINEAS!$U$77=3),1,-1)*LINEAS!$AG$77*DATOS!$C$67,DATOS!$C$68))</f>
        <v>285 UNI GX -0.7538</v>
      </c>
      <c r="C1163" s="51" t="str">
        <f aca="false">IF(LEN($B1163)&gt;79,"MÁS DE 79 CARACTERES","")</f>
        <v/>
      </c>
      <c r="D1163" s="53" t="str">
        <f aca="false">IF(PRESIONES!$C$22="NO","",IF(OR(LINEAS!$D$77="",LINEAS!$U$77=0,ABS(IF(OR(LINEAS!$U$77=1,LINEAS!$U$77=3),1,-1)*LINEAS!$AG$77*DATOS!$C$67)&lt;0.00005),"*",LINEAS!$D$77&amp;" UNI "&amp;IF(LINEAS!$U$77&lt;=2,"GZ","GX")&amp;" "&amp;TEXT(IF(OR(LINEAS!$U$77=1,LINEAS!$U$77=3),1,-1)*LINEAS!$AG$77*DATOS!$C$67,DATOS!$C$68)))</f>
        <v/>
      </c>
      <c r="E1163" s="51" t="str">
        <f aca="false">IF(LEN($D1163)&gt;79,"MÁS DE 79 CARACTERES","")</f>
        <v/>
      </c>
    </row>
    <row r="1164" customFormat="false" ht="15" hidden="false" customHeight="true" outlineLevel="0" collapsed="false">
      <c r="B1164" s="53" t="str">
        <f aca="false">IF(OR(LINEAS!$D$78="",LINEAS!$U$78=0,ABS(IF(OR(LINEAS!$U$78=1,LINEAS!$U$78=3),1,-1)*LINEAS!$AG$78*DATOS!$C$67)&lt;0.00005),"*",LINEAS!$D$78&amp;" UNI "&amp;IF(LINEAS!$U$78&lt;=2,"GZ","GX")&amp;" "&amp;TEXT(IF(OR(LINEAS!$U$78=1,LINEAS!$U$78=3),1,-1)*LINEAS!$AG$78*DATOS!$C$67,DATOS!$C$68))</f>
        <v>292 UNI GX -0.7538</v>
      </c>
      <c r="C1164" s="51" t="str">
        <f aca="false">IF(LEN($B1164)&gt;79,"MÁS DE 79 CARACTERES","")</f>
        <v/>
      </c>
      <c r="D1164" s="53" t="str">
        <f aca="false">IF(PRESIONES!$C$22="NO","",IF(OR(LINEAS!$D$78="",LINEAS!$U$78=0,ABS(IF(OR(LINEAS!$U$78=1,LINEAS!$U$78=3),1,-1)*LINEAS!$AG$78*DATOS!$C$67)&lt;0.00005),"*",LINEAS!$D$78&amp;" UNI "&amp;IF(LINEAS!$U$78&lt;=2,"GZ","GX")&amp;" "&amp;TEXT(IF(OR(LINEAS!$U$78=1,LINEAS!$U$78=3),1,-1)*LINEAS!$AG$78*DATOS!$C$67,DATOS!$C$68)))</f>
        <v/>
      </c>
      <c r="E1164" s="51" t="str">
        <f aca="false">IF(LEN($D1164)&gt;79,"MÁS DE 79 CARACTERES","")</f>
        <v/>
      </c>
    </row>
    <row r="1165" customFormat="false" ht="15" hidden="false" customHeight="true" outlineLevel="0" collapsed="false">
      <c r="B1165" s="53" t="str">
        <f aca="false">IF(OR(LINEAS!$D$79="",LINEAS!$U$79=0,ABS(IF(OR(LINEAS!$U$79=1,LINEAS!$U$79=3),1,-1)*LINEAS!$AG$79*DATOS!$C$67)&lt;0.00005),"*",LINEAS!$D$79&amp;" UNI "&amp;IF(LINEAS!$U$79&lt;=2,"GZ","GX")&amp;" "&amp;TEXT(IF(OR(LINEAS!$U$79=1,LINEAS!$U$79=3),1,-1)*LINEAS!$AG$79*DATOS!$C$67,DATOS!$C$68))</f>
        <v>293 UNI GX -0.7538</v>
      </c>
      <c r="C1165" s="51" t="str">
        <f aca="false">IF(LEN($B1165)&gt;79,"MÁS DE 79 CARACTERES","")</f>
        <v/>
      </c>
      <c r="D1165" s="53" t="str">
        <f aca="false">IF(PRESIONES!$C$22="NO","",IF(OR(LINEAS!$D$79="",LINEAS!$U$79=0,ABS(IF(OR(LINEAS!$U$79=1,LINEAS!$U$79=3),1,-1)*LINEAS!$AG$79*DATOS!$C$67)&lt;0.00005),"*",LINEAS!$D$79&amp;" UNI "&amp;IF(LINEAS!$U$79&lt;=2,"GZ","GX")&amp;" "&amp;TEXT(IF(OR(LINEAS!$U$79=1,LINEAS!$U$79=3),1,-1)*LINEAS!$AG$79*DATOS!$C$67,DATOS!$C$68)))</f>
        <v/>
      </c>
      <c r="E1165" s="51" t="str">
        <f aca="false">IF(LEN($D1165)&gt;79,"MÁS DE 79 CARACTERES","")</f>
        <v/>
      </c>
    </row>
    <row r="1166" customFormat="false" ht="15" hidden="false" customHeight="true" outlineLevel="0" collapsed="false">
      <c r="B1166" s="53" t="str">
        <f aca="false">IF(OR(LINEAS!$D$80="",LINEAS!$U$80=0,ABS(IF(OR(LINEAS!$U$80=1,LINEAS!$U$80=3),1,-1)*LINEAS!$AG$80*DATOS!$C$67)&lt;0.00005),"*",LINEAS!$D$80&amp;" UNI "&amp;IF(LINEAS!$U$80&lt;=2,"GZ","GX")&amp;" "&amp;TEXT(IF(OR(LINEAS!$U$80=1,LINEAS!$U$80=3),1,-1)*LINEAS!$AG$80*DATOS!$C$67,DATOS!$C$68))</f>
        <v>294 UNI GX -0.7538</v>
      </c>
      <c r="C1166" s="51" t="str">
        <f aca="false">IF(LEN($B1166)&gt;79,"MÁS DE 79 CARACTERES","")</f>
        <v/>
      </c>
      <c r="D1166" s="53" t="str">
        <f aca="false">IF(PRESIONES!$C$22="NO","",IF(OR(LINEAS!$D$80="",LINEAS!$U$80=0,ABS(IF(OR(LINEAS!$U$80=1,LINEAS!$U$80=3),1,-1)*LINEAS!$AG$80*DATOS!$C$67)&lt;0.00005),"*",LINEAS!$D$80&amp;" UNI "&amp;IF(LINEAS!$U$80&lt;=2,"GZ","GX")&amp;" "&amp;TEXT(IF(OR(LINEAS!$U$80=1,LINEAS!$U$80=3),1,-1)*LINEAS!$AG$80*DATOS!$C$67,DATOS!$C$68)))</f>
        <v/>
      </c>
      <c r="E1166" s="51" t="str">
        <f aca="false">IF(LEN($D1166)&gt;79,"MÁS DE 79 CARACTERES","")</f>
        <v/>
      </c>
    </row>
    <row r="1167" customFormat="false" ht="15" hidden="false" customHeight="true" outlineLevel="0" collapsed="false">
      <c r="B1167" s="53" t="str">
        <f aca="false">IF(OR(LINEAS!$D$81="",LINEAS!$U$81=0,ABS(IF(OR(LINEAS!$U$81=1,LINEAS!$U$81=3),1,-1)*LINEAS!$AG$81*DATOS!$C$67)&lt;0.00005),"*",LINEAS!$D$81&amp;" UNI "&amp;IF(LINEAS!$U$81&lt;=2,"GZ","GX")&amp;" "&amp;TEXT(IF(OR(LINEAS!$U$81=1,LINEAS!$U$81=3),1,-1)*LINEAS!$AG$81*DATOS!$C$67,DATOS!$C$68))</f>
        <v>300 UNI GX -0.7538</v>
      </c>
      <c r="C1167" s="51" t="str">
        <f aca="false">IF(LEN($B1167)&gt;79,"MÁS DE 79 CARACTERES","")</f>
        <v/>
      </c>
      <c r="D1167" s="53" t="str">
        <f aca="false">IF(PRESIONES!$C$22="NO","",IF(OR(LINEAS!$D$81="",LINEAS!$U$81=0,ABS(IF(OR(LINEAS!$U$81=1,LINEAS!$U$81=3),1,-1)*LINEAS!$AG$81*DATOS!$C$67)&lt;0.00005),"*",LINEAS!$D$81&amp;" UNI "&amp;IF(LINEAS!$U$81&lt;=2,"GZ","GX")&amp;" "&amp;TEXT(IF(OR(LINEAS!$U$81=1,LINEAS!$U$81=3),1,-1)*LINEAS!$AG$81*DATOS!$C$67,DATOS!$C$68)))</f>
        <v/>
      </c>
      <c r="E1167" s="51" t="str">
        <f aca="false">IF(LEN($D1167)&gt;79,"MÁS DE 79 CARACTERES","")</f>
        <v/>
      </c>
    </row>
    <row r="1168" customFormat="false" ht="15" hidden="false" customHeight="true" outlineLevel="0" collapsed="false">
      <c r="B1168" s="53" t="str">
        <f aca="false">IF(OR(LINEAS!$D$82="",LINEAS!$U$82=0,ABS(IF(OR(LINEAS!$U$82=1,LINEAS!$U$82=3),1,-1)*LINEAS!$AG$82*DATOS!$C$67)&lt;0.00005),"*",LINEAS!$D$82&amp;" UNI "&amp;IF(LINEAS!$U$82&lt;=2,"GZ","GX")&amp;" "&amp;TEXT(IF(OR(LINEAS!$U$82=1,LINEAS!$U$82=3),1,-1)*LINEAS!$AG$82*DATOS!$C$67,DATOS!$C$68))</f>
        <v>301 UNI GX -0.7538</v>
      </c>
      <c r="C1168" s="51" t="str">
        <f aca="false">IF(LEN($B1168)&gt;79,"MÁS DE 79 CARACTERES","")</f>
        <v/>
      </c>
      <c r="D1168" s="53" t="str">
        <f aca="false">IF(PRESIONES!$C$22="NO","",IF(OR(LINEAS!$D$82="",LINEAS!$U$82=0,ABS(IF(OR(LINEAS!$U$82=1,LINEAS!$U$82=3),1,-1)*LINEAS!$AG$82*DATOS!$C$67)&lt;0.00005),"*",LINEAS!$D$82&amp;" UNI "&amp;IF(LINEAS!$U$82&lt;=2,"GZ","GX")&amp;" "&amp;TEXT(IF(OR(LINEAS!$U$82=1,LINEAS!$U$82=3),1,-1)*LINEAS!$AG$82*DATOS!$C$67,DATOS!$C$68)))</f>
        <v/>
      </c>
      <c r="E1168" s="51" t="str">
        <f aca="false">IF(LEN($D1168)&gt;79,"MÁS DE 79 CARACTERES","")</f>
        <v/>
      </c>
    </row>
    <row r="1169" customFormat="false" ht="15" hidden="false" customHeight="true" outlineLevel="0" collapsed="false">
      <c r="B1169" s="53" t="str">
        <f aca="false">IF(OR(LINEAS!$D$83="",LINEAS!$U$83=0,ABS(IF(OR(LINEAS!$U$83=1,LINEAS!$U$83=3),1,-1)*LINEAS!$AG$83*DATOS!$C$67)&lt;0.00005),"*",LINEAS!$D$83&amp;" UNI "&amp;IF(LINEAS!$U$83&lt;=2,"GZ","GX")&amp;" "&amp;TEXT(IF(OR(LINEAS!$U$83=1,LINEAS!$U$83=3),1,-1)*LINEAS!$AG$83*DATOS!$C$67,DATOS!$C$68))</f>
        <v>302 UNI GX -0.7538</v>
      </c>
      <c r="C1169" s="51" t="str">
        <f aca="false">IF(LEN($B1169)&gt;79,"MÁS DE 79 CARACTERES","")</f>
        <v/>
      </c>
      <c r="D1169" s="53" t="str">
        <f aca="false">IF(PRESIONES!$C$22="NO","",IF(OR(LINEAS!$D$83="",LINEAS!$U$83=0,ABS(IF(OR(LINEAS!$U$83=1,LINEAS!$U$83=3),1,-1)*LINEAS!$AG$83*DATOS!$C$67)&lt;0.00005),"*",LINEAS!$D$83&amp;" UNI "&amp;IF(LINEAS!$U$83&lt;=2,"GZ","GX")&amp;" "&amp;TEXT(IF(OR(LINEAS!$U$83=1,LINEAS!$U$83=3),1,-1)*LINEAS!$AG$83*DATOS!$C$67,DATOS!$C$68)))</f>
        <v/>
      </c>
      <c r="E1169" s="51" t="str">
        <f aca="false">IF(LEN($D1169)&gt;79,"MÁS DE 79 CARACTERES","")</f>
        <v/>
      </c>
    </row>
    <row r="1170" customFormat="false" ht="15" hidden="false" customHeight="true" outlineLevel="0" collapsed="false">
      <c r="B1170" s="53" t="str">
        <f aca="false">IF(OR(LINEAS!$D$84="",LINEAS!$U$84=0,ABS(IF(OR(LINEAS!$U$84=1,LINEAS!$U$84=3),1,-1)*LINEAS!$AG$84*DATOS!$C$67)&lt;0.00005),"*",LINEAS!$D$84&amp;" UNI "&amp;IF(LINEAS!$U$84&lt;=2,"GZ","GX")&amp;" "&amp;TEXT(IF(OR(LINEAS!$U$84=1,LINEAS!$U$84=3),1,-1)*LINEAS!$AG$84*DATOS!$C$67,DATOS!$C$68))</f>
        <v>307 UNI GX -0.7538</v>
      </c>
      <c r="C1170" s="51" t="str">
        <f aca="false">IF(LEN($B1170)&gt;79,"MÁS DE 79 CARACTERES","")</f>
        <v/>
      </c>
      <c r="D1170" s="53" t="str">
        <f aca="false">IF(PRESIONES!$C$22="NO","",IF(OR(LINEAS!$D$84="",LINEAS!$U$84=0,ABS(IF(OR(LINEAS!$U$84=1,LINEAS!$U$84=3),1,-1)*LINEAS!$AG$84*DATOS!$C$67)&lt;0.00005),"*",LINEAS!$D$84&amp;" UNI "&amp;IF(LINEAS!$U$84&lt;=2,"GZ","GX")&amp;" "&amp;TEXT(IF(OR(LINEAS!$U$84=1,LINEAS!$U$84=3),1,-1)*LINEAS!$AG$84*DATOS!$C$67,DATOS!$C$68)))</f>
        <v/>
      </c>
      <c r="E1170" s="51" t="str">
        <f aca="false">IF(LEN($D1170)&gt;79,"MÁS DE 79 CARACTERES","")</f>
        <v/>
      </c>
    </row>
    <row r="1171" customFormat="false" ht="15" hidden="false" customHeight="true" outlineLevel="0" collapsed="false">
      <c r="B1171" s="53" t="str">
        <f aca="false">IF(OR(LINEAS!$D$85="",LINEAS!$U$85=0,ABS(IF(OR(LINEAS!$U$85=1,LINEAS!$U$85=3),1,-1)*LINEAS!$AG$85*DATOS!$C$67)&lt;0.00005),"*",LINEAS!$D$85&amp;" UNI "&amp;IF(LINEAS!$U$85&lt;=2,"GZ","GX")&amp;" "&amp;TEXT(IF(OR(LINEAS!$U$85=1,LINEAS!$U$85=3),1,-1)*LINEAS!$AG$85*DATOS!$C$67,DATOS!$C$68))</f>
        <v>308 UNI GX -0.7538</v>
      </c>
      <c r="C1171" s="51" t="str">
        <f aca="false">IF(LEN($B1171)&gt;79,"MÁS DE 79 CARACTERES","")</f>
        <v/>
      </c>
      <c r="D1171" s="53" t="str">
        <f aca="false">IF(PRESIONES!$C$22="NO","",IF(OR(LINEAS!$D$85="",LINEAS!$U$85=0,ABS(IF(OR(LINEAS!$U$85=1,LINEAS!$U$85=3),1,-1)*LINEAS!$AG$85*DATOS!$C$67)&lt;0.00005),"*",LINEAS!$D$85&amp;" UNI "&amp;IF(LINEAS!$U$85&lt;=2,"GZ","GX")&amp;" "&amp;TEXT(IF(OR(LINEAS!$U$85=1,LINEAS!$U$85=3),1,-1)*LINEAS!$AG$85*DATOS!$C$67,DATOS!$C$68)))</f>
        <v/>
      </c>
      <c r="E1171" s="51" t="str">
        <f aca="false">IF(LEN($D1171)&gt;79,"MÁS DE 79 CARACTERES","")</f>
        <v/>
      </c>
    </row>
    <row r="1172" customFormat="false" ht="15" hidden="false" customHeight="true" outlineLevel="0" collapsed="false">
      <c r="B1172" s="53" t="str">
        <f aca="false">IF(OR(LINEAS!$D$86="",LINEAS!$U$86=0,ABS(IF(OR(LINEAS!$U$86=1,LINEAS!$U$86=3),1,-1)*LINEAS!$AG$86*DATOS!$C$67)&lt;0.00005),"*",LINEAS!$D$86&amp;" UNI "&amp;IF(LINEAS!$U$86&lt;=2,"GZ","GX")&amp;" "&amp;TEXT(IF(OR(LINEAS!$U$86=1,LINEAS!$U$86=3),1,-1)*LINEAS!$AG$86*DATOS!$C$67,DATOS!$C$68))</f>
        <v>309 UNI GX -0.7538</v>
      </c>
      <c r="C1172" s="51" t="str">
        <f aca="false">IF(LEN($B1172)&gt;79,"MÁS DE 79 CARACTERES","")</f>
        <v/>
      </c>
      <c r="D1172" s="53" t="str">
        <f aca="false">IF(PRESIONES!$C$22="NO","",IF(OR(LINEAS!$D$86="",LINEAS!$U$86=0,ABS(IF(OR(LINEAS!$U$86=1,LINEAS!$U$86=3),1,-1)*LINEAS!$AG$86*DATOS!$C$67)&lt;0.00005),"*",LINEAS!$D$86&amp;" UNI "&amp;IF(LINEAS!$U$86&lt;=2,"GZ","GX")&amp;" "&amp;TEXT(IF(OR(LINEAS!$U$86=1,LINEAS!$U$86=3),1,-1)*LINEAS!$AG$86*DATOS!$C$67,DATOS!$C$68)))</f>
        <v/>
      </c>
      <c r="E1172" s="51" t="str">
        <f aca="false">IF(LEN($D1172)&gt;79,"MÁS DE 79 CARACTERES","")</f>
        <v/>
      </c>
    </row>
    <row r="1173" customFormat="false" ht="15" hidden="false" customHeight="true" outlineLevel="0" collapsed="false">
      <c r="B1173" s="53" t="str">
        <f aca="false">IF(OR(LINEAS!$D$87="",LINEAS!$U$87=0,ABS(IF(OR(LINEAS!$U$87=1,LINEAS!$U$87=3),1,-1)*LINEAS!$AG$87*DATOS!$C$67)&lt;0.00005),"*",LINEAS!$D$87&amp;" UNI "&amp;IF(LINEAS!$U$87&lt;=2,"GZ","GX")&amp;" "&amp;TEXT(IF(OR(LINEAS!$U$87=1,LINEAS!$U$87=3),1,-1)*LINEAS!$AG$87*DATOS!$C$67,DATOS!$C$68))</f>
        <v>318 UNI GX -0.7538</v>
      </c>
      <c r="C1173" s="51" t="str">
        <f aca="false">IF(LEN($B1173)&gt;79,"MÁS DE 79 CARACTERES","")</f>
        <v/>
      </c>
      <c r="D1173" s="53" t="str">
        <f aca="false">IF(PRESIONES!$C$22="NO","",IF(OR(LINEAS!$D$87="",LINEAS!$U$87=0,ABS(IF(OR(LINEAS!$U$87=1,LINEAS!$U$87=3),1,-1)*LINEAS!$AG$87*DATOS!$C$67)&lt;0.00005),"*",LINEAS!$D$87&amp;" UNI "&amp;IF(LINEAS!$U$87&lt;=2,"GZ","GX")&amp;" "&amp;TEXT(IF(OR(LINEAS!$U$87=1,LINEAS!$U$87=3),1,-1)*LINEAS!$AG$87*DATOS!$C$67,DATOS!$C$68)))</f>
        <v/>
      </c>
      <c r="E1173" s="51" t="str">
        <f aca="false">IF(LEN($D1173)&gt;79,"MÁS DE 79 CARACTERES","")</f>
        <v/>
      </c>
    </row>
    <row r="1174" customFormat="false" ht="15" hidden="false" customHeight="true" outlineLevel="0" collapsed="false">
      <c r="B1174" s="53" t="str">
        <f aca="false">IF(OR(LINEAS!$D$88="",LINEAS!$U$88=0,ABS(IF(OR(LINEAS!$U$88=1,LINEAS!$U$88=3),1,-1)*LINEAS!$AG$88*DATOS!$C$67)&lt;0.00005),"*",LINEAS!$D$88&amp;" UNI "&amp;IF(LINEAS!$U$88&lt;=2,"GZ","GX")&amp;" "&amp;TEXT(IF(OR(LINEAS!$U$88=1,LINEAS!$U$88=3),1,-1)*LINEAS!$AG$88*DATOS!$C$67,DATOS!$C$68))</f>
        <v>311 UNI GX -0.7538</v>
      </c>
      <c r="C1174" s="51" t="str">
        <f aca="false">IF(LEN($B1174)&gt;79,"MÁS DE 79 CARACTERES","")</f>
        <v/>
      </c>
      <c r="D1174" s="53" t="str">
        <f aca="false">IF(PRESIONES!$C$22="NO","",IF(OR(LINEAS!$D$88="",LINEAS!$U$88=0,ABS(IF(OR(LINEAS!$U$88=1,LINEAS!$U$88=3),1,-1)*LINEAS!$AG$88*DATOS!$C$67)&lt;0.00005),"*",LINEAS!$D$88&amp;" UNI "&amp;IF(LINEAS!$U$88&lt;=2,"GZ","GX")&amp;" "&amp;TEXT(IF(OR(LINEAS!$U$88=1,LINEAS!$U$88=3),1,-1)*LINEAS!$AG$88*DATOS!$C$67,DATOS!$C$68)))</f>
        <v/>
      </c>
      <c r="E1174" s="51" t="str">
        <f aca="false">IF(LEN($D1174)&gt;79,"MÁS DE 79 CARACTERES","")</f>
        <v/>
      </c>
    </row>
    <row r="1175" customFormat="false" ht="15" hidden="false" customHeight="true" outlineLevel="0" collapsed="false">
      <c r="B1175" s="53" t="str">
        <f aca="false">IF(OR(LINEAS!$D$89="",LINEAS!$U$89=0,ABS(IF(OR(LINEAS!$U$89=1,LINEAS!$U$89=3),1,-1)*LINEAS!$AG$89*DATOS!$C$67)&lt;0.00005),"*",LINEAS!$D$89&amp;" UNI "&amp;IF(LINEAS!$U$89&lt;=2,"GZ","GX")&amp;" "&amp;TEXT(IF(OR(LINEAS!$U$89=1,LINEAS!$U$89=3),1,-1)*LINEAS!$AG$89*DATOS!$C$67,DATOS!$C$68))</f>
        <v>310 UNI GX -0.7538</v>
      </c>
      <c r="C1175" s="51" t="str">
        <f aca="false">IF(LEN($B1175)&gt;79,"MÁS DE 79 CARACTERES","")</f>
        <v/>
      </c>
      <c r="D1175" s="53" t="str">
        <f aca="false">IF(PRESIONES!$C$22="NO","",IF(OR(LINEAS!$D$89="",LINEAS!$U$89=0,ABS(IF(OR(LINEAS!$U$89=1,LINEAS!$U$89=3),1,-1)*LINEAS!$AG$89*DATOS!$C$67)&lt;0.00005),"*",LINEAS!$D$89&amp;" UNI "&amp;IF(LINEAS!$U$89&lt;=2,"GZ","GX")&amp;" "&amp;TEXT(IF(OR(LINEAS!$U$89=1,LINEAS!$U$89=3),1,-1)*LINEAS!$AG$89*DATOS!$C$67,DATOS!$C$68)))</f>
        <v/>
      </c>
      <c r="E1175" s="51" t="str">
        <f aca="false">IF(LEN($D1175)&gt;79,"MÁS DE 79 CARACTERES","")</f>
        <v/>
      </c>
    </row>
    <row r="1176" customFormat="false" ht="15" hidden="false" customHeight="true" outlineLevel="0" collapsed="false">
      <c r="B1176" s="53" t="str">
        <f aca="false">IF(OR(LINEAS!$D$90="",LINEAS!$U$90=0,ABS(IF(OR(LINEAS!$U$90=1,LINEAS!$U$90=3),1,-1)*LINEAS!$AG$90*DATOS!$C$67)&lt;0.00005),"*",LINEAS!$D$90&amp;" UNI "&amp;IF(LINEAS!$U$90&lt;=2,"GZ","GX")&amp;" "&amp;TEXT(IF(OR(LINEAS!$U$90=1,LINEAS!$U$90=3),1,-1)*LINEAS!$AG$90*DATOS!$C$67,DATOS!$C$68))</f>
        <v>321 UNI GX -0.6451</v>
      </c>
      <c r="C1176" s="51" t="str">
        <f aca="false">IF(LEN($B1176)&gt;79,"MÁS DE 79 CARACTERES","")</f>
        <v/>
      </c>
      <c r="D1176" s="53" t="str">
        <f aca="false">IF(PRESIONES!$C$22="NO","",IF(OR(LINEAS!$D$90="",LINEAS!$U$90=0,ABS(IF(OR(LINEAS!$U$90=1,LINEAS!$U$90=3),1,-1)*LINEAS!$AG$90*DATOS!$C$67)&lt;0.00005),"*",LINEAS!$D$90&amp;" UNI "&amp;IF(LINEAS!$U$90&lt;=2,"GZ","GX")&amp;" "&amp;TEXT(IF(OR(LINEAS!$U$90=1,LINEAS!$U$90=3),1,-1)*LINEAS!$AG$90*DATOS!$C$67,DATOS!$C$68)))</f>
        <v/>
      </c>
      <c r="E1176" s="51" t="str">
        <f aca="false">IF(LEN($D1176)&gt;79,"MÁS DE 79 CARACTERES","")</f>
        <v/>
      </c>
    </row>
    <row r="1177" customFormat="false" ht="15" hidden="false" customHeight="true" outlineLevel="0" collapsed="false">
      <c r="B1177" s="53" t="str">
        <f aca="false">IF(OR(LINEAS!$D$91="",LINEAS!$U$91=0,ABS(IF(OR(LINEAS!$U$91=1,LINEAS!$U$91=3),1,-1)*LINEAS!$AG$91*DATOS!$C$67)&lt;0.00005),"*",LINEAS!$D$91&amp;" UNI "&amp;IF(LINEAS!$U$91&lt;=2,"GZ","GX")&amp;" "&amp;TEXT(IF(OR(LINEAS!$U$91=1,LINEAS!$U$91=3),1,-1)*LINEAS!$AG$91*DATOS!$C$67,DATOS!$C$68))</f>
        <v>320 UNI GX -0.5371</v>
      </c>
      <c r="C1177" s="51" t="str">
        <f aca="false">IF(LEN($B1177)&gt;79,"MÁS DE 79 CARACTERES","")</f>
        <v/>
      </c>
      <c r="D1177" s="53" t="str">
        <f aca="false">IF(PRESIONES!$C$22="NO","",IF(OR(LINEAS!$D$91="",LINEAS!$U$91=0,ABS(IF(OR(LINEAS!$U$91=1,LINEAS!$U$91=3),1,-1)*LINEAS!$AG$91*DATOS!$C$67)&lt;0.00005),"*",LINEAS!$D$91&amp;" UNI "&amp;IF(LINEAS!$U$91&lt;=2,"GZ","GX")&amp;" "&amp;TEXT(IF(OR(LINEAS!$U$91=1,LINEAS!$U$91=3),1,-1)*LINEAS!$AG$91*DATOS!$C$67,DATOS!$C$68)))</f>
        <v/>
      </c>
      <c r="E1177" s="51" t="str">
        <f aca="false">IF(LEN($D1177)&gt;79,"MÁS DE 79 CARACTERES","")</f>
        <v/>
      </c>
    </row>
    <row r="1178" customFormat="false" ht="15" hidden="false" customHeight="true" outlineLevel="0" collapsed="false">
      <c r="B1178" s="53" t="str">
        <f aca="false">IF(OR(LINEAS!$D$92="",LINEAS!$U$92=0,ABS(IF(OR(LINEAS!$U$92=1,LINEAS!$U$92=3),1,-1)*LINEAS!$AG$92*DATOS!$C$67)&lt;0.00005),"*",LINEAS!$D$92&amp;" UNI "&amp;IF(LINEAS!$U$92&lt;=2,"GZ","GX")&amp;" "&amp;TEXT(IF(OR(LINEAS!$U$92=1,LINEAS!$U$92=3),1,-1)*LINEAS!$AG$92*DATOS!$C$67,DATOS!$C$68))</f>
        <v>319 UNI GX -0.4648</v>
      </c>
      <c r="C1178" s="51" t="str">
        <f aca="false">IF(LEN($B1178)&gt;79,"MÁS DE 79 CARACTERES","")</f>
        <v/>
      </c>
      <c r="D1178" s="53" t="str">
        <f aca="false">IF(PRESIONES!$C$22="NO","",IF(OR(LINEAS!$D$92="",LINEAS!$U$92=0,ABS(IF(OR(LINEAS!$U$92=1,LINEAS!$U$92=3),1,-1)*LINEAS!$AG$92*DATOS!$C$67)&lt;0.00005),"*",LINEAS!$D$92&amp;" UNI "&amp;IF(LINEAS!$U$92&lt;=2,"GZ","GX")&amp;" "&amp;TEXT(IF(OR(LINEAS!$U$92=1,LINEAS!$U$92=3),1,-1)*LINEAS!$AG$92*DATOS!$C$67,DATOS!$C$68)))</f>
        <v/>
      </c>
      <c r="E1178" s="51" t="str">
        <f aca="false">IF(LEN($D1178)&gt;79,"MÁS DE 79 CARACTERES","")</f>
        <v/>
      </c>
    </row>
    <row r="1179" customFormat="false" ht="15" hidden="false" customHeight="true" outlineLevel="0" collapsed="false">
      <c r="B1179" s="53" t="str">
        <f aca="false">IF(OR(LINEAS!$D$93="",LINEAS!$U$93=0,ABS(IF(OR(LINEAS!$U$93=1,LINEAS!$U$93=3),1,-1)*LINEAS!$AG$93*DATOS!$C$67)&lt;0.00005),"*",LINEAS!$D$93&amp;" UNI "&amp;IF(LINEAS!$U$93&lt;=2,"GZ","GX")&amp;" "&amp;TEXT(IF(OR(LINEAS!$U$93=1,LINEAS!$U$93=3),1,-1)*LINEAS!$AG$93*DATOS!$C$67,DATOS!$C$68))</f>
        <v>60 UNI GX 0.0021</v>
      </c>
      <c r="C1179" s="51" t="str">
        <f aca="false">IF(LEN($B1179)&gt;79,"MÁS DE 79 CARACTERES","")</f>
        <v/>
      </c>
      <c r="D1179" s="53" t="str">
        <f aca="false">IF(PRESIONES!$C$22="NO","",IF(OR(LINEAS!$D$93="",LINEAS!$U$93=0,ABS(IF(OR(LINEAS!$U$93=1,LINEAS!$U$93=3),1,-1)*LINEAS!$AG$93*DATOS!$C$67)&lt;0.00005),"*",LINEAS!$D$93&amp;" UNI "&amp;IF(LINEAS!$U$93&lt;=2,"GZ","GX")&amp;" "&amp;TEXT(IF(OR(LINEAS!$U$93=1,LINEAS!$U$93=3),1,-1)*LINEAS!$AG$93*DATOS!$C$67,DATOS!$C$68)))</f>
        <v/>
      </c>
      <c r="E1179" s="51" t="str">
        <f aca="false">IF(LEN($D1179)&gt;79,"MÁS DE 79 CARACTERES","")</f>
        <v/>
      </c>
    </row>
    <row r="1180" customFormat="false" ht="15" hidden="false" customHeight="true" outlineLevel="0" collapsed="false">
      <c r="B1180" s="53" t="str">
        <f aca="false">IF(OR(LINEAS!$D$94="",LINEAS!$U$94=0,ABS(IF(OR(LINEAS!$U$94=1,LINEAS!$U$94=3),1,-1)*LINEAS!$AG$94*DATOS!$C$67)&lt;0.00005),"*",LINEAS!$D$94&amp;" UNI "&amp;IF(LINEAS!$U$94&lt;=2,"GZ","GX")&amp;" "&amp;TEXT(IF(OR(LINEAS!$U$94=1,LINEAS!$U$94=3),1,-1)*LINEAS!$AG$94*DATOS!$C$67,DATOS!$C$68))</f>
        <v>59 UNI GX 0.0019</v>
      </c>
      <c r="C1180" s="51" t="str">
        <f aca="false">IF(LEN($B1180)&gt;79,"MÁS DE 79 CARACTERES","")</f>
        <v/>
      </c>
      <c r="D1180" s="53" t="str">
        <f aca="false">IF(PRESIONES!$C$22="NO","",IF(OR(LINEAS!$D$94="",LINEAS!$U$94=0,ABS(IF(OR(LINEAS!$U$94=1,LINEAS!$U$94=3),1,-1)*LINEAS!$AG$94*DATOS!$C$67)&lt;0.00005),"*",LINEAS!$D$94&amp;" UNI "&amp;IF(LINEAS!$U$94&lt;=2,"GZ","GX")&amp;" "&amp;TEXT(IF(OR(LINEAS!$U$94=1,LINEAS!$U$94=3),1,-1)*LINEAS!$AG$94*DATOS!$C$67,DATOS!$C$68)))</f>
        <v/>
      </c>
      <c r="E1180" s="51" t="str">
        <f aca="false">IF(LEN($D1180)&gt;79,"MÁS DE 79 CARACTERES","")</f>
        <v/>
      </c>
    </row>
    <row r="1181" customFormat="false" ht="15" hidden="false" customHeight="true" outlineLevel="0" collapsed="false">
      <c r="B1181" s="53" t="str">
        <f aca="false">IF(OR(LINEAS!$D$95="",LINEAS!$U$95=0,ABS(IF(OR(LINEAS!$U$95=1,LINEAS!$U$95=3),1,-1)*LINEAS!$AG$95*DATOS!$C$67)&lt;0.00005),"*",LINEAS!$D$95&amp;" UNI "&amp;IF(LINEAS!$U$95&lt;=2,"GZ","GX")&amp;" "&amp;TEXT(IF(OR(LINEAS!$U$95=1,LINEAS!$U$95=3),1,-1)*LINEAS!$AG$95*DATOS!$C$67,DATOS!$C$68))</f>
        <v>58 UNI GX 0.0018</v>
      </c>
      <c r="C1181" s="51" t="str">
        <f aca="false">IF(LEN($B1181)&gt;79,"MÁS DE 79 CARACTERES","")</f>
        <v/>
      </c>
      <c r="D1181" s="53" t="str">
        <f aca="false">IF(PRESIONES!$C$22="NO","",IF(OR(LINEAS!$D$95="",LINEAS!$U$95=0,ABS(IF(OR(LINEAS!$U$95=1,LINEAS!$U$95=3),1,-1)*LINEAS!$AG$95*DATOS!$C$67)&lt;0.00005),"*",LINEAS!$D$95&amp;" UNI "&amp;IF(LINEAS!$U$95&lt;=2,"GZ","GX")&amp;" "&amp;TEXT(IF(OR(LINEAS!$U$95=1,LINEAS!$U$95=3),1,-1)*LINEAS!$AG$95*DATOS!$C$67,DATOS!$C$68)))</f>
        <v/>
      </c>
      <c r="E1181" s="51" t="str">
        <f aca="false">IF(LEN($D1181)&gt;79,"MÁS DE 79 CARACTERES","")</f>
        <v/>
      </c>
    </row>
    <row r="1182" customFormat="false" ht="15" hidden="false" customHeight="true" outlineLevel="0" collapsed="false">
      <c r="B1182" s="53" t="str">
        <f aca="false">IF(OR(LINEAS!$D$96="",LINEAS!$U$96=0,ABS(IF(OR(LINEAS!$U$96=1,LINEAS!$U$96=3),1,-1)*LINEAS!$AG$96*DATOS!$C$67)&lt;0.00005),"*",LINEAS!$D$96&amp;" UNI "&amp;IF(LINEAS!$U$96&lt;=2,"GZ","GX")&amp;" "&amp;TEXT(IF(OR(LINEAS!$U$96=1,LINEAS!$U$96=3),1,-1)*LINEAS!$AG$96*DATOS!$C$67,DATOS!$C$68))</f>
        <v>57 UNI GX 0.0016</v>
      </c>
      <c r="C1182" s="51" t="str">
        <f aca="false">IF(LEN($B1182)&gt;79,"MÁS DE 79 CARACTERES","")</f>
        <v/>
      </c>
      <c r="D1182" s="53" t="str">
        <f aca="false">IF(PRESIONES!$C$22="NO","",IF(OR(LINEAS!$D$96="",LINEAS!$U$96=0,ABS(IF(OR(LINEAS!$U$96=1,LINEAS!$U$96=3),1,-1)*LINEAS!$AG$96*DATOS!$C$67)&lt;0.00005),"*",LINEAS!$D$96&amp;" UNI "&amp;IF(LINEAS!$U$96&lt;=2,"GZ","GX")&amp;" "&amp;TEXT(IF(OR(LINEAS!$U$96=1,LINEAS!$U$96=3),1,-1)*LINEAS!$AG$96*DATOS!$C$67,DATOS!$C$68)))</f>
        <v/>
      </c>
      <c r="E1182" s="51" t="str">
        <f aca="false">IF(LEN($D1182)&gt;79,"MÁS DE 79 CARACTERES","")</f>
        <v/>
      </c>
    </row>
    <row r="1183" customFormat="false" ht="15" hidden="false" customHeight="true" outlineLevel="0" collapsed="false">
      <c r="B1183" s="53" t="str">
        <f aca="false">IF(OR(LINEAS!$D$97="",LINEAS!$U$97=0,ABS(IF(OR(LINEAS!$U$97=1,LINEAS!$U$97=3),1,-1)*LINEAS!$AG$97*DATOS!$C$67)&lt;0.00005),"*",LINEAS!$D$97&amp;" UNI "&amp;IF(LINEAS!$U$97&lt;=2,"GZ","GX")&amp;" "&amp;TEXT(IF(OR(LINEAS!$U$97=1,LINEAS!$U$97=3),1,-1)*LINEAS!$AG$97*DATOS!$C$67,DATOS!$C$68))</f>
        <v>10 UNI GX 0.0015</v>
      </c>
      <c r="C1183" s="51" t="str">
        <f aca="false">IF(LEN($B1183)&gt;79,"MÁS DE 79 CARACTERES","")</f>
        <v/>
      </c>
      <c r="D1183" s="53" t="str">
        <f aca="false">IF(PRESIONES!$C$22="NO","",IF(OR(LINEAS!$D$97="",LINEAS!$U$97=0,ABS(IF(OR(LINEAS!$U$97=1,LINEAS!$U$97=3),1,-1)*LINEAS!$AG$97*DATOS!$C$67)&lt;0.00005),"*",LINEAS!$D$97&amp;" UNI "&amp;IF(LINEAS!$U$97&lt;=2,"GZ","GX")&amp;" "&amp;TEXT(IF(OR(LINEAS!$U$97=1,LINEAS!$U$97=3),1,-1)*LINEAS!$AG$97*DATOS!$C$67,DATOS!$C$68)))</f>
        <v/>
      </c>
      <c r="E1183" s="51" t="str">
        <f aca="false">IF(LEN($D1183)&gt;79,"MÁS DE 79 CARACTERES","")</f>
        <v/>
      </c>
    </row>
    <row r="1184" customFormat="false" ht="15" hidden="false" customHeight="true" outlineLevel="0" collapsed="false">
      <c r="B1184" s="53" t="str">
        <f aca="false">IF(OR(LINEAS!$D$98="",LINEAS!$U$98=0,ABS(IF(OR(LINEAS!$U$98=1,LINEAS!$U$98=3),1,-1)*LINEAS!$AG$98*DATOS!$C$67)&lt;0.00005),"*",LINEAS!$D$98&amp;" UNI "&amp;IF(LINEAS!$U$98&lt;=2,"GZ","GX")&amp;" "&amp;TEXT(IF(OR(LINEAS!$U$98=1,LINEAS!$U$98=3),1,-1)*LINEAS!$AG$98*DATOS!$C$67,DATOS!$C$68))</f>
        <v>68 UNI GX 0.0013</v>
      </c>
      <c r="C1184" s="51" t="str">
        <f aca="false">IF(LEN($B1184)&gt;79,"MÁS DE 79 CARACTERES","")</f>
        <v/>
      </c>
      <c r="D1184" s="53" t="str">
        <f aca="false">IF(PRESIONES!$C$22="NO","",IF(OR(LINEAS!$D$98="",LINEAS!$U$98=0,ABS(IF(OR(LINEAS!$U$98=1,LINEAS!$U$98=3),1,-1)*LINEAS!$AG$98*DATOS!$C$67)&lt;0.00005),"*",LINEAS!$D$98&amp;" UNI "&amp;IF(LINEAS!$U$98&lt;=2,"GZ","GX")&amp;" "&amp;TEXT(IF(OR(LINEAS!$U$98=1,LINEAS!$U$98=3),1,-1)*LINEAS!$AG$98*DATOS!$C$67,DATOS!$C$68)))</f>
        <v/>
      </c>
      <c r="E1184" s="51" t="str">
        <f aca="false">IF(LEN($D1184)&gt;79,"MÁS DE 79 CARACTERES","")</f>
        <v/>
      </c>
    </row>
    <row r="1185" customFormat="false" ht="15" hidden="false" customHeight="true" outlineLevel="0" collapsed="false">
      <c r="B1185" s="53" t="str">
        <f aca="false">IF(OR(LINEAS!$D$99="",LINEAS!$U$99=0,ABS(IF(OR(LINEAS!$U$99=1,LINEAS!$U$99=3),1,-1)*LINEAS!$AG$99*DATOS!$C$67)&lt;0.00005),"*",LINEAS!$D$99&amp;" UNI "&amp;IF(LINEAS!$U$99&lt;=2,"GZ","GX")&amp;" "&amp;TEXT(IF(OR(LINEAS!$U$99=1,LINEAS!$U$99=3),1,-1)*LINEAS!$AG$99*DATOS!$C$67,DATOS!$C$68))</f>
        <v>67 UNI GX 0.0012</v>
      </c>
      <c r="C1185" s="51" t="str">
        <f aca="false">IF(LEN($B1185)&gt;79,"MÁS DE 79 CARACTERES","")</f>
        <v/>
      </c>
      <c r="D1185" s="53" t="str">
        <f aca="false">IF(PRESIONES!$C$22="NO","",IF(OR(LINEAS!$D$99="",LINEAS!$U$99=0,ABS(IF(OR(LINEAS!$U$99=1,LINEAS!$U$99=3),1,-1)*LINEAS!$AG$99*DATOS!$C$67)&lt;0.00005),"*",LINEAS!$D$99&amp;" UNI "&amp;IF(LINEAS!$U$99&lt;=2,"GZ","GX")&amp;" "&amp;TEXT(IF(OR(LINEAS!$U$99=1,LINEAS!$U$99=3),1,-1)*LINEAS!$AG$99*DATOS!$C$67,DATOS!$C$68)))</f>
        <v/>
      </c>
      <c r="E1185" s="51" t="str">
        <f aca="false">IF(LEN($D1185)&gt;79,"MÁS DE 79 CARACTERES","")</f>
        <v/>
      </c>
    </row>
    <row r="1186" customFormat="false" ht="15" hidden="false" customHeight="true" outlineLevel="0" collapsed="false">
      <c r="B1186" s="53" t="str">
        <f aca="false">IF(OR(LINEAS!$D$100="",LINEAS!$U$100=0,ABS(IF(OR(LINEAS!$U$100=1,LINEAS!$U$100=3),1,-1)*LINEAS!$AG$100*DATOS!$C$67)&lt;0.00005),"*",LINEAS!$D$100&amp;" UNI "&amp;IF(LINEAS!$U$100&lt;=2,"GZ","GX")&amp;" "&amp;TEXT(IF(OR(LINEAS!$U$100=1,LINEAS!$U$100=3),1,-1)*LINEAS!$AG$100*DATOS!$C$67,DATOS!$C$68))</f>
        <v>66 UNI GX 0.0011</v>
      </c>
      <c r="C1186" s="51" t="str">
        <f aca="false">IF(LEN($B1186)&gt;79,"MÁS DE 79 CARACTERES","")</f>
        <v/>
      </c>
      <c r="D1186" s="53" t="str">
        <f aca="false">IF(PRESIONES!$C$22="NO","",IF(OR(LINEAS!$D$100="",LINEAS!$U$100=0,ABS(IF(OR(LINEAS!$U$100=1,LINEAS!$U$100=3),1,-1)*LINEAS!$AG$100*DATOS!$C$67)&lt;0.00005),"*",LINEAS!$D$100&amp;" UNI "&amp;IF(LINEAS!$U$100&lt;=2,"GZ","GX")&amp;" "&amp;TEXT(IF(OR(LINEAS!$U$100=1,LINEAS!$U$100=3),1,-1)*LINEAS!$AG$100*DATOS!$C$67,DATOS!$C$68)))</f>
        <v/>
      </c>
      <c r="E1186" s="51" t="str">
        <f aca="false">IF(LEN($D1186)&gt;79,"MÁS DE 79 CARACTERES","")</f>
        <v/>
      </c>
    </row>
    <row r="1187" customFormat="false" ht="15" hidden="false" customHeight="true" outlineLevel="0" collapsed="false">
      <c r="B1187" s="53" t="str">
        <f aca="false">IF(OR(LINEAS!$D$101="",LINEAS!$U$101=0,ABS(IF(OR(LINEAS!$U$101=1,LINEAS!$U$101=3),1,-1)*LINEAS!$AG$101*DATOS!$C$67)&lt;0.00005),"*",LINEAS!$D$101&amp;" UNI "&amp;IF(LINEAS!$U$101&lt;=2,"GZ","GX")&amp;" "&amp;TEXT(IF(OR(LINEAS!$U$101=1,LINEAS!$U$101=3),1,-1)*LINEAS!$AG$101*DATOS!$C$67,DATOS!$C$68))</f>
        <v>65 UNI GX 0.0009</v>
      </c>
      <c r="C1187" s="51" t="str">
        <f aca="false">IF(LEN($B1187)&gt;79,"MÁS DE 79 CARACTERES","")</f>
        <v/>
      </c>
      <c r="D1187" s="53" t="str">
        <f aca="false">IF(PRESIONES!$C$22="NO","",IF(OR(LINEAS!$D$101="",LINEAS!$U$101=0,ABS(IF(OR(LINEAS!$U$101=1,LINEAS!$U$101=3),1,-1)*LINEAS!$AG$101*DATOS!$C$67)&lt;0.00005),"*",LINEAS!$D$101&amp;" UNI "&amp;IF(LINEAS!$U$101&lt;=2,"GZ","GX")&amp;" "&amp;TEXT(IF(OR(LINEAS!$U$101=1,LINEAS!$U$101=3),1,-1)*LINEAS!$AG$101*DATOS!$C$67,DATOS!$C$68)))</f>
        <v/>
      </c>
      <c r="E1187" s="51" t="str">
        <f aca="false">IF(LEN($D1187)&gt;79,"MÁS DE 79 CARACTERES","")</f>
        <v/>
      </c>
    </row>
    <row r="1188" customFormat="false" ht="15" hidden="false" customHeight="true" outlineLevel="0" collapsed="false">
      <c r="B1188" s="53" t="str">
        <f aca="false">IF(OR(LINEAS!$D$102="",LINEAS!$U$102=0,ABS(IF(OR(LINEAS!$U$102=1,LINEAS!$U$102=3),1,-1)*LINEAS!$AG$102*DATOS!$C$67)&lt;0.00005),"*",LINEAS!$D$102&amp;" UNI "&amp;IF(LINEAS!$U$102&lt;=2,"GZ","GX")&amp;" "&amp;TEXT(IF(OR(LINEAS!$U$102=1,LINEAS!$U$102=3),1,-1)*LINEAS!$AG$102*DATOS!$C$67,DATOS!$C$68))</f>
        <v>43 UNI GX 0.0008</v>
      </c>
      <c r="C1188" s="51" t="str">
        <f aca="false">IF(LEN($B1188)&gt;79,"MÁS DE 79 CARACTERES","")</f>
        <v/>
      </c>
      <c r="D1188" s="53" t="str">
        <f aca="false">IF(PRESIONES!$C$22="NO","",IF(OR(LINEAS!$D$102="",LINEAS!$U$102=0,ABS(IF(OR(LINEAS!$U$102=1,LINEAS!$U$102=3),1,-1)*LINEAS!$AG$102*DATOS!$C$67)&lt;0.00005),"*",LINEAS!$D$102&amp;" UNI "&amp;IF(LINEAS!$U$102&lt;=2,"GZ","GX")&amp;" "&amp;TEXT(IF(OR(LINEAS!$U$102=1,LINEAS!$U$102=3),1,-1)*LINEAS!$AG$102*DATOS!$C$67,DATOS!$C$68)))</f>
        <v/>
      </c>
      <c r="E1188" s="51" t="str">
        <f aca="false">IF(LEN($D1188)&gt;79,"MÁS DE 79 CARACTERES","")</f>
        <v/>
      </c>
    </row>
    <row r="1189" customFormat="false" ht="15" hidden="false" customHeight="true" outlineLevel="0" collapsed="false">
      <c r="B1189" s="53" t="str">
        <f aca="false">IF(OR(LINEAS!$D$103="",LINEAS!$U$103=0,ABS(IF(OR(LINEAS!$U$103=1,LINEAS!$U$103=3),1,-1)*LINEAS!$AG$103*DATOS!$C$67)&lt;0.00005),"*",LINEAS!$D$103&amp;" UNI "&amp;IF(LINEAS!$U$103&lt;=2,"GZ","GX")&amp;" "&amp;TEXT(IF(OR(LINEAS!$U$103=1,LINEAS!$U$103=3),1,-1)*LINEAS!$AG$103*DATOS!$C$67,DATOS!$C$68))</f>
        <v>47 UNI GX 0.0007</v>
      </c>
      <c r="C1189" s="51" t="str">
        <f aca="false">IF(LEN($B1189)&gt;79,"MÁS DE 79 CARACTERES","")</f>
        <v/>
      </c>
      <c r="D1189" s="53" t="str">
        <f aca="false">IF(PRESIONES!$C$22="NO","",IF(OR(LINEAS!$D$103="",LINEAS!$U$103=0,ABS(IF(OR(LINEAS!$U$103=1,LINEAS!$U$103=3),1,-1)*LINEAS!$AG$103*DATOS!$C$67)&lt;0.00005),"*",LINEAS!$D$103&amp;" UNI "&amp;IF(LINEAS!$U$103&lt;=2,"GZ","GX")&amp;" "&amp;TEXT(IF(OR(LINEAS!$U$103=1,LINEAS!$U$103=3),1,-1)*LINEAS!$AG$103*DATOS!$C$67,DATOS!$C$68)))</f>
        <v/>
      </c>
      <c r="E1189" s="51" t="str">
        <f aca="false">IF(LEN($D1189)&gt;79,"MÁS DE 79 CARACTERES","")</f>
        <v/>
      </c>
    </row>
    <row r="1190" customFormat="false" ht="15" hidden="false" customHeight="true" outlineLevel="0" collapsed="false">
      <c r="B1190" s="53" t="str">
        <f aca="false">IF(OR(LINEAS!$D$104="",LINEAS!$U$104=0,ABS(IF(OR(LINEAS!$U$104=1,LINEAS!$U$104=3),1,-1)*LINEAS!$AG$104*DATOS!$C$67)&lt;0.00005),"*",LINEAS!$D$104&amp;" UNI "&amp;IF(LINEAS!$U$104&lt;=2,"GZ","GX")&amp;" "&amp;TEXT(IF(OR(LINEAS!$U$104=1,LINEAS!$U$104=3),1,-1)*LINEAS!$AG$104*DATOS!$C$67,DATOS!$C$68))</f>
        <v>54 UNI GX 0.0005</v>
      </c>
      <c r="C1190" s="51" t="str">
        <f aca="false">IF(LEN($B1190)&gt;79,"MÁS DE 79 CARACTERES","")</f>
        <v/>
      </c>
      <c r="D1190" s="53" t="str">
        <f aca="false">IF(PRESIONES!$C$22="NO","",IF(OR(LINEAS!$D$104="",LINEAS!$U$104=0,ABS(IF(OR(LINEAS!$U$104=1,LINEAS!$U$104=3),1,-1)*LINEAS!$AG$104*DATOS!$C$67)&lt;0.00005),"*",LINEAS!$D$104&amp;" UNI "&amp;IF(LINEAS!$U$104&lt;=2,"GZ","GX")&amp;" "&amp;TEXT(IF(OR(LINEAS!$U$104=1,LINEAS!$U$104=3),1,-1)*LINEAS!$AG$104*DATOS!$C$67,DATOS!$C$68)))</f>
        <v/>
      </c>
      <c r="E1190" s="51" t="str">
        <f aca="false">IF(LEN($D1190)&gt;79,"MÁS DE 79 CARACTERES","")</f>
        <v/>
      </c>
    </row>
    <row r="1191" customFormat="false" ht="15" hidden="false" customHeight="true" outlineLevel="0" collapsed="false">
      <c r="B1191" s="53" t="str">
        <f aca="false">IF(OR(LINEAS!$D$105="",LINEAS!$U$105=0,ABS(IF(OR(LINEAS!$U$105=1,LINEAS!$U$105=3),1,-1)*LINEAS!$AG$105*DATOS!$C$67)&lt;0.00005),"*",LINEAS!$D$105&amp;" UNI "&amp;IF(LINEAS!$U$105&lt;=2,"GZ","GX")&amp;" "&amp;TEXT(IF(OR(LINEAS!$U$105=1,LINEAS!$U$105=3),1,-1)*LINEAS!$AG$105*DATOS!$C$67,DATOS!$C$68))</f>
        <v>64 UNI GX -0.3130</v>
      </c>
      <c r="C1191" s="51" t="str">
        <f aca="false">IF(LEN($B1191)&gt;79,"MÁS DE 79 CARACTERES","")</f>
        <v/>
      </c>
      <c r="D1191" s="53" t="str">
        <f aca="false">IF(PRESIONES!$C$22="NO","",IF(OR(LINEAS!$D$105="",LINEAS!$U$105=0,ABS(IF(OR(LINEAS!$U$105=1,LINEAS!$U$105=3),1,-1)*LINEAS!$AG$105*DATOS!$C$67)&lt;0.00005),"*",LINEAS!$D$105&amp;" UNI "&amp;IF(LINEAS!$U$105&lt;=2,"GZ","GX")&amp;" "&amp;TEXT(IF(OR(LINEAS!$U$105=1,LINEAS!$U$105=3),1,-1)*LINEAS!$AG$105*DATOS!$C$67,DATOS!$C$68)))</f>
        <v/>
      </c>
      <c r="E1191" s="51" t="str">
        <f aca="false">IF(LEN($D1191)&gt;79,"MÁS DE 79 CARACTERES","")</f>
        <v/>
      </c>
    </row>
    <row r="1192" customFormat="false" ht="15" hidden="false" customHeight="true" outlineLevel="0" collapsed="false">
      <c r="B1192" s="53" t="str">
        <f aca="false">IF(OR(LINEAS!$D$106="",LINEAS!$U$106=0,ABS(IF(OR(LINEAS!$U$106=1,LINEAS!$U$106=3),1,-1)*LINEAS!$AG$106*DATOS!$C$67)&lt;0.00005),"*",LINEAS!$D$106&amp;" UNI "&amp;IF(LINEAS!$U$106&lt;=2,"GZ","GX")&amp;" "&amp;TEXT(IF(OR(LINEAS!$U$106=1,LINEAS!$U$106=3),1,-1)*LINEAS!$AG$106*DATOS!$C$67,DATOS!$C$68))</f>
        <v>63 UNI GX -0.2913</v>
      </c>
      <c r="C1192" s="51" t="str">
        <f aca="false">IF(LEN($B1192)&gt;79,"MÁS DE 79 CARACTERES","")</f>
        <v/>
      </c>
      <c r="D1192" s="53" t="str">
        <f aca="false">IF(PRESIONES!$C$22="NO","",IF(OR(LINEAS!$D$106="",LINEAS!$U$106=0,ABS(IF(OR(LINEAS!$U$106=1,LINEAS!$U$106=3),1,-1)*LINEAS!$AG$106*DATOS!$C$67)&lt;0.00005),"*",LINEAS!$D$106&amp;" UNI "&amp;IF(LINEAS!$U$106&lt;=2,"GZ","GX")&amp;" "&amp;TEXT(IF(OR(LINEAS!$U$106=1,LINEAS!$U$106=3),1,-1)*LINEAS!$AG$106*DATOS!$C$67,DATOS!$C$68)))</f>
        <v/>
      </c>
      <c r="E1192" s="51" t="str">
        <f aca="false">IF(LEN($D1192)&gt;79,"MÁS DE 79 CARACTERES","")</f>
        <v/>
      </c>
    </row>
    <row r="1193" customFormat="false" ht="15" hidden="false" customHeight="true" outlineLevel="0" collapsed="false">
      <c r="B1193" s="53" t="str">
        <f aca="false">IF(OR(LINEAS!$D$107="",LINEAS!$U$107=0,ABS(IF(OR(LINEAS!$U$107=1,LINEAS!$U$107=3),1,-1)*LINEAS!$AG$107*DATOS!$C$67)&lt;0.00005),"*",LINEAS!$D$107&amp;" UNI "&amp;IF(LINEAS!$U$107&lt;=2,"GZ","GX")&amp;" "&amp;TEXT(IF(OR(LINEAS!$U$107=1,LINEAS!$U$107=3),1,-1)*LINEAS!$AG$107*DATOS!$C$67,DATOS!$C$68))</f>
        <v>62 UNI GX -0.2696</v>
      </c>
      <c r="C1193" s="51" t="str">
        <f aca="false">IF(LEN($B1193)&gt;79,"MÁS DE 79 CARACTERES","")</f>
        <v/>
      </c>
      <c r="D1193" s="53" t="str">
        <f aca="false">IF(PRESIONES!$C$22="NO","",IF(OR(LINEAS!$D$107="",LINEAS!$U$107=0,ABS(IF(OR(LINEAS!$U$107=1,LINEAS!$U$107=3),1,-1)*LINEAS!$AG$107*DATOS!$C$67)&lt;0.00005),"*",LINEAS!$D$107&amp;" UNI "&amp;IF(LINEAS!$U$107&lt;=2,"GZ","GX")&amp;" "&amp;TEXT(IF(OR(LINEAS!$U$107=1,LINEAS!$U$107=3),1,-1)*LINEAS!$AG$107*DATOS!$C$67,DATOS!$C$68)))</f>
        <v/>
      </c>
      <c r="E1193" s="51" t="str">
        <f aca="false">IF(LEN($D1193)&gt;79,"MÁS DE 79 CARACTERES","")</f>
        <v/>
      </c>
    </row>
    <row r="1194" customFormat="false" ht="15" hidden="false" customHeight="true" outlineLevel="0" collapsed="false">
      <c r="B1194" s="53" t="str">
        <f aca="false">IF(OR(LINEAS!$D$108="",LINEAS!$U$108=0,ABS(IF(OR(LINEAS!$U$108=1,LINEAS!$U$108=3),1,-1)*LINEAS!$AG$108*DATOS!$C$67)&lt;0.00005),"*",LINEAS!$D$108&amp;" UNI "&amp;IF(LINEAS!$U$108&lt;=2,"GZ","GX")&amp;" "&amp;TEXT(IF(OR(LINEAS!$U$108=1,LINEAS!$U$108=3),1,-1)*LINEAS!$AG$108*DATOS!$C$67,DATOS!$C$68))</f>
        <v>61 UNI GX -0.2479</v>
      </c>
      <c r="C1194" s="51" t="str">
        <f aca="false">IF(LEN($B1194)&gt;79,"MÁS DE 79 CARACTERES","")</f>
        <v/>
      </c>
      <c r="D1194" s="53" t="str">
        <f aca="false">IF(PRESIONES!$C$22="NO","",IF(OR(LINEAS!$D$108="",LINEAS!$U$108=0,ABS(IF(OR(LINEAS!$U$108=1,LINEAS!$U$108=3),1,-1)*LINEAS!$AG$108*DATOS!$C$67)&lt;0.00005),"*",LINEAS!$D$108&amp;" UNI "&amp;IF(LINEAS!$U$108&lt;=2,"GZ","GX")&amp;" "&amp;TEXT(IF(OR(LINEAS!$U$108=1,LINEAS!$U$108=3),1,-1)*LINEAS!$AG$108*DATOS!$C$67,DATOS!$C$68)))</f>
        <v/>
      </c>
      <c r="E1194" s="51" t="str">
        <f aca="false">IF(LEN($D1194)&gt;79,"MÁS DE 79 CARACTERES","")</f>
        <v/>
      </c>
    </row>
    <row r="1195" customFormat="false" ht="15" hidden="false" customHeight="true" outlineLevel="0" collapsed="false">
      <c r="B1195" s="53" t="str">
        <f aca="false">IF(OR(LINEAS!$D$109="",LINEAS!$U$109=0,ABS(IF(OR(LINEAS!$U$109=1,LINEAS!$U$109=3),1,-1)*LINEAS!$AG$109*DATOS!$C$67)&lt;0.00005),"*",LINEAS!$D$109&amp;" UNI "&amp;IF(LINEAS!$U$109&lt;=2,"GZ","GX")&amp;" "&amp;TEXT(IF(OR(LINEAS!$U$109=1,LINEAS!$U$109=3),1,-1)*LINEAS!$AG$109*DATOS!$C$67,DATOS!$C$68))</f>
        <v>12 UNI GX -0.2263</v>
      </c>
      <c r="C1195" s="51" t="str">
        <f aca="false">IF(LEN($B1195)&gt;79,"MÁS DE 79 CARACTERES","")</f>
        <v/>
      </c>
      <c r="D1195" s="53" t="str">
        <f aca="false">IF(PRESIONES!$C$22="NO","",IF(OR(LINEAS!$D$109="",LINEAS!$U$109=0,ABS(IF(OR(LINEAS!$U$109=1,LINEAS!$U$109=3),1,-1)*LINEAS!$AG$109*DATOS!$C$67)&lt;0.00005),"*",LINEAS!$D$109&amp;" UNI "&amp;IF(LINEAS!$U$109&lt;=2,"GZ","GX")&amp;" "&amp;TEXT(IF(OR(LINEAS!$U$109=1,LINEAS!$U$109=3),1,-1)*LINEAS!$AG$109*DATOS!$C$67,DATOS!$C$68)))</f>
        <v/>
      </c>
      <c r="E1195" s="51" t="str">
        <f aca="false">IF(LEN($D1195)&gt;79,"MÁS DE 79 CARACTERES","")</f>
        <v/>
      </c>
    </row>
    <row r="1196" customFormat="false" ht="15" hidden="false" customHeight="true" outlineLevel="0" collapsed="false">
      <c r="B1196" s="53" t="str">
        <f aca="false">IF(OR(LINEAS!$D$110="",LINEAS!$U$110=0,ABS(IF(OR(LINEAS!$U$110=1,LINEAS!$U$110=3),1,-1)*LINEAS!$AG$110*DATOS!$C$67)&lt;0.00005),"*",LINEAS!$D$110&amp;" UNI "&amp;IF(LINEAS!$U$110&lt;=2,"GZ","GX")&amp;" "&amp;TEXT(IF(OR(LINEAS!$U$110=1,LINEAS!$U$110=3),1,-1)*LINEAS!$AG$110*DATOS!$C$67,DATOS!$C$68))</f>
        <v>72 UNI GX -0.2047</v>
      </c>
      <c r="C1196" s="51" t="str">
        <f aca="false">IF(LEN($B1196)&gt;79,"MÁS DE 79 CARACTERES","")</f>
        <v/>
      </c>
      <c r="D1196" s="53" t="str">
        <f aca="false">IF(PRESIONES!$C$22="NO","",IF(OR(LINEAS!$D$110="",LINEAS!$U$110=0,ABS(IF(OR(LINEAS!$U$110=1,LINEAS!$U$110=3),1,-1)*LINEAS!$AG$110*DATOS!$C$67)&lt;0.00005),"*",LINEAS!$D$110&amp;" UNI "&amp;IF(LINEAS!$U$110&lt;=2,"GZ","GX")&amp;" "&amp;TEXT(IF(OR(LINEAS!$U$110=1,LINEAS!$U$110=3),1,-1)*LINEAS!$AG$110*DATOS!$C$67,DATOS!$C$68)))</f>
        <v/>
      </c>
      <c r="E1196" s="51" t="str">
        <f aca="false">IF(LEN($D1196)&gt;79,"MÁS DE 79 CARACTERES","")</f>
        <v/>
      </c>
    </row>
    <row r="1197" customFormat="false" ht="15" hidden="false" customHeight="true" outlineLevel="0" collapsed="false">
      <c r="B1197" s="53" t="str">
        <f aca="false">IF(OR(LINEAS!$D$111="",LINEAS!$U$111=0,ABS(IF(OR(LINEAS!$U$111=1,LINEAS!$U$111=3),1,-1)*LINEAS!$AG$111*DATOS!$C$67)&lt;0.00005),"*",LINEAS!$D$111&amp;" UNI "&amp;IF(LINEAS!$U$111&lt;=2,"GZ","GX")&amp;" "&amp;TEXT(IF(OR(LINEAS!$U$111=1,LINEAS!$U$111=3),1,-1)*LINEAS!$AG$111*DATOS!$C$67,DATOS!$C$68))</f>
        <v>71 UNI GX -0.1832</v>
      </c>
      <c r="C1197" s="51" t="str">
        <f aca="false">IF(LEN($B1197)&gt;79,"MÁS DE 79 CARACTERES","")</f>
        <v/>
      </c>
      <c r="D1197" s="53" t="str">
        <f aca="false">IF(PRESIONES!$C$22="NO","",IF(OR(LINEAS!$D$111="",LINEAS!$U$111=0,ABS(IF(OR(LINEAS!$U$111=1,LINEAS!$U$111=3),1,-1)*LINEAS!$AG$111*DATOS!$C$67)&lt;0.00005),"*",LINEAS!$D$111&amp;" UNI "&amp;IF(LINEAS!$U$111&lt;=2,"GZ","GX")&amp;" "&amp;TEXT(IF(OR(LINEAS!$U$111=1,LINEAS!$U$111=3),1,-1)*LINEAS!$AG$111*DATOS!$C$67,DATOS!$C$68)))</f>
        <v/>
      </c>
      <c r="E1197" s="51" t="str">
        <f aca="false">IF(LEN($D1197)&gt;79,"MÁS DE 79 CARACTERES","")</f>
        <v/>
      </c>
    </row>
    <row r="1198" customFormat="false" ht="15" hidden="false" customHeight="true" outlineLevel="0" collapsed="false">
      <c r="B1198" s="53" t="str">
        <f aca="false">IF(OR(LINEAS!$D$112="",LINEAS!$U$112=0,ABS(IF(OR(LINEAS!$U$112=1,LINEAS!$U$112=3),1,-1)*LINEAS!$AG$112*DATOS!$C$67)&lt;0.00005),"*",LINEAS!$D$112&amp;" UNI "&amp;IF(LINEAS!$U$112&lt;=2,"GZ","GX")&amp;" "&amp;TEXT(IF(OR(LINEAS!$U$112=1,LINEAS!$U$112=3),1,-1)*LINEAS!$AG$112*DATOS!$C$67,DATOS!$C$68))</f>
        <v>70 UNI GX -0.1618</v>
      </c>
      <c r="C1198" s="51" t="str">
        <f aca="false">IF(LEN($B1198)&gt;79,"MÁS DE 79 CARACTERES","")</f>
        <v/>
      </c>
      <c r="D1198" s="53" t="str">
        <f aca="false">IF(PRESIONES!$C$22="NO","",IF(OR(LINEAS!$D$112="",LINEAS!$U$112=0,ABS(IF(OR(LINEAS!$U$112=1,LINEAS!$U$112=3),1,-1)*LINEAS!$AG$112*DATOS!$C$67)&lt;0.00005),"*",LINEAS!$D$112&amp;" UNI "&amp;IF(LINEAS!$U$112&lt;=2,"GZ","GX")&amp;" "&amp;TEXT(IF(OR(LINEAS!$U$112=1,LINEAS!$U$112=3),1,-1)*LINEAS!$AG$112*DATOS!$C$67,DATOS!$C$68)))</f>
        <v/>
      </c>
      <c r="E1198" s="51" t="str">
        <f aca="false">IF(LEN($D1198)&gt;79,"MÁS DE 79 CARACTERES","")</f>
        <v/>
      </c>
    </row>
    <row r="1199" customFormat="false" ht="15" hidden="false" customHeight="true" outlineLevel="0" collapsed="false">
      <c r="B1199" s="53" t="str">
        <f aca="false">IF(OR(LINEAS!$D$113="",LINEAS!$U$113=0,ABS(IF(OR(LINEAS!$U$113=1,LINEAS!$U$113=3),1,-1)*LINEAS!$AG$113*DATOS!$C$67)&lt;0.00005),"*",LINEAS!$D$113&amp;" UNI "&amp;IF(LINEAS!$U$113&lt;=2,"GZ","GX")&amp;" "&amp;TEXT(IF(OR(LINEAS!$U$113=1,LINEAS!$U$113=3),1,-1)*LINEAS!$AG$113*DATOS!$C$67,DATOS!$C$68))</f>
        <v>69 UNI GX -0.1403</v>
      </c>
      <c r="C1199" s="51" t="str">
        <f aca="false">IF(LEN($B1199)&gt;79,"MÁS DE 79 CARACTERES","")</f>
        <v/>
      </c>
      <c r="D1199" s="53" t="str">
        <f aca="false">IF(PRESIONES!$C$22="NO","",IF(OR(LINEAS!$D$113="",LINEAS!$U$113=0,ABS(IF(OR(LINEAS!$U$113=1,LINEAS!$U$113=3),1,-1)*LINEAS!$AG$113*DATOS!$C$67)&lt;0.00005),"*",LINEAS!$D$113&amp;" UNI "&amp;IF(LINEAS!$U$113&lt;=2,"GZ","GX")&amp;" "&amp;TEXT(IF(OR(LINEAS!$U$113=1,LINEAS!$U$113=3),1,-1)*LINEAS!$AG$113*DATOS!$C$67,DATOS!$C$68)))</f>
        <v/>
      </c>
      <c r="E1199" s="51" t="str">
        <f aca="false">IF(LEN($D1199)&gt;79,"MÁS DE 79 CARACTERES","")</f>
        <v/>
      </c>
    </row>
    <row r="1200" customFormat="false" ht="15" hidden="false" customHeight="true" outlineLevel="0" collapsed="false">
      <c r="B1200" s="53" t="str">
        <f aca="false">IF(OR(LINEAS!$D$114="",LINEAS!$U$114=0,ABS(IF(OR(LINEAS!$U$114=1,LINEAS!$U$114=3),1,-1)*LINEAS!$AG$114*DATOS!$C$67)&lt;0.00005),"*",LINEAS!$D$114&amp;" UNI "&amp;IF(LINEAS!$U$114&lt;=2,"GZ","GX")&amp;" "&amp;TEXT(IF(OR(LINEAS!$U$114=1,LINEAS!$U$114=3),1,-1)*LINEAS!$AG$114*DATOS!$C$67,DATOS!$C$68))</f>
        <v>50 UNI GX -0.1190</v>
      </c>
      <c r="C1200" s="51" t="str">
        <f aca="false">IF(LEN($B1200)&gt;79,"MÁS DE 79 CARACTERES","")</f>
        <v/>
      </c>
      <c r="D1200" s="53" t="str">
        <f aca="false">IF(PRESIONES!$C$22="NO","",IF(OR(LINEAS!$D$114="",LINEAS!$U$114=0,ABS(IF(OR(LINEAS!$U$114=1,LINEAS!$U$114=3),1,-1)*LINEAS!$AG$114*DATOS!$C$67)&lt;0.00005),"*",LINEAS!$D$114&amp;" UNI "&amp;IF(LINEAS!$U$114&lt;=2,"GZ","GX")&amp;" "&amp;TEXT(IF(OR(LINEAS!$U$114=1,LINEAS!$U$114=3),1,-1)*LINEAS!$AG$114*DATOS!$C$67,DATOS!$C$68)))</f>
        <v/>
      </c>
      <c r="E1200" s="51" t="str">
        <f aca="false">IF(LEN($D1200)&gt;79,"MÁS DE 79 CARACTERES","")</f>
        <v/>
      </c>
    </row>
    <row r="1201" customFormat="false" ht="15" hidden="false" customHeight="true" outlineLevel="0" collapsed="false">
      <c r="B1201" s="53" t="str">
        <f aca="false">IF(OR(LINEAS!$D$115="",LINEAS!$U$115=0,ABS(IF(OR(LINEAS!$U$115=1,LINEAS!$U$115=3),1,-1)*LINEAS!$AG$115*DATOS!$C$67)&lt;0.00005),"*",LINEAS!$D$115&amp;" UNI "&amp;IF(LINEAS!$U$115&lt;=2,"GZ","GX")&amp;" "&amp;TEXT(IF(OR(LINEAS!$U$115=1,LINEAS!$U$115=3),1,-1)*LINEAS!$AG$115*DATOS!$C$67,DATOS!$C$68))</f>
        <v>53 UNI GX -0.0985</v>
      </c>
      <c r="C1201" s="51" t="str">
        <f aca="false">IF(LEN($B1201)&gt;79,"MÁS DE 79 CARACTERES","")</f>
        <v/>
      </c>
      <c r="D1201" s="53" t="str">
        <f aca="false">IF(PRESIONES!$C$22="NO","",IF(OR(LINEAS!$D$115="",LINEAS!$U$115=0,ABS(IF(OR(LINEAS!$U$115=1,LINEAS!$U$115=3),1,-1)*LINEAS!$AG$115*DATOS!$C$67)&lt;0.00005),"*",LINEAS!$D$115&amp;" UNI "&amp;IF(LINEAS!$U$115&lt;=2,"GZ","GX")&amp;" "&amp;TEXT(IF(OR(LINEAS!$U$115=1,LINEAS!$U$115=3),1,-1)*LINEAS!$AG$115*DATOS!$C$67,DATOS!$C$68)))</f>
        <v/>
      </c>
      <c r="E1201" s="51" t="str">
        <f aca="false">IF(LEN($D1201)&gt;79,"MÁS DE 79 CARACTERES","")</f>
        <v/>
      </c>
    </row>
    <row r="1202" customFormat="false" ht="15" hidden="false" customHeight="true" outlineLevel="0" collapsed="false">
      <c r="B1202" s="53" t="str">
        <f aca="false">IF(OR(LINEAS!$D$116="",LINEAS!$U$116=0,ABS(IF(OR(LINEAS!$U$116=1,LINEAS!$U$116=3),1,-1)*LINEAS!$AG$116*DATOS!$C$67)&lt;0.00005),"*",LINEAS!$D$116&amp;" UNI "&amp;IF(LINEAS!$U$116&lt;=2,"GZ","GX")&amp;" "&amp;TEXT(IF(OR(LINEAS!$U$116=1,LINEAS!$U$116=3),1,-1)*LINEAS!$AG$116*DATOS!$C$67,DATOS!$C$68))</f>
        <v>55 UNI GX -0.0789</v>
      </c>
      <c r="C1202" s="51" t="str">
        <f aca="false">IF(LEN($B1202)&gt;79,"MÁS DE 79 CARACTERES","")</f>
        <v/>
      </c>
      <c r="D1202" s="53" t="str">
        <f aca="false">IF(PRESIONES!$C$22="NO","",IF(OR(LINEAS!$D$116="",LINEAS!$U$116=0,ABS(IF(OR(LINEAS!$U$116=1,LINEAS!$U$116=3),1,-1)*LINEAS!$AG$116*DATOS!$C$67)&lt;0.00005),"*",LINEAS!$D$116&amp;" UNI "&amp;IF(LINEAS!$U$116&lt;=2,"GZ","GX")&amp;" "&amp;TEXT(IF(OR(LINEAS!$U$116=1,LINEAS!$U$116=3),1,-1)*LINEAS!$AG$116*DATOS!$C$67,DATOS!$C$68)))</f>
        <v/>
      </c>
      <c r="E1202" s="51" t="str">
        <f aca="false">IF(LEN($D1202)&gt;79,"MÁS DE 79 CARACTERES","")</f>
        <v/>
      </c>
    </row>
    <row r="1203" customFormat="false" ht="15" hidden="false" customHeight="true" outlineLevel="0" collapsed="false">
      <c r="B1203" s="53" t="str">
        <f aca="false">IF(OR(LINEAS!$D$117="",LINEAS!$U$117=0,ABS(IF(OR(LINEAS!$U$117=1,LINEAS!$U$117=3),1,-1)*LINEAS!$AG$117*DATOS!$C$67)&lt;0.00005),"*",LINEAS!$D$117&amp;" UNI "&amp;IF(LINEAS!$U$117&lt;=2,"GZ","GX")&amp;" "&amp;TEXT(IF(OR(LINEAS!$U$117=1,LINEAS!$U$117=3),1,-1)*LINEAS!$AG$117*DATOS!$C$67,DATOS!$C$68))</f>
        <v>262 UNI GZ -0.1102</v>
      </c>
      <c r="C1203" s="51" t="str">
        <f aca="false">IF(LEN($B1203)&gt;79,"MÁS DE 79 CARACTERES","")</f>
        <v/>
      </c>
      <c r="D1203" s="53" t="str">
        <f aca="false">IF(PRESIONES!$C$22="NO","",IF(OR(LINEAS!$D$117="",LINEAS!$U$117=0,ABS(IF(OR(LINEAS!$U$117=1,LINEAS!$U$117=3),1,-1)*LINEAS!$AG$117*DATOS!$C$67)&lt;0.00005),"*",LINEAS!$D$117&amp;" UNI "&amp;IF(LINEAS!$U$117&lt;=2,"GZ","GX")&amp;" "&amp;TEXT(IF(OR(LINEAS!$U$117=1,LINEAS!$U$117=3),1,-1)*LINEAS!$AG$117*DATOS!$C$67,DATOS!$C$68)))</f>
        <v/>
      </c>
      <c r="E1203" s="51" t="str">
        <f aca="false">IF(LEN($D1203)&gt;79,"MÁS DE 79 CARACTERES","")</f>
        <v/>
      </c>
    </row>
    <row r="1204" customFormat="false" ht="15" hidden="false" customHeight="true" outlineLevel="0" collapsed="false">
      <c r="B1204" s="53" t="str">
        <f aca="false">IF(OR(LINEAS!$D$118="",LINEAS!$U$118=0,ABS(IF(OR(LINEAS!$U$118=1,LINEAS!$U$118=3),1,-1)*LINEAS!$AG$118*DATOS!$C$67)&lt;0.00005),"*",LINEAS!$D$118&amp;" UNI "&amp;IF(LINEAS!$U$118&lt;=2,"GZ","GX")&amp;" "&amp;TEXT(IF(OR(LINEAS!$U$118=1,LINEAS!$U$118=3),1,-1)*LINEAS!$AG$118*DATOS!$C$67,DATOS!$C$68))</f>
        <v>263 UNI GZ -0.1102</v>
      </c>
      <c r="C1204" s="51" t="str">
        <f aca="false">IF(LEN($B1204)&gt;79,"MÁS DE 79 CARACTERES","")</f>
        <v/>
      </c>
      <c r="D1204" s="53" t="str">
        <f aca="false">IF(PRESIONES!$C$22="NO","",IF(OR(LINEAS!$D$118="",LINEAS!$U$118=0,ABS(IF(OR(LINEAS!$U$118=1,LINEAS!$U$118=3),1,-1)*LINEAS!$AG$118*DATOS!$C$67)&lt;0.00005),"*",LINEAS!$D$118&amp;" UNI "&amp;IF(LINEAS!$U$118&lt;=2,"GZ","GX")&amp;" "&amp;TEXT(IF(OR(LINEAS!$U$118=1,LINEAS!$U$118=3),1,-1)*LINEAS!$AG$118*DATOS!$C$67,DATOS!$C$68)))</f>
        <v/>
      </c>
      <c r="E1204" s="51" t="str">
        <f aca="false">IF(LEN($D1204)&gt;79,"MÁS DE 79 CARACTERES","")</f>
        <v/>
      </c>
    </row>
    <row r="1205" customFormat="false" ht="15" hidden="false" customHeight="true" outlineLevel="0" collapsed="false">
      <c r="B1205" s="53" t="str">
        <f aca="false">IF(OR(LINEAS!$D$119="",LINEAS!$U$119=0,ABS(IF(OR(LINEAS!$U$119=1,LINEAS!$U$119=3),1,-1)*LINEAS!$AG$119*DATOS!$C$67)&lt;0.00005),"*",LINEAS!$D$119&amp;" UNI "&amp;IF(LINEAS!$U$119&lt;=2,"GZ","GX")&amp;" "&amp;TEXT(IF(OR(LINEAS!$U$119=1,LINEAS!$U$119=3),1,-1)*LINEAS!$AG$119*DATOS!$C$67,DATOS!$C$68))</f>
        <v>264 UNI GZ -0.1102</v>
      </c>
      <c r="C1205" s="51" t="str">
        <f aca="false">IF(LEN($B1205)&gt;79,"MÁS DE 79 CARACTERES","")</f>
        <v/>
      </c>
      <c r="D1205" s="53" t="str">
        <f aca="false">IF(PRESIONES!$C$22="NO","",IF(OR(LINEAS!$D$119="",LINEAS!$U$119=0,ABS(IF(OR(LINEAS!$U$119=1,LINEAS!$U$119=3),1,-1)*LINEAS!$AG$119*DATOS!$C$67)&lt;0.00005),"*",LINEAS!$D$119&amp;" UNI "&amp;IF(LINEAS!$U$119&lt;=2,"GZ","GX")&amp;" "&amp;TEXT(IF(OR(LINEAS!$U$119=1,LINEAS!$U$119=3),1,-1)*LINEAS!$AG$119*DATOS!$C$67,DATOS!$C$68)))</f>
        <v/>
      </c>
      <c r="E1205" s="51" t="str">
        <f aca="false">IF(LEN($D1205)&gt;79,"MÁS DE 79 CARACTERES","")</f>
        <v/>
      </c>
    </row>
    <row r="1206" customFormat="false" ht="15" hidden="false" customHeight="true" outlineLevel="0" collapsed="false">
      <c r="B1206" s="53" t="str">
        <f aca="false">IF(OR(LINEAS!$D$120="",LINEAS!$U$120=0,ABS(IF(OR(LINEAS!$U$120=1,LINEAS!$U$120=3),1,-1)*LINEAS!$AG$120*DATOS!$C$67)&lt;0.00005),"*",LINEAS!$D$120&amp;" UNI "&amp;IF(LINEAS!$U$120&lt;=2,"GZ","GX")&amp;" "&amp;TEXT(IF(OR(LINEAS!$U$120=1,LINEAS!$U$120=3),1,-1)*LINEAS!$AG$120*DATOS!$C$67,DATOS!$C$68))</f>
        <v>271 UNI GZ -0.1102</v>
      </c>
      <c r="C1206" s="51" t="str">
        <f aca="false">IF(LEN($B1206)&gt;79,"MÁS DE 79 CARACTERES","")</f>
        <v/>
      </c>
      <c r="D1206" s="53" t="str">
        <f aca="false">IF(PRESIONES!$C$22="NO","",IF(OR(LINEAS!$D$120="",LINEAS!$U$120=0,ABS(IF(OR(LINEAS!$U$120=1,LINEAS!$U$120=3),1,-1)*LINEAS!$AG$120*DATOS!$C$67)&lt;0.00005),"*",LINEAS!$D$120&amp;" UNI "&amp;IF(LINEAS!$U$120&lt;=2,"GZ","GX")&amp;" "&amp;TEXT(IF(OR(LINEAS!$U$120=1,LINEAS!$U$120=3),1,-1)*LINEAS!$AG$120*DATOS!$C$67,DATOS!$C$68)))</f>
        <v/>
      </c>
      <c r="E1206" s="51" t="str">
        <f aca="false">IF(LEN($D1206)&gt;79,"MÁS DE 79 CARACTERES","")</f>
        <v/>
      </c>
    </row>
    <row r="1207" customFormat="false" ht="15" hidden="false" customHeight="true" outlineLevel="0" collapsed="false">
      <c r="B1207" s="53" t="str">
        <f aca="false">IF(OR(LINEAS!$D$121="",LINEAS!$U$121=0,ABS(IF(OR(LINEAS!$U$121=1,LINEAS!$U$121=3),1,-1)*LINEAS!$AG$121*DATOS!$C$67)&lt;0.00005),"*",LINEAS!$D$121&amp;" UNI "&amp;IF(LINEAS!$U$121&lt;=2,"GZ","GX")&amp;" "&amp;TEXT(IF(OR(LINEAS!$U$121=1,LINEAS!$U$121=3),1,-1)*LINEAS!$AG$121*DATOS!$C$67,DATOS!$C$68))</f>
        <v>286 UNI GZ -0.0551</v>
      </c>
      <c r="C1207" s="51" t="str">
        <f aca="false">IF(LEN($B1207)&gt;79,"MÁS DE 79 CARACTERES","")</f>
        <v/>
      </c>
      <c r="D1207" s="53" t="str">
        <f aca="false">IF(PRESIONES!$C$22="NO","",IF(OR(LINEAS!$D$121="",LINEAS!$U$121=0,ABS(IF(OR(LINEAS!$U$121=1,LINEAS!$U$121=3),1,-1)*LINEAS!$AG$121*DATOS!$C$67)&lt;0.00005),"*",LINEAS!$D$121&amp;" UNI "&amp;IF(LINEAS!$U$121&lt;=2,"GZ","GX")&amp;" "&amp;TEXT(IF(OR(LINEAS!$U$121=1,LINEAS!$U$121=3),1,-1)*LINEAS!$AG$121*DATOS!$C$67,DATOS!$C$68)))</f>
        <v/>
      </c>
      <c r="E1207" s="51" t="str">
        <f aca="false">IF(LEN($D1207)&gt;79,"MÁS DE 79 CARACTERES","")</f>
        <v/>
      </c>
    </row>
    <row r="1208" customFormat="false" ht="15" hidden="false" customHeight="true" outlineLevel="0" collapsed="false">
      <c r="B1208" s="53" t="str">
        <f aca="false">IF(OR(LINEAS!$D$122="",LINEAS!$U$122=0,ABS(IF(OR(LINEAS!$U$122=1,LINEAS!$U$122=3),1,-1)*LINEAS!$AG$122*DATOS!$C$67)&lt;0.00005),"*",LINEAS!$D$122&amp;" UNI "&amp;IF(LINEAS!$U$122&lt;=2,"GZ","GX")&amp;" "&amp;TEXT(IF(OR(LINEAS!$U$122=1,LINEAS!$U$122=3),1,-1)*LINEAS!$AG$122*DATOS!$C$67,DATOS!$C$68))</f>
        <v>272 UNI GZ -0.1102</v>
      </c>
      <c r="C1208" s="51" t="str">
        <f aca="false">IF(LEN($B1208)&gt;79,"MÁS DE 79 CARACTERES","")</f>
        <v/>
      </c>
      <c r="D1208" s="53" t="str">
        <f aca="false">IF(PRESIONES!$C$22="NO","",IF(OR(LINEAS!$D$122="",LINEAS!$U$122=0,ABS(IF(OR(LINEAS!$U$122=1,LINEAS!$U$122=3),1,-1)*LINEAS!$AG$122*DATOS!$C$67)&lt;0.00005),"*",LINEAS!$D$122&amp;" UNI "&amp;IF(LINEAS!$U$122&lt;=2,"GZ","GX")&amp;" "&amp;TEXT(IF(OR(LINEAS!$U$122=1,LINEAS!$U$122=3),1,-1)*LINEAS!$AG$122*DATOS!$C$67,DATOS!$C$68)))</f>
        <v/>
      </c>
      <c r="E1208" s="51" t="str">
        <f aca="false">IF(LEN($D1208)&gt;79,"MÁS DE 79 CARACTERES","")</f>
        <v/>
      </c>
    </row>
    <row r="1209" customFormat="false" ht="15" hidden="false" customHeight="true" outlineLevel="0" collapsed="false">
      <c r="B1209" s="53" t="str">
        <f aca="false">IF(OR(LINEAS!$D$123="",LINEAS!$U$123=0,ABS(IF(OR(LINEAS!$U$123=1,LINEAS!$U$123=3),1,-1)*LINEAS!$AG$123*DATOS!$C$67)&lt;0.00005),"*",LINEAS!$D$123&amp;" UNI "&amp;IF(LINEAS!$U$123&lt;=2,"GZ","GX")&amp;" "&amp;TEXT(IF(OR(LINEAS!$U$123=1,LINEAS!$U$123=3),1,-1)*LINEAS!$AG$123*DATOS!$C$67,DATOS!$C$68))</f>
        <v>273 UNI GZ -0.1102</v>
      </c>
      <c r="C1209" s="51" t="str">
        <f aca="false">IF(LEN($B1209)&gt;79,"MÁS DE 79 CARACTERES","")</f>
        <v/>
      </c>
      <c r="D1209" s="53" t="str">
        <f aca="false">IF(PRESIONES!$C$22="NO","",IF(OR(LINEAS!$D$123="",LINEAS!$U$123=0,ABS(IF(OR(LINEAS!$U$123=1,LINEAS!$U$123=3),1,-1)*LINEAS!$AG$123*DATOS!$C$67)&lt;0.00005),"*",LINEAS!$D$123&amp;" UNI "&amp;IF(LINEAS!$U$123&lt;=2,"GZ","GX")&amp;" "&amp;TEXT(IF(OR(LINEAS!$U$123=1,LINEAS!$U$123=3),1,-1)*LINEAS!$AG$123*DATOS!$C$67,DATOS!$C$68)))</f>
        <v/>
      </c>
      <c r="E1209" s="51" t="str">
        <f aca="false">IF(LEN($D1209)&gt;79,"MÁS DE 79 CARACTERES","")</f>
        <v/>
      </c>
    </row>
    <row r="1210" customFormat="false" ht="15" hidden="false" customHeight="true" outlineLevel="0" collapsed="false">
      <c r="B1210" s="53" t="str">
        <f aca="false">IF(OR(LINEAS!$D$124="",LINEAS!$U$124=0,ABS(IF(OR(LINEAS!$U$124=1,LINEAS!$U$124=3),1,-1)*LINEAS!$AG$124*DATOS!$C$67)&lt;0.00005),"*",LINEAS!$D$124&amp;" UNI "&amp;IF(LINEAS!$U$124&lt;=2,"GZ","GX")&amp;" "&amp;TEXT(IF(OR(LINEAS!$U$124=1,LINEAS!$U$124=3),1,-1)*LINEAS!$AG$124*DATOS!$C$67,DATOS!$C$68))</f>
        <v>280 UNI GZ -0.1102</v>
      </c>
      <c r="C1210" s="51" t="str">
        <f aca="false">IF(LEN($B1210)&gt;79,"MÁS DE 79 CARACTERES","")</f>
        <v/>
      </c>
      <c r="D1210" s="53" t="str">
        <f aca="false">IF(PRESIONES!$C$22="NO","",IF(OR(LINEAS!$D$124="",LINEAS!$U$124=0,ABS(IF(OR(LINEAS!$U$124=1,LINEAS!$U$124=3),1,-1)*LINEAS!$AG$124*DATOS!$C$67)&lt;0.00005),"*",LINEAS!$D$124&amp;" UNI "&amp;IF(LINEAS!$U$124&lt;=2,"GZ","GX")&amp;" "&amp;TEXT(IF(OR(LINEAS!$U$124=1,LINEAS!$U$124=3),1,-1)*LINEAS!$AG$124*DATOS!$C$67,DATOS!$C$68)))</f>
        <v/>
      </c>
      <c r="E1210" s="51" t="str">
        <f aca="false">IF(LEN($D1210)&gt;79,"MÁS DE 79 CARACTERES","")</f>
        <v/>
      </c>
    </row>
    <row r="1211" customFormat="false" ht="15" hidden="false" customHeight="true" outlineLevel="0" collapsed="false">
      <c r="B1211" s="53" t="str">
        <f aca="false">IF(OR(LINEAS!$D$125="",LINEAS!$U$125=0,ABS(IF(OR(LINEAS!$U$125=1,LINEAS!$U$125=3),1,-1)*LINEAS!$AG$125*DATOS!$C$67)&lt;0.00005),"*",LINEAS!$D$125&amp;" UNI "&amp;IF(LINEAS!$U$125&lt;=2,"GZ","GX")&amp;" "&amp;TEXT(IF(OR(LINEAS!$U$125=1,LINEAS!$U$125=3),1,-1)*LINEAS!$AG$125*DATOS!$C$67,DATOS!$C$68))</f>
        <v>282 UNI GZ -0.1102</v>
      </c>
      <c r="C1211" s="51" t="str">
        <f aca="false">IF(LEN($B1211)&gt;79,"MÁS DE 79 CARACTERES","")</f>
        <v/>
      </c>
      <c r="D1211" s="53" t="str">
        <f aca="false">IF(PRESIONES!$C$22="NO","",IF(OR(LINEAS!$D$125="",LINEAS!$U$125=0,ABS(IF(OR(LINEAS!$U$125=1,LINEAS!$U$125=3),1,-1)*LINEAS!$AG$125*DATOS!$C$67)&lt;0.00005),"*",LINEAS!$D$125&amp;" UNI "&amp;IF(LINEAS!$U$125&lt;=2,"GZ","GX")&amp;" "&amp;TEXT(IF(OR(LINEAS!$U$125=1,LINEAS!$U$125=3),1,-1)*LINEAS!$AG$125*DATOS!$C$67,DATOS!$C$68)))</f>
        <v/>
      </c>
      <c r="E1211" s="51" t="str">
        <f aca="false">IF(LEN($D1211)&gt;79,"MÁS DE 79 CARACTERES","")</f>
        <v/>
      </c>
    </row>
    <row r="1212" customFormat="false" ht="15" hidden="false" customHeight="true" outlineLevel="0" collapsed="false">
      <c r="B1212" s="53" t="str">
        <f aca="false">IF(OR(LINEAS!$D$126="",LINEAS!$U$126=0,ABS(IF(OR(LINEAS!$U$126=1,LINEAS!$U$126=3),1,-1)*LINEAS!$AG$126*DATOS!$C$67)&lt;0.00005),"*",LINEAS!$D$126&amp;" UNI "&amp;IF(LINEAS!$U$126&lt;=2,"GZ","GX")&amp;" "&amp;TEXT(IF(OR(LINEAS!$U$126=1,LINEAS!$U$126=3),1,-1)*LINEAS!$AG$126*DATOS!$C$67,DATOS!$C$68))</f>
        <v>290 UNI GZ -0.1102</v>
      </c>
      <c r="C1212" s="51" t="str">
        <f aca="false">IF(LEN($B1212)&gt;79,"MÁS DE 79 CARACTERES","")</f>
        <v/>
      </c>
      <c r="D1212" s="53" t="str">
        <f aca="false">IF(PRESIONES!$C$22="NO","",IF(OR(LINEAS!$D$126="",LINEAS!$U$126=0,ABS(IF(OR(LINEAS!$U$126=1,LINEAS!$U$126=3),1,-1)*LINEAS!$AG$126*DATOS!$C$67)&lt;0.00005),"*",LINEAS!$D$126&amp;" UNI "&amp;IF(LINEAS!$U$126&lt;=2,"GZ","GX")&amp;" "&amp;TEXT(IF(OR(LINEAS!$U$126=1,LINEAS!$U$126=3),1,-1)*LINEAS!$AG$126*DATOS!$C$67,DATOS!$C$68)))</f>
        <v/>
      </c>
      <c r="E1212" s="51" t="str">
        <f aca="false">IF(LEN($D1212)&gt;79,"MÁS DE 79 CARACTERES","")</f>
        <v/>
      </c>
    </row>
    <row r="1213" customFormat="false" ht="15" hidden="false" customHeight="true" outlineLevel="0" collapsed="false">
      <c r="B1213" s="53" t="str">
        <f aca="false">IF(OR(LINEAS!$D$127="",LINEAS!$U$127=0,ABS(IF(OR(LINEAS!$U$127=1,LINEAS!$U$127=3),1,-1)*LINEAS!$AG$127*DATOS!$C$67)&lt;0.00005),"*",LINEAS!$D$127&amp;" UNI "&amp;IF(LINEAS!$U$127&lt;=2,"GZ","GX")&amp;" "&amp;TEXT(IF(OR(LINEAS!$U$127=1,LINEAS!$U$127=3),1,-1)*LINEAS!$AG$127*DATOS!$C$67,DATOS!$C$68))</f>
        <v>291 UNI GZ -0.1102</v>
      </c>
      <c r="C1213" s="51" t="str">
        <f aca="false">IF(LEN($B1213)&gt;79,"MÁS DE 79 CARACTERES","")</f>
        <v/>
      </c>
      <c r="D1213" s="53" t="str">
        <f aca="false">IF(PRESIONES!$C$22="NO","",IF(OR(LINEAS!$D$127="",LINEAS!$U$127=0,ABS(IF(OR(LINEAS!$U$127=1,LINEAS!$U$127=3),1,-1)*LINEAS!$AG$127*DATOS!$C$67)&lt;0.00005),"*",LINEAS!$D$127&amp;" UNI "&amp;IF(LINEAS!$U$127&lt;=2,"GZ","GX")&amp;" "&amp;TEXT(IF(OR(LINEAS!$U$127=1,LINEAS!$U$127=3),1,-1)*LINEAS!$AG$127*DATOS!$C$67,DATOS!$C$68)))</f>
        <v/>
      </c>
      <c r="E1213" s="51" t="str">
        <f aca="false">IF(LEN($D1213)&gt;79,"MÁS DE 79 CARACTERES","")</f>
        <v/>
      </c>
    </row>
    <row r="1214" customFormat="false" ht="15" hidden="false" customHeight="true" outlineLevel="0" collapsed="false">
      <c r="B1214" s="53" t="str">
        <f aca="false">IF(OR(LINEAS!$D$128="",LINEAS!$U$128=0,ABS(IF(OR(LINEAS!$U$128=1,LINEAS!$U$128=3),1,-1)*LINEAS!$AG$128*DATOS!$C$67)&lt;0.00005),"*",LINEAS!$D$128&amp;" UNI "&amp;IF(LINEAS!$U$128&lt;=2,"GZ","GX")&amp;" "&amp;TEXT(IF(OR(LINEAS!$U$128=1,LINEAS!$U$128=3),1,-1)*LINEAS!$AG$128*DATOS!$C$67,DATOS!$C$68))</f>
        <v>298 UNI GZ -0.0703</v>
      </c>
      <c r="C1214" s="51" t="str">
        <f aca="false">IF(LEN($B1214)&gt;79,"MÁS DE 79 CARACTERES","")</f>
        <v/>
      </c>
      <c r="D1214" s="53" t="str">
        <f aca="false">IF(PRESIONES!$C$22="NO","",IF(OR(LINEAS!$D$128="",LINEAS!$U$128=0,ABS(IF(OR(LINEAS!$U$128=1,LINEAS!$U$128=3),1,-1)*LINEAS!$AG$128*DATOS!$C$67)&lt;0.00005),"*",LINEAS!$D$128&amp;" UNI "&amp;IF(LINEAS!$U$128&lt;=2,"GZ","GX")&amp;" "&amp;TEXT(IF(OR(LINEAS!$U$128=1,LINEAS!$U$128=3),1,-1)*LINEAS!$AG$128*DATOS!$C$67,DATOS!$C$68)))</f>
        <v/>
      </c>
      <c r="E1214" s="51" t="str">
        <f aca="false">IF(LEN($D1214)&gt;79,"MÁS DE 79 CARACTERES","")</f>
        <v/>
      </c>
    </row>
    <row r="1215" customFormat="false" ht="15" hidden="false" customHeight="true" outlineLevel="0" collapsed="false">
      <c r="B1215" s="53" t="str">
        <f aca="false">IF(OR(LINEAS!$D$129="",LINEAS!$U$129=0,ABS(IF(OR(LINEAS!$U$129=1,LINEAS!$U$129=3),1,-1)*LINEAS!$AG$129*DATOS!$C$67)&lt;0.00005),"*",LINEAS!$D$129&amp;" UNI "&amp;IF(LINEAS!$U$129&lt;=2,"GZ","GX")&amp;" "&amp;TEXT(IF(OR(LINEAS!$U$129=1,LINEAS!$U$129=3),1,-1)*LINEAS!$AG$129*DATOS!$C$67,DATOS!$C$68))</f>
        <v>299 UNI GZ -0.0703</v>
      </c>
      <c r="C1215" s="51" t="str">
        <f aca="false">IF(LEN($B1215)&gt;79,"MÁS DE 79 CARACTERES","")</f>
        <v/>
      </c>
      <c r="D1215" s="53" t="str">
        <f aca="false">IF(PRESIONES!$C$22="NO","",IF(OR(LINEAS!$D$129="",LINEAS!$U$129=0,ABS(IF(OR(LINEAS!$U$129=1,LINEAS!$U$129=3),1,-1)*LINEAS!$AG$129*DATOS!$C$67)&lt;0.00005),"*",LINEAS!$D$129&amp;" UNI "&amp;IF(LINEAS!$U$129&lt;=2,"GZ","GX")&amp;" "&amp;TEXT(IF(OR(LINEAS!$U$129=1,LINEAS!$U$129=3),1,-1)*LINEAS!$AG$129*DATOS!$C$67,DATOS!$C$68)))</f>
        <v/>
      </c>
      <c r="E1215" s="51" t="str">
        <f aca="false">IF(LEN($D1215)&gt;79,"MÁS DE 79 CARACTERES","")</f>
        <v/>
      </c>
    </row>
    <row r="1216" customFormat="false" ht="15" hidden="false" customHeight="true" outlineLevel="0" collapsed="false">
      <c r="B1216" s="53" t="str">
        <f aca="false">IF(OR(LINEAS!$D$130="",LINEAS!$U$130=0,ABS(IF(OR(LINEAS!$U$130=1,LINEAS!$U$130=3),1,-1)*LINEAS!$AG$130*DATOS!$C$67)&lt;0.00005),"*",LINEAS!$D$130&amp;" UNI "&amp;IF(LINEAS!$U$130&lt;=2,"GZ","GX")&amp;" "&amp;TEXT(IF(OR(LINEAS!$U$130=1,LINEAS!$U$130=3),1,-1)*LINEAS!$AG$130*DATOS!$C$67,DATOS!$C$68))</f>
        <v>326 UNI GZ -0.0551</v>
      </c>
      <c r="C1216" s="51" t="str">
        <f aca="false">IF(LEN($B1216)&gt;79,"MÁS DE 79 CARACTERES","")</f>
        <v/>
      </c>
      <c r="D1216" s="53" t="str">
        <f aca="false">IF(PRESIONES!$C$22="NO","",IF(OR(LINEAS!$D$130="",LINEAS!$U$130=0,ABS(IF(OR(LINEAS!$U$130=1,LINEAS!$U$130=3),1,-1)*LINEAS!$AG$130*DATOS!$C$67)&lt;0.00005),"*",LINEAS!$D$130&amp;" UNI "&amp;IF(LINEAS!$U$130&lt;=2,"GZ","GX")&amp;" "&amp;TEXT(IF(OR(LINEAS!$U$130=1,LINEAS!$U$130=3),1,-1)*LINEAS!$AG$130*DATOS!$C$67,DATOS!$C$68)))</f>
        <v/>
      </c>
      <c r="E1216" s="51" t="str">
        <f aca="false">IF(LEN($D1216)&gt;79,"MÁS DE 79 CARACTERES","")</f>
        <v/>
      </c>
    </row>
    <row r="1217" customFormat="false" ht="15" hidden="false" customHeight="true" outlineLevel="0" collapsed="false">
      <c r="B1217" s="53" t="str">
        <f aca="false">IF(OR(LINEAS!$D$131="",LINEAS!$U$131=0,ABS(IF(OR(LINEAS!$U$131=1,LINEAS!$U$131=3),1,-1)*LINEAS!$AG$131*DATOS!$C$67)&lt;0.00005),"*",LINEAS!$D$131&amp;" UNI "&amp;IF(LINEAS!$U$131&lt;=2,"GZ","GX")&amp;" "&amp;TEXT(IF(OR(LINEAS!$U$131=1,LINEAS!$U$131=3),1,-1)*LINEAS!$AG$131*DATOS!$C$67,DATOS!$C$68))</f>
        <v>25 UNI GZ -0.0400</v>
      </c>
      <c r="C1217" s="51" t="str">
        <f aca="false">IF(LEN($B1217)&gt;79,"MÁS DE 79 CARACTERES","")</f>
        <v/>
      </c>
      <c r="D1217" s="53" t="str">
        <f aca="false">IF(PRESIONES!$C$22="NO","",IF(OR(LINEAS!$D$131="",LINEAS!$U$131=0,ABS(IF(OR(LINEAS!$U$131=1,LINEAS!$U$131=3),1,-1)*LINEAS!$AG$131*DATOS!$C$67)&lt;0.00005),"*",LINEAS!$D$131&amp;" UNI "&amp;IF(LINEAS!$U$131&lt;=2,"GZ","GX")&amp;" "&amp;TEXT(IF(OR(LINEAS!$U$131=1,LINEAS!$U$131=3),1,-1)*LINEAS!$AG$131*DATOS!$C$67,DATOS!$C$68)))</f>
        <v/>
      </c>
      <c r="E1217" s="51" t="str">
        <f aca="false">IF(LEN($D1217)&gt;79,"MÁS DE 79 CARACTERES","")</f>
        <v/>
      </c>
    </row>
    <row r="1218" customFormat="false" ht="15" hidden="false" customHeight="true" outlineLevel="0" collapsed="false">
      <c r="B1218" s="53" t="str">
        <f aca="false">IF(OR(LINEAS!$D$132="",LINEAS!$U$132=0,ABS(IF(OR(LINEAS!$U$132=1,LINEAS!$U$132=3),1,-1)*LINEAS!$AG$132*DATOS!$C$67)&lt;0.00005),"*",LINEAS!$D$132&amp;" UNI "&amp;IF(LINEAS!$U$132&lt;=2,"GZ","GX")&amp;" "&amp;TEXT(IF(OR(LINEAS!$U$132=1,LINEAS!$U$132=3),1,-1)*LINEAS!$AG$132*DATOS!$C$67,DATOS!$C$68))</f>
        <v>327 UNI GZ -0.0551</v>
      </c>
      <c r="C1218" s="51" t="str">
        <f aca="false">IF(LEN($B1218)&gt;79,"MÁS DE 79 CARACTERES","")</f>
        <v/>
      </c>
      <c r="D1218" s="53" t="str">
        <f aca="false">IF(PRESIONES!$C$22="NO","",IF(OR(LINEAS!$D$132="",LINEAS!$U$132=0,ABS(IF(OR(LINEAS!$U$132=1,LINEAS!$U$132=3),1,-1)*LINEAS!$AG$132*DATOS!$C$67)&lt;0.00005),"*",LINEAS!$D$132&amp;" UNI "&amp;IF(LINEAS!$U$132&lt;=2,"GZ","GX")&amp;" "&amp;TEXT(IF(OR(LINEAS!$U$132=1,LINEAS!$U$132=3),1,-1)*LINEAS!$AG$132*DATOS!$C$67,DATOS!$C$68)))</f>
        <v/>
      </c>
      <c r="E1218" s="51" t="str">
        <f aca="false">IF(LEN($D1218)&gt;79,"MÁS DE 79 CARACTERES","")</f>
        <v/>
      </c>
    </row>
    <row r="1219" customFormat="false" ht="15" hidden="false" customHeight="true" outlineLevel="0" collapsed="false">
      <c r="B1219" s="53" t="str">
        <f aca="false">IF(OR(LINEAS!$D$133="",LINEAS!$U$133=0,ABS(IF(OR(LINEAS!$U$133=1,LINEAS!$U$133=3),1,-1)*LINEAS!$AG$133*DATOS!$C$67)&lt;0.00005),"*",LINEAS!$D$133&amp;" UNI "&amp;IF(LINEAS!$U$133&lt;=2,"GZ","GX")&amp;" "&amp;TEXT(IF(OR(LINEAS!$U$133=1,LINEAS!$U$133=3),1,-1)*LINEAS!$AG$133*DATOS!$C$67,DATOS!$C$68))</f>
        <v>306 UNI GZ -0.0951</v>
      </c>
      <c r="C1219" s="51" t="str">
        <f aca="false">IF(LEN($B1219)&gt;79,"MÁS DE 79 CARACTERES","")</f>
        <v/>
      </c>
      <c r="D1219" s="53" t="str">
        <f aca="false">IF(PRESIONES!$C$22="NO","",IF(OR(LINEAS!$D$133="",LINEAS!$U$133=0,ABS(IF(OR(LINEAS!$U$133=1,LINEAS!$U$133=3),1,-1)*LINEAS!$AG$133*DATOS!$C$67)&lt;0.00005),"*",LINEAS!$D$133&amp;" UNI "&amp;IF(LINEAS!$U$133&lt;=2,"GZ","GX")&amp;" "&amp;TEXT(IF(OR(LINEAS!$U$133=1,LINEAS!$U$133=3),1,-1)*LINEAS!$AG$133*DATOS!$C$67,DATOS!$C$68)))</f>
        <v/>
      </c>
      <c r="E1219" s="51" t="str">
        <f aca="false">IF(LEN($D1219)&gt;79,"MÁS DE 79 CARACTERES","")</f>
        <v/>
      </c>
    </row>
    <row r="1220" customFormat="false" ht="15" hidden="false" customHeight="true" outlineLevel="0" collapsed="false">
      <c r="B1220" s="53" t="str">
        <f aca="false">IF(OR(LINEAS!$D$134="",LINEAS!$U$134=0,ABS(IF(OR(LINEAS!$U$134=1,LINEAS!$U$134=3),1,-1)*LINEAS!$AG$134*DATOS!$C$67)&lt;0.00005),"*",LINEAS!$D$134&amp;" UNI "&amp;IF(LINEAS!$U$134&lt;=2,"GZ","GX")&amp;" "&amp;TEXT(IF(OR(LINEAS!$U$134=1,LINEAS!$U$134=3),1,-1)*LINEAS!$AG$134*DATOS!$C$67,DATOS!$C$68))</f>
        <v>322 UNI GZ -0.1102</v>
      </c>
      <c r="C1220" s="51" t="str">
        <f aca="false">IF(LEN($B1220)&gt;79,"MÁS DE 79 CARACTERES","")</f>
        <v/>
      </c>
      <c r="D1220" s="53" t="str">
        <f aca="false">IF(PRESIONES!$C$22="NO","",IF(OR(LINEAS!$D$134="",LINEAS!$U$134=0,ABS(IF(OR(LINEAS!$U$134=1,LINEAS!$U$134=3),1,-1)*LINEAS!$AG$134*DATOS!$C$67)&lt;0.00005),"*",LINEAS!$D$134&amp;" UNI "&amp;IF(LINEAS!$U$134&lt;=2,"GZ","GX")&amp;" "&amp;TEXT(IF(OR(LINEAS!$U$134=1,LINEAS!$U$134=3),1,-1)*LINEAS!$AG$134*DATOS!$C$67,DATOS!$C$68)))</f>
        <v/>
      </c>
      <c r="E1220" s="51" t="str">
        <f aca="false">IF(LEN($D1220)&gt;79,"MÁS DE 79 CARACTERES","")</f>
        <v/>
      </c>
    </row>
    <row r="1221" customFormat="false" ht="15" hidden="false" customHeight="true" outlineLevel="0" collapsed="false">
      <c r="B1221" s="53" t="str">
        <f aca="false">IF(OR(LINEAS!$D$135="",LINEAS!$U$135=0,ABS(IF(OR(LINEAS!$U$135=1,LINEAS!$U$135=3),1,-1)*LINEAS!$AG$135*DATOS!$C$67)&lt;0.00005),"*",LINEAS!$D$135&amp;" UNI "&amp;IF(LINEAS!$U$135&lt;=2,"GZ","GX")&amp;" "&amp;TEXT(IF(OR(LINEAS!$U$135=1,LINEAS!$U$135=3),1,-1)*LINEAS!$AG$135*DATOS!$C$67,DATOS!$C$68))</f>
        <v>323 UNI GZ -0.1019</v>
      </c>
      <c r="C1221" s="51" t="str">
        <f aca="false">IF(LEN($B1221)&gt;79,"MÁS DE 79 CARACTERES","")</f>
        <v/>
      </c>
      <c r="D1221" s="53" t="str">
        <f aca="false">IF(PRESIONES!$C$22="NO","",IF(OR(LINEAS!$D$135="",LINEAS!$U$135=0,ABS(IF(OR(LINEAS!$U$135=1,LINEAS!$U$135=3),1,-1)*LINEAS!$AG$135*DATOS!$C$67)&lt;0.00005),"*",LINEAS!$D$135&amp;" UNI "&amp;IF(LINEAS!$U$135&lt;=2,"GZ","GX")&amp;" "&amp;TEXT(IF(OR(LINEAS!$U$135=1,LINEAS!$U$135=3),1,-1)*LINEAS!$AG$135*DATOS!$C$67,DATOS!$C$68)))</f>
        <v/>
      </c>
      <c r="E1221" s="51" t="str">
        <f aca="false">IF(LEN($D1221)&gt;79,"MÁS DE 79 CARACTERES","")</f>
        <v/>
      </c>
    </row>
    <row r="1222" customFormat="false" ht="15" hidden="false" customHeight="true" outlineLevel="0" collapsed="false">
      <c r="B1222" s="53" t="str">
        <f aca="false">IF(OR(LINEAS!$D$136="",LINEAS!$U$136=0,ABS(IF(OR(LINEAS!$U$136=1,LINEAS!$U$136=3),1,-1)*LINEAS!$AG$136*DATOS!$C$67)&lt;0.00005),"*",LINEAS!$D$136&amp;" UNI "&amp;IF(LINEAS!$U$136&lt;=2,"GZ","GX")&amp;" "&amp;TEXT(IF(OR(LINEAS!$U$136=1,LINEAS!$U$136=3),1,-1)*LINEAS!$AG$136*DATOS!$C$67,DATOS!$C$68))</f>
        <v>22 85 TO 88 UNI GZ -0.0468</v>
      </c>
      <c r="C1222" s="51" t="str">
        <f aca="false">IF(LEN($B1222)&gt;79,"MÁS DE 79 CARACTERES","")</f>
        <v/>
      </c>
      <c r="D1222" s="53" t="str">
        <f aca="false">IF(PRESIONES!$C$22="NO","",IF(OR(LINEAS!$D$136="",LINEAS!$U$136=0,ABS(IF(OR(LINEAS!$U$136=1,LINEAS!$U$136=3),1,-1)*LINEAS!$AG$136*DATOS!$C$67)&lt;0.00005),"*",LINEAS!$D$136&amp;" UNI "&amp;IF(LINEAS!$U$136&lt;=2,"GZ","GX")&amp;" "&amp;TEXT(IF(OR(LINEAS!$U$136=1,LINEAS!$U$136=3),1,-1)*LINEAS!$AG$136*DATOS!$C$67,DATOS!$C$68)))</f>
        <v/>
      </c>
      <c r="E1222" s="51" t="str">
        <f aca="false">IF(LEN($D1222)&gt;79,"MÁS DE 79 CARACTERES","")</f>
        <v/>
      </c>
    </row>
    <row r="1223" customFormat="false" ht="15" hidden="false" customHeight="true" outlineLevel="0" collapsed="false">
      <c r="B1223" s="53" t="str">
        <f aca="false">IF(OR(LINEAS!$D$137="",LINEAS!$U$137=0,ABS(IF(OR(LINEAS!$U$137=1,LINEAS!$U$137=3),1,-1)*LINEAS!$AG$137*DATOS!$C$67)&lt;0.00005),"*",LINEAS!$D$137&amp;" UNI "&amp;IF(LINEAS!$U$137&lt;=2,"GZ","GX")&amp;" "&amp;TEXT(IF(OR(LINEAS!$U$137=1,LINEAS!$U$137=3),1,-1)*LINEAS!$AG$137*DATOS!$C$67,DATOS!$C$68))</f>
        <v>*</v>
      </c>
      <c r="C1223" s="51" t="str">
        <f aca="false">IF(LEN($B1223)&gt;79,"MÁS DE 79 CARACTERES","")</f>
        <v/>
      </c>
      <c r="D1223" s="53" t="str">
        <f aca="false">IF(PRESIONES!$C$22="NO","",IF(OR(LINEAS!$D$137="",LINEAS!$U$137=0,ABS(IF(OR(LINEAS!$U$137=1,LINEAS!$U$137=3),1,-1)*LINEAS!$AG$137*DATOS!$C$67)&lt;0.00005),"*",LINEAS!$D$137&amp;" UNI "&amp;IF(LINEAS!$U$137&lt;=2,"GZ","GX")&amp;" "&amp;TEXT(IF(OR(LINEAS!$U$137=1,LINEAS!$U$137=3),1,-1)*LINEAS!$AG$137*DATOS!$C$67,DATOS!$C$68)))</f>
        <v/>
      </c>
      <c r="E1223" s="51" t="str">
        <f aca="false">IF(LEN($D1223)&gt;79,"MÁS DE 79 CARACTERES","")</f>
        <v/>
      </c>
    </row>
    <row r="1224" customFormat="false" ht="15" hidden="false" customHeight="true" outlineLevel="0" collapsed="false">
      <c r="B1224" s="53" t="str">
        <f aca="false">IF(OR(LINEAS!$D$138="",LINEAS!$U$138=0,ABS(IF(OR(LINEAS!$U$138=1,LINEAS!$U$138=3),1,-1)*LINEAS!$AG$138*DATOS!$C$67)&lt;0.00005),"*",LINEAS!$D$138&amp;" UNI "&amp;IF(LINEAS!$U$138&lt;=2,"GZ","GX")&amp;" "&amp;TEXT(IF(OR(LINEAS!$U$138=1,LINEAS!$U$138=3),1,-1)*LINEAS!$AG$138*DATOS!$C$67,DATOS!$C$68))</f>
        <v>*</v>
      </c>
      <c r="C1224" s="51" t="str">
        <f aca="false">IF(LEN($B1224)&gt;79,"MÁS DE 79 CARACTERES","")</f>
        <v/>
      </c>
      <c r="D1224" s="53" t="str">
        <f aca="false">IF(PRESIONES!$C$22="NO","",IF(OR(LINEAS!$D$138="",LINEAS!$U$138=0,ABS(IF(OR(LINEAS!$U$138=1,LINEAS!$U$138=3),1,-1)*LINEAS!$AG$138*DATOS!$C$67)&lt;0.00005),"*",LINEAS!$D$138&amp;" UNI "&amp;IF(LINEAS!$U$138&lt;=2,"GZ","GX")&amp;" "&amp;TEXT(IF(OR(LINEAS!$U$138=1,LINEAS!$U$138=3),1,-1)*LINEAS!$AG$138*DATOS!$C$67,DATOS!$C$68)))</f>
        <v/>
      </c>
      <c r="E1224" s="51" t="str">
        <f aca="false">IF(LEN($D1224)&gt;79,"MÁS DE 79 CARACTERES","")</f>
        <v/>
      </c>
    </row>
    <row r="1225" customFormat="false" ht="15" hidden="false" customHeight="true" outlineLevel="0" collapsed="false">
      <c r="B1225" s="53" t="str">
        <f aca="false">IF(OR(LINEAS!$D$139="",LINEAS!$U$139=0,ABS(IF(OR(LINEAS!$U$139=1,LINEAS!$U$139=3),1,-1)*LINEAS!$AG$139*DATOS!$C$67)&lt;0.00005),"*",LINEAS!$D$139&amp;" UNI "&amp;IF(LINEAS!$U$139&lt;=2,"GZ","GX")&amp;" "&amp;TEXT(IF(OR(LINEAS!$U$139=1,LINEAS!$U$139=3),1,-1)*LINEAS!$AG$139*DATOS!$C$67,DATOS!$C$68))</f>
        <v>*</v>
      </c>
      <c r="C1225" s="51" t="str">
        <f aca="false">IF(LEN($B1225)&gt;79,"MÁS DE 79 CARACTERES","")</f>
        <v/>
      </c>
      <c r="D1225" s="53" t="str">
        <f aca="false">IF(PRESIONES!$C$22="NO","",IF(OR(LINEAS!$D$139="",LINEAS!$U$139=0,ABS(IF(OR(LINEAS!$U$139=1,LINEAS!$U$139=3),1,-1)*LINEAS!$AG$139*DATOS!$C$67)&lt;0.00005),"*",LINEAS!$D$139&amp;" UNI "&amp;IF(LINEAS!$U$139&lt;=2,"GZ","GX")&amp;" "&amp;TEXT(IF(OR(LINEAS!$U$139=1,LINEAS!$U$139=3),1,-1)*LINEAS!$AG$139*DATOS!$C$67,DATOS!$C$68)))</f>
        <v/>
      </c>
      <c r="E1225" s="51" t="str">
        <f aca="false">IF(LEN($D1225)&gt;79,"MÁS DE 79 CARACTERES","")</f>
        <v/>
      </c>
    </row>
    <row r="1226" customFormat="false" ht="15" hidden="false" customHeight="true" outlineLevel="0" collapsed="false">
      <c r="B1226" s="53" t="str">
        <f aca="false">IF(OR(LINEAS!$D$140="",LINEAS!$U$140=0,ABS(IF(OR(LINEAS!$U$140=1,LINEAS!$U$140=3),1,-1)*LINEAS!$AG$140*DATOS!$C$67)&lt;0.00005),"*",LINEAS!$D$140&amp;" UNI "&amp;IF(LINEAS!$U$140&lt;=2,"GZ","GX")&amp;" "&amp;TEXT(IF(OR(LINEAS!$U$140=1,LINEAS!$U$140=3),1,-1)*LINEAS!$AG$140*DATOS!$C$67,DATOS!$C$68))</f>
        <v>*</v>
      </c>
      <c r="C1226" s="51" t="str">
        <f aca="false">IF(LEN($B1226)&gt;79,"MÁS DE 79 CARACTERES","")</f>
        <v/>
      </c>
      <c r="D1226" s="53" t="str">
        <f aca="false">IF(PRESIONES!$C$22="NO","",IF(OR(LINEAS!$D$140="",LINEAS!$U$140=0,ABS(IF(OR(LINEAS!$U$140=1,LINEAS!$U$140=3),1,-1)*LINEAS!$AG$140*DATOS!$C$67)&lt;0.00005),"*",LINEAS!$D$140&amp;" UNI "&amp;IF(LINEAS!$U$140&lt;=2,"GZ","GX")&amp;" "&amp;TEXT(IF(OR(LINEAS!$U$140=1,LINEAS!$U$140=3),1,-1)*LINEAS!$AG$140*DATOS!$C$67,DATOS!$C$68)))</f>
        <v/>
      </c>
      <c r="E1226" s="51" t="str">
        <f aca="false">IF(LEN($D1226)&gt;79,"MÁS DE 79 CARACTERES","")</f>
        <v/>
      </c>
    </row>
    <row r="1227" customFormat="false" ht="15" hidden="false" customHeight="true" outlineLevel="0" collapsed="false">
      <c r="B1227" s="53" t="str">
        <f aca="false">IF(OR(LINEAS!$D$141="",LINEAS!$U$141=0,ABS(IF(OR(LINEAS!$U$141=1,LINEAS!$U$141=3),1,-1)*LINEAS!$AG$141*DATOS!$C$67)&lt;0.00005),"*",LINEAS!$D$141&amp;" UNI "&amp;IF(LINEAS!$U$141&lt;=2,"GZ","GX")&amp;" "&amp;TEXT(IF(OR(LINEAS!$U$141=1,LINEAS!$U$141=3),1,-1)*LINEAS!$AG$141*DATOS!$C$67,DATOS!$C$68))</f>
        <v>*</v>
      </c>
      <c r="C1227" s="51" t="str">
        <f aca="false">IF(LEN($B1227)&gt;79,"MÁS DE 79 CARACTERES","")</f>
        <v/>
      </c>
      <c r="D1227" s="53" t="str">
        <f aca="false">IF(PRESIONES!$C$22="NO","",IF(OR(LINEAS!$D$141="",LINEAS!$U$141=0,ABS(IF(OR(LINEAS!$U$141=1,LINEAS!$U$141=3),1,-1)*LINEAS!$AG$141*DATOS!$C$67)&lt;0.00005),"*",LINEAS!$D$141&amp;" UNI "&amp;IF(LINEAS!$U$141&lt;=2,"GZ","GX")&amp;" "&amp;TEXT(IF(OR(LINEAS!$U$141=1,LINEAS!$U$141=3),1,-1)*LINEAS!$AG$141*DATOS!$C$67,DATOS!$C$68)))</f>
        <v/>
      </c>
      <c r="E1227" s="51" t="str">
        <f aca="false">IF(LEN($D1227)&gt;79,"MÁS DE 79 CARACTERES","")</f>
        <v/>
      </c>
    </row>
    <row r="1228" customFormat="false" ht="15" hidden="false" customHeight="true" outlineLevel="0" collapsed="false">
      <c r="B1228" s="53" t="str">
        <f aca="false">IF(OR(LINEAS!$D$142="",LINEAS!$U$142=0,ABS(IF(OR(LINEAS!$U$142=1,LINEAS!$U$142=3),1,-1)*LINEAS!$AG$142*DATOS!$C$67)&lt;0.00005),"*",LINEAS!$D$142&amp;" UNI "&amp;IF(LINEAS!$U$142&lt;=2,"GZ","GX")&amp;" "&amp;TEXT(IF(OR(LINEAS!$U$142=1,LINEAS!$U$142=3),1,-1)*LINEAS!$AG$142*DATOS!$C$67,DATOS!$C$68))</f>
        <v>*</v>
      </c>
      <c r="C1228" s="51" t="str">
        <f aca="false">IF(LEN($B1228)&gt;79,"MÁS DE 79 CARACTERES","")</f>
        <v/>
      </c>
      <c r="D1228" s="53" t="str">
        <f aca="false">IF(PRESIONES!$C$22="NO","",IF(OR(LINEAS!$D$142="",LINEAS!$U$142=0,ABS(IF(OR(LINEAS!$U$142=1,LINEAS!$U$142=3),1,-1)*LINEAS!$AG$142*DATOS!$C$67)&lt;0.00005),"*",LINEAS!$D$142&amp;" UNI "&amp;IF(LINEAS!$U$142&lt;=2,"GZ","GX")&amp;" "&amp;TEXT(IF(OR(LINEAS!$U$142=1,LINEAS!$U$142=3),1,-1)*LINEAS!$AG$142*DATOS!$C$67,DATOS!$C$68)))</f>
        <v/>
      </c>
      <c r="E1228" s="51" t="str">
        <f aca="false">IF(LEN($D1228)&gt;79,"MÁS DE 79 CARACTERES","")</f>
        <v/>
      </c>
    </row>
    <row r="1229" customFormat="false" ht="15" hidden="false" customHeight="true" outlineLevel="0" collapsed="false">
      <c r="B1229" s="53" t="str">
        <f aca="false">IF(OR(LINEAS!$D$143="",LINEAS!$U$143=0,ABS(IF(OR(LINEAS!$U$143=1,LINEAS!$U$143=3),1,-1)*LINEAS!$AG$143*DATOS!$C$67)&lt;0.00005),"*",LINEAS!$D$143&amp;" UNI "&amp;IF(LINEAS!$U$143&lt;=2,"GZ","GX")&amp;" "&amp;TEXT(IF(OR(LINEAS!$U$143=1,LINEAS!$U$143=3),1,-1)*LINEAS!$AG$143*DATOS!$C$67,DATOS!$C$68))</f>
        <v>*</v>
      </c>
      <c r="C1229" s="51" t="str">
        <f aca="false">IF(LEN($B1229)&gt;79,"MÁS DE 79 CARACTERES","")</f>
        <v/>
      </c>
      <c r="D1229" s="53" t="str">
        <f aca="false">IF(PRESIONES!$C$22="NO","",IF(OR(LINEAS!$D$143="",LINEAS!$U$143=0,ABS(IF(OR(LINEAS!$U$143=1,LINEAS!$U$143=3),1,-1)*LINEAS!$AG$143*DATOS!$C$67)&lt;0.00005),"*",LINEAS!$D$143&amp;" UNI "&amp;IF(LINEAS!$U$143&lt;=2,"GZ","GX")&amp;" "&amp;TEXT(IF(OR(LINEAS!$U$143=1,LINEAS!$U$143=3),1,-1)*LINEAS!$AG$143*DATOS!$C$67,DATOS!$C$68)))</f>
        <v/>
      </c>
      <c r="E1229" s="51" t="str">
        <f aca="false">IF(LEN($D1229)&gt;79,"MÁS DE 79 CARACTERES","")</f>
        <v/>
      </c>
    </row>
    <row r="1230" customFormat="false" ht="15" hidden="false" customHeight="true" outlineLevel="0" collapsed="false">
      <c r="B1230" s="53" t="str">
        <f aca="false">IF(OR(LINEAS!$D$144="",LINEAS!$U$144=0,ABS(IF(OR(LINEAS!$U$144=1,LINEAS!$U$144=3),1,-1)*LINEAS!$AG$144*DATOS!$C$67)&lt;0.00005),"*",LINEAS!$D$144&amp;" UNI "&amp;IF(LINEAS!$U$144&lt;=2,"GZ","GX")&amp;" "&amp;TEXT(IF(OR(LINEAS!$U$144=1,LINEAS!$U$144=3),1,-1)*LINEAS!$AG$144*DATOS!$C$67,DATOS!$C$68))</f>
        <v>*</v>
      </c>
      <c r="C1230" s="51" t="str">
        <f aca="false">IF(LEN($B1230)&gt;79,"MÁS DE 79 CARACTERES","")</f>
        <v/>
      </c>
      <c r="D1230" s="53" t="str">
        <f aca="false">IF(PRESIONES!$C$22="NO","",IF(OR(LINEAS!$D$144="",LINEAS!$U$144=0,ABS(IF(OR(LINEAS!$U$144=1,LINEAS!$U$144=3),1,-1)*LINEAS!$AG$144*DATOS!$C$67)&lt;0.00005),"*",LINEAS!$D$144&amp;" UNI "&amp;IF(LINEAS!$U$144&lt;=2,"GZ","GX")&amp;" "&amp;TEXT(IF(OR(LINEAS!$U$144=1,LINEAS!$U$144=3),1,-1)*LINEAS!$AG$144*DATOS!$C$67,DATOS!$C$68)))</f>
        <v/>
      </c>
      <c r="E1230" s="51" t="str">
        <f aca="false">IF(LEN($D1230)&gt;79,"MÁS DE 79 CARACTERES","")</f>
        <v/>
      </c>
    </row>
    <row r="1231" customFormat="false" ht="15" hidden="false" customHeight="true" outlineLevel="0" collapsed="false">
      <c r="B1231" s="53" t="str">
        <f aca="false">IF(OR(LINEAS!$D$145="",LINEAS!$U$145=0,ABS(IF(OR(LINEAS!$U$145=1,LINEAS!$U$145=3),1,-1)*LINEAS!$AG$145*DATOS!$C$67)&lt;0.00005),"*",LINEAS!$D$145&amp;" UNI "&amp;IF(LINEAS!$U$145&lt;=2,"GZ","GX")&amp;" "&amp;TEXT(IF(OR(LINEAS!$U$145=1,LINEAS!$U$145=3),1,-1)*LINEAS!$AG$145*DATOS!$C$67,DATOS!$C$68))</f>
        <v>*</v>
      </c>
      <c r="C1231" s="51" t="str">
        <f aca="false">IF(LEN($B1231)&gt;79,"MÁS DE 79 CARACTERES","")</f>
        <v/>
      </c>
      <c r="D1231" s="53" t="str">
        <f aca="false">IF(PRESIONES!$C$22="NO","",IF(OR(LINEAS!$D$145="",LINEAS!$U$145=0,ABS(IF(OR(LINEAS!$U$145=1,LINEAS!$U$145=3),1,-1)*LINEAS!$AG$145*DATOS!$C$67)&lt;0.00005),"*",LINEAS!$D$145&amp;" UNI "&amp;IF(LINEAS!$U$145&lt;=2,"GZ","GX")&amp;" "&amp;TEXT(IF(OR(LINEAS!$U$145=1,LINEAS!$U$145=3),1,-1)*LINEAS!$AG$145*DATOS!$C$67,DATOS!$C$68)))</f>
        <v/>
      </c>
      <c r="E1231" s="51" t="str">
        <f aca="false">IF(LEN($D1231)&gt;79,"MÁS DE 79 CARACTERES","")</f>
        <v/>
      </c>
    </row>
    <row r="1232" customFormat="false" ht="15" hidden="false" customHeight="true" outlineLevel="0" collapsed="false">
      <c r="B1232" s="53" t="str">
        <f aca="false">IF(OR(LINEAS!$D$146="",LINEAS!$U$146=0,ABS(IF(OR(LINEAS!$U$146=1,LINEAS!$U$146=3),1,-1)*LINEAS!$AG$146*DATOS!$C$67)&lt;0.00005),"*",LINEAS!$D$146&amp;" UNI "&amp;IF(LINEAS!$U$146&lt;=2,"GZ","GX")&amp;" "&amp;TEXT(IF(OR(LINEAS!$U$146=1,LINEAS!$U$146=3),1,-1)*LINEAS!$AG$146*DATOS!$C$67,DATOS!$C$68))</f>
        <v>*</v>
      </c>
      <c r="C1232" s="51" t="str">
        <f aca="false">IF(LEN($B1232)&gt;79,"MÁS DE 79 CARACTERES","")</f>
        <v/>
      </c>
      <c r="D1232" s="53" t="str">
        <f aca="false">IF(PRESIONES!$C$22="NO","",IF(OR(LINEAS!$D$146="",LINEAS!$U$146=0,ABS(IF(OR(LINEAS!$U$146=1,LINEAS!$U$146=3),1,-1)*LINEAS!$AG$146*DATOS!$C$67)&lt;0.00005),"*",LINEAS!$D$146&amp;" UNI "&amp;IF(LINEAS!$U$146&lt;=2,"GZ","GX")&amp;" "&amp;TEXT(IF(OR(LINEAS!$U$146=1,LINEAS!$U$146=3),1,-1)*LINEAS!$AG$146*DATOS!$C$67,DATOS!$C$68)))</f>
        <v/>
      </c>
      <c r="E1232" s="51" t="str">
        <f aca="false">IF(LEN($D1232)&gt;79,"MÁS DE 79 CARACTERES","")</f>
        <v/>
      </c>
    </row>
    <row r="1233" customFormat="false" ht="15" hidden="false" customHeight="true" outlineLevel="0" collapsed="false">
      <c r="B1233" s="53" t="str">
        <f aca="false">IF(OR(LINEAS!$D$147="",LINEAS!$U$147=0,ABS(IF(OR(LINEAS!$U$147=1,LINEAS!$U$147=3),1,-1)*LINEAS!$AG$147*DATOS!$C$67)&lt;0.00005),"*",LINEAS!$D$147&amp;" UNI "&amp;IF(LINEAS!$U$147&lt;=2,"GZ","GX")&amp;" "&amp;TEXT(IF(OR(LINEAS!$U$147=1,LINEAS!$U$147=3),1,-1)*LINEAS!$AG$147*DATOS!$C$67,DATOS!$C$68))</f>
        <v>*</v>
      </c>
      <c r="C1233" s="51" t="str">
        <f aca="false">IF(LEN($B1233)&gt;79,"MÁS DE 79 CARACTERES","")</f>
        <v/>
      </c>
      <c r="D1233" s="53" t="str">
        <f aca="false">IF(PRESIONES!$C$22="NO","",IF(OR(LINEAS!$D$147="",LINEAS!$U$147=0,ABS(IF(OR(LINEAS!$U$147=1,LINEAS!$U$147=3),1,-1)*LINEAS!$AG$147*DATOS!$C$67)&lt;0.00005),"*",LINEAS!$D$147&amp;" UNI "&amp;IF(LINEAS!$U$147&lt;=2,"GZ","GX")&amp;" "&amp;TEXT(IF(OR(LINEAS!$U$147=1,LINEAS!$U$147=3),1,-1)*LINEAS!$AG$147*DATOS!$C$67,DATOS!$C$68)))</f>
        <v/>
      </c>
      <c r="E1233" s="51" t="str">
        <f aca="false">IF(LEN($D1233)&gt;79,"MÁS DE 79 CARACTERES","")</f>
        <v/>
      </c>
    </row>
    <row r="1234" customFormat="false" ht="15" hidden="false" customHeight="true" outlineLevel="0" collapsed="false">
      <c r="B1234" s="53" t="str">
        <f aca="false">IF(OR(LINEAS!$D$148="",LINEAS!$U$148=0,ABS(IF(OR(LINEAS!$U$148=1,LINEAS!$U$148=3),1,-1)*LINEAS!$AG$148*DATOS!$C$67)&lt;0.00005),"*",LINEAS!$D$148&amp;" UNI "&amp;IF(LINEAS!$U$148&lt;=2,"GZ","GX")&amp;" "&amp;TEXT(IF(OR(LINEAS!$U$148=1,LINEAS!$U$148=3),1,-1)*LINEAS!$AG$148*DATOS!$C$67,DATOS!$C$68))</f>
        <v>*</v>
      </c>
      <c r="C1234" s="51" t="str">
        <f aca="false">IF(LEN($B1234)&gt;79,"MÁS DE 79 CARACTERES","")</f>
        <v/>
      </c>
      <c r="D1234" s="53" t="str">
        <f aca="false">IF(PRESIONES!$C$22="NO","",IF(OR(LINEAS!$D$148="",LINEAS!$U$148=0,ABS(IF(OR(LINEAS!$U$148=1,LINEAS!$U$148=3),1,-1)*LINEAS!$AG$148*DATOS!$C$67)&lt;0.00005),"*",LINEAS!$D$148&amp;" UNI "&amp;IF(LINEAS!$U$148&lt;=2,"GZ","GX")&amp;" "&amp;TEXT(IF(OR(LINEAS!$U$148=1,LINEAS!$U$148=3),1,-1)*LINEAS!$AG$148*DATOS!$C$67,DATOS!$C$68)))</f>
        <v/>
      </c>
      <c r="E1234" s="51" t="str">
        <f aca="false">IF(LEN($D1234)&gt;79,"MÁS DE 79 CARACTERES","")</f>
        <v/>
      </c>
    </row>
    <row r="1235" customFormat="false" ht="15" hidden="false" customHeight="true" outlineLevel="0" collapsed="false">
      <c r="B1235" s="53" t="str">
        <f aca="false">IF(OR(LINEAS!$D$149="",LINEAS!$U$149=0,ABS(IF(OR(LINEAS!$U$149=1,LINEAS!$U$149=3),1,-1)*LINEAS!$AG$149*DATOS!$C$67)&lt;0.00005),"*",LINEAS!$D$149&amp;" UNI "&amp;IF(LINEAS!$U$149&lt;=2,"GZ","GX")&amp;" "&amp;TEXT(IF(OR(LINEAS!$U$149=1,LINEAS!$U$149=3),1,-1)*LINEAS!$AG$149*DATOS!$C$67,DATOS!$C$68))</f>
        <v>*</v>
      </c>
      <c r="C1235" s="51" t="str">
        <f aca="false">IF(LEN($B1235)&gt;79,"MÁS DE 79 CARACTERES","")</f>
        <v/>
      </c>
      <c r="D1235" s="53" t="str">
        <f aca="false">IF(PRESIONES!$C$22="NO","",IF(OR(LINEAS!$D$149="",LINEAS!$U$149=0,ABS(IF(OR(LINEAS!$U$149=1,LINEAS!$U$149=3),1,-1)*LINEAS!$AG$149*DATOS!$C$67)&lt;0.00005),"*",LINEAS!$D$149&amp;" UNI "&amp;IF(LINEAS!$U$149&lt;=2,"GZ","GX")&amp;" "&amp;TEXT(IF(OR(LINEAS!$U$149=1,LINEAS!$U$149=3),1,-1)*LINEAS!$AG$149*DATOS!$C$67,DATOS!$C$68)))</f>
        <v/>
      </c>
      <c r="E1235" s="51" t="str">
        <f aca="false">IF(LEN($D1235)&gt;79,"MÁS DE 79 CARACTERES","")</f>
        <v/>
      </c>
    </row>
    <row r="1236" customFormat="false" ht="15" hidden="false" customHeight="true" outlineLevel="0" collapsed="false">
      <c r="B1236" s="53" t="str">
        <f aca="false">IF(OR(LINEAS!$D$150="",LINEAS!$U$150=0,ABS(IF(OR(LINEAS!$U$150=1,LINEAS!$U$150=3),1,-1)*LINEAS!$AG$150*DATOS!$C$67)&lt;0.00005),"*",LINEAS!$D$150&amp;" UNI "&amp;IF(LINEAS!$U$150&lt;=2,"GZ","GX")&amp;" "&amp;TEXT(IF(OR(LINEAS!$U$150=1,LINEAS!$U$150=3),1,-1)*LINEAS!$AG$150*DATOS!$C$67,DATOS!$C$68))</f>
        <v>*</v>
      </c>
      <c r="C1236" s="51" t="str">
        <f aca="false">IF(LEN($B1236)&gt;79,"MÁS DE 79 CARACTERES","")</f>
        <v/>
      </c>
      <c r="D1236" s="53" t="str">
        <f aca="false">IF(PRESIONES!$C$22="NO","",IF(OR(LINEAS!$D$150="",LINEAS!$U$150=0,ABS(IF(OR(LINEAS!$U$150=1,LINEAS!$U$150=3),1,-1)*LINEAS!$AG$150*DATOS!$C$67)&lt;0.00005),"*",LINEAS!$D$150&amp;" UNI "&amp;IF(LINEAS!$U$150&lt;=2,"GZ","GX")&amp;" "&amp;TEXT(IF(OR(LINEAS!$U$150=1,LINEAS!$U$150=3),1,-1)*LINEAS!$AG$150*DATOS!$C$67,DATOS!$C$68)))</f>
        <v/>
      </c>
      <c r="E1236" s="51" t="str">
        <f aca="false">IF(LEN($D1236)&gt;79,"MÁS DE 79 CARACTERES","")</f>
        <v/>
      </c>
    </row>
    <row r="1237" customFormat="false" ht="15" hidden="false" customHeight="true" outlineLevel="0" collapsed="false">
      <c r="B1237" s="53" t="str">
        <f aca="false">IF(OR(LINEAS!$D$151="",LINEAS!$U$151=0,ABS(IF(OR(LINEAS!$U$151=1,LINEAS!$U$151=3),1,-1)*LINEAS!$AG$151*DATOS!$C$67)&lt;0.00005),"*",LINEAS!$D$151&amp;" UNI "&amp;IF(LINEAS!$U$151&lt;=2,"GZ","GX")&amp;" "&amp;TEXT(IF(OR(LINEAS!$U$151=1,LINEAS!$U$151=3),1,-1)*LINEAS!$AG$151*DATOS!$C$67,DATOS!$C$68))</f>
        <v>*</v>
      </c>
      <c r="C1237" s="51" t="str">
        <f aca="false">IF(LEN($B1237)&gt;79,"MÁS DE 79 CARACTERES","")</f>
        <v/>
      </c>
      <c r="D1237" s="53" t="str">
        <f aca="false">IF(PRESIONES!$C$22="NO","",IF(OR(LINEAS!$D$151="",LINEAS!$U$151=0,ABS(IF(OR(LINEAS!$U$151=1,LINEAS!$U$151=3),1,-1)*LINEAS!$AG$151*DATOS!$C$67)&lt;0.00005),"*",LINEAS!$D$151&amp;" UNI "&amp;IF(LINEAS!$U$151&lt;=2,"GZ","GX")&amp;" "&amp;TEXT(IF(OR(LINEAS!$U$151=1,LINEAS!$U$151=3),1,-1)*LINEAS!$AG$151*DATOS!$C$67,DATOS!$C$68)))</f>
        <v/>
      </c>
      <c r="E1237" s="51" t="str">
        <f aca="false">IF(LEN($D1237)&gt;79,"MÁS DE 79 CARACTERES","")</f>
        <v/>
      </c>
    </row>
    <row r="1238" customFormat="false" ht="15" hidden="false" customHeight="true" outlineLevel="0" collapsed="false">
      <c r="B1238" s="53" t="str">
        <f aca="false">IF(OR(LINEAS!$D$152="",LINEAS!$U$152=0,ABS(IF(OR(LINEAS!$U$152=1,LINEAS!$U$152=3),1,-1)*LINEAS!$AG$152*DATOS!$C$67)&lt;0.00005),"*",LINEAS!$D$152&amp;" UNI "&amp;IF(LINEAS!$U$152&lt;=2,"GZ","GX")&amp;" "&amp;TEXT(IF(OR(LINEAS!$U$152=1,LINEAS!$U$152=3),1,-1)*LINEAS!$AG$152*DATOS!$C$67,DATOS!$C$68))</f>
        <v>*</v>
      </c>
      <c r="C1238" s="51" t="str">
        <f aca="false">IF(LEN($B1238)&gt;79,"MÁS DE 79 CARACTERES","")</f>
        <v/>
      </c>
      <c r="D1238" s="53" t="str">
        <f aca="false">IF(PRESIONES!$C$22="NO","",IF(OR(LINEAS!$D$152="",LINEAS!$U$152=0,ABS(IF(OR(LINEAS!$U$152=1,LINEAS!$U$152=3),1,-1)*LINEAS!$AG$152*DATOS!$C$67)&lt;0.00005),"*",LINEAS!$D$152&amp;" UNI "&amp;IF(LINEAS!$U$152&lt;=2,"GZ","GX")&amp;" "&amp;TEXT(IF(OR(LINEAS!$U$152=1,LINEAS!$U$152=3),1,-1)*LINEAS!$AG$152*DATOS!$C$67,DATOS!$C$68)))</f>
        <v/>
      </c>
      <c r="E1238" s="51" t="str">
        <f aca="false">IF(LEN($D1238)&gt;79,"MÁS DE 79 CARACTERES","")</f>
        <v/>
      </c>
    </row>
    <row r="1239" customFormat="false" ht="15" hidden="false" customHeight="true" outlineLevel="0" collapsed="false">
      <c r="B1239" s="53" t="str">
        <f aca="false">IF(OR(LINEAS!$D$153="",LINEAS!$U$153=0,ABS(IF(OR(LINEAS!$U$153=1,LINEAS!$U$153=3),1,-1)*LINEAS!$AG$153*DATOS!$C$67)&lt;0.00005),"*",LINEAS!$D$153&amp;" UNI "&amp;IF(LINEAS!$U$153&lt;=2,"GZ","GX")&amp;" "&amp;TEXT(IF(OR(LINEAS!$U$153=1,LINEAS!$U$153=3),1,-1)*LINEAS!$AG$153*DATOS!$C$67,DATOS!$C$68))</f>
        <v>*</v>
      </c>
      <c r="C1239" s="51" t="str">
        <f aca="false">IF(LEN($B1239)&gt;79,"MÁS DE 79 CARACTERES","")</f>
        <v/>
      </c>
      <c r="D1239" s="53" t="str">
        <f aca="false">IF(PRESIONES!$C$22="NO","",IF(OR(LINEAS!$D$153="",LINEAS!$U$153=0,ABS(IF(OR(LINEAS!$U$153=1,LINEAS!$U$153=3),1,-1)*LINEAS!$AG$153*DATOS!$C$67)&lt;0.00005),"*",LINEAS!$D$153&amp;" UNI "&amp;IF(LINEAS!$U$153&lt;=2,"GZ","GX")&amp;" "&amp;TEXT(IF(OR(LINEAS!$U$153=1,LINEAS!$U$153=3),1,-1)*LINEAS!$AG$153*DATOS!$C$67,DATOS!$C$68)))</f>
        <v/>
      </c>
      <c r="E1239" s="51" t="str">
        <f aca="false">IF(LEN($D1239)&gt;79,"MÁS DE 79 CARACTERES","")</f>
        <v/>
      </c>
    </row>
    <row r="1240" customFormat="false" ht="15" hidden="false" customHeight="true" outlineLevel="0" collapsed="false">
      <c r="B1240" s="53" t="str">
        <f aca="false">IF(OR(LINEAS!$D$154="",LINEAS!$U$154=0,ABS(IF(OR(LINEAS!$U$154=1,LINEAS!$U$154=3),1,-1)*LINEAS!$AG$154*DATOS!$C$67)&lt;0.00005),"*",LINEAS!$D$154&amp;" UNI "&amp;IF(LINEAS!$U$154&lt;=2,"GZ","GX")&amp;" "&amp;TEXT(IF(OR(LINEAS!$U$154=1,LINEAS!$U$154=3),1,-1)*LINEAS!$AG$154*DATOS!$C$67,DATOS!$C$68))</f>
        <v>*</v>
      </c>
      <c r="C1240" s="51" t="str">
        <f aca="false">IF(LEN($B1240)&gt;79,"MÁS DE 79 CARACTERES","")</f>
        <v/>
      </c>
      <c r="D1240" s="53" t="str">
        <f aca="false">IF(PRESIONES!$C$22="NO","",IF(OR(LINEAS!$D$154="",LINEAS!$U$154=0,ABS(IF(OR(LINEAS!$U$154=1,LINEAS!$U$154=3),1,-1)*LINEAS!$AG$154*DATOS!$C$67)&lt;0.00005),"*",LINEAS!$D$154&amp;" UNI "&amp;IF(LINEAS!$U$154&lt;=2,"GZ","GX")&amp;" "&amp;TEXT(IF(OR(LINEAS!$U$154=1,LINEAS!$U$154=3),1,-1)*LINEAS!$AG$154*DATOS!$C$67,DATOS!$C$68)))</f>
        <v/>
      </c>
      <c r="E1240" s="51" t="str">
        <f aca="false">IF(LEN($D1240)&gt;79,"MÁS DE 79 CARACTERES","")</f>
        <v/>
      </c>
    </row>
    <row r="1241" customFormat="false" ht="15" hidden="false" customHeight="true" outlineLevel="0" collapsed="false">
      <c r="B1241" s="53" t="str">
        <f aca="false">IF(OR(LINEAS!$D$155="",LINEAS!$U$155=0,ABS(IF(OR(LINEAS!$U$155=1,LINEAS!$U$155=3),1,-1)*LINEAS!$AG$155*DATOS!$C$67)&lt;0.00005),"*",LINEAS!$D$155&amp;" UNI "&amp;IF(LINEAS!$U$155&lt;=2,"GZ","GX")&amp;" "&amp;TEXT(IF(OR(LINEAS!$U$155=1,LINEAS!$U$155=3),1,-1)*LINEAS!$AG$155*DATOS!$C$67,DATOS!$C$68))</f>
        <v>*</v>
      </c>
      <c r="C1241" s="51" t="str">
        <f aca="false">IF(LEN($B1241)&gt;79,"MÁS DE 79 CARACTERES","")</f>
        <v/>
      </c>
      <c r="D1241" s="53" t="str">
        <f aca="false">IF(PRESIONES!$C$22="NO","",IF(OR(LINEAS!$D$155="",LINEAS!$U$155=0,ABS(IF(OR(LINEAS!$U$155=1,LINEAS!$U$155=3),1,-1)*LINEAS!$AG$155*DATOS!$C$67)&lt;0.00005),"*",LINEAS!$D$155&amp;" UNI "&amp;IF(LINEAS!$U$155&lt;=2,"GZ","GX")&amp;" "&amp;TEXT(IF(OR(LINEAS!$U$155=1,LINEAS!$U$155=3),1,-1)*LINEAS!$AG$155*DATOS!$C$67,DATOS!$C$68)))</f>
        <v/>
      </c>
      <c r="E1241" s="51" t="str">
        <f aca="false">IF(LEN($D1241)&gt;79,"MÁS DE 79 CARACTERES","")</f>
        <v/>
      </c>
    </row>
    <row r="1242" customFormat="false" ht="15" hidden="false" customHeight="true" outlineLevel="0" collapsed="false">
      <c r="B1242" s="53" t="str">
        <f aca="false">IF(OR(LINEAS!$D$156="",LINEAS!$U$156=0,ABS(IF(OR(LINEAS!$U$156=1,LINEAS!$U$156=3),1,-1)*LINEAS!$AG$156*DATOS!$C$67)&lt;0.00005),"*",LINEAS!$D$156&amp;" UNI "&amp;IF(LINEAS!$U$156&lt;=2,"GZ","GX")&amp;" "&amp;TEXT(IF(OR(LINEAS!$U$156=1,LINEAS!$U$156=3),1,-1)*LINEAS!$AG$156*DATOS!$C$67,DATOS!$C$68))</f>
        <v>*</v>
      </c>
      <c r="C1242" s="51" t="str">
        <f aca="false">IF(LEN($B1242)&gt;79,"MÁS DE 79 CARACTERES","")</f>
        <v/>
      </c>
      <c r="D1242" s="53" t="str">
        <f aca="false">IF(PRESIONES!$C$22="NO","",IF(OR(LINEAS!$D$156="",LINEAS!$U$156=0,ABS(IF(OR(LINEAS!$U$156=1,LINEAS!$U$156=3),1,-1)*LINEAS!$AG$156*DATOS!$C$67)&lt;0.00005),"*",LINEAS!$D$156&amp;" UNI "&amp;IF(LINEAS!$U$156&lt;=2,"GZ","GX")&amp;" "&amp;TEXT(IF(OR(LINEAS!$U$156=1,LINEAS!$U$156=3),1,-1)*LINEAS!$AG$156*DATOS!$C$67,DATOS!$C$68)))</f>
        <v/>
      </c>
      <c r="E1242" s="51" t="str">
        <f aca="false">IF(LEN($D1242)&gt;79,"MÁS DE 79 CARACTERES","")</f>
        <v/>
      </c>
    </row>
    <row r="1243" customFormat="false" ht="15" hidden="false" customHeight="true" outlineLevel="0" collapsed="false">
      <c r="B1243" s="53" t="str">
        <f aca="false">IF(OR(LINEAS!$D$157="",LINEAS!$U$157=0,ABS(IF(OR(LINEAS!$U$157=1,LINEAS!$U$157=3),1,-1)*LINEAS!$AG$157*DATOS!$C$67)&lt;0.00005),"*",LINEAS!$D$157&amp;" UNI "&amp;IF(LINEAS!$U$157&lt;=2,"GZ","GX")&amp;" "&amp;TEXT(IF(OR(LINEAS!$U$157=1,LINEAS!$U$157=3),1,-1)*LINEAS!$AG$157*DATOS!$C$67,DATOS!$C$68))</f>
        <v>*</v>
      </c>
      <c r="C1243" s="51" t="str">
        <f aca="false">IF(LEN($B1243)&gt;79,"MÁS DE 79 CARACTERES","")</f>
        <v/>
      </c>
      <c r="D1243" s="53" t="str">
        <f aca="false">IF(PRESIONES!$C$22="NO","",IF(OR(LINEAS!$D$157="",LINEAS!$U$157=0,ABS(IF(OR(LINEAS!$U$157=1,LINEAS!$U$157=3),1,-1)*LINEAS!$AG$157*DATOS!$C$67)&lt;0.00005),"*",LINEAS!$D$157&amp;" UNI "&amp;IF(LINEAS!$U$157&lt;=2,"GZ","GX")&amp;" "&amp;TEXT(IF(OR(LINEAS!$U$157=1,LINEAS!$U$157=3),1,-1)*LINEAS!$AG$157*DATOS!$C$67,DATOS!$C$68)))</f>
        <v/>
      </c>
      <c r="E1243" s="51" t="str">
        <f aca="false">IF(LEN($D1243)&gt;79,"MÁS DE 79 CARACTERES","")</f>
        <v/>
      </c>
    </row>
    <row r="1244" customFormat="false" ht="15" hidden="false" customHeight="true" outlineLevel="0" collapsed="false">
      <c r="B1244" s="53" t="str">
        <f aca="false">IF(OR(LINEAS!$D$158="",LINEAS!$U$158=0,ABS(IF(OR(LINEAS!$U$158=1,LINEAS!$U$158=3),1,-1)*LINEAS!$AG$158*DATOS!$C$67)&lt;0.00005),"*",LINEAS!$D$158&amp;" UNI "&amp;IF(LINEAS!$U$158&lt;=2,"GZ","GX")&amp;" "&amp;TEXT(IF(OR(LINEAS!$U$158=1,LINEAS!$U$158=3),1,-1)*LINEAS!$AG$158*DATOS!$C$67,DATOS!$C$68))</f>
        <v>*</v>
      </c>
      <c r="C1244" s="51" t="str">
        <f aca="false">IF(LEN($B1244)&gt;79,"MÁS DE 79 CARACTERES","")</f>
        <v/>
      </c>
      <c r="D1244" s="53" t="str">
        <f aca="false">IF(PRESIONES!$C$22="NO","",IF(OR(LINEAS!$D$158="",LINEAS!$U$158=0,ABS(IF(OR(LINEAS!$U$158=1,LINEAS!$U$158=3),1,-1)*LINEAS!$AG$158*DATOS!$C$67)&lt;0.00005),"*",LINEAS!$D$158&amp;" UNI "&amp;IF(LINEAS!$U$158&lt;=2,"GZ","GX")&amp;" "&amp;TEXT(IF(OR(LINEAS!$U$158=1,LINEAS!$U$158=3),1,-1)*LINEAS!$AG$158*DATOS!$C$67,DATOS!$C$68)))</f>
        <v/>
      </c>
      <c r="E1244" s="51" t="str">
        <f aca="false">IF(LEN($D1244)&gt;79,"MÁS DE 79 CARACTERES","")</f>
        <v/>
      </c>
    </row>
    <row r="1245" customFormat="false" ht="15" hidden="false" customHeight="true" outlineLevel="0" collapsed="false">
      <c r="B1245" s="53" t="str">
        <f aca="false">IF(OR(LINEAS!$D$159="",LINEAS!$U$159=0,ABS(IF(OR(LINEAS!$U$159=1,LINEAS!$U$159=3),1,-1)*LINEAS!$AG$159*DATOS!$C$67)&lt;0.00005),"*",LINEAS!$D$159&amp;" UNI "&amp;IF(LINEAS!$U$159&lt;=2,"GZ","GX")&amp;" "&amp;TEXT(IF(OR(LINEAS!$U$159=1,LINEAS!$U$159=3),1,-1)*LINEAS!$AG$159*DATOS!$C$67,DATOS!$C$68))</f>
        <v>*</v>
      </c>
      <c r="C1245" s="51" t="str">
        <f aca="false">IF(LEN($B1245)&gt;79,"MÁS DE 79 CARACTERES","")</f>
        <v/>
      </c>
      <c r="D1245" s="53" t="str">
        <f aca="false">IF(PRESIONES!$C$22="NO","",IF(OR(LINEAS!$D$159="",LINEAS!$U$159=0,ABS(IF(OR(LINEAS!$U$159=1,LINEAS!$U$159=3),1,-1)*LINEAS!$AG$159*DATOS!$C$67)&lt;0.00005),"*",LINEAS!$D$159&amp;" UNI "&amp;IF(LINEAS!$U$159&lt;=2,"GZ","GX")&amp;" "&amp;TEXT(IF(OR(LINEAS!$U$159=1,LINEAS!$U$159=3),1,-1)*LINEAS!$AG$159*DATOS!$C$67,DATOS!$C$68)))</f>
        <v/>
      </c>
      <c r="E1245" s="51" t="str">
        <f aca="false">IF(LEN($D1245)&gt;79,"MÁS DE 79 CARACTERES","")</f>
        <v/>
      </c>
    </row>
    <row r="1246" customFormat="false" ht="15" hidden="false" customHeight="true" outlineLevel="0" collapsed="false">
      <c r="B1246" s="53" t="str">
        <f aca="false">IF(OR(LINEAS!$D$160="",LINEAS!$U$160=0,ABS(IF(OR(LINEAS!$U$160=1,LINEAS!$U$160=3),1,-1)*LINEAS!$AG$160*DATOS!$C$67)&lt;0.00005),"*",LINEAS!$D$160&amp;" UNI "&amp;IF(LINEAS!$U$160&lt;=2,"GZ","GX")&amp;" "&amp;TEXT(IF(OR(LINEAS!$U$160=1,LINEAS!$U$160=3),1,-1)*LINEAS!$AG$160*DATOS!$C$67,DATOS!$C$68))</f>
        <v>*</v>
      </c>
      <c r="C1246" s="51" t="str">
        <f aca="false">IF(LEN($B1246)&gt;79,"MÁS DE 79 CARACTERES","")</f>
        <v/>
      </c>
      <c r="D1246" s="53" t="str">
        <f aca="false">IF(PRESIONES!$C$22="NO","",IF(OR(LINEAS!$D$160="",LINEAS!$U$160=0,ABS(IF(OR(LINEAS!$U$160=1,LINEAS!$U$160=3),1,-1)*LINEAS!$AG$160*DATOS!$C$67)&lt;0.00005),"*",LINEAS!$D$160&amp;" UNI "&amp;IF(LINEAS!$U$160&lt;=2,"GZ","GX")&amp;" "&amp;TEXT(IF(OR(LINEAS!$U$160=1,LINEAS!$U$160=3),1,-1)*LINEAS!$AG$160*DATOS!$C$67,DATOS!$C$68)))</f>
        <v/>
      </c>
      <c r="E1246" s="51" t="str">
        <f aca="false">IF(LEN($D1246)&gt;79,"MÁS DE 79 CARACTERES","")</f>
        <v/>
      </c>
    </row>
    <row r="1247" customFormat="false" ht="15" hidden="false" customHeight="true" outlineLevel="0" collapsed="false">
      <c r="B1247" s="53" t="str">
        <f aca="false">IF(OR(LINEAS!$D$161="",LINEAS!$U$161=0,ABS(IF(OR(LINEAS!$U$161=1,LINEAS!$U$161=3),1,-1)*LINEAS!$AG$161*DATOS!$C$67)&lt;0.00005),"*",LINEAS!$D$161&amp;" UNI "&amp;IF(LINEAS!$U$161&lt;=2,"GZ","GX")&amp;" "&amp;TEXT(IF(OR(LINEAS!$U$161=1,LINEAS!$U$161=3),1,-1)*LINEAS!$AG$161*DATOS!$C$67,DATOS!$C$68))</f>
        <v>*</v>
      </c>
      <c r="C1247" s="51" t="str">
        <f aca="false">IF(LEN($B1247)&gt;79,"MÁS DE 79 CARACTERES","")</f>
        <v/>
      </c>
      <c r="D1247" s="53" t="str">
        <f aca="false">IF(PRESIONES!$C$22="NO","",IF(OR(LINEAS!$D$161="",LINEAS!$U$161=0,ABS(IF(OR(LINEAS!$U$161=1,LINEAS!$U$161=3),1,-1)*LINEAS!$AG$161*DATOS!$C$67)&lt;0.00005),"*",LINEAS!$D$161&amp;" UNI "&amp;IF(LINEAS!$U$161&lt;=2,"GZ","GX")&amp;" "&amp;TEXT(IF(OR(LINEAS!$U$161=1,LINEAS!$U$161=3),1,-1)*LINEAS!$AG$161*DATOS!$C$67,DATOS!$C$68)))</f>
        <v/>
      </c>
      <c r="E1247" s="51" t="str">
        <f aca="false">IF(LEN($D1247)&gt;79,"MÁS DE 79 CARACTERES","")</f>
        <v/>
      </c>
    </row>
    <row r="1248" customFormat="false" ht="15" hidden="false" customHeight="true" outlineLevel="0" collapsed="false">
      <c r="B1248" s="53" t="str">
        <f aca="false">IF(OR(LINEAS!$D$162="",LINEAS!$U$162=0,ABS(IF(OR(LINEAS!$U$162=1,LINEAS!$U$162=3),1,-1)*LINEAS!$AG$162*DATOS!$C$67)&lt;0.00005),"*",LINEAS!$D$162&amp;" UNI "&amp;IF(LINEAS!$U$162&lt;=2,"GZ","GX")&amp;" "&amp;TEXT(IF(OR(LINEAS!$U$162=1,LINEAS!$U$162=3),1,-1)*LINEAS!$AG$162*DATOS!$C$67,DATOS!$C$68))</f>
        <v>*</v>
      </c>
      <c r="C1248" s="51" t="str">
        <f aca="false">IF(LEN($B1248)&gt;79,"MÁS DE 79 CARACTERES","")</f>
        <v/>
      </c>
      <c r="D1248" s="53" t="str">
        <f aca="false">IF(PRESIONES!$C$22="NO","",IF(OR(LINEAS!$D$162="",LINEAS!$U$162=0,ABS(IF(OR(LINEAS!$U$162=1,LINEAS!$U$162=3),1,-1)*LINEAS!$AG$162*DATOS!$C$67)&lt;0.00005),"*",LINEAS!$D$162&amp;" UNI "&amp;IF(LINEAS!$U$162&lt;=2,"GZ","GX")&amp;" "&amp;TEXT(IF(OR(LINEAS!$U$162=1,LINEAS!$U$162=3),1,-1)*LINEAS!$AG$162*DATOS!$C$67,DATOS!$C$68)))</f>
        <v/>
      </c>
      <c r="E1248" s="51" t="str">
        <f aca="false">IF(LEN($D1248)&gt;79,"MÁS DE 79 CARACTERES","")</f>
        <v/>
      </c>
    </row>
    <row r="1249" customFormat="false" ht="15" hidden="false" customHeight="true" outlineLevel="0" collapsed="false">
      <c r="B1249" s="53" t="str">
        <f aca="false">IF(OR(LINEAS!$D$163="",LINEAS!$U$163=0,ABS(IF(OR(LINEAS!$U$163=1,LINEAS!$U$163=3),1,-1)*LINEAS!$AG$163*DATOS!$C$67)&lt;0.00005),"*",LINEAS!$D$163&amp;" UNI "&amp;IF(LINEAS!$U$163&lt;=2,"GZ","GX")&amp;" "&amp;TEXT(IF(OR(LINEAS!$U$163=1,LINEAS!$U$163=3),1,-1)*LINEAS!$AG$163*DATOS!$C$67,DATOS!$C$68))</f>
        <v>*</v>
      </c>
      <c r="C1249" s="51" t="str">
        <f aca="false">IF(LEN($B1249)&gt;79,"MÁS DE 79 CARACTERES","")</f>
        <v/>
      </c>
      <c r="D1249" s="53" t="str">
        <f aca="false">IF(PRESIONES!$C$22="NO","",IF(OR(LINEAS!$D$163="",LINEAS!$U$163=0,ABS(IF(OR(LINEAS!$U$163=1,LINEAS!$U$163=3),1,-1)*LINEAS!$AG$163*DATOS!$C$67)&lt;0.00005),"*",LINEAS!$D$163&amp;" UNI "&amp;IF(LINEAS!$U$163&lt;=2,"GZ","GX")&amp;" "&amp;TEXT(IF(OR(LINEAS!$U$163=1,LINEAS!$U$163=3),1,-1)*LINEAS!$AG$163*DATOS!$C$67,DATOS!$C$68)))</f>
        <v/>
      </c>
      <c r="E1249" s="51" t="str">
        <f aca="false">IF(LEN($D1249)&gt;79,"MÁS DE 79 CARACTERES","")</f>
        <v/>
      </c>
    </row>
    <row r="1250" customFormat="false" ht="15" hidden="false" customHeight="true" outlineLevel="0" collapsed="false">
      <c r="B1250" s="53" t="str">
        <f aca="false">IF(OR(LINEAS!$D$164="",LINEAS!$U$164=0,ABS(IF(OR(LINEAS!$U$164=1,LINEAS!$U$164=3),1,-1)*LINEAS!$AG$164*DATOS!$C$67)&lt;0.00005),"*",LINEAS!$D$164&amp;" UNI "&amp;IF(LINEAS!$U$164&lt;=2,"GZ","GX")&amp;" "&amp;TEXT(IF(OR(LINEAS!$U$164=1,LINEAS!$U$164=3),1,-1)*LINEAS!$AG$164*DATOS!$C$67,DATOS!$C$68))</f>
        <v>*</v>
      </c>
      <c r="C1250" s="51" t="str">
        <f aca="false">IF(LEN($B1250)&gt;79,"MÁS DE 79 CARACTERES","")</f>
        <v/>
      </c>
      <c r="D1250" s="53" t="str">
        <f aca="false">IF(PRESIONES!$C$22="NO","",IF(OR(LINEAS!$D$164="",LINEAS!$U$164=0,ABS(IF(OR(LINEAS!$U$164=1,LINEAS!$U$164=3),1,-1)*LINEAS!$AG$164*DATOS!$C$67)&lt;0.00005),"*",LINEAS!$D$164&amp;" UNI "&amp;IF(LINEAS!$U$164&lt;=2,"GZ","GX")&amp;" "&amp;TEXT(IF(OR(LINEAS!$U$164=1,LINEAS!$U$164=3),1,-1)*LINEAS!$AG$164*DATOS!$C$67,DATOS!$C$68)))</f>
        <v/>
      </c>
      <c r="E1250" s="51" t="str">
        <f aca="false">IF(LEN($D1250)&gt;79,"MÁS DE 79 CARACTERES","")</f>
        <v/>
      </c>
    </row>
    <row r="1251" customFormat="false" ht="15" hidden="false" customHeight="true" outlineLevel="0" collapsed="false">
      <c r="B1251" s="53" t="str">
        <f aca="false">IF(OR(LINEAS!$D$165="",LINEAS!$U$165=0,ABS(IF(OR(LINEAS!$U$165=1,LINEAS!$U$165=3),1,-1)*LINEAS!$AG$165*DATOS!$C$67)&lt;0.00005),"*",LINEAS!$D$165&amp;" UNI "&amp;IF(LINEAS!$U$165&lt;=2,"GZ","GX")&amp;" "&amp;TEXT(IF(OR(LINEAS!$U$165=1,LINEAS!$U$165=3),1,-1)*LINEAS!$AG$165*DATOS!$C$67,DATOS!$C$68))</f>
        <v>*</v>
      </c>
      <c r="C1251" s="51" t="str">
        <f aca="false">IF(LEN($B1251)&gt;79,"MÁS DE 79 CARACTERES","")</f>
        <v/>
      </c>
      <c r="D1251" s="53" t="str">
        <f aca="false">IF(PRESIONES!$C$22="NO","",IF(OR(LINEAS!$D$165="",LINEAS!$U$165=0,ABS(IF(OR(LINEAS!$U$165=1,LINEAS!$U$165=3),1,-1)*LINEAS!$AG$165*DATOS!$C$67)&lt;0.00005),"*",LINEAS!$D$165&amp;" UNI "&amp;IF(LINEAS!$U$165&lt;=2,"GZ","GX")&amp;" "&amp;TEXT(IF(OR(LINEAS!$U$165=1,LINEAS!$U$165=3),1,-1)*LINEAS!$AG$165*DATOS!$C$67,DATOS!$C$68)))</f>
        <v/>
      </c>
      <c r="E1251" s="51" t="str">
        <f aca="false">IF(LEN($D1251)&gt;79,"MÁS DE 79 CARACTERES","")</f>
        <v/>
      </c>
    </row>
    <row r="1252" customFormat="false" ht="15" hidden="false" customHeight="true" outlineLevel="0" collapsed="false">
      <c r="B1252" s="53" t="str">
        <f aca="false">IF(OR(LINEAS!$D$166="",LINEAS!$U$166=0,ABS(IF(OR(LINEAS!$U$166=1,LINEAS!$U$166=3),1,-1)*LINEAS!$AG$166*DATOS!$C$67)&lt;0.00005),"*",LINEAS!$D$166&amp;" UNI "&amp;IF(LINEAS!$U$166&lt;=2,"GZ","GX")&amp;" "&amp;TEXT(IF(OR(LINEAS!$U$166=1,LINEAS!$U$166=3),1,-1)*LINEAS!$AG$166*DATOS!$C$67,DATOS!$C$68))</f>
        <v>*</v>
      </c>
      <c r="C1252" s="51" t="str">
        <f aca="false">IF(LEN($B1252)&gt;79,"MÁS DE 79 CARACTERES","")</f>
        <v/>
      </c>
      <c r="D1252" s="53" t="str">
        <f aca="false">IF(PRESIONES!$C$22="NO","",IF(OR(LINEAS!$D$166="",LINEAS!$U$166=0,ABS(IF(OR(LINEAS!$U$166=1,LINEAS!$U$166=3),1,-1)*LINEAS!$AG$166*DATOS!$C$67)&lt;0.00005),"*",LINEAS!$D$166&amp;" UNI "&amp;IF(LINEAS!$U$166&lt;=2,"GZ","GX")&amp;" "&amp;TEXT(IF(OR(LINEAS!$U$166=1,LINEAS!$U$166=3),1,-1)*LINEAS!$AG$166*DATOS!$C$67,DATOS!$C$68)))</f>
        <v/>
      </c>
      <c r="E1252" s="51" t="str">
        <f aca="false">IF(LEN($D1252)&gt;79,"MÁS DE 79 CARACTERES","")</f>
        <v/>
      </c>
    </row>
    <row r="1253" customFormat="false" ht="15" hidden="false" customHeight="true" outlineLevel="0" collapsed="false">
      <c r="B1253" s="53" t="str">
        <f aca="false">IF(OR(LINEAS!$D$167="",LINEAS!$U$167=0,ABS(IF(OR(LINEAS!$U$167=1,LINEAS!$U$167=3),1,-1)*LINEAS!$AG$167*DATOS!$C$67)&lt;0.00005),"*",LINEAS!$D$167&amp;" UNI "&amp;IF(LINEAS!$U$167&lt;=2,"GZ","GX")&amp;" "&amp;TEXT(IF(OR(LINEAS!$U$167=1,LINEAS!$U$167=3),1,-1)*LINEAS!$AG$167*DATOS!$C$67,DATOS!$C$68))</f>
        <v>*</v>
      </c>
      <c r="C1253" s="51" t="str">
        <f aca="false">IF(LEN($B1253)&gt;79,"MÁS DE 79 CARACTERES","")</f>
        <v/>
      </c>
      <c r="D1253" s="53" t="str">
        <f aca="false">IF(PRESIONES!$C$22="NO","",IF(OR(LINEAS!$D$167="",LINEAS!$U$167=0,ABS(IF(OR(LINEAS!$U$167=1,LINEAS!$U$167=3),1,-1)*LINEAS!$AG$167*DATOS!$C$67)&lt;0.00005),"*",LINEAS!$D$167&amp;" UNI "&amp;IF(LINEAS!$U$167&lt;=2,"GZ","GX")&amp;" "&amp;TEXT(IF(OR(LINEAS!$U$167=1,LINEAS!$U$167=3),1,-1)*LINEAS!$AG$167*DATOS!$C$67,DATOS!$C$68)))</f>
        <v/>
      </c>
      <c r="E1253" s="51" t="str">
        <f aca="false">IF(LEN($D1253)&gt;79,"MÁS DE 79 CARACTERES","")</f>
        <v/>
      </c>
    </row>
    <row r="1254" customFormat="false" ht="15" hidden="false" customHeight="true" outlineLevel="0" collapsed="false">
      <c r="B1254" s="53" t="str">
        <f aca="false">IF(OR(LINEAS!$D$168="",LINEAS!$U$168=0,ABS(IF(OR(LINEAS!$U$168=1,LINEAS!$U$168=3),1,-1)*LINEAS!$AG$168*DATOS!$C$67)&lt;0.00005),"*",LINEAS!$D$168&amp;" UNI "&amp;IF(LINEAS!$U$168&lt;=2,"GZ","GX")&amp;" "&amp;TEXT(IF(OR(LINEAS!$U$168=1,LINEAS!$U$168=3),1,-1)*LINEAS!$AG$168*DATOS!$C$67,DATOS!$C$68))</f>
        <v>*</v>
      </c>
      <c r="C1254" s="51" t="str">
        <f aca="false">IF(LEN($B1254)&gt;79,"MÁS DE 79 CARACTERES","")</f>
        <v/>
      </c>
      <c r="D1254" s="53" t="str">
        <f aca="false">IF(PRESIONES!$C$22="NO","",IF(OR(LINEAS!$D$168="",LINEAS!$U$168=0,ABS(IF(OR(LINEAS!$U$168=1,LINEAS!$U$168=3),1,-1)*LINEAS!$AG$168*DATOS!$C$67)&lt;0.00005),"*",LINEAS!$D$168&amp;" UNI "&amp;IF(LINEAS!$U$168&lt;=2,"GZ","GX")&amp;" "&amp;TEXT(IF(OR(LINEAS!$U$168=1,LINEAS!$U$168=3),1,-1)*LINEAS!$AG$168*DATOS!$C$67,DATOS!$C$68)))</f>
        <v/>
      </c>
      <c r="E1254" s="51" t="str">
        <f aca="false">IF(LEN($D1254)&gt;79,"MÁS DE 79 CARACTERES","")</f>
        <v/>
      </c>
    </row>
    <row r="1255" customFormat="false" ht="15" hidden="false" customHeight="true" outlineLevel="0" collapsed="false">
      <c r="B1255" s="53" t="str">
        <f aca="false">IF(OR(LINEAS!$D$169="",LINEAS!$U$169=0,ABS(IF(OR(LINEAS!$U$169=1,LINEAS!$U$169=3),1,-1)*LINEAS!$AG$169*DATOS!$C$67)&lt;0.00005),"*",LINEAS!$D$169&amp;" UNI "&amp;IF(LINEAS!$U$169&lt;=2,"GZ","GX")&amp;" "&amp;TEXT(IF(OR(LINEAS!$U$169=1,LINEAS!$U$169=3),1,-1)*LINEAS!$AG$169*DATOS!$C$67,DATOS!$C$68))</f>
        <v>*</v>
      </c>
      <c r="C1255" s="51" t="str">
        <f aca="false">IF(LEN($B1255)&gt;79,"MÁS DE 79 CARACTERES","")</f>
        <v/>
      </c>
      <c r="D1255" s="53" t="str">
        <f aca="false">IF(PRESIONES!$C$22="NO","",IF(OR(LINEAS!$D$169="",LINEAS!$U$169=0,ABS(IF(OR(LINEAS!$U$169=1,LINEAS!$U$169=3),1,-1)*LINEAS!$AG$169*DATOS!$C$67)&lt;0.00005),"*",LINEAS!$D$169&amp;" UNI "&amp;IF(LINEAS!$U$169&lt;=2,"GZ","GX")&amp;" "&amp;TEXT(IF(OR(LINEAS!$U$169=1,LINEAS!$U$169=3),1,-1)*LINEAS!$AG$169*DATOS!$C$67,DATOS!$C$68)))</f>
        <v/>
      </c>
      <c r="E1255" s="51" t="str">
        <f aca="false">IF(LEN($D1255)&gt;79,"MÁS DE 79 CARACTERES","")</f>
        <v/>
      </c>
    </row>
    <row r="1256" customFormat="false" ht="15" hidden="false" customHeight="true" outlineLevel="0" collapsed="false">
      <c r="B1256" s="53" t="str">
        <f aca="false">IF(OR(LINEAS!$D$170="",LINEAS!$U$170=0,ABS(IF(OR(LINEAS!$U$170=1,LINEAS!$U$170=3),1,-1)*LINEAS!$AG$170*DATOS!$C$67)&lt;0.00005),"*",LINEAS!$D$170&amp;" UNI "&amp;IF(LINEAS!$U$170&lt;=2,"GZ","GX")&amp;" "&amp;TEXT(IF(OR(LINEAS!$U$170=1,LINEAS!$U$170=3),1,-1)*LINEAS!$AG$170*DATOS!$C$67,DATOS!$C$68))</f>
        <v>*</v>
      </c>
      <c r="C1256" s="51" t="str">
        <f aca="false">IF(LEN($B1256)&gt;79,"MÁS DE 79 CARACTERES","")</f>
        <v/>
      </c>
      <c r="D1256" s="53" t="str">
        <f aca="false">IF(PRESIONES!$C$22="NO","",IF(OR(LINEAS!$D$170="",LINEAS!$U$170=0,ABS(IF(OR(LINEAS!$U$170=1,LINEAS!$U$170=3),1,-1)*LINEAS!$AG$170*DATOS!$C$67)&lt;0.00005),"*",LINEAS!$D$170&amp;" UNI "&amp;IF(LINEAS!$U$170&lt;=2,"GZ","GX")&amp;" "&amp;TEXT(IF(OR(LINEAS!$U$170=1,LINEAS!$U$170=3),1,-1)*LINEAS!$AG$170*DATOS!$C$67,DATOS!$C$68)))</f>
        <v/>
      </c>
      <c r="E1256" s="51" t="str">
        <f aca="false">IF(LEN($D1256)&gt;79,"MÁS DE 79 CARACTERES","")</f>
        <v/>
      </c>
    </row>
    <row r="1257" customFormat="false" ht="15" hidden="false" customHeight="true" outlineLevel="0" collapsed="false">
      <c r="B1257" s="53" t="str">
        <f aca="false">IF(OR(LINEAS!$D$171="",LINEAS!$U$171=0,ABS(IF(OR(LINEAS!$U$171=1,LINEAS!$U$171=3),1,-1)*LINEAS!$AG$171*DATOS!$C$67)&lt;0.00005),"*",LINEAS!$D$171&amp;" UNI "&amp;IF(LINEAS!$U$171&lt;=2,"GZ","GX")&amp;" "&amp;TEXT(IF(OR(LINEAS!$U$171=1,LINEAS!$U$171=3),1,-1)*LINEAS!$AG$171*DATOS!$C$67,DATOS!$C$68))</f>
        <v>*</v>
      </c>
      <c r="C1257" s="51" t="str">
        <f aca="false">IF(LEN($B1257)&gt;79,"MÁS DE 79 CARACTERES","")</f>
        <v/>
      </c>
      <c r="D1257" s="53" t="str">
        <f aca="false">IF(PRESIONES!$C$22="NO","",IF(OR(LINEAS!$D$171="",LINEAS!$U$171=0,ABS(IF(OR(LINEAS!$U$171=1,LINEAS!$U$171=3),1,-1)*LINEAS!$AG$171*DATOS!$C$67)&lt;0.00005),"*",LINEAS!$D$171&amp;" UNI "&amp;IF(LINEAS!$U$171&lt;=2,"GZ","GX")&amp;" "&amp;TEXT(IF(OR(LINEAS!$U$171=1,LINEAS!$U$171=3),1,-1)*LINEAS!$AG$171*DATOS!$C$67,DATOS!$C$68)))</f>
        <v/>
      </c>
      <c r="E1257" s="51" t="str">
        <f aca="false">IF(LEN($D1257)&gt;79,"MÁS DE 79 CARACTERES","")</f>
        <v/>
      </c>
    </row>
    <row r="1258" customFormat="false" ht="15" hidden="false" customHeight="true" outlineLevel="0" collapsed="false">
      <c r="B1258" s="53" t="str">
        <f aca="false">IF(OR(LINEAS!$D$172="",LINEAS!$U$172=0,ABS(IF(OR(LINEAS!$U$172=1,LINEAS!$U$172=3),1,-1)*LINEAS!$AG$172*DATOS!$C$67)&lt;0.00005),"*",LINEAS!$D$172&amp;" UNI "&amp;IF(LINEAS!$U$172&lt;=2,"GZ","GX")&amp;" "&amp;TEXT(IF(OR(LINEAS!$U$172=1,LINEAS!$U$172=3),1,-1)*LINEAS!$AG$172*DATOS!$C$67,DATOS!$C$68))</f>
        <v>*</v>
      </c>
      <c r="C1258" s="51" t="str">
        <f aca="false">IF(LEN($B1258)&gt;79,"MÁS DE 79 CARACTERES","")</f>
        <v/>
      </c>
      <c r="D1258" s="53" t="str">
        <f aca="false">IF(PRESIONES!$C$22="NO","",IF(OR(LINEAS!$D$172="",LINEAS!$U$172=0,ABS(IF(OR(LINEAS!$U$172=1,LINEAS!$U$172=3),1,-1)*LINEAS!$AG$172*DATOS!$C$67)&lt;0.00005),"*",LINEAS!$D$172&amp;" UNI "&amp;IF(LINEAS!$U$172&lt;=2,"GZ","GX")&amp;" "&amp;TEXT(IF(OR(LINEAS!$U$172=1,LINEAS!$U$172=3),1,-1)*LINEAS!$AG$172*DATOS!$C$67,DATOS!$C$68)))</f>
        <v/>
      </c>
      <c r="E1258" s="51" t="str">
        <f aca="false">IF(LEN($D1258)&gt;79,"MÁS DE 79 CARACTERES","")</f>
        <v/>
      </c>
    </row>
    <row r="1259" customFormat="false" ht="15" hidden="false" customHeight="true" outlineLevel="0" collapsed="false">
      <c r="B1259" s="53" t="str">
        <f aca="false">IF(OR(LINEAS!$D$173="",LINEAS!$U$173=0,ABS(IF(OR(LINEAS!$U$173=1,LINEAS!$U$173=3),1,-1)*LINEAS!$AG$173*DATOS!$C$67)&lt;0.00005),"*",LINEAS!$D$173&amp;" UNI "&amp;IF(LINEAS!$U$173&lt;=2,"GZ","GX")&amp;" "&amp;TEXT(IF(OR(LINEAS!$U$173=1,LINEAS!$U$173=3),1,-1)*LINEAS!$AG$173*DATOS!$C$67,DATOS!$C$68))</f>
        <v>*</v>
      </c>
      <c r="C1259" s="51" t="str">
        <f aca="false">IF(LEN($B1259)&gt;79,"MÁS DE 79 CARACTERES","")</f>
        <v/>
      </c>
      <c r="D1259" s="53" t="str">
        <f aca="false">IF(PRESIONES!$C$22="NO","",IF(OR(LINEAS!$D$173="",LINEAS!$U$173=0,ABS(IF(OR(LINEAS!$U$173=1,LINEAS!$U$173=3),1,-1)*LINEAS!$AG$173*DATOS!$C$67)&lt;0.00005),"*",LINEAS!$D$173&amp;" UNI "&amp;IF(LINEAS!$U$173&lt;=2,"GZ","GX")&amp;" "&amp;TEXT(IF(OR(LINEAS!$U$173=1,LINEAS!$U$173=3),1,-1)*LINEAS!$AG$173*DATOS!$C$67,DATOS!$C$68)))</f>
        <v/>
      </c>
      <c r="E1259" s="51" t="str">
        <f aca="false">IF(LEN($D1259)&gt;79,"MÁS DE 79 CARACTERES","")</f>
        <v/>
      </c>
    </row>
    <row r="1260" customFormat="false" ht="15" hidden="false" customHeight="true" outlineLevel="0" collapsed="false">
      <c r="B1260" s="53" t="str">
        <f aca="false">IF(OR(LINEAS!$D$174="",LINEAS!$U$174=0,ABS(IF(OR(LINEAS!$U$174=1,LINEAS!$U$174=3),1,-1)*LINEAS!$AG$174*DATOS!$C$67)&lt;0.00005),"*",LINEAS!$D$174&amp;" UNI "&amp;IF(LINEAS!$U$174&lt;=2,"GZ","GX")&amp;" "&amp;TEXT(IF(OR(LINEAS!$U$174=1,LINEAS!$U$174=3),1,-1)*LINEAS!$AG$174*DATOS!$C$67,DATOS!$C$68))</f>
        <v>*</v>
      </c>
      <c r="C1260" s="51" t="str">
        <f aca="false">IF(LEN($B1260)&gt;79,"MÁS DE 79 CARACTERES","")</f>
        <v/>
      </c>
      <c r="D1260" s="53" t="str">
        <f aca="false">IF(PRESIONES!$C$22="NO","",IF(OR(LINEAS!$D$174="",LINEAS!$U$174=0,ABS(IF(OR(LINEAS!$U$174=1,LINEAS!$U$174=3),1,-1)*LINEAS!$AG$174*DATOS!$C$67)&lt;0.00005),"*",LINEAS!$D$174&amp;" UNI "&amp;IF(LINEAS!$U$174&lt;=2,"GZ","GX")&amp;" "&amp;TEXT(IF(OR(LINEAS!$U$174=1,LINEAS!$U$174=3),1,-1)*LINEAS!$AG$174*DATOS!$C$67,DATOS!$C$68)))</f>
        <v/>
      </c>
      <c r="E1260" s="51" t="str">
        <f aca="false">IF(LEN($D1260)&gt;79,"MÁS DE 79 CARACTERES","")</f>
        <v/>
      </c>
    </row>
    <row r="1261" customFormat="false" ht="15" hidden="false" customHeight="true" outlineLevel="0" collapsed="false">
      <c r="B1261" s="53" t="str">
        <f aca="false">IF(OR(LINEAS!$D$175="",LINEAS!$U$175=0,ABS(IF(OR(LINEAS!$U$175=1,LINEAS!$U$175=3),1,-1)*LINEAS!$AG$175*DATOS!$C$67)&lt;0.00005),"*",LINEAS!$D$175&amp;" UNI "&amp;IF(LINEAS!$U$175&lt;=2,"GZ","GX")&amp;" "&amp;TEXT(IF(OR(LINEAS!$U$175=1,LINEAS!$U$175=3),1,-1)*LINEAS!$AG$175*DATOS!$C$67,DATOS!$C$68))</f>
        <v>*</v>
      </c>
      <c r="C1261" s="51" t="str">
        <f aca="false">IF(LEN($B1261)&gt;79,"MÁS DE 79 CARACTERES","")</f>
        <v/>
      </c>
      <c r="D1261" s="53" t="str">
        <f aca="false">IF(PRESIONES!$C$22="NO","",IF(OR(LINEAS!$D$175="",LINEAS!$U$175=0,ABS(IF(OR(LINEAS!$U$175=1,LINEAS!$U$175=3),1,-1)*LINEAS!$AG$175*DATOS!$C$67)&lt;0.00005),"*",LINEAS!$D$175&amp;" UNI "&amp;IF(LINEAS!$U$175&lt;=2,"GZ","GX")&amp;" "&amp;TEXT(IF(OR(LINEAS!$U$175=1,LINEAS!$U$175=3),1,-1)*LINEAS!$AG$175*DATOS!$C$67,DATOS!$C$68)))</f>
        <v/>
      </c>
      <c r="E1261" s="51" t="str">
        <f aca="false">IF(LEN($D1261)&gt;79,"MÁS DE 79 CARACTERES","")</f>
        <v/>
      </c>
    </row>
    <row r="1262" customFormat="false" ht="15" hidden="false" customHeight="true" outlineLevel="0" collapsed="false">
      <c r="B1262" s="53" t="str">
        <f aca="false">IF(OR(LINEAS!$D$176="",LINEAS!$U$176=0,ABS(IF(OR(LINEAS!$U$176=1,LINEAS!$U$176=3),1,-1)*LINEAS!$AG$176*DATOS!$C$67)&lt;0.00005),"*",LINEAS!$D$176&amp;" UNI "&amp;IF(LINEAS!$U$176&lt;=2,"GZ","GX")&amp;" "&amp;TEXT(IF(OR(LINEAS!$U$176=1,LINEAS!$U$176=3),1,-1)*LINEAS!$AG$176*DATOS!$C$67,DATOS!$C$68))</f>
        <v>*</v>
      </c>
      <c r="C1262" s="51" t="str">
        <f aca="false">IF(LEN($B1262)&gt;79,"MÁS DE 79 CARACTERES","")</f>
        <v/>
      </c>
      <c r="D1262" s="53" t="str">
        <f aca="false">IF(PRESIONES!$C$22="NO","",IF(OR(LINEAS!$D$176="",LINEAS!$U$176=0,ABS(IF(OR(LINEAS!$U$176=1,LINEAS!$U$176=3),1,-1)*LINEAS!$AG$176*DATOS!$C$67)&lt;0.00005),"*",LINEAS!$D$176&amp;" UNI "&amp;IF(LINEAS!$U$176&lt;=2,"GZ","GX")&amp;" "&amp;TEXT(IF(OR(LINEAS!$U$176=1,LINEAS!$U$176=3),1,-1)*LINEAS!$AG$176*DATOS!$C$67,DATOS!$C$68)))</f>
        <v/>
      </c>
      <c r="E1262" s="51" t="str">
        <f aca="false">IF(LEN($D1262)&gt;79,"MÁS DE 79 CARACTERES","")</f>
        <v/>
      </c>
    </row>
    <row r="1263" customFormat="false" ht="15" hidden="false" customHeight="true" outlineLevel="0" collapsed="false">
      <c r="B1263" s="53" t="str">
        <f aca="false">IF(OR(LINEAS!$D$177="",LINEAS!$U$177=0,ABS(IF(OR(LINEAS!$U$177=1,LINEAS!$U$177=3),1,-1)*LINEAS!$AG$177*DATOS!$C$67)&lt;0.00005),"*",LINEAS!$D$177&amp;" UNI "&amp;IF(LINEAS!$U$177&lt;=2,"GZ","GX")&amp;" "&amp;TEXT(IF(OR(LINEAS!$U$177=1,LINEAS!$U$177=3),1,-1)*LINEAS!$AG$177*DATOS!$C$67,DATOS!$C$68))</f>
        <v>*</v>
      </c>
      <c r="C1263" s="51" t="str">
        <f aca="false">IF(LEN($B1263)&gt;79,"MÁS DE 79 CARACTERES","")</f>
        <v/>
      </c>
      <c r="D1263" s="53" t="str">
        <f aca="false">IF(PRESIONES!$C$22="NO","",IF(OR(LINEAS!$D$177="",LINEAS!$U$177=0,ABS(IF(OR(LINEAS!$U$177=1,LINEAS!$U$177=3),1,-1)*LINEAS!$AG$177*DATOS!$C$67)&lt;0.00005),"*",LINEAS!$D$177&amp;" UNI "&amp;IF(LINEAS!$U$177&lt;=2,"GZ","GX")&amp;" "&amp;TEXT(IF(OR(LINEAS!$U$177=1,LINEAS!$U$177=3),1,-1)*LINEAS!$AG$177*DATOS!$C$67,DATOS!$C$68)))</f>
        <v/>
      </c>
      <c r="E1263" s="51" t="str">
        <f aca="false">IF(LEN($D1263)&gt;79,"MÁS DE 79 CARACTERES","")</f>
        <v/>
      </c>
    </row>
    <row r="1264" customFormat="false" ht="15" hidden="false" customHeight="true" outlineLevel="0" collapsed="false">
      <c r="B1264" s="53" t="str">
        <f aca="false">IF(OR(LINEAS!$D$178="",LINEAS!$U$178=0,ABS(IF(OR(LINEAS!$U$178=1,LINEAS!$U$178=3),1,-1)*LINEAS!$AG$178*DATOS!$C$67)&lt;0.00005),"*",LINEAS!$D$178&amp;" UNI "&amp;IF(LINEAS!$U$178&lt;=2,"GZ","GX")&amp;" "&amp;TEXT(IF(OR(LINEAS!$U$178=1,LINEAS!$U$178=3),1,-1)*LINEAS!$AG$178*DATOS!$C$67,DATOS!$C$68))</f>
        <v>*</v>
      </c>
      <c r="C1264" s="51" t="str">
        <f aca="false">IF(LEN($B1264)&gt;79,"MÁS DE 79 CARACTERES","")</f>
        <v/>
      </c>
      <c r="D1264" s="53" t="str">
        <f aca="false">IF(PRESIONES!$C$22="NO","",IF(OR(LINEAS!$D$178="",LINEAS!$U$178=0,ABS(IF(OR(LINEAS!$U$178=1,LINEAS!$U$178=3),1,-1)*LINEAS!$AG$178*DATOS!$C$67)&lt;0.00005),"*",LINEAS!$D$178&amp;" UNI "&amp;IF(LINEAS!$U$178&lt;=2,"GZ","GX")&amp;" "&amp;TEXT(IF(OR(LINEAS!$U$178=1,LINEAS!$U$178=3),1,-1)*LINEAS!$AG$178*DATOS!$C$67,DATOS!$C$68)))</f>
        <v/>
      </c>
      <c r="E1264" s="51" t="str">
        <f aca="false">IF(LEN($D1264)&gt;79,"MÁS DE 79 CARACTERES","")</f>
        <v/>
      </c>
    </row>
    <row r="1265" customFormat="false" ht="15" hidden="false" customHeight="true" outlineLevel="0" collapsed="false">
      <c r="B1265" s="53" t="str">
        <f aca="false">IF(OR(LINEAS!$D$179="",LINEAS!$U$179=0,ABS(IF(OR(LINEAS!$U$179=1,LINEAS!$U$179=3),1,-1)*LINEAS!$AG$179*DATOS!$C$67)&lt;0.00005),"*",LINEAS!$D$179&amp;" UNI "&amp;IF(LINEAS!$U$179&lt;=2,"GZ","GX")&amp;" "&amp;TEXT(IF(OR(LINEAS!$U$179=1,LINEAS!$U$179=3),1,-1)*LINEAS!$AG$179*DATOS!$C$67,DATOS!$C$68))</f>
        <v>*</v>
      </c>
      <c r="C1265" s="51" t="str">
        <f aca="false">IF(LEN($B1265)&gt;79,"MÁS DE 79 CARACTERES","")</f>
        <v/>
      </c>
      <c r="D1265" s="53" t="str">
        <f aca="false">IF(PRESIONES!$C$22="NO","",IF(OR(LINEAS!$D$179="",LINEAS!$U$179=0,ABS(IF(OR(LINEAS!$U$179=1,LINEAS!$U$179=3),1,-1)*LINEAS!$AG$179*DATOS!$C$67)&lt;0.00005),"*",LINEAS!$D$179&amp;" UNI "&amp;IF(LINEAS!$U$179&lt;=2,"GZ","GX")&amp;" "&amp;TEXT(IF(OR(LINEAS!$U$179=1,LINEAS!$U$179=3),1,-1)*LINEAS!$AG$179*DATOS!$C$67,DATOS!$C$68)))</f>
        <v/>
      </c>
      <c r="E1265" s="51" t="str">
        <f aca="false">IF(LEN($D1265)&gt;79,"MÁS DE 79 CARACTERES","")</f>
        <v/>
      </c>
    </row>
    <row r="1266" customFormat="false" ht="15" hidden="false" customHeight="true" outlineLevel="0" collapsed="false">
      <c r="B1266" s="53" t="str">
        <f aca="false">IF(OR(LINEAS!$D$180="",LINEAS!$U$180=0,ABS(IF(OR(LINEAS!$U$180=1,LINEAS!$U$180=3),1,-1)*LINEAS!$AG$180*DATOS!$C$67)&lt;0.00005),"*",LINEAS!$D$180&amp;" UNI "&amp;IF(LINEAS!$U$180&lt;=2,"GZ","GX")&amp;" "&amp;TEXT(IF(OR(LINEAS!$U$180=1,LINEAS!$U$180=3),1,-1)*LINEAS!$AG$180*DATOS!$C$67,DATOS!$C$68))</f>
        <v>*</v>
      </c>
      <c r="C1266" s="51" t="str">
        <f aca="false">IF(LEN($B1266)&gt;79,"MÁS DE 79 CARACTERES","")</f>
        <v/>
      </c>
      <c r="D1266" s="53" t="str">
        <f aca="false">IF(PRESIONES!$C$22="NO","",IF(OR(LINEAS!$D$180="",LINEAS!$U$180=0,ABS(IF(OR(LINEAS!$U$180=1,LINEAS!$U$180=3),1,-1)*LINEAS!$AG$180*DATOS!$C$67)&lt;0.00005),"*",LINEAS!$D$180&amp;" UNI "&amp;IF(LINEAS!$U$180&lt;=2,"GZ","GX")&amp;" "&amp;TEXT(IF(OR(LINEAS!$U$180=1,LINEAS!$U$180=3),1,-1)*LINEAS!$AG$180*DATOS!$C$67,DATOS!$C$68)))</f>
        <v/>
      </c>
      <c r="E1266" s="51" t="str">
        <f aca="false">IF(LEN($D1266)&gt;79,"MÁS DE 79 CARACTERES","")</f>
        <v/>
      </c>
    </row>
    <row r="1267" customFormat="false" ht="15" hidden="false" customHeight="true" outlineLevel="0" collapsed="false">
      <c r="B1267" s="53" t="str">
        <f aca="false">IF(OR(LINEAS!$D$181="",LINEAS!$U$181=0,ABS(IF(OR(LINEAS!$U$181=1,LINEAS!$U$181=3),1,-1)*LINEAS!$AG$181*DATOS!$C$67)&lt;0.00005),"*",LINEAS!$D$181&amp;" UNI "&amp;IF(LINEAS!$U$181&lt;=2,"GZ","GX")&amp;" "&amp;TEXT(IF(OR(LINEAS!$U$181=1,LINEAS!$U$181=3),1,-1)*LINEAS!$AG$181*DATOS!$C$67,DATOS!$C$68))</f>
        <v>*</v>
      </c>
      <c r="C1267" s="51" t="str">
        <f aca="false">IF(LEN($B1267)&gt;79,"MÁS DE 79 CARACTERES","")</f>
        <v/>
      </c>
      <c r="D1267" s="53" t="str">
        <f aca="false">IF(PRESIONES!$C$22="NO","",IF(OR(LINEAS!$D$181="",LINEAS!$U$181=0,ABS(IF(OR(LINEAS!$U$181=1,LINEAS!$U$181=3),1,-1)*LINEAS!$AG$181*DATOS!$C$67)&lt;0.00005),"*",LINEAS!$D$181&amp;" UNI "&amp;IF(LINEAS!$U$181&lt;=2,"GZ","GX")&amp;" "&amp;TEXT(IF(OR(LINEAS!$U$181=1,LINEAS!$U$181=3),1,-1)*LINEAS!$AG$181*DATOS!$C$67,DATOS!$C$68)))</f>
        <v/>
      </c>
      <c r="E1267" s="51" t="str">
        <f aca="false">IF(LEN($D1267)&gt;79,"MÁS DE 79 CARACTERES","")</f>
        <v/>
      </c>
    </row>
    <row r="1268" customFormat="false" ht="15" hidden="false" customHeight="true" outlineLevel="0" collapsed="false">
      <c r="B1268" s="53" t="str">
        <f aca="false">IF(OR(LINEAS!$D$182="",LINEAS!$U$182=0,ABS(IF(OR(LINEAS!$U$182=1,LINEAS!$U$182=3),1,-1)*LINEAS!$AG$182*DATOS!$C$67)&lt;0.00005),"*",LINEAS!$D$182&amp;" UNI "&amp;IF(LINEAS!$U$182&lt;=2,"GZ","GX")&amp;" "&amp;TEXT(IF(OR(LINEAS!$U$182=1,LINEAS!$U$182=3),1,-1)*LINEAS!$AG$182*DATOS!$C$67,DATOS!$C$68))</f>
        <v>*</v>
      </c>
      <c r="C1268" s="51" t="str">
        <f aca="false">IF(LEN($B1268)&gt;79,"MÁS DE 79 CARACTERES","")</f>
        <v/>
      </c>
      <c r="D1268" s="53" t="str">
        <f aca="false">IF(PRESIONES!$C$22="NO","",IF(OR(LINEAS!$D$182="",LINEAS!$U$182=0,ABS(IF(OR(LINEAS!$U$182=1,LINEAS!$U$182=3),1,-1)*LINEAS!$AG$182*DATOS!$C$67)&lt;0.00005),"*",LINEAS!$D$182&amp;" UNI "&amp;IF(LINEAS!$U$182&lt;=2,"GZ","GX")&amp;" "&amp;TEXT(IF(OR(LINEAS!$U$182=1,LINEAS!$U$182=3),1,-1)*LINEAS!$AG$182*DATOS!$C$67,DATOS!$C$68)))</f>
        <v/>
      </c>
      <c r="E1268" s="51" t="str">
        <f aca="false">IF(LEN($D1268)&gt;79,"MÁS DE 79 CARACTERES","")</f>
        <v/>
      </c>
    </row>
    <row r="1269" customFormat="false" ht="15" hidden="false" customHeight="true" outlineLevel="0" collapsed="false">
      <c r="B1269" s="53" t="str">
        <f aca="false">IF(OR(LINEAS!$D$183="",LINEAS!$U$183=0,ABS(IF(OR(LINEAS!$U$183=1,LINEAS!$U$183=3),1,-1)*LINEAS!$AG$183*DATOS!$C$67)&lt;0.00005),"*",LINEAS!$D$183&amp;" UNI "&amp;IF(LINEAS!$U$183&lt;=2,"GZ","GX")&amp;" "&amp;TEXT(IF(OR(LINEAS!$U$183=1,LINEAS!$U$183=3),1,-1)*LINEAS!$AG$183*DATOS!$C$67,DATOS!$C$68))</f>
        <v>*</v>
      </c>
      <c r="C1269" s="51" t="str">
        <f aca="false">IF(LEN($B1269)&gt;79,"MÁS DE 79 CARACTERES","")</f>
        <v/>
      </c>
      <c r="D1269" s="53" t="str">
        <f aca="false">IF(PRESIONES!$C$22="NO","",IF(OR(LINEAS!$D$183="",LINEAS!$U$183=0,ABS(IF(OR(LINEAS!$U$183=1,LINEAS!$U$183=3),1,-1)*LINEAS!$AG$183*DATOS!$C$67)&lt;0.00005),"*",LINEAS!$D$183&amp;" UNI "&amp;IF(LINEAS!$U$183&lt;=2,"GZ","GX")&amp;" "&amp;TEXT(IF(OR(LINEAS!$U$183=1,LINEAS!$U$183=3),1,-1)*LINEAS!$AG$183*DATOS!$C$67,DATOS!$C$68)))</f>
        <v/>
      </c>
      <c r="E1269" s="51" t="str">
        <f aca="false">IF(LEN($D1269)&gt;79,"MÁS DE 79 CARACTERES","")</f>
        <v/>
      </c>
    </row>
    <row r="1270" customFormat="false" ht="15" hidden="false" customHeight="true" outlineLevel="0" collapsed="false">
      <c r="B1270" s="53" t="str">
        <f aca="false">IF(OR(LINEAS!$D$184="",LINEAS!$U$184=0,ABS(IF(OR(LINEAS!$U$184=1,LINEAS!$U$184=3),1,-1)*LINEAS!$AG$184*DATOS!$C$67)&lt;0.00005),"*",LINEAS!$D$184&amp;" UNI "&amp;IF(LINEAS!$U$184&lt;=2,"GZ","GX")&amp;" "&amp;TEXT(IF(OR(LINEAS!$U$184=1,LINEAS!$U$184=3),1,-1)*LINEAS!$AG$184*DATOS!$C$67,DATOS!$C$68))</f>
        <v>*</v>
      </c>
      <c r="C1270" s="51" t="str">
        <f aca="false">IF(LEN($B1270)&gt;79,"MÁS DE 79 CARACTERES","")</f>
        <v/>
      </c>
      <c r="D1270" s="53" t="str">
        <f aca="false">IF(PRESIONES!$C$22="NO","",IF(OR(LINEAS!$D$184="",LINEAS!$U$184=0,ABS(IF(OR(LINEAS!$U$184=1,LINEAS!$U$184=3),1,-1)*LINEAS!$AG$184*DATOS!$C$67)&lt;0.00005),"*",LINEAS!$D$184&amp;" UNI "&amp;IF(LINEAS!$U$184&lt;=2,"GZ","GX")&amp;" "&amp;TEXT(IF(OR(LINEAS!$U$184=1,LINEAS!$U$184=3),1,-1)*LINEAS!$AG$184*DATOS!$C$67,DATOS!$C$68)))</f>
        <v/>
      </c>
      <c r="E1270" s="51" t="str">
        <f aca="false">IF(LEN($D1270)&gt;79,"MÁS DE 79 CARACTERES","")</f>
        <v/>
      </c>
    </row>
    <row r="1271" customFormat="false" ht="15" hidden="false" customHeight="true" outlineLevel="0" collapsed="false">
      <c r="B1271" s="53" t="str">
        <f aca="false">IF(OR(LINEAS!$D$185="",LINEAS!$U$185=0,ABS(IF(OR(LINEAS!$U$185=1,LINEAS!$U$185=3),1,-1)*LINEAS!$AG$185*DATOS!$C$67)&lt;0.00005),"*",LINEAS!$D$185&amp;" UNI "&amp;IF(LINEAS!$U$185&lt;=2,"GZ","GX")&amp;" "&amp;TEXT(IF(OR(LINEAS!$U$185=1,LINEAS!$U$185=3),1,-1)*LINEAS!$AG$185*DATOS!$C$67,DATOS!$C$68))</f>
        <v>*</v>
      </c>
      <c r="C1271" s="51" t="str">
        <f aca="false">IF(LEN($B1271)&gt;79,"MÁS DE 79 CARACTERES","")</f>
        <v/>
      </c>
      <c r="D1271" s="53" t="str">
        <f aca="false">IF(PRESIONES!$C$22="NO","",IF(OR(LINEAS!$D$185="",LINEAS!$U$185=0,ABS(IF(OR(LINEAS!$U$185=1,LINEAS!$U$185=3),1,-1)*LINEAS!$AG$185*DATOS!$C$67)&lt;0.00005),"*",LINEAS!$D$185&amp;" UNI "&amp;IF(LINEAS!$U$185&lt;=2,"GZ","GX")&amp;" "&amp;TEXT(IF(OR(LINEAS!$U$185=1,LINEAS!$U$185=3),1,-1)*LINEAS!$AG$185*DATOS!$C$67,DATOS!$C$68)))</f>
        <v/>
      </c>
      <c r="E1271" s="51" t="str">
        <f aca="false">IF(LEN($D1271)&gt;79,"MÁS DE 79 CARACTERES","")</f>
        <v/>
      </c>
    </row>
    <row r="1272" customFormat="false" ht="15" hidden="false" customHeight="true" outlineLevel="0" collapsed="false">
      <c r="B1272" s="53" t="str">
        <f aca="false">IF(OR(LINEAS!$D$186="",LINEAS!$U$186=0,ABS(IF(OR(LINEAS!$U$186=1,LINEAS!$U$186=3),1,-1)*LINEAS!$AG$186*DATOS!$C$67)&lt;0.00005),"*",LINEAS!$D$186&amp;" UNI "&amp;IF(LINEAS!$U$186&lt;=2,"GZ","GX")&amp;" "&amp;TEXT(IF(OR(LINEAS!$U$186=1,LINEAS!$U$186=3),1,-1)*LINEAS!$AG$186*DATOS!$C$67,DATOS!$C$68))</f>
        <v>*</v>
      </c>
      <c r="C1272" s="51" t="str">
        <f aca="false">IF(LEN($B1272)&gt;79,"MÁS DE 79 CARACTERES","")</f>
        <v/>
      </c>
      <c r="D1272" s="53" t="str">
        <f aca="false">IF(PRESIONES!$C$22="NO","",IF(OR(LINEAS!$D$186="",LINEAS!$U$186=0,ABS(IF(OR(LINEAS!$U$186=1,LINEAS!$U$186=3),1,-1)*LINEAS!$AG$186*DATOS!$C$67)&lt;0.00005),"*",LINEAS!$D$186&amp;" UNI "&amp;IF(LINEAS!$U$186&lt;=2,"GZ","GX")&amp;" "&amp;TEXT(IF(OR(LINEAS!$U$186=1,LINEAS!$U$186=3),1,-1)*LINEAS!$AG$186*DATOS!$C$67,DATOS!$C$68)))</f>
        <v/>
      </c>
      <c r="E1272" s="51" t="str">
        <f aca="false">IF(LEN($D1272)&gt;79,"MÁS DE 79 CARACTERES","")</f>
        <v/>
      </c>
    </row>
    <row r="1273" customFormat="false" ht="15" hidden="false" customHeight="true" outlineLevel="0" collapsed="false">
      <c r="B1273" s="53" t="str">
        <f aca="false">IF(OR(LINEAS!$D$187="",LINEAS!$U$187=0,ABS(IF(OR(LINEAS!$U$187=1,LINEAS!$U$187=3),1,-1)*LINEAS!$AG$187*DATOS!$C$67)&lt;0.00005),"*",LINEAS!$D$187&amp;" UNI "&amp;IF(LINEAS!$U$187&lt;=2,"GZ","GX")&amp;" "&amp;TEXT(IF(OR(LINEAS!$U$187=1,LINEAS!$U$187=3),1,-1)*LINEAS!$AG$187*DATOS!$C$67,DATOS!$C$68))</f>
        <v>*</v>
      </c>
      <c r="C1273" s="51" t="str">
        <f aca="false">IF(LEN($B1273)&gt;79,"MÁS DE 79 CARACTERES","")</f>
        <v/>
      </c>
      <c r="D1273" s="53" t="str">
        <f aca="false">IF(PRESIONES!$C$22="NO","",IF(OR(LINEAS!$D$187="",LINEAS!$U$187=0,ABS(IF(OR(LINEAS!$U$187=1,LINEAS!$U$187=3),1,-1)*LINEAS!$AG$187*DATOS!$C$67)&lt;0.00005),"*",LINEAS!$D$187&amp;" UNI "&amp;IF(LINEAS!$U$187&lt;=2,"GZ","GX")&amp;" "&amp;TEXT(IF(OR(LINEAS!$U$187=1,LINEAS!$U$187=3),1,-1)*LINEAS!$AG$187*DATOS!$C$67,DATOS!$C$68)))</f>
        <v/>
      </c>
      <c r="E1273" s="51" t="str">
        <f aca="false">IF(LEN($D1273)&gt;79,"MÁS DE 79 CARACTERES","")</f>
        <v/>
      </c>
    </row>
    <row r="1274" customFormat="false" ht="15" hidden="false" customHeight="true" outlineLevel="0" collapsed="false">
      <c r="B1274" s="53" t="str">
        <f aca="false">IF(OR(LINEAS!$D$188="",LINEAS!$U$188=0,ABS(IF(OR(LINEAS!$U$188=1,LINEAS!$U$188=3),1,-1)*LINEAS!$AG$188*DATOS!$C$67)&lt;0.00005),"*",LINEAS!$D$188&amp;" UNI "&amp;IF(LINEAS!$U$188&lt;=2,"GZ","GX")&amp;" "&amp;TEXT(IF(OR(LINEAS!$U$188=1,LINEAS!$U$188=3),1,-1)*LINEAS!$AG$188*DATOS!$C$67,DATOS!$C$68))</f>
        <v>*</v>
      </c>
      <c r="C1274" s="51" t="str">
        <f aca="false">IF(LEN($B1274)&gt;79,"MÁS DE 79 CARACTERES","")</f>
        <v/>
      </c>
      <c r="D1274" s="53" t="str">
        <f aca="false">IF(PRESIONES!$C$22="NO","",IF(OR(LINEAS!$D$188="",LINEAS!$U$188=0,ABS(IF(OR(LINEAS!$U$188=1,LINEAS!$U$188=3),1,-1)*LINEAS!$AG$188*DATOS!$C$67)&lt;0.00005),"*",LINEAS!$D$188&amp;" UNI "&amp;IF(LINEAS!$U$188&lt;=2,"GZ","GX")&amp;" "&amp;TEXT(IF(OR(LINEAS!$U$188=1,LINEAS!$U$188=3),1,-1)*LINEAS!$AG$188*DATOS!$C$67,DATOS!$C$68)))</f>
        <v/>
      </c>
      <c r="E1274" s="51" t="str">
        <f aca="false">IF(LEN($D1274)&gt;79,"MÁS DE 79 CARACTERES","")</f>
        <v/>
      </c>
    </row>
    <row r="1275" customFormat="false" ht="15" hidden="false" customHeight="true" outlineLevel="0" collapsed="false">
      <c r="B1275" s="53" t="str">
        <f aca="false">IF(OR(LINEAS!$D$189="",LINEAS!$U$189=0,ABS(IF(OR(LINEAS!$U$189=1,LINEAS!$U$189=3),1,-1)*LINEAS!$AG$189*DATOS!$C$67)&lt;0.00005),"*",LINEAS!$D$189&amp;" UNI "&amp;IF(LINEAS!$U$189&lt;=2,"GZ","GX")&amp;" "&amp;TEXT(IF(OR(LINEAS!$U$189=1,LINEAS!$U$189=3),1,-1)*LINEAS!$AG$189*DATOS!$C$67,DATOS!$C$68))</f>
        <v>*</v>
      </c>
      <c r="C1275" s="51" t="str">
        <f aca="false">IF(LEN($B1275)&gt;79,"MÁS DE 79 CARACTERES","")</f>
        <v/>
      </c>
      <c r="D1275" s="53" t="str">
        <f aca="false">IF(PRESIONES!$C$22="NO","",IF(OR(LINEAS!$D$189="",LINEAS!$U$189=0,ABS(IF(OR(LINEAS!$U$189=1,LINEAS!$U$189=3),1,-1)*LINEAS!$AG$189*DATOS!$C$67)&lt;0.00005),"*",LINEAS!$D$189&amp;" UNI "&amp;IF(LINEAS!$U$189&lt;=2,"GZ","GX")&amp;" "&amp;TEXT(IF(OR(LINEAS!$U$189=1,LINEAS!$U$189=3),1,-1)*LINEAS!$AG$189*DATOS!$C$67,DATOS!$C$68)))</f>
        <v/>
      </c>
      <c r="E1275" s="51" t="str">
        <f aca="false">IF(LEN($D1275)&gt;79,"MÁS DE 79 CARACTERES","")</f>
        <v/>
      </c>
    </row>
    <row r="1276" customFormat="false" ht="15" hidden="false" customHeight="true" outlineLevel="0" collapsed="false">
      <c r="B1276" s="53" t="str">
        <f aca="false">IF(OR(LINEAS!$D$190="",LINEAS!$U$190=0,ABS(IF(OR(LINEAS!$U$190=1,LINEAS!$U$190=3),1,-1)*LINEAS!$AG$190*DATOS!$C$67)&lt;0.00005),"*",LINEAS!$D$190&amp;" UNI "&amp;IF(LINEAS!$U$190&lt;=2,"GZ","GX")&amp;" "&amp;TEXT(IF(OR(LINEAS!$U$190=1,LINEAS!$U$190=3),1,-1)*LINEAS!$AG$190*DATOS!$C$67,DATOS!$C$68))</f>
        <v>*</v>
      </c>
      <c r="C1276" s="51" t="str">
        <f aca="false">IF(LEN($B1276)&gt;79,"MÁS DE 79 CARACTERES","")</f>
        <v/>
      </c>
      <c r="D1276" s="53" t="str">
        <f aca="false">IF(PRESIONES!$C$22="NO","",IF(OR(LINEAS!$D$190="",LINEAS!$U$190=0,ABS(IF(OR(LINEAS!$U$190=1,LINEAS!$U$190=3),1,-1)*LINEAS!$AG$190*DATOS!$C$67)&lt;0.00005),"*",LINEAS!$D$190&amp;" UNI "&amp;IF(LINEAS!$U$190&lt;=2,"GZ","GX")&amp;" "&amp;TEXT(IF(OR(LINEAS!$U$190=1,LINEAS!$U$190=3),1,-1)*LINEAS!$AG$190*DATOS!$C$67,DATOS!$C$68)))</f>
        <v/>
      </c>
      <c r="E1276" s="51" t="str">
        <f aca="false">IF(LEN($D1276)&gt;79,"MÁS DE 79 CARACTERES","")</f>
        <v/>
      </c>
    </row>
    <row r="1277" customFormat="false" ht="15" hidden="false" customHeight="true" outlineLevel="0" collapsed="false">
      <c r="B1277" s="53" t="str">
        <f aca="false">IF(OR(LINEAS!$D$191="",LINEAS!$U$191=0,ABS(IF(OR(LINEAS!$U$191=1,LINEAS!$U$191=3),1,-1)*LINEAS!$AG$191*DATOS!$C$67)&lt;0.00005),"*",LINEAS!$D$191&amp;" UNI "&amp;IF(LINEAS!$U$191&lt;=2,"GZ","GX")&amp;" "&amp;TEXT(IF(OR(LINEAS!$U$191=1,LINEAS!$U$191=3),1,-1)*LINEAS!$AG$191*DATOS!$C$67,DATOS!$C$68))</f>
        <v>*</v>
      </c>
      <c r="C1277" s="51" t="str">
        <f aca="false">IF(LEN($B1277)&gt;79,"MÁS DE 79 CARACTERES","")</f>
        <v/>
      </c>
      <c r="D1277" s="53" t="str">
        <f aca="false">IF(PRESIONES!$C$22="NO","",IF(OR(LINEAS!$D$191="",LINEAS!$U$191=0,ABS(IF(OR(LINEAS!$U$191=1,LINEAS!$U$191=3),1,-1)*LINEAS!$AG$191*DATOS!$C$67)&lt;0.00005),"*",LINEAS!$D$191&amp;" UNI "&amp;IF(LINEAS!$U$191&lt;=2,"GZ","GX")&amp;" "&amp;TEXT(IF(OR(LINEAS!$U$191=1,LINEAS!$U$191=3),1,-1)*LINEAS!$AG$191*DATOS!$C$67,DATOS!$C$68)))</f>
        <v/>
      </c>
      <c r="E1277" s="51" t="str">
        <f aca="false">IF(LEN($D1277)&gt;79,"MÁS DE 79 CARACTERES","")</f>
        <v/>
      </c>
    </row>
    <row r="1278" customFormat="false" ht="15" hidden="false" customHeight="true" outlineLevel="0" collapsed="false">
      <c r="B1278" s="53" t="str">
        <f aca="false">IF(OR(LINEAS!$D$192="",LINEAS!$U$192=0,ABS(IF(OR(LINEAS!$U$192=1,LINEAS!$U$192=3),1,-1)*LINEAS!$AG$192*DATOS!$C$67)&lt;0.00005),"*",LINEAS!$D$192&amp;" UNI "&amp;IF(LINEAS!$U$192&lt;=2,"GZ","GX")&amp;" "&amp;TEXT(IF(OR(LINEAS!$U$192=1,LINEAS!$U$192=3),1,-1)*LINEAS!$AG$192*DATOS!$C$67,DATOS!$C$68))</f>
        <v>*</v>
      </c>
      <c r="C1278" s="51" t="str">
        <f aca="false">IF(LEN($B1278)&gt;79,"MÁS DE 79 CARACTERES","")</f>
        <v/>
      </c>
      <c r="D1278" s="53" t="str">
        <f aca="false">IF(PRESIONES!$C$22="NO","",IF(OR(LINEAS!$D$192="",LINEAS!$U$192=0,ABS(IF(OR(LINEAS!$U$192=1,LINEAS!$U$192=3),1,-1)*LINEAS!$AG$192*DATOS!$C$67)&lt;0.00005),"*",LINEAS!$D$192&amp;" UNI "&amp;IF(LINEAS!$U$192&lt;=2,"GZ","GX")&amp;" "&amp;TEXT(IF(OR(LINEAS!$U$192=1,LINEAS!$U$192=3),1,-1)*LINEAS!$AG$192*DATOS!$C$67,DATOS!$C$68)))</f>
        <v/>
      </c>
      <c r="E1278" s="51" t="str">
        <f aca="false">IF(LEN($D1278)&gt;79,"MÁS DE 79 CARACTERES","")</f>
        <v/>
      </c>
    </row>
    <row r="1279" customFormat="false" ht="15" hidden="false" customHeight="true" outlineLevel="0" collapsed="false">
      <c r="B1279" s="53" t="str">
        <f aca="false">IF(OR(LINEAS!$D$193="",LINEAS!$U$193=0,ABS(IF(OR(LINEAS!$U$193=1,LINEAS!$U$193=3),1,-1)*LINEAS!$AG$193*DATOS!$C$67)&lt;0.00005),"*",LINEAS!$D$193&amp;" UNI "&amp;IF(LINEAS!$U$193&lt;=2,"GZ","GX")&amp;" "&amp;TEXT(IF(OR(LINEAS!$U$193=1,LINEAS!$U$193=3),1,-1)*LINEAS!$AG$193*DATOS!$C$67,DATOS!$C$68))</f>
        <v>*</v>
      </c>
      <c r="C1279" s="51" t="str">
        <f aca="false">IF(LEN($B1279)&gt;79,"MÁS DE 79 CARACTERES","")</f>
        <v/>
      </c>
      <c r="D1279" s="53" t="str">
        <f aca="false">IF(PRESIONES!$C$22="NO","",IF(OR(LINEAS!$D$193="",LINEAS!$U$193=0,ABS(IF(OR(LINEAS!$U$193=1,LINEAS!$U$193=3),1,-1)*LINEAS!$AG$193*DATOS!$C$67)&lt;0.00005),"*",LINEAS!$D$193&amp;" UNI "&amp;IF(LINEAS!$U$193&lt;=2,"GZ","GX")&amp;" "&amp;TEXT(IF(OR(LINEAS!$U$193=1,LINEAS!$U$193=3),1,-1)*LINEAS!$AG$193*DATOS!$C$67,DATOS!$C$68)))</f>
        <v/>
      </c>
      <c r="E1279" s="51" t="str">
        <f aca="false">IF(LEN($D1279)&gt;79,"MÁS DE 79 CARACTERES","")</f>
        <v/>
      </c>
    </row>
    <row r="1280" customFormat="false" ht="15" hidden="false" customHeight="true" outlineLevel="0" collapsed="false">
      <c r="B1280" s="53" t="str">
        <f aca="false">IF(OR(LINEAS!$D$194="",LINEAS!$U$194=0,ABS(IF(OR(LINEAS!$U$194=1,LINEAS!$U$194=3),1,-1)*LINEAS!$AG$194*DATOS!$C$67)&lt;0.00005),"*",LINEAS!$D$194&amp;" UNI "&amp;IF(LINEAS!$U$194&lt;=2,"GZ","GX")&amp;" "&amp;TEXT(IF(OR(LINEAS!$U$194=1,LINEAS!$U$194=3),1,-1)*LINEAS!$AG$194*DATOS!$C$67,DATOS!$C$68))</f>
        <v>*</v>
      </c>
      <c r="C1280" s="51" t="str">
        <f aca="false">IF(LEN($B1280)&gt;79,"MÁS DE 79 CARACTERES","")</f>
        <v/>
      </c>
      <c r="D1280" s="53" t="str">
        <f aca="false">IF(PRESIONES!$C$22="NO","",IF(OR(LINEAS!$D$194="",LINEAS!$U$194=0,ABS(IF(OR(LINEAS!$U$194=1,LINEAS!$U$194=3),1,-1)*LINEAS!$AG$194*DATOS!$C$67)&lt;0.00005),"*",LINEAS!$D$194&amp;" UNI "&amp;IF(LINEAS!$U$194&lt;=2,"GZ","GX")&amp;" "&amp;TEXT(IF(OR(LINEAS!$U$194=1,LINEAS!$U$194=3),1,-1)*LINEAS!$AG$194*DATOS!$C$67,DATOS!$C$68)))</f>
        <v/>
      </c>
      <c r="E1280" s="51" t="str">
        <f aca="false">IF(LEN($D1280)&gt;79,"MÁS DE 79 CARACTERES","")</f>
        <v/>
      </c>
    </row>
    <row r="1281" customFormat="false" ht="15" hidden="false" customHeight="true" outlineLevel="0" collapsed="false">
      <c r="B1281" s="52" t="str">
        <f aca="false">"LOAD "&amp;(DATOS!$C$66+6)&amp;" LOADTYPE Wind  TITLE "&amp;DATOS!$E$78</f>
        <v>LOAD 14 LOADTYPE Wind  TITLE VIENTO Z PA</v>
      </c>
      <c r="C1281" s="51" t="str">
        <f aca="false">IF(LEN($B1281)&gt;79,"MÁS DE 79 CARACTERES","")</f>
        <v/>
      </c>
      <c r="D1281" s="53" t="str">
        <f aca="false">IF(PRESIONES!$C$22="NO",IF(7=1,"* CASOS B = CASOS A (SIN ±0.4 NI +0.3 EN EL TECHO): NO HACE FALTA",""),"LOAD "&amp;(DATOS!$C$69+6)&amp;" LOADTYPE Wind  TITLE "&amp;DATOS!$E$78&amp;" B")</f>
        <v/>
      </c>
      <c r="E1281" s="51" t="str">
        <f aca="false">IF(LEN($D1281)&gt;79,"MÁS DE 79 CARACTERES","")</f>
        <v/>
      </c>
    </row>
    <row r="1282" customFormat="false" ht="15" hidden="false" customHeight="true" outlineLevel="0" collapsed="false">
      <c r="B1282" s="53" t="s">
        <v>634</v>
      </c>
      <c r="C1282" s="51" t="str">
        <f aca="false">IF(LEN($B1282)&gt;79,"MÁS DE 79 CARACTERES","")</f>
        <v/>
      </c>
      <c r="D1282" s="53" t="str">
        <f aca="false">IF(PRESIONES!$C$22="NO","","MEMBER LOAD")</f>
        <v/>
      </c>
      <c r="E1282" s="51" t="str">
        <f aca="false">IF(LEN($D1282)&gt;79,"MÁS DE 79 CARACTERES","")</f>
        <v/>
      </c>
    </row>
    <row r="1283" customFormat="false" ht="15" hidden="false" customHeight="true" outlineLevel="0" collapsed="false">
      <c r="B1283" s="53" t="str">
        <f aca="false">IF(OR(LINEAS!$D$9="",ABS(-LINEAS!$AH$9*DATOS!$C$67)&lt;0.00005),"*",LINEAS!$D$9&amp;" UNI GY "&amp;TEXT(-LINEAS!$AH$9*DATOS!$C$67,DATOS!$C$68))</f>
        <v>22 85 TO 88 UNI GY 0.0330</v>
      </c>
      <c r="C1283" s="51" t="str">
        <f aca="false">IF(LEN($B1283)&gt;79,"MÁS DE 79 CARACTERES","")</f>
        <v/>
      </c>
      <c r="D1283" s="53" t="str">
        <f aca="false">IF(PRESIONES!$C$22="NO","",IF(OR(LINEAS!$D$9="",ABS(-LINEAS!$AX$9*DATOS!$C$67)&lt;0.00005),"*",LINEAS!$D$9&amp;" UNI GY "&amp;TEXT(-LINEAS!$AX$9*DATOS!$C$67,DATOS!$C$68)))</f>
        <v/>
      </c>
      <c r="E1283" s="51" t="str">
        <f aca="false">IF(LEN($D1283)&gt;79,"MÁS DE 79 CARACTERES","")</f>
        <v/>
      </c>
    </row>
    <row r="1284" customFormat="false" ht="15" hidden="false" customHeight="true" outlineLevel="0" collapsed="false">
      <c r="B1284" s="53" t="str">
        <f aca="false">IF(OR(LINEAS!$D$9="",DATOS!$C$22="—",ABS(LINEAS!$AP$9*DATOS!$C$67)&lt;0.00005),"*",LINEAS!$D$9&amp;" UNI G"&amp;DATOS!$C$22&amp;" "&amp;TEXT(LINEAS!$AP$9*DATOS!$C$67,DATOS!$C$68))</f>
        <v>22 85 TO 88 UNI GZ 0.0016</v>
      </c>
      <c r="C1284" s="51" t="str">
        <f aca="false">IF(LEN($B1284)&gt;79,"MÁS DE 79 CARACTERES","")</f>
        <v/>
      </c>
      <c r="D1284" s="53" t="str">
        <f aca="false">IF(PRESIONES!$C$22="NO","",IF(OR(LINEAS!$D$9="",DATOS!$C$22="—",ABS(LINEAS!$BF$9*DATOS!$C$67)&lt;0.00005),"*",LINEAS!$D$9&amp;" UNI G"&amp;DATOS!$C$22&amp;" "&amp;TEXT(LINEAS!$BF$9*DATOS!$C$67,DATOS!$C$68)))</f>
        <v/>
      </c>
      <c r="E1284" s="51" t="str">
        <f aca="false">IF(LEN($D1284)&gt;79,"MÁS DE 79 CARACTERES","")</f>
        <v/>
      </c>
    </row>
    <row r="1285" customFormat="false" ht="15" hidden="false" customHeight="true" outlineLevel="0" collapsed="false">
      <c r="B1285" s="53" t="str">
        <f aca="false">IF(OR(LINEAS!$D$10="",ABS(-LINEAS!$AH$10*DATOS!$C$67)&lt;0.00005),"*",LINEAS!$D$10&amp;" UNI GY "&amp;TEXT(-LINEAS!$AH$10*DATOS!$C$67,DATOS!$C$68))</f>
        <v>80 129 TO 132 UNI GY 0.0659</v>
      </c>
      <c r="C1285" s="51" t="str">
        <f aca="false">IF(LEN($B1285)&gt;79,"MÁS DE 79 CARACTERES","")</f>
        <v/>
      </c>
      <c r="D1285" s="53" t="str">
        <f aca="false">IF(PRESIONES!$C$22="NO","",IF(OR(LINEAS!$D$10="",ABS(-LINEAS!$AX$10*DATOS!$C$67)&lt;0.00005),"*",LINEAS!$D$10&amp;" UNI GY "&amp;TEXT(-LINEAS!$AX$10*DATOS!$C$67,DATOS!$C$68)))</f>
        <v/>
      </c>
      <c r="E1285" s="51" t="str">
        <f aca="false">IF(LEN($D1285)&gt;79,"MÁS DE 79 CARACTERES","")</f>
        <v/>
      </c>
    </row>
    <row r="1286" customFormat="false" ht="15" hidden="false" customHeight="true" outlineLevel="0" collapsed="false">
      <c r="B1286" s="53" t="str">
        <f aca="false">IF(OR(LINEAS!$D$10="",DATOS!$C$22="—",ABS(LINEAS!$AP$10*DATOS!$C$67)&lt;0.00005),"*",LINEAS!$D$10&amp;" UNI G"&amp;DATOS!$C$22&amp;" "&amp;TEXT(LINEAS!$AP$10*DATOS!$C$67,DATOS!$C$68))</f>
        <v>80 129 TO 132 UNI GZ 0.0033</v>
      </c>
      <c r="C1286" s="51" t="str">
        <f aca="false">IF(LEN($B1286)&gt;79,"MÁS DE 79 CARACTERES","")</f>
        <v/>
      </c>
      <c r="D1286" s="53" t="str">
        <f aca="false">IF(PRESIONES!$C$22="NO","",IF(OR(LINEAS!$D$10="",DATOS!$C$22="—",ABS(LINEAS!$BF$10*DATOS!$C$67)&lt;0.00005),"*",LINEAS!$D$10&amp;" UNI G"&amp;DATOS!$C$22&amp;" "&amp;TEXT(LINEAS!$BF$10*DATOS!$C$67,DATOS!$C$68)))</f>
        <v/>
      </c>
      <c r="E1286" s="51" t="str">
        <f aca="false">IF(LEN($D1286)&gt;79,"MÁS DE 79 CARACTERES","")</f>
        <v/>
      </c>
    </row>
    <row r="1287" customFormat="false" ht="15" hidden="false" customHeight="true" outlineLevel="0" collapsed="false">
      <c r="B1287" s="53" t="str">
        <f aca="false">IF(OR(LINEAS!$D$11="",ABS(-LINEAS!$AH$11*DATOS!$C$67)&lt;0.00005),"*",LINEAS!$D$11&amp;" UNI GY "&amp;TEXT(-LINEAS!$AH$11*DATOS!$C$67,DATOS!$C$68))</f>
        <v>79 125 TO 128 UNI GY 0.0659</v>
      </c>
      <c r="C1287" s="51" t="str">
        <f aca="false">IF(LEN($B1287)&gt;79,"MÁS DE 79 CARACTERES","")</f>
        <v/>
      </c>
      <c r="D1287" s="53" t="str">
        <f aca="false">IF(PRESIONES!$C$22="NO","",IF(OR(LINEAS!$D$11="",ABS(-LINEAS!$AX$11*DATOS!$C$67)&lt;0.00005),"*",LINEAS!$D$11&amp;" UNI GY "&amp;TEXT(-LINEAS!$AX$11*DATOS!$C$67,DATOS!$C$68)))</f>
        <v/>
      </c>
      <c r="E1287" s="51" t="str">
        <f aca="false">IF(LEN($D1287)&gt;79,"MÁS DE 79 CARACTERES","")</f>
        <v/>
      </c>
    </row>
    <row r="1288" customFormat="false" ht="15" hidden="false" customHeight="true" outlineLevel="0" collapsed="false">
      <c r="B1288" s="53" t="str">
        <f aca="false">IF(OR(LINEAS!$D$11="",DATOS!$C$22="—",ABS(LINEAS!$AP$11*DATOS!$C$67)&lt;0.00005),"*",LINEAS!$D$11&amp;" UNI G"&amp;DATOS!$C$22&amp;" "&amp;TEXT(LINEAS!$AP$11*DATOS!$C$67,DATOS!$C$68))</f>
        <v>79 125 TO 128 UNI GZ 0.0033</v>
      </c>
      <c r="C1288" s="51" t="str">
        <f aca="false">IF(LEN($B1288)&gt;79,"MÁS DE 79 CARACTERES","")</f>
        <v/>
      </c>
      <c r="D1288" s="53" t="str">
        <f aca="false">IF(PRESIONES!$C$22="NO","",IF(OR(LINEAS!$D$11="",DATOS!$C$22="—",ABS(LINEAS!$BF$11*DATOS!$C$67)&lt;0.00005),"*",LINEAS!$D$11&amp;" UNI G"&amp;DATOS!$C$22&amp;" "&amp;TEXT(LINEAS!$BF$11*DATOS!$C$67,DATOS!$C$68)))</f>
        <v/>
      </c>
      <c r="E1288" s="51" t="str">
        <f aca="false">IF(LEN($D1288)&gt;79,"MÁS DE 79 CARACTERES","")</f>
        <v/>
      </c>
    </row>
    <row r="1289" customFormat="false" ht="15" hidden="false" customHeight="true" outlineLevel="0" collapsed="false">
      <c r="B1289" s="53" t="str">
        <f aca="false">IF(OR(LINEAS!$D$12="",ABS(-LINEAS!$AH$12*DATOS!$C$67)&lt;0.00005),"*",LINEAS!$D$12&amp;" UNI GY "&amp;TEXT(-LINEAS!$AH$12*DATOS!$C$67,DATOS!$C$68))</f>
        <v>78 121 TO 124 UNI GY 0.0659</v>
      </c>
      <c r="C1289" s="51" t="str">
        <f aca="false">IF(LEN($B1289)&gt;79,"MÁS DE 79 CARACTERES","")</f>
        <v/>
      </c>
      <c r="D1289" s="53" t="str">
        <f aca="false">IF(PRESIONES!$C$22="NO","",IF(OR(LINEAS!$D$12="",ABS(-LINEAS!$AX$12*DATOS!$C$67)&lt;0.00005),"*",LINEAS!$D$12&amp;" UNI GY "&amp;TEXT(-LINEAS!$AX$12*DATOS!$C$67,DATOS!$C$68)))</f>
        <v/>
      </c>
      <c r="E1289" s="51" t="str">
        <f aca="false">IF(LEN($D1289)&gt;79,"MÁS DE 79 CARACTERES","")</f>
        <v/>
      </c>
    </row>
    <row r="1290" customFormat="false" ht="15" hidden="false" customHeight="true" outlineLevel="0" collapsed="false">
      <c r="B1290" s="53" t="str">
        <f aca="false">IF(OR(LINEAS!$D$12="",DATOS!$C$22="—",ABS(LINEAS!$AP$12*DATOS!$C$67)&lt;0.00005),"*",LINEAS!$D$12&amp;" UNI G"&amp;DATOS!$C$22&amp;" "&amp;TEXT(LINEAS!$AP$12*DATOS!$C$67,DATOS!$C$68))</f>
        <v>78 121 TO 124 UNI GZ 0.0033</v>
      </c>
      <c r="C1290" s="51" t="str">
        <f aca="false">IF(LEN($B1290)&gt;79,"MÁS DE 79 CARACTERES","")</f>
        <v/>
      </c>
      <c r="D1290" s="53" t="str">
        <f aca="false">IF(PRESIONES!$C$22="NO","",IF(OR(LINEAS!$D$12="",DATOS!$C$22="—",ABS(LINEAS!$BF$12*DATOS!$C$67)&lt;0.00005),"*",LINEAS!$D$12&amp;" UNI G"&amp;DATOS!$C$22&amp;" "&amp;TEXT(LINEAS!$BF$12*DATOS!$C$67,DATOS!$C$68)))</f>
        <v/>
      </c>
      <c r="E1290" s="51" t="str">
        <f aca="false">IF(LEN($D1290)&gt;79,"MÁS DE 79 CARACTERES","")</f>
        <v/>
      </c>
    </row>
    <row r="1291" customFormat="false" ht="15" hidden="false" customHeight="true" outlineLevel="0" collapsed="false">
      <c r="B1291" s="53" t="str">
        <f aca="false">IF(OR(LINEAS!$D$13="",ABS(-LINEAS!$AH$13*DATOS!$C$67)&lt;0.00005),"*",LINEAS!$D$13&amp;" UNI GY "&amp;TEXT(-LINEAS!$AH$13*DATOS!$C$67,DATOS!$C$68))</f>
        <v>77 117 TO 120 UNI GY 0.0659</v>
      </c>
      <c r="C1291" s="51" t="str">
        <f aca="false">IF(LEN($B1291)&gt;79,"MÁS DE 79 CARACTERES","")</f>
        <v/>
      </c>
      <c r="D1291" s="53" t="str">
        <f aca="false">IF(PRESIONES!$C$22="NO","",IF(OR(LINEAS!$D$13="",ABS(-LINEAS!$AX$13*DATOS!$C$67)&lt;0.00005),"*",LINEAS!$D$13&amp;" UNI GY "&amp;TEXT(-LINEAS!$AX$13*DATOS!$C$67,DATOS!$C$68)))</f>
        <v/>
      </c>
      <c r="E1291" s="51" t="str">
        <f aca="false">IF(LEN($D1291)&gt;79,"MÁS DE 79 CARACTERES","")</f>
        <v/>
      </c>
    </row>
    <row r="1292" customFormat="false" ht="15" hidden="false" customHeight="true" outlineLevel="0" collapsed="false">
      <c r="B1292" s="53" t="str">
        <f aca="false">IF(OR(LINEAS!$D$13="",DATOS!$C$22="—",ABS(LINEAS!$AP$13*DATOS!$C$67)&lt;0.00005),"*",LINEAS!$D$13&amp;" UNI G"&amp;DATOS!$C$22&amp;" "&amp;TEXT(LINEAS!$AP$13*DATOS!$C$67,DATOS!$C$68))</f>
        <v>77 117 TO 120 UNI GZ 0.0033</v>
      </c>
      <c r="C1292" s="51" t="str">
        <f aca="false">IF(LEN($B1292)&gt;79,"MÁS DE 79 CARACTERES","")</f>
        <v/>
      </c>
      <c r="D1292" s="53" t="str">
        <f aca="false">IF(PRESIONES!$C$22="NO","",IF(OR(LINEAS!$D$13="",DATOS!$C$22="—",ABS(LINEAS!$BF$13*DATOS!$C$67)&lt;0.00005),"*",LINEAS!$D$13&amp;" UNI G"&amp;DATOS!$C$22&amp;" "&amp;TEXT(LINEAS!$BF$13*DATOS!$C$67,DATOS!$C$68)))</f>
        <v/>
      </c>
      <c r="E1292" s="51" t="str">
        <f aca="false">IF(LEN($D1292)&gt;79,"MÁS DE 79 CARACTERES","")</f>
        <v/>
      </c>
    </row>
    <row r="1293" customFormat="false" ht="15" hidden="false" customHeight="true" outlineLevel="0" collapsed="false">
      <c r="B1293" s="53" t="str">
        <f aca="false">IF(OR(LINEAS!$D$14="",ABS(-LINEAS!$AH$14*DATOS!$C$67)&lt;0.00005),"*",LINEAS!$D$14&amp;" UNI GY "&amp;TEXT(-LINEAS!$AH$14*DATOS!$C$67,DATOS!$C$68))</f>
        <v>9 93 TO 96 UNI GY 0.0659</v>
      </c>
      <c r="C1293" s="51" t="str">
        <f aca="false">IF(LEN($B1293)&gt;79,"MÁS DE 79 CARACTERES","")</f>
        <v/>
      </c>
      <c r="D1293" s="53" t="str">
        <f aca="false">IF(PRESIONES!$C$22="NO","",IF(OR(LINEAS!$D$14="",ABS(-LINEAS!$AX$14*DATOS!$C$67)&lt;0.00005),"*",LINEAS!$D$14&amp;" UNI GY "&amp;TEXT(-LINEAS!$AX$14*DATOS!$C$67,DATOS!$C$68)))</f>
        <v/>
      </c>
      <c r="E1293" s="51" t="str">
        <f aca="false">IF(LEN($D1293)&gt;79,"MÁS DE 79 CARACTERES","")</f>
        <v/>
      </c>
    </row>
    <row r="1294" customFormat="false" ht="15" hidden="false" customHeight="true" outlineLevel="0" collapsed="false">
      <c r="B1294" s="53" t="str">
        <f aca="false">IF(OR(LINEAS!$D$14="",DATOS!$C$22="—",ABS(LINEAS!$AP$14*DATOS!$C$67)&lt;0.00005),"*",LINEAS!$D$14&amp;" UNI G"&amp;DATOS!$C$22&amp;" "&amp;TEXT(LINEAS!$AP$14*DATOS!$C$67,DATOS!$C$68))</f>
        <v>9 93 TO 96 UNI GZ 0.0033</v>
      </c>
      <c r="C1294" s="51" t="str">
        <f aca="false">IF(LEN($B1294)&gt;79,"MÁS DE 79 CARACTERES","")</f>
        <v/>
      </c>
      <c r="D1294" s="53" t="str">
        <f aca="false">IF(PRESIONES!$C$22="NO","",IF(OR(LINEAS!$D$14="",DATOS!$C$22="—",ABS(LINEAS!$BF$14*DATOS!$C$67)&lt;0.00005),"*",LINEAS!$D$14&amp;" UNI G"&amp;DATOS!$C$22&amp;" "&amp;TEXT(LINEAS!$BF$14*DATOS!$C$67,DATOS!$C$68)))</f>
        <v/>
      </c>
      <c r="E1294" s="51" t="str">
        <f aca="false">IF(LEN($D1294)&gt;79,"MÁS DE 79 CARACTERES","")</f>
        <v/>
      </c>
    </row>
    <row r="1295" customFormat="false" ht="15" hidden="false" customHeight="true" outlineLevel="0" collapsed="false">
      <c r="B1295" s="53" t="str">
        <f aca="false">IF(OR(LINEAS!$D$15="",ABS(-LINEAS!$AH$15*DATOS!$C$67)&lt;0.00005),"*",LINEAS!$D$15&amp;" UNI GY "&amp;TEXT(-LINEAS!$AH$15*DATOS!$C$67,DATOS!$C$68))</f>
        <v>76 113 TO 116 UNI GY 0.0659</v>
      </c>
      <c r="C1295" s="51" t="str">
        <f aca="false">IF(LEN($B1295)&gt;79,"MÁS DE 79 CARACTERES","")</f>
        <v/>
      </c>
      <c r="D1295" s="53" t="str">
        <f aca="false">IF(PRESIONES!$C$22="NO","",IF(OR(LINEAS!$D$15="",ABS(-LINEAS!$AX$15*DATOS!$C$67)&lt;0.00005),"*",LINEAS!$D$15&amp;" UNI GY "&amp;TEXT(-LINEAS!$AX$15*DATOS!$C$67,DATOS!$C$68)))</f>
        <v/>
      </c>
      <c r="E1295" s="51" t="str">
        <f aca="false">IF(LEN($D1295)&gt;79,"MÁS DE 79 CARACTERES","")</f>
        <v/>
      </c>
    </row>
    <row r="1296" customFormat="false" ht="15" hidden="false" customHeight="true" outlineLevel="0" collapsed="false">
      <c r="B1296" s="53" t="str">
        <f aca="false">IF(OR(LINEAS!$D$15="",DATOS!$C$22="—",ABS(LINEAS!$AP$15*DATOS!$C$67)&lt;0.00005),"*",LINEAS!$D$15&amp;" UNI G"&amp;DATOS!$C$22&amp;" "&amp;TEXT(LINEAS!$AP$15*DATOS!$C$67,DATOS!$C$68))</f>
        <v>76 113 TO 116 UNI GZ 0.0033</v>
      </c>
      <c r="C1296" s="51" t="str">
        <f aca="false">IF(LEN($B1296)&gt;79,"MÁS DE 79 CARACTERES","")</f>
        <v/>
      </c>
      <c r="D1296" s="53" t="str">
        <f aca="false">IF(PRESIONES!$C$22="NO","",IF(OR(LINEAS!$D$15="",DATOS!$C$22="—",ABS(LINEAS!$BF$15*DATOS!$C$67)&lt;0.00005),"*",LINEAS!$D$15&amp;" UNI G"&amp;DATOS!$C$22&amp;" "&amp;TEXT(LINEAS!$BF$15*DATOS!$C$67,DATOS!$C$68)))</f>
        <v/>
      </c>
      <c r="E1296" s="51" t="str">
        <f aca="false">IF(LEN($D1296)&gt;79,"MÁS DE 79 CARACTERES","")</f>
        <v/>
      </c>
    </row>
    <row r="1297" customFormat="false" ht="15" hidden="false" customHeight="true" outlineLevel="0" collapsed="false">
      <c r="B1297" s="53" t="str">
        <f aca="false">IF(OR(LINEAS!$D$16="",ABS(-LINEAS!$AH$16*DATOS!$C$67)&lt;0.00005),"*",LINEAS!$D$16&amp;" UNI GY "&amp;TEXT(-LINEAS!$AH$16*DATOS!$C$67,DATOS!$C$68))</f>
        <v>75 109 TO 112 UNI GY 0.0659</v>
      </c>
      <c r="C1297" s="51" t="str">
        <f aca="false">IF(LEN($B1297)&gt;79,"MÁS DE 79 CARACTERES","")</f>
        <v/>
      </c>
      <c r="D1297" s="53" t="str">
        <f aca="false">IF(PRESIONES!$C$22="NO","",IF(OR(LINEAS!$D$16="",ABS(-LINEAS!$AX$16*DATOS!$C$67)&lt;0.00005),"*",LINEAS!$D$16&amp;" UNI GY "&amp;TEXT(-LINEAS!$AX$16*DATOS!$C$67,DATOS!$C$68)))</f>
        <v/>
      </c>
      <c r="E1297" s="51" t="str">
        <f aca="false">IF(LEN($D1297)&gt;79,"MÁS DE 79 CARACTERES","")</f>
        <v/>
      </c>
    </row>
    <row r="1298" customFormat="false" ht="15" hidden="false" customHeight="true" outlineLevel="0" collapsed="false">
      <c r="B1298" s="53" t="str">
        <f aca="false">IF(OR(LINEAS!$D$16="",DATOS!$C$22="—",ABS(LINEAS!$AP$16*DATOS!$C$67)&lt;0.00005),"*",LINEAS!$D$16&amp;" UNI G"&amp;DATOS!$C$22&amp;" "&amp;TEXT(LINEAS!$AP$16*DATOS!$C$67,DATOS!$C$68))</f>
        <v>75 109 TO 112 UNI GZ 0.0033</v>
      </c>
      <c r="C1298" s="51" t="str">
        <f aca="false">IF(LEN($B1298)&gt;79,"MÁS DE 79 CARACTERES","")</f>
        <v/>
      </c>
      <c r="D1298" s="53" t="str">
        <f aca="false">IF(PRESIONES!$C$22="NO","",IF(OR(LINEAS!$D$16="",DATOS!$C$22="—",ABS(LINEAS!$BF$16*DATOS!$C$67)&lt;0.00005),"*",LINEAS!$D$16&amp;" UNI G"&amp;DATOS!$C$22&amp;" "&amp;TEXT(LINEAS!$BF$16*DATOS!$C$67,DATOS!$C$68)))</f>
        <v/>
      </c>
      <c r="E1298" s="51" t="str">
        <f aca="false">IF(LEN($D1298)&gt;79,"MÁS DE 79 CARACTERES","")</f>
        <v/>
      </c>
    </row>
    <row r="1299" customFormat="false" ht="15" hidden="false" customHeight="true" outlineLevel="0" collapsed="false">
      <c r="B1299" s="53" t="str">
        <f aca="false">IF(OR(LINEAS!$D$17="",ABS(-LINEAS!$AH$17*DATOS!$C$67)&lt;0.00005),"*",LINEAS!$D$17&amp;" UNI GY "&amp;TEXT(-LINEAS!$AH$17*DATOS!$C$67,DATOS!$C$68))</f>
        <v>74 105 TO 108 UNI GY 0.0659</v>
      </c>
      <c r="C1299" s="51" t="str">
        <f aca="false">IF(LEN($B1299)&gt;79,"MÁS DE 79 CARACTERES","")</f>
        <v/>
      </c>
      <c r="D1299" s="53" t="str">
        <f aca="false">IF(PRESIONES!$C$22="NO","",IF(OR(LINEAS!$D$17="",ABS(-LINEAS!$AX$17*DATOS!$C$67)&lt;0.00005),"*",LINEAS!$D$17&amp;" UNI GY "&amp;TEXT(-LINEAS!$AX$17*DATOS!$C$67,DATOS!$C$68)))</f>
        <v/>
      </c>
      <c r="E1299" s="51" t="str">
        <f aca="false">IF(LEN($D1299)&gt;79,"MÁS DE 79 CARACTERES","")</f>
        <v/>
      </c>
    </row>
    <row r="1300" customFormat="false" ht="15" hidden="false" customHeight="true" outlineLevel="0" collapsed="false">
      <c r="B1300" s="53" t="str">
        <f aca="false">IF(OR(LINEAS!$D$17="",DATOS!$C$22="—",ABS(LINEAS!$AP$17*DATOS!$C$67)&lt;0.00005),"*",LINEAS!$D$17&amp;" UNI G"&amp;DATOS!$C$22&amp;" "&amp;TEXT(LINEAS!$AP$17*DATOS!$C$67,DATOS!$C$68))</f>
        <v>74 105 TO 108 UNI GZ 0.0033</v>
      </c>
      <c r="C1300" s="51" t="str">
        <f aca="false">IF(LEN($B1300)&gt;79,"MÁS DE 79 CARACTERES","")</f>
        <v/>
      </c>
      <c r="D1300" s="53" t="str">
        <f aca="false">IF(PRESIONES!$C$22="NO","",IF(OR(LINEAS!$D$17="",DATOS!$C$22="—",ABS(LINEAS!$BF$17*DATOS!$C$67)&lt;0.00005),"*",LINEAS!$D$17&amp;" UNI G"&amp;DATOS!$C$22&amp;" "&amp;TEXT(LINEAS!$BF$17*DATOS!$C$67,DATOS!$C$68)))</f>
        <v/>
      </c>
      <c r="E1300" s="51" t="str">
        <f aca="false">IF(LEN($D1300)&gt;79,"MÁS DE 79 CARACTERES","")</f>
        <v/>
      </c>
    </row>
    <row r="1301" customFormat="false" ht="15" hidden="false" customHeight="true" outlineLevel="0" collapsed="false">
      <c r="B1301" s="53" t="str">
        <f aca="false">IF(OR(LINEAS!$D$18="",ABS(-LINEAS!$AH$18*DATOS!$C$67)&lt;0.00005),"*",LINEAS!$D$18&amp;" UNI GY "&amp;TEXT(-LINEAS!$AH$18*DATOS!$C$67,DATOS!$C$68))</f>
        <v>73 101 TO 104 UNI GY 0.0659</v>
      </c>
      <c r="C1301" s="51" t="str">
        <f aca="false">IF(LEN($B1301)&gt;79,"MÁS DE 79 CARACTERES","")</f>
        <v/>
      </c>
      <c r="D1301" s="53" t="str">
        <f aca="false">IF(PRESIONES!$C$22="NO","",IF(OR(LINEAS!$D$18="",ABS(-LINEAS!$AX$18*DATOS!$C$67)&lt;0.00005),"*",LINEAS!$D$18&amp;" UNI GY "&amp;TEXT(-LINEAS!$AX$18*DATOS!$C$67,DATOS!$C$68)))</f>
        <v/>
      </c>
      <c r="E1301" s="51" t="str">
        <f aca="false">IF(LEN($D1301)&gt;79,"MÁS DE 79 CARACTERES","")</f>
        <v/>
      </c>
    </row>
    <row r="1302" customFormat="false" ht="15" hidden="false" customHeight="true" outlineLevel="0" collapsed="false">
      <c r="B1302" s="53" t="str">
        <f aca="false">IF(OR(LINEAS!$D$18="",DATOS!$C$22="—",ABS(LINEAS!$AP$18*DATOS!$C$67)&lt;0.00005),"*",LINEAS!$D$18&amp;" UNI G"&amp;DATOS!$C$22&amp;" "&amp;TEXT(LINEAS!$AP$18*DATOS!$C$67,DATOS!$C$68))</f>
        <v>73 101 TO 104 UNI GZ 0.0033</v>
      </c>
      <c r="C1302" s="51" t="str">
        <f aca="false">IF(LEN($B1302)&gt;79,"MÁS DE 79 CARACTERES","")</f>
        <v/>
      </c>
      <c r="D1302" s="53" t="str">
        <f aca="false">IF(PRESIONES!$C$22="NO","",IF(OR(LINEAS!$D$18="",DATOS!$C$22="—",ABS(LINEAS!$BF$18*DATOS!$C$67)&lt;0.00005),"*",LINEAS!$D$18&amp;" UNI G"&amp;DATOS!$C$22&amp;" "&amp;TEXT(LINEAS!$BF$18*DATOS!$C$67,DATOS!$C$68)))</f>
        <v/>
      </c>
      <c r="E1302" s="51" t="str">
        <f aca="false">IF(LEN($D1302)&gt;79,"MÁS DE 79 CARACTERES","")</f>
        <v/>
      </c>
    </row>
    <row r="1303" customFormat="false" ht="15" hidden="false" customHeight="true" outlineLevel="0" collapsed="false">
      <c r="B1303" s="53" t="str">
        <f aca="false">IF(OR(LINEAS!$D$19="",ABS(-LINEAS!$AH$19*DATOS!$C$67)&lt;0.00005),"*",LINEAS!$D$19&amp;" UNI GY "&amp;TEXT(-LINEAS!$AH$19*DATOS!$C$67,DATOS!$C$68))</f>
        <v>8 89 TO 92 UNI GY 0.0635</v>
      </c>
      <c r="C1303" s="51" t="str">
        <f aca="false">IF(LEN($B1303)&gt;79,"MÁS DE 79 CARACTERES","")</f>
        <v/>
      </c>
      <c r="D1303" s="53" t="str">
        <f aca="false">IF(PRESIONES!$C$22="NO","",IF(OR(LINEAS!$D$19="",ABS(-LINEAS!$AX$19*DATOS!$C$67)&lt;0.00005),"*",LINEAS!$D$19&amp;" UNI GY "&amp;TEXT(-LINEAS!$AX$19*DATOS!$C$67,DATOS!$C$68)))</f>
        <v/>
      </c>
      <c r="E1303" s="51" t="str">
        <f aca="false">IF(LEN($D1303)&gt;79,"MÁS DE 79 CARACTERES","")</f>
        <v/>
      </c>
    </row>
    <row r="1304" customFormat="false" ht="15" hidden="false" customHeight="true" outlineLevel="0" collapsed="false">
      <c r="B1304" s="53" t="str">
        <f aca="false">IF(OR(LINEAS!$D$19="",DATOS!$C$22="—",ABS(LINEAS!$AP$19*DATOS!$C$67)&lt;0.00005),"*",LINEAS!$D$19&amp;" UNI G"&amp;DATOS!$C$22&amp;" "&amp;TEXT(LINEAS!$AP$19*DATOS!$C$67,DATOS!$C$68))</f>
        <v>8 89 TO 92 UNI GZ 0.0032</v>
      </c>
      <c r="C1304" s="51" t="str">
        <f aca="false">IF(LEN($B1304)&gt;79,"MÁS DE 79 CARACTERES","")</f>
        <v/>
      </c>
      <c r="D1304" s="53" t="str">
        <f aca="false">IF(PRESIONES!$C$22="NO","",IF(OR(LINEAS!$D$19="",DATOS!$C$22="—",ABS(LINEAS!$BF$19*DATOS!$C$67)&lt;0.00005),"*",LINEAS!$D$19&amp;" UNI G"&amp;DATOS!$C$22&amp;" "&amp;TEXT(LINEAS!$BF$19*DATOS!$C$67,DATOS!$C$68)))</f>
        <v/>
      </c>
      <c r="E1304" s="51" t="str">
        <f aca="false">IF(LEN($D1304)&gt;79,"MÁS DE 79 CARACTERES","")</f>
        <v/>
      </c>
    </row>
    <row r="1305" customFormat="false" ht="15" hidden="false" customHeight="true" outlineLevel="0" collapsed="false">
      <c r="B1305" s="53" t="str">
        <f aca="false">IF(OR(LINEAS!$D$20="",ABS(-LINEAS!$AH$20*DATOS!$C$67)&lt;0.00005),"*",LINEAS!$D$20&amp;" UNI GY "&amp;TEXT(-LINEAS!$AH$20*DATOS!$C$67,DATOS!$C$68))</f>
        <v>56 97 TO 100 UNI GY 0.0610</v>
      </c>
      <c r="C1305" s="51" t="str">
        <f aca="false">IF(LEN($B1305)&gt;79,"MÁS DE 79 CARACTERES","")</f>
        <v/>
      </c>
      <c r="D1305" s="53" t="str">
        <f aca="false">IF(PRESIONES!$C$22="NO","",IF(OR(LINEAS!$D$20="",ABS(-LINEAS!$AX$20*DATOS!$C$67)&lt;0.00005),"*",LINEAS!$D$20&amp;" UNI GY "&amp;TEXT(-LINEAS!$AX$20*DATOS!$C$67,DATOS!$C$68)))</f>
        <v/>
      </c>
      <c r="E1305" s="51" t="str">
        <f aca="false">IF(LEN($D1305)&gt;79,"MÁS DE 79 CARACTERES","")</f>
        <v/>
      </c>
    </row>
    <row r="1306" customFormat="false" ht="15" hidden="false" customHeight="true" outlineLevel="0" collapsed="false">
      <c r="B1306" s="53" t="str">
        <f aca="false">IF(OR(LINEAS!$D$20="",DATOS!$C$22="—",ABS(LINEAS!$AP$20*DATOS!$C$67)&lt;0.00005),"*",LINEAS!$D$20&amp;" UNI G"&amp;DATOS!$C$22&amp;" "&amp;TEXT(LINEAS!$AP$20*DATOS!$C$67,DATOS!$C$68))</f>
        <v>56 97 TO 100 UNI GZ 0.0031</v>
      </c>
      <c r="C1306" s="51" t="str">
        <f aca="false">IF(LEN($B1306)&gt;79,"MÁS DE 79 CARACTERES","")</f>
        <v/>
      </c>
      <c r="D1306" s="53" t="str">
        <f aca="false">IF(PRESIONES!$C$22="NO","",IF(OR(LINEAS!$D$20="",DATOS!$C$22="—",ABS(LINEAS!$BF$20*DATOS!$C$67)&lt;0.00005),"*",LINEAS!$D$20&amp;" UNI G"&amp;DATOS!$C$22&amp;" "&amp;TEXT(LINEAS!$BF$20*DATOS!$C$67,DATOS!$C$68)))</f>
        <v/>
      </c>
      <c r="E1306" s="51" t="str">
        <f aca="false">IF(LEN($D1306)&gt;79,"MÁS DE 79 CARACTERES","")</f>
        <v/>
      </c>
    </row>
    <row r="1307" customFormat="false" ht="15" hidden="false" customHeight="true" outlineLevel="0" collapsed="false">
      <c r="B1307" s="53" t="str">
        <f aca="false">IF(OR(LINEAS!$D$21="",ABS(-LINEAS!$AH$21*DATOS!$C$67)&lt;0.00005),"*",LINEAS!$D$21&amp;" UNI GY "&amp;TEXT(-LINEAS!$AH$21*DATOS!$C$67,DATOS!$C$68))</f>
        <v>7 81 TO 84 UNI GY 0.0305</v>
      </c>
      <c r="C1307" s="51" t="str">
        <f aca="false">IF(LEN($B1307)&gt;79,"MÁS DE 79 CARACTERES","")</f>
        <v/>
      </c>
      <c r="D1307" s="53" t="str">
        <f aca="false">IF(PRESIONES!$C$22="NO","",IF(OR(LINEAS!$D$21="",ABS(-LINEAS!$AX$21*DATOS!$C$67)&lt;0.00005),"*",LINEAS!$D$21&amp;" UNI GY "&amp;TEXT(-LINEAS!$AX$21*DATOS!$C$67,DATOS!$C$68)))</f>
        <v/>
      </c>
      <c r="E1307" s="51" t="str">
        <f aca="false">IF(LEN($D1307)&gt;79,"MÁS DE 79 CARACTERES","")</f>
        <v/>
      </c>
    </row>
    <row r="1308" customFormat="false" ht="15" hidden="false" customHeight="true" outlineLevel="0" collapsed="false">
      <c r="B1308" s="53" t="str">
        <f aca="false">IF(OR(LINEAS!$D$21="",DATOS!$C$22="—",ABS(LINEAS!$AP$21*DATOS!$C$67)&lt;0.00005),"*",LINEAS!$D$21&amp;" UNI G"&amp;DATOS!$C$22&amp;" "&amp;TEXT(LINEAS!$AP$21*DATOS!$C$67,DATOS!$C$68))</f>
        <v>7 81 TO 84 UNI GZ 0.0015</v>
      </c>
      <c r="C1308" s="51" t="str">
        <f aca="false">IF(LEN($B1308)&gt;79,"MÁS DE 79 CARACTERES","")</f>
        <v/>
      </c>
      <c r="D1308" s="53" t="str">
        <f aca="false">IF(PRESIONES!$C$22="NO","",IF(OR(LINEAS!$D$21="",DATOS!$C$22="—",ABS(LINEAS!$BF$21*DATOS!$C$67)&lt;0.00005),"*",LINEAS!$D$21&amp;" UNI G"&amp;DATOS!$C$22&amp;" "&amp;TEXT(LINEAS!$BF$21*DATOS!$C$67,DATOS!$C$68)))</f>
        <v/>
      </c>
      <c r="E1308" s="51" t="str">
        <f aca="false">IF(LEN($D1308)&gt;79,"MÁS DE 79 CARACTERES","")</f>
        <v/>
      </c>
    </row>
    <row r="1309" customFormat="false" ht="15" hidden="false" customHeight="true" outlineLevel="0" collapsed="false">
      <c r="B1309" s="53" t="str">
        <f aca="false">IF(OR(LINEAS!$D$22="",ABS(-LINEAS!$AH$22*DATOS!$C$67)&lt;0.00005),"*",LINEAS!$D$22&amp;" UNI GY "&amp;TEXT(-LINEAS!$AH$22*DATOS!$C$67,DATOS!$C$68))</f>
        <v>*</v>
      </c>
      <c r="C1309" s="51" t="str">
        <f aca="false">IF(LEN($B1309)&gt;79,"MÁS DE 79 CARACTERES","")</f>
        <v/>
      </c>
      <c r="D1309" s="53" t="str">
        <f aca="false">IF(PRESIONES!$C$22="NO","",IF(OR(LINEAS!$D$22="",ABS(-LINEAS!$AX$22*DATOS!$C$67)&lt;0.00005),"*",LINEAS!$D$22&amp;" UNI GY "&amp;TEXT(-LINEAS!$AX$22*DATOS!$C$67,DATOS!$C$68)))</f>
        <v/>
      </c>
      <c r="E1309" s="51" t="str">
        <f aca="false">IF(LEN($D1309)&gt;79,"MÁS DE 79 CARACTERES","")</f>
        <v/>
      </c>
    </row>
    <row r="1310" customFormat="false" ht="15" hidden="false" customHeight="true" outlineLevel="0" collapsed="false">
      <c r="B1310" s="53" t="str">
        <f aca="false">IF(OR(LINEAS!$D$22="",DATOS!$C$22="—",ABS(LINEAS!$AP$22*DATOS!$C$67)&lt;0.00005),"*",LINEAS!$D$22&amp;" UNI G"&amp;DATOS!$C$22&amp;" "&amp;TEXT(LINEAS!$AP$22*DATOS!$C$67,DATOS!$C$68))</f>
        <v>*</v>
      </c>
      <c r="C1310" s="51" t="str">
        <f aca="false">IF(LEN($B1310)&gt;79,"MÁS DE 79 CARACTERES","")</f>
        <v/>
      </c>
      <c r="D1310" s="53" t="str">
        <f aca="false">IF(PRESIONES!$C$22="NO","",IF(OR(LINEAS!$D$22="",DATOS!$C$22="—",ABS(LINEAS!$BF$22*DATOS!$C$67)&lt;0.00005),"*",LINEAS!$D$22&amp;" UNI G"&amp;DATOS!$C$22&amp;" "&amp;TEXT(LINEAS!$BF$22*DATOS!$C$67,DATOS!$C$68)))</f>
        <v/>
      </c>
      <c r="E1310" s="51" t="str">
        <f aca="false">IF(LEN($D1310)&gt;79,"MÁS DE 79 CARACTERES","")</f>
        <v/>
      </c>
    </row>
    <row r="1311" customFormat="false" ht="15" hidden="false" customHeight="true" outlineLevel="0" collapsed="false">
      <c r="B1311" s="53" t="str">
        <f aca="false">IF(OR(LINEAS!$D$23="",ABS(-LINEAS!$AH$23*DATOS!$C$67)&lt;0.00005),"*",LINEAS!$D$23&amp;" UNI GY "&amp;TEXT(-LINEAS!$AH$23*DATOS!$C$67,DATOS!$C$68))</f>
        <v>*</v>
      </c>
      <c r="C1311" s="51" t="str">
        <f aca="false">IF(LEN($B1311)&gt;79,"MÁS DE 79 CARACTERES","")</f>
        <v/>
      </c>
      <c r="D1311" s="53" t="str">
        <f aca="false">IF(PRESIONES!$C$22="NO","",IF(OR(LINEAS!$D$23="",ABS(-LINEAS!$AX$23*DATOS!$C$67)&lt;0.00005),"*",LINEAS!$D$23&amp;" UNI GY "&amp;TEXT(-LINEAS!$AX$23*DATOS!$C$67,DATOS!$C$68)))</f>
        <v/>
      </c>
      <c r="E1311" s="51" t="str">
        <f aca="false">IF(LEN($D1311)&gt;79,"MÁS DE 79 CARACTERES","")</f>
        <v/>
      </c>
    </row>
    <row r="1312" customFormat="false" ht="15" hidden="false" customHeight="true" outlineLevel="0" collapsed="false">
      <c r="B1312" s="53" t="str">
        <f aca="false">IF(OR(LINEAS!$D$23="",DATOS!$C$22="—",ABS(LINEAS!$AP$23*DATOS!$C$67)&lt;0.00005),"*",LINEAS!$D$23&amp;" UNI G"&amp;DATOS!$C$22&amp;" "&amp;TEXT(LINEAS!$AP$23*DATOS!$C$67,DATOS!$C$68))</f>
        <v>*</v>
      </c>
      <c r="C1312" s="51" t="str">
        <f aca="false">IF(LEN($B1312)&gt;79,"MÁS DE 79 CARACTERES","")</f>
        <v/>
      </c>
      <c r="D1312" s="53" t="str">
        <f aca="false">IF(PRESIONES!$C$22="NO","",IF(OR(LINEAS!$D$23="",DATOS!$C$22="—",ABS(LINEAS!$BF$23*DATOS!$C$67)&lt;0.00005),"*",LINEAS!$D$23&amp;" UNI G"&amp;DATOS!$C$22&amp;" "&amp;TEXT(LINEAS!$BF$23*DATOS!$C$67,DATOS!$C$68)))</f>
        <v/>
      </c>
      <c r="E1312" s="51" t="str">
        <f aca="false">IF(LEN($D1312)&gt;79,"MÁS DE 79 CARACTERES","")</f>
        <v/>
      </c>
    </row>
    <row r="1313" customFormat="false" ht="15" hidden="false" customHeight="true" outlineLevel="0" collapsed="false">
      <c r="B1313" s="53" t="str">
        <f aca="false">IF(OR(LINEAS!$D$24="",ABS(-LINEAS!$AH$24*DATOS!$C$67)&lt;0.00005),"*",LINEAS!$D$24&amp;" UNI GY "&amp;TEXT(-LINEAS!$AH$24*DATOS!$C$67,DATOS!$C$68))</f>
        <v>*</v>
      </c>
      <c r="C1313" s="51" t="str">
        <f aca="false">IF(LEN($B1313)&gt;79,"MÁS DE 79 CARACTERES","")</f>
        <v/>
      </c>
      <c r="D1313" s="53" t="str">
        <f aca="false">IF(PRESIONES!$C$22="NO","",IF(OR(LINEAS!$D$24="",ABS(-LINEAS!$AX$24*DATOS!$C$67)&lt;0.00005),"*",LINEAS!$D$24&amp;" UNI GY "&amp;TEXT(-LINEAS!$AX$24*DATOS!$C$67,DATOS!$C$68)))</f>
        <v/>
      </c>
      <c r="E1313" s="51" t="str">
        <f aca="false">IF(LEN($D1313)&gt;79,"MÁS DE 79 CARACTERES","")</f>
        <v/>
      </c>
    </row>
    <row r="1314" customFormat="false" ht="15" hidden="false" customHeight="true" outlineLevel="0" collapsed="false">
      <c r="B1314" s="53" t="str">
        <f aca="false">IF(OR(LINEAS!$D$24="",DATOS!$C$22="—",ABS(LINEAS!$AP$24*DATOS!$C$67)&lt;0.00005),"*",LINEAS!$D$24&amp;" UNI G"&amp;DATOS!$C$22&amp;" "&amp;TEXT(LINEAS!$AP$24*DATOS!$C$67,DATOS!$C$68))</f>
        <v>*</v>
      </c>
      <c r="C1314" s="51" t="str">
        <f aca="false">IF(LEN($B1314)&gt;79,"MÁS DE 79 CARACTERES","")</f>
        <v/>
      </c>
      <c r="D1314" s="53" t="str">
        <f aca="false">IF(PRESIONES!$C$22="NO","",IF(OR(LINEAS!$D$24="",DATOS!$C$22="—",ABS(LINEAS!$BF$24*DATOS!$C$67)&lt;0.00005),"*",LINEAS!$D$24&amp;" UNI G"&amp;DATOS!$C$22&amp;" "&amp;TEXT(LINEAS!$BF$24*DATOS!$C$67,DATOS!$C$68)))</f>
        <v/>
      </c>
      <c r="E1314" s="51" t="str">
        <f aca="false">IF(LEN($D1314)&gt;79,"MÁS DE 79 CARACTERES","")</f>
        <v/>
      </c>
    </row>
    <row r="1315" customFormat="false" ht="15" hidden="false" customHeight="true" outlineLevel="0" collapsed="false">
      <c r="B1315" s="53" t="str">
        <f aca="false">IF(OR(LINEAS!$D$25="",ABS(-LINEAS!$AH$25*DATOS!$C$67)&lt;0.00005),"*",LINEAS!$D$25&amp;" UNI GY "&amp;TEXT(-LINEAS!$AH$25*DATOS!$C$67,DATOS!$C$68))</f>
        <v>*</v>
      </c>
      <c r="C1315" s="51" t="str">
        <f aca="false">IF(LEN($B1315)&gt;79,"MÁS DE 79 CARACTERES","")</f>
        <v/>
      </c>
      <c r="D1315" s="53" t="str">
        <f aca="false">IF(PRESIONES!$C$22="NO","",IF(OR(LINEAS!$D$25="",ABS(-LINEAS!$AX$25*DATOS!$C$67)&lt;0.00005),"*",LINEAS!$D$25&amp;" UNI GY "&amp;TEXT(-LINEAS!$AX$25*DATOS!$C$67,DATOS!$C$68)))</f>
        <v/>
      </c>
      <c r="E1315" s="51" t="str">
        <f aca="false">IF(LEN($D1315)&gt;79,"MÁS DE 79 CARACTERES","")</f>
        <v/>
      </c>
    </row>
    <row r="1316" customFormat="false" ht="15" hidden="false" customHeight="true" outlineLevel="0" collapsed="false">
      <c r="B1316" s="53" t="str">
        <f aca="false">IF(OR(LINEAS!$D$25="",DATOS!$C$22="—",ABS(LINEAS!$AP$25*DATOS!$C$67)&lt;0.00005),"*",LINEAS!$D$25&amp;" UNI G"&amp;DATOS!$C$22&amp;" "&amp;TEXT(LINEAS!$AP$25*DATOS!$C$67,DATOS!$C$68))</f>
        <v>*</v>
      </c>
      <c r="C1316" s="51" t="str">
        <f aca="false">IF(LEN($B1316)&gt;79,"MÁS DE 79 CARACTERES","")</f>
        <v/>
      </c>
      <c r="D1316" s="53" t="str">
        <f aca="false">IF(PRESIONES!$C$22="NO","",IF(OR(LINEAS!$D$25="",DATOS!$C$22="—",ABS(LINEAS!$BF$25*DATOS!$C$67)&lt;0.00005),"*",LINEAS!$D$25&amp;" UNI G"&amp;DATOS!$C$22&amp;" "&amp;TEXT(LINEAS!$BF$25*DATOS!$C$67,DATOS!$C$68)))</f>
        <v/>
      </c>
      <c r="E1316" s="51" t="str">
        <f aca="false">IF(LEN($D1316)&gt;79,"MÁS DE 79 CARACTERES","")</f>
        <v/>
      </c>
    </row>
    <row r="1317" customFormat="false" ht="15" hidden="false" customHeight="true" outlineLevel="0" collapsed="false">
      <c r="B1317" s="53" t="str">
        <f aca="false">IF(OR(LINEAS!$D$26="",ABS(-LINEAS!$AH$26*DATOS!$C$67)&lt;0.00005),"*",LINEAS!$D$26&amp;" UNI GY "&amp;TEXT(-LINEAS!$AH$26*DATOS!$C$67,DATOS!$C$68))</f>
        <v>*</v>
      </c>
      <c r="C1317" s="51" t="str">
        <f aca="false">IF(LEN($B1317)&gt;79,"MÁS DE 79 CARACTERES","")</f>
        <v/>
      </c>
      <c r="D1317" s="53" t="str">
        <f aca="false">IF(PRESIONES!$C$22="NO","",IF(OR(LINEAS!$D$26="",ABS(-LINEAS!$AX$26*DATOS!$C$67)&lt;0.00005),"*",LINEAS!$D$26&amp;" UNI GY "&amp;TEXT(-LINEAS!$AX$26*DATOS!$C$67,DATOS!$C$68)))</f>
        <v/>
      </c>
      <c r="E1317" s="51" t="str">
        <f aca="false">IF(LEN($D1317)&gt;79,"MÁS DE 79 CARACTERES","")</f>
        <v/>
      </c>
    </row>
    <row r="1318" customFormat="false" ht="15" hidden="false" customHeight="true" outlineLevel="0" collapsed="false">
      <c r="B1318" s="53" t="str">
        <f aca="false">IF(OR(LINEAS!$D$26="",DATOS!$C$22="—",ABS(LINEAS!$AP$26*DATOS!$C$67)&lt;0.00005),"*",LINEAS!$D$26&amp;" UNI G"&amp;DATOS!$C$22&amp;" "&amp;TEXT(LINEAS!$AP$26*DATOS!$C$67,DATOS!$C$68))</f>
        <v>*</v>
      </c>
      <c r="C1318" s="51" t="str">
        <f aca="false">IF(LEN($B1318)&gt;79,"MÁS DE 79 CARACTERES","")</f>
        <v/>
      </c>
      <c r="D1318" s="53" t="str">
        <f aca="false">IF(PRESIONES!$C$22="NO","",IF(OR(LINEAS!$D$26="",DATOS!$C$22="—",ABS(LINEAS!$BF$26*DATOS!$C$67)&lt;0.00005),"*",LINEAS!$D$26&amp;" UNI G"&amp;DATOS!$C$22&amp;" "&amp;TEXT(LINEAS!$BF$26*DATOS!$C$67,DATOS!$C$68)))</f>
        <v/>
      </c>
      <c r="E1318" s="51" t="str">
        <f aca="false">IF(LEN($D1318)&gt;79,"MÁS DE 79 CARACTERES","")</f>
        <v/>
      </c>
    </row>
    <row r="1319" customFormat="false" ht="15" hidden="false" customHeight="true" outlineLevel="0" collapsed="false">
      <c r="B1319" s="53" t="str">
        <f aca="false">IF(OR(LINEAS!$D$27="",ABS(-LINEAS!$AH$27*DATOS!$C$67)&lt;0.00005),"*",LINEAS!$D$27&amp;" UNI GY "&amp;TEXT(-LINEAS!$AH$27*DATOS!$C$67,DATOS!$C$68))</f>
        <v>*</v>
      </c>
      <c r="C1319" s="51" t="str">
        <f aca="false">IF(LEN($B1319)&gt;79,"MÁS DE 79 CARACTERES","")</f>
        <v/>
      </c>
      <c r="D1319" s="53" t="str">
        <f aca="false">IF(PRESIONES!$C$22="NO","",IF(OR(LINEAS!$D$27="",ABS(-LINEAS!$AX$27*DATOS!$C$67)&lt;0.00005),"*",LINEAS!$D$27&amp;" UNI GY "&amp;TEXT(-LINEAS!$AX$27*DATOS!$C$67,DATOS!$C$68)))</f>
        <v/>
      </c>
      <c r="E1319" s="51" t="str">
        <f aca="false">IF(LEN($D1319)&gt;79,"MÁS DE 79 CARACTERES","")</f>
        <v/>
      </c>
    </row>
    <row r="1320" customFormat="false" ht="15" hidden="false" customHeight="true" outlineLevel="0" collapsed="false">
      <c r="B1320" s="53" t="str">
        <f aca="false">IF(OR(LINEAS!$D$27="",DATOS!$C$22="—",ABS(LINEAS!$AP$27*DATOS!$C$67)&lt;0.00005),"*",LINEAS!$D$27&amp;" UNI G"&amp;DATOS!$C$22&amp;" "&amp;TEXT(LINEAS!$AP$27*DATOS!$C$67,DATOS!$C$68))</f>
        <v>*</v>
      </c>
      <c r="C1320" s="51" t="str">
        <f aca="false">IF(LEN($B1320)&gt;79,"MÁS DE 79 CARACTERES","")</f>
        <v/>
      </c>
      <c r="D1320" s="53" t="str">
        <f aca="false">IF(PRESIONES!$C$22="NO","",IF(OR(LINEAS!$D$27="",DATOS!$C$22="—",ABS(LINEAS!$BF$27*DATOS!$C$67)&lt;0.00005),"*",LINEAS!$D$27&amp;" UNI G"&amp;DATOS!$C$22&amp;" "&amp;TEXT(LINEAS!$BF$27*DATOS!$C$67,DATOS!$C$68)))</f>
        <v/>
      </c>
      <c r="E1320" s="51" t="str">
        <f aca="false">IF(LEN($D1320)&gt;79,"MÁS DE 79 CARACTERES","")</f>
        <v/>
      </c>
    </row>
    <row r="1321" customFormat="false" ht="15" hidden="false" customHeight="true" outlineLevel="0" collapsed="false">
      <c r="B1321" s="53" t="str">
        <f aca="false">IF(OR(LINEAS!$D$28="",ABS(-LINEAS!$AH$28*DATOS!$C$67)&lt;0.00005),"*",LINEAS!$D$28&amp;" UNI GY "&amp;TEXT(-LINEAS!$AH$28*DATOS!$C$67,DATOS!$C$68))</f>
        <v>*</v>
      </c>
      <c r="C1321" s="51" t="str">
        <f aca="false">IF(LEN($B1321)&gt;79,"MÁS DE 79 CARACTERES","")</f>
        <v/>
      </c>
      <c r="D1321" s="53" t="str">
        <f aca="false">IF(PRESIONES!$C$22="NO","",IF(OR(LINEAS!$D$28="",ABS(-LINEAS!$AX$28*DATOS!$C$67)&lt;0.00005),"*",LINEAS!$D$28&amp;" UNI GY "&amp;TEXT(-LINEAS!$AX$28*DATOS!$C$67,DATOS!$C$68)))</f>
        <v/>
      </c>
      <c r="E1321" s="51" t="str">
        <f aca="false">IF(LEN($D1321)&gt;79,"MÁS DE 79 CARACTERES","")</f>
        <v/>
      </c>
    </row>
    <row r="1322" customFormat="false" ht="15" hidden="false" customHeight="true" outlineLevel="0" collapsed="false">
      <c r="B1322" s="53" t="str">
        <f aca="false">IF(OR(LINEAS!$D$28="",DATOS!$C$22="—",ABS(LINEAS!$AP$28*DATOS!$C$67)&lt;0.00005),"*",LINEAS!$D$28&amp;" UNI G"&amp;DATOS!$C$22&amp;" "&amp;TEXT(LINEAS!$AP$28*DATOS!$C$67,DATOS!$C$68))</f>
        <v>*</v>
      </c>
      <c r="C1322" s="51" t="str">
        <f aca="false">IF(LEN($B1322)&gt;79,"MÁS DE 79 CARACTERES","")</f>
        <v/>
      </c>
      <c r="D1322" s="53" t="str">
        <f aca="false">IF(PRESIONES!$C$22="NO","",IF(OR(LINEAS!$D$28="",DATOS!$C$22="—",ABS(LINEAS!$BF$28*DATOS!$C$67)&lt;0.00005),"*",LINEAS!$D$28&amp;" UNI G"&amp;DATOS!$C$22&amp;" "&amp;TEXT(LINEAS!$BF$28*DATOS!$C$67,DATOS!$C$68)))</f>
        <v/>
      </c>
      <c r="E1322" s="51" t="str">
        <f aca="false">IF(LEN($D1322)&gt;79,"MÁS DE 79 CARACTERES","")</f>
        <v/>
      </c>
    </row>
    <row r="1323" customFormat="false" ht="15" hidden="false" customHeight="true" outlineLevel="0" collapsed="false">
      <c r="B1323" s="53" t="str">
        <f aca="false">IF(OR(LINEAS!$D$29="",ABS(-LINEAS!$AH$29*DATOS!$C$67)&lt;0.00005),"*",LINEAS!$D$29&amp;" UNI GY "&amp;TEXT(-LINEAS!$AH$29*DATOS!$C$67,DATOS!$C$68))</f>
        <v>*</v>
      </c>
      <c r="C1323" s="51" t="str">
        <f aca="false">IF(LEN($B1323)&gt;79,"MÁS DE 79 CARACTERES","")</f>
        <v/>
      </c>
      <c r="D1323" s="53" t="str">
        <f aca="false">IF(PRESIONES!$C$22="NO","",IF(OR(LINEAS!$D$29="",ABS(-LINEAS!$AX$29*DATOS!$C$67)&lt;0.00005),"*",LINEAS!$D$29&amp;" UNI GY "&amp;TEXT(-LINEAS!$AX$29*DATOS!$C$67,DATOS!$C$68)))</f>
        <v/>
      </c>
      <c r="E1323" s="51" t="str">
        <f aca="false">IF(LEN($D1323)&gt;79,"MÁS DE 79 CARACTERES","")</f>
        <v/>
      </c>
    </row>
    <row r="1324" customFormat="false" ht="15" hidden="false" customHeight="true" outlineLevel="0" collapsed="false">
      <c r="B1324" s="53" t="str">
        <f aca="false">IF(OR(LINEAS!$D$29="",DATOS!$C$22="—",ABS(LINEAS!$AP$29*DATOS!$C$67)&lt;0.00005),"*",LINEAS!$D$29&amp;" UNI G"&amp;DATOS!$C$22&amp;" "&amp;TEXT(LINEAS!$AP$29*DATOS!$C$67,DATOS!$C$68))</f>
        <v>*</v>
      </c>
      <c r="C1324" s="51" t="str">
        <f aca="false">IF(LEN($B1324)&gt;79,"MÁS DE 79 CARACTERES","")</f>
        <v/>
      </c>
      <c r="D1324" s="53" t="str">
        <f aca="false">IF(PRESIONES!$C$22="NO","",IF(OR(LINEAS!$D$29="",DATOS!$C$22="—",ABS(LINEAS!$BF$29*DATOS!$C$67)&lt;0.00005),"*",LINEAS!$D$29&amp;" UNI G"&amp;DATOS!$C$22&amp;" "&amp;TEXT(LINEAS!$BF$29*DATOS!$C$67,DATOS!$C$68)))</f>
        <v/>
      </c>
      <c r="E1324" s="51" t="str">
        <f aca="false">IF(LEN($D1324)&gt;79,"MÁS DE 79 CARACTERES","")</f>
        <v/>
      </c>
    </row>
    <row r="1325" customFormat="false" ht="15" hidden="false" customHeight="true" outlineLevel="0" collapsed="false">
      <c r="B1325" s="53" t="str">
        <f aca="false">IF(OR(LINEAS!$D$30="",ABS(-LINEAS!$AH$30*DATOS!$C$67)&lt;0.00005),"*",LINEAS!$D$30&amp;" UNI GY "&amp;TEXT(-LINEAS!$AH$30*DATOS!$C$67,DATOS!$C$68))</f>
        <v>*</v>
      </c>
      <c r="C1325" s="51" t="str">
        <f aca="false">IF(LEN($B1325)&gt;79,"MÁS DE 79 CARACTERES","")</f>
        <v/>
      </c>
      <c r="D1325" s="53" t="str">
        <f aca="false">IF(PRESIONES!$C$22="NO","",IF(OR(LINEAS!$D$30="",ABS(-LINEAS!$AX$30*DATOS!$C$67)&lt;0.00005),"*",LINEAS!$D$30&amp;" UNI GY "&amp;TEXT(-LINEAS!$AX$30*DATOS!$C$67,DATOS!$C$68)))</f>
        <v/>
      </c>
      <c r="E1325" s="51" t="str">
        <f aca="false">IF(LEN($D1325)&gt;79,"MÁS DE 79 CARACTERES","")</f>
        <v/>
      </c>
    </row>
    <row r="1326" customFormat="false" ht="15" hidden="false" customHeight="true" outlineLevel="0" collapsed="false">
      <c r="B1326" s="53" t="str">
        <f aca="false">IF(OR(LINEAS!$D$30="",DATOS!$C$22="—",ABS(LINEAS!$AP$30*DATOS!$C$67)&lt;0.00005),"*",LINEAS!$D$30&amp;" UNI G"&amp;DATOS!$C$22&amp;" "&amp;TEXT(LINEAS!$AP$30*DATOS!$C$67,DATOS!$C$68))</f>
        <v>*</v>
      </c>
      <c r="C1326" s="51" t="str">
        <f aca="false">IF(LEN($B1326)&gt;79,"MÁS DE 79 CARACTERES","")</f>
        <v/>
      </c>
      <c r="D1326" s="53" t="str">
        <f aca="false">IF(PRESIONES!$C$22="NO","",IF(OR(LINEAS!$D$30="",DATOS!$C$22="—",ABS(LINEAS!$BF$30*DATOS!$C$67)&lt;0.00005),"*",LINEAS!$D$30&amp;" UNI G"&amp;DATOS!$C$22&amp;" "&amp;TEXT(LINEAS!$BF$30*DATOS!$C$67,DATOS!$C$68)))</f>
        <v/>
      </c>
      <c r="E1326" s="51" t="str">
        <f aca="false">IF(LEN($D1326)&gt;79,"MÁS DE 79 CARACTERES","")</f>
        <v/>
      </c>
    </row>
    <row r="1327" customFormat="false" ht="15" hidden="false" customHeight="true" outlineLevel="0" collapsed="false">
      <c r="B1327" s="53" t="str">
        <f aca="false">IF(OR(LINEAS!$D$31="",ABS(-LINEAS!$AH$31*DATOS!$C$67)&lt;0.00005),"*",LINEAS!$D$31&amp;" UNI GY "&amp;TEXT(-LINEAS!$AH$31*DATOS!$C$67,DATOS!$C$68))</f>
        <v>*</v>
      </c>
      <c r="C1327" s="51" t="str">
        <f aca="false">IF(LEN($B1327)&gt;79,"MÁS DE 79 CARACTERES","")</f>
        <v/>
      </c>
      <c r="D1327" s="53" t="str">
        <f aca="false">IF(PRESIONES!$C$22="NO","",IF(OR(LINEAS!$D$31="",ABS(-LINEAS!$AX$31*DATOS!$C$67)&lt;0.00005),"*",LINEAS!$D$31&amp;" UNI GY "&amp;TEXT(-LINEAS!$AX$31*DATOS!$C$67,DATOS!$C$68)))</f>
        <v/>
      </c>
      <c r="E1327" s="51" t="str">
        <f aca="false">IF(LEN($D1327)&gt;79,"MÁS DE 79 CARACTERES","")</f>
        <v/>
      </c>
    </row>
    <row r="1328" customFormat="false" ht="15" hidden="false" customHeight="true" outlineLevel="0" collapsed="false">
      <c r="B1328" s="53" t="str">
        <f aca="false">IF(OR(LINEAS!$D$31="",DATOS!$C$22="—",ABS(LINEAS!$AP$31*DATOS!$C$67)&lt;0.00005),"*",LINEAS!$D$31&amp;" UNI G"&amp;DATOS!$C$22&amp;" "&amp;TEXT(LINEAS!$AP$31*DATOS!$C$67,DATOS!$C$68))</f>
        <v>*</v>
      </c>
      <c r="C1328" s="51" t="str">
        <f aca="false">IF(LEN($B1328)&gt;79,"MÁS DE 79 CARACTERES","")</f>
        <v/>
      </c>
      <c r="D1328" s="53" t="str">
        <f aca="false">IF(PRESIONES!$C$22="NO","",IF(OR(LINEAS!$D$31="",DATOS!$C$22="—",ABS(LINEAS!$BF$31*DATOS!$C$67)&lt;0.00005),"*",LINEAS!$D$31&amp;" UNI G"&amp;DATOS!$C$22&amp;" "&amp;TEXT(LINEAS!$BF$31*DATOS!$C$67,DATOS!$C$68)))</f>
        <v/>
      </c>
      <c r="E1328" s="51" t="str">
        <f aca="false">IF(LEN($D1328)&gt;79,"MÁS DE 79 CARACTERES","")</f>
        <v/>
      </c>
    </row>
    <row r="1329" customFormat="false" ht="15" hidden="false" customHeight="true" outlineLevel="0" collapsed="false">
      <c r="B1329" s="53" t="str">
        <f aca="false">IF(OR(LINEAS!$D$32="",ABS(-LINEAS!$AH$32*DATOS!$C$67)&lt;0.00005),"*",LINEAS!$D$32&amp;" UNI GY "&amp;TEXT(-LINEAS!$AH$32*DATOS!$C$67,DATOS!$C$68))</f>
        <v>*</v>
      </c>
      <c r="C1329" s="51" t="str">
        <f aca="false">IF(LEN($B1329)&gt;79,"MÁS DE 79 CARACTERES","")</f>
        <v/>
      </c>
      <c r="D1329" s="53" t="str">
        <f aca="false">IF(PRESIONES!$C$22="NO","",IF(OR(LINEAS!$D$32="",ABS(-LINEAS!$AX$32*DATOS!$C$67)&lt;0.00005),"*",LINEAS!$D$32&amp;" UNI GY "&amp;TEXT(-LINEAS!$AX$32*DATOS!$C$67,DATOS!$C$68)))</f>
        <v/>
      </c>
      <c r="E1329" s="51" t="str">
        <f aca="false">IF(LEN($D1329)&gt;79,"MÁS DE 79 CARACTERES","")</f>
        <v/>
      </c>
    </row>
    <row r="1330" customFormat="false" ht="15" hidden="false" customHeight="true" outlineLevel="0" collapsed="false">
      <c r="B1330" s="53" t="str">
        <f aca="false">IF(OR(LINEAS!$D$32="",DATOS!$C$22="—",ABS(LINEAS!$AP$32*DATOS!$C$67)&lt;0.00005),"*",LINEAS!$D$32&amp;" UNI G"&amp;DATOS!$C$22&amp;" "&amp;TEXT(LINEAS!$AP$32*DATOS!$C$67,DATOS!$C$68))</f>
        <v>*</v>
      </c>
      <c r="C1330" s="51" t="str">
        <f aca="false">IF(LEN($B1330)&gt;79,"MÁS DE 79 CARACTERES","")</f>
        <v/>
      </c>
      <c r="D1330" s="53" t="str">
        <f aca="false">IF(PRESIONES!$C$22="NO","",IF(OR(LINEAS!$D$32="",DATOS!$C$22="—",ABS(LINEAS!$BF$32*DATOS!$C$67)&lt;0.00005),"*",LINEAS!$D$32&amp;" UNI G"&amp;DATOS!$C$22&amp;" "&amp;TEXT(LINEAS!$BF$32*DATOS!$C$67,DATOS!$C$68)))</f>
        <v/>
      </c>
      <c r="E1330" s="51" t="str">
        <f aca="false">IF(LEN($D1330)&gt;79,"MÁS DE 79 CARACTERES","")</f>
        <v/>
      </c>
    </row>
    <row r="1331" customFormat="false" ht="15" hidden="false" customHeight="true" outlineLevel="0" collapsed="false">
      <c r="B1331" s="53" t="str">
        <f aca="false">IF(OR(LINEAS!$D$33="",ABS(-LINEAS!$AH$33*DATOS!$C$67)&lt;0.00005),"*",LINEAS!$D$33&amp;" UNI GY "&amp;TEXT(-LINEAS!$AH$33*DATOS!$C$67,DATOS!$C$68))</f>
        <v>*</v>
      </c>
      <c r="C1331" s="51" t="str">
        <f aca="false">IF(LEN($B1331)&gt;79,"MÁS DE 79 CARACTERES","")</f>
        <v/>
      </c>
      <c r="D1331" s="53" t="str">
        <f aca="false">IF(PRESIONES!$C$22="NO","",IF(OR(LINEAS!$D$33="",ABS(-LINEAS!$AX$33*DATOS!$C$67)&lt;0.00005),"*",LINEAS!$D$33&amp;" UNI GY "&amp;TEXT(-LINEAS!$AX$33*DATOS!$C$67,DATOS!$C$68)))</f>
        <v/>
      </c>
      <c r="E1331" s="51" t="str">
        <f aca="false">IF(LEN($D1331)&gt;79,"MÁS DE 79 CARACTERES","")</f>
        <v/>
      </c>
    </row>
    <row r="1332" customFormat="false" ht="15" hidden="false" customHeight="true" outlineLevel="0" collapsed="false">
      <c r="B1332" s="53" t="str">
        <f aca="false">IF(OR(LINEAS!$D$33="",DATOS!$C$22="—",ABS(LINEAS!$AP$33*DATOS!$C$67)&lt;0.00005),"*",LINEAS!$D$33&amp;" UNI G"&amp;DATOS!$C$22&amp;" "&amp;TEXT(LINEAS!$AP$33*DATOS!$C$67,DATOS!$C$68))</f>
        <v>*</v>
      </c>
      <c r="C1332" s="51" t="str">
        <f aca="false">IF(LEN($B1332)&gt;79,"MÁS DE 79 CARACTERES","")</f>
        <v/>
      </c>
      <c r="D1332" s="53" t="str">
        <f aca="false">IF(PRESIONES!$C$22="NO","",IF(OR(LINEAS!$D$33="",DATOS!$C$22="—",ABS(LINEAS!$BF$33*DATOS!$C$67)&lt;0.00005),"*",LINEAS!$D$33&amp;" UNI G"&amp;DATOS!$C$22&amp;" "&amp;TEXT(LINEAS!$BF$33*DATOS!$C$67,DATOS!$C$68)))</f>
        <v/>
      </c>
      <c r="E1332" s="51" t="str">
        <f aca="false">IF(LEN($D1332)&gt;79,"MÁS DE 79 CARACTERES","")</f>
        <v/>
      </c>
    </row>
    <row r="1333" customFormat="false" ht="15" hidden="false" customHeight="true" outlineLevel="0" collapsed="false">
      <c r="B1333" s="53" t="str">
        <f aca="false">IF(OR(LINEAS!$D$34="",ABS(-LINEAS!$AH$34*DATOS!$C$67)&lt;0.00005),"*",LINEAS!$D$34&amp;" UNI GY "&amp;TEXT(-LINEAS!$AH$34*DATOS!$C$67,DATOS!$C$68))</f>
        <v>*</v>
      </c>
      <c r="C1333" s="51" t="str">
        <f aca="false">IF(LEN($B1333)&gt;79,"MÁS DE 79 CARACTERES","")</f>
        <v/>
      </c>
      <c r="D1333" s="53" t="str">
        <f aca="false">IF(PRESIONES!$C$22="NO","",IF(OR(LINEAS!$D$34="",ABS(-LINEAS!$AX$34*DATOS!$C$67)&lt;0.00005),"*",LINEAS!$D$34&amp;" UNI GY "&amp;TEXT(-LINEAS!$AX$34*DATOS!$C$67,DATOS!$C$68)))</f>
        <v/>
      </c>
      <c r="E1333" s="51" t="str">
        <f aca="false">IF(LEN($D1333)&gt;79,"MÁS DE 79 CARACTERES","")</f>
        <v/>
      </c>
    </row>
    <row r="1334" customFormat="false" ht="15" hidden="false" customHeight="true" outlineLevel="0" collapsed="false">
      <c r="B1334" s="53" t="str">
        <f aca="false">IF(OR(LINEAS!$D$34="",DATOS!$C$22="—",ABS(LINEAS!$AP$34*DATOS!$C$67)&lt;0.00005),"*",LINEAS!$D$34&amp;" UNI G"&amp;DATOS!$C$22&amp;" "&amp;TEXT(LINEAS!$AP$34*DATOS!$C$67,DATOS!$C$68))</f>
        <v>*</v>
      </c>
      <c r="C1334" s="51" t="str">
        <f aca="false">IF(LEN($B1334)&gt;79,"MÁS DE 79 CARACTERES","")</f>
        <v/>
      </c>
      <c r="D1334" s="53" t="str">
        <f aca="false">IF(PRESIONES!$C$22="NO","",IF(OR(LINEAS!$D$34="",DATOS!$C$22="—",ABS(LINEAS!$BF$34*DATOS!$C$67)&lt;0.00005),"*",LINEAS!$D$34&amp;" UNI G"&amp;DATOS!$C$22&amp;" "&amp;TEXT(LINEAS!$BF$34*DATOS!$C$67,DATOS!$C$68)))</f>
        <v/>
      </c>
      <c r="E1334" s="51" t="str">
        <f aca="false">IF(LEN($D1334)&gt;79,"MÁS DE 79 CARACTERES","")</f>
        <v/>
      </c>
    </row>
    <row r="1335" customFormat="false" ht="15" hidden="false" customHeight="true" outlineLevel="0" collapsed="false">
      <c r="B1335" s="53" t="str">
        <f aca="false">IF(OR(LINEAS!$D$35="",ABS(-LINEAS!$AH$35*DATOS!$C$67)&lt;0.00005),"*",LINEAS!$D$35&amp;" UNI GY "&amp;TEXT(-LINEAS!$AH$35*DATOS!$C$67,DATOS!$C$68))</f>
        <v>*</v>
      </c>
      <c r="C1335" s="51" t="str">
        <f aca="false">IF(LEN($B1335)&gt;79,"MÁS DE 79 CARACTERES","")</f>
        <v/>
      </c>
      <c r="D1335" s="53" t="str">
        <f aca="false">IF(PRESIONES!$C$22="NO","",IF(OR(LINEAS!$D$35="",ABS(-LINEAS!$AX$35*DATOS!$C$67)&lt;0.00005),"*",LINEAS!$D$35&amp;" UNI GY "&amp;TEXT(-LINEAS!$AX$35*DATOS!$C$67,DATOS!$C$68)))</f>
        <v/>
      </c>
      <c r="E1335" s="51" t="str">
        <f aca="false">IF(LEN($D1335)&gt;79,"MÁS DE 79 CARACTERES","")</f>
        <v/>
      </c>
    </row>
    <row r="1336" customFormat="false" ht="15" hidden="false" customHeight="true" outlineLevel="0" collapsed="false">
      <c r="B1336" s="53" t="str">
        <f aca="false">IF(OR(LINEAS!$D$35="",DATOS!$C$22="—",ABS(LINEAS!$AP$35*DATOS!$C$67)&lt;0.00005),"*",LINEAS!$D$35&amp;" UNI G"&amp;DATOS!$C$22&amp;" "&amp;TEXT(LINEAS!$AP$35*DATOS!$C$67,DATOS!$C$68))</f>
        <v>*</v>
      </c>
      <c r="C1336" s="51" t="str">
        <f aca="false">IF(LEN($B1336)&gt;79,"MÁS DE 79 CARACTERES","")</f>
        <v/>
      </c>
      <c r="D1336" s="53" t="str">
        <f aca="false">IF(PRESIONES!$C$22="NO","",IF(OR(LINEAS!$D$35="",DATOS!$C$22="—",ABS(LINEAS!$BF$35*DATOS!$C$67)&lt;0.00005),"*",LINEAS!$D$35&amp;" UNI G"&amp;DATOS!$C$22&amp;" "&amp;TEXT(LINEAS!$BF$35*DATOS!$C$67,DATOS!$C$68)))</f>
        <v/>
      </c>
      <c r="E1336" s="51" t="str">
        <f aca="false">IF(LEN($D1336)&gt;79,"MÁS DE 79 CARACTERES","")</f>
        <v/>
      </c>
    </row>
    <row r="1337" customFormat="false" ht="15" hidden="false" customHeight="true" outlineLevel="0" collapsed="false">
      <c r="B1337" s="53" t="str">
        <f aca="false">IF(OR(LINEAS!$D$36="",ABS(-LINEAS!$AH$36*DATOS!$C$67)&lt;0.00005),"*",LINEAS!$D$36&amp;" UNI GY "&amp;TEXT(-LINEAS!$AH$36*DATOS!$C$67,DATOS!$C$68))</f>
        <v>*</v>
      </c>
      <c r="C1337" s="51" t="str">
        <f aca="false">IF(LEN($B1337)&gt;79,"MÁS DE 79 CARACTERES","")</f>
        <v/>
      </c>
      <c r="D1337" s="53" t="str">
        <f aca="false">IF(PRESIONES!$C$22="NO","",IF(OR(LINEAS!$D$36="",ABS(-LINEAS!$AX$36*DATOS!$C$67)&lt;0.00005),"*",LINEAS!$D$36&amp;" UNI GY "&amp;TEXT(-LINEAS!$AX$36*DATOS!$C$67,DATOS!$C$68)))</f>
        <v/>
      </c>
      <c r="E1337" s="51" t="str">
        <f aca="false">IF(LEN($D1337)&gt;79,"MÁS DE 79 CARACTERES","")</f>
        <v/>
      </c>
    </row>
    <row r="1338" customFormat="false" ht="15" hidden="false" customHeight="true" outlineLevel="0" collapsed="false">
      <c r="B1338" s="53" t="str">
        <f aca="false">IF(OR(LINEAS!$D$36="",DATOS!$C$22="—",ABS(LINEAS!$AP$36*DATOS!$C$67)&lt;0.00005),"*",LINEAS!$D$36&amp;" UNI G"&amp;DATOS!$C$22&amp;" "&amp;TEXT(LINEAS!$AP$36*DATOS!$C$67,DATOS!$C$68))</f>
        <v>*</v>
      </c>
      <c r="C1338" s="51" t="str">
        <f aca="false">IF(LEN($B1338)&gt;79,"MÁS DE 79 CARACTERES","")</f>
        <v/>
      </c>
      <c r="D1338" s="53" t="str">
        <f aca="false">IF(PRESIONES!$C$22="NO","",IF(OR(LINEAS!$D$36="",DATOS!$C$22="—",ABS(LINEAS!$BF$36*DATOS!$C$67)&lt;0.00005),"*",LINEAS!$D$36&amp;" UNI G"&amp;DATOS!$C$22&amp;" "&amp;TEXT(LINEAS!$BF$36*DATOS!$C$67,DATOS!$C$68)))</f>
        <v/>
      </c>
      <c r="E1338" s="51" t="str">
        <f aca="false">IF(LEN($D1338)&gt;79,"MÁS DE 79 CARACTERES","")</f>
        <v/>
      </c>
    </row>
    <row r="1339" customFormat="false" ht="15" hidden="false" customHeight="true" outlineLevel="0" collapsed="false">
      <c r="B1339" s="53" t="str">
        <f aca="false">IF(OR(LINEAS!$D$37="",ABS(-LINEAS!$AH$37*DATOS!$C$67)&lt;0.00005),"*",LINEAS!$D$37&amp;" UNI GY "&amp;TEXT(-LINEAS!$AH$37*DATOS!$C$67,DATOS!$C$68))</f>
        <v>*</v>
      </c>
      <c r="C1339" s="51" t="str">
        <f aca="false">IF(LEN($B1339)&gt;79,"MÁS DE 79 CARACTERES","")</f>
        <v/>
      </c>
      <c r="D1339" s="53" t="str">
        <f aca="false">IF(PRESIONES!$C$22="NO","",IF(OR(LINEAS!$D$37="",ABS(-LINEAS!$AX$37*DATOS!$C$67)&lt;0.00005),"*",LINEAS!$D$37&amp;" UNI GY "&amp;TEXT(-LINEAS!$AX$37*DATOS!$C$67,DATOS!$C$68)))</f>
        <v/>
      </c>
      <c r="E1339" s="51" t="str">
        <f aca="false">IF(LEN($D1339)&gt;79,"MÁS DE 79 CARACTERES","")</f>
        <v/>
      </c>
    </row>
    <row r="1340" customFormat="false" ht="15" hidden="false" customHeight="true" outlineLevel="0" collapsed="false">
      <c r="B1340" s="53" t="str">
        <f aca="false">IF(OR(LINEAS!$D$37="",DATOS!$C$22="—",ABS(LINEAS!$AP$37*DATOS!$C$67)&lt;0.00005),"*",LINEAS!$D$37&amp;" UNI G"&amp;DATOS!$C$22&amp;" "&amp;TEXT(LINEAS!$AP$37*DATOS!$C$67,DATOS!$C$68))</f>
        <v>*</v>
      </c>
      <c r="C1340" s="51" t="str">
        <f aca="false">IF(LEN($B1340)&gt;79,"MÁS DE 79 CARACTERES","")</f>
        <v/>
      </c>
      <c r="D1340" s="53" t="str">
        <f aca="false">IF(PRESIONES!$C$22="NO","",IF(OR(LINEAS!$D$37="",DATOS!$C$22="—",ABS(LINEAS!$BF$37*DATOS!$C$67)&lt;0.00005),"*",LINEAS!$D$37&amp;" UNI G"&amp;DATOS!$C$22&amp;" "&amp;TEXT(LINEAS!$BF$37*DATOS!$C$67,DATOS!$C$68)))</f>
        <v/>
      </c>
      <c r="E1340" s="51" t="str">
        <f aca="false">IF(LEN($D1340)&gt;79,"MÁS DE 79 CARACTERES","")</f>
        <v/>
      </c>
    </row>
    <row r="1341" customFormat="false" ht="15" hidden="false" customHeight="true" outlineLevel="0" collapsed="false">
      <c r="B1341" s="53" t="str">
        <f aca="false">IF(OR(LINEAS!$D$38="",ABS(-LINEAS!$AH$38*DATOS!$C$67)&lt;0.00005),"*",LINEAS!$D$38&amp;" UNI GY "&amp;TEXT(-LINEAS!$AH$38*DATOS!$C$67,DATOS!$C$68))</f>
        <v>*</v>
      </c>
      <c r="C1341" s="51" t="str">
        <f aca="false">IF(LEN($B1341)&gt;79,"MÁS DE 79 CARACTERES","")</f>
        <v/>
      </c>
      <c r="D1341" s="53" t="str">
        <f aca="false">IF(PRESIONES!$C$22="NO","",IF(OR(LINEAS!$D$38="",ABS(-LINEAS!$AX$38*DATOS!$C$67)&lt;0.00005),"*",LINEAS!$D$38&amp;" UNI GY "&amp;TEXT(-LINEAS!$AX$38*DATOS!$C$67,DATOS!$C$68)))</f>
        <v/>
      </c>
      <c r="E1341" s="51" t="str">
        <f aca="false">IF(LEN($D1341)&gt;79,"MÁS DE 79 CARACTERES","")</f>
        <v/>
      </c>
    </row>
    <row r="1342" customFormat="false" ht="15" hidden="false" customHeight="true" outlineLevel="0" collapsed="false">
      <c r="B1342" s="53" t="str">
        <f aca="false">IF(OR(LINEAS!$D$38="",DATOS!$C$22="—",ABS(LINEAS!$AP$38*DATOS!$C$67)&lt;0.00005),"*",LINEAS!$D$38&amp;" UNI G"&amp;DATOS!$C$22&amp;" "&amp;TEXT(LINEAS!$AP$38*DATOS!$C$67,DATOS!$C$68))</f>
        <v>*</v>
      </c>
      <c r="C1342" s="51" t="str">
        <f aca="false">IF(LEN($B1342)&gt;79,"MÁS DE 79 CARACTERES","")</f>
        <v/>
      </c>
      <c r="D1342" s="53" t="str">
        <f aca="false">IF(PRESIONES!$C$22="NO","",IF(OR(LINEAS!$D$38="",DATOS!$C$22="—",ABS(LINEAS!$BF$38*DATOS!$C$67)&lt;0.00005),"*",LINEAS!$D$38&amp;" UNI G"&amp;DATOS!$C$22&amp;" "&amp;TEXT(LINEAS!$BF$38*DATOS!$C$67,DATOS!$C$68)))</f>
        <v/>
      </c>
      <c r="E1342" s="51" t="str">
        <f aca="false">IF(LEN($D1342)&gt;79,"MÁS DE 79 CARACTERES","")</f>
        <v/>
      </c>
    </row>
    <row r="1343" customFormat="false" ht="15" hidden="false" customHeight="true" outlineLevel="0" collapsed="false">
      <c r="B1343" s="53" t="str">
        <f aca="false">IF(OR(LINEAS!$D$45="",LINEAS!$U$45=0,ABS(IF(OR(LINEAS!$U$45=1,LINEAS!$U$45=3),1,-1)*LINEAS!$AH$45*DATOS!$C$67)&lt;0.00005),"*",LINEAS!$D$45&amp;" UNI "&amp;IF(LINEAS!$U$45&lt;=2,"GZ","GX")&amp;" "&amp;TEXT(IF(OR(LINEAS!$U$45=1,LINEAS!$U$45=3),1,-1)*LINEAS!$AH$45*DATOS!$C$67,DATOS!$C$68))</f>
        <v>261 UNI GX -0.0516</v>
      </c>
      <c r="C1343" s="51" t="str">
        <f aca="false">IF(LEN($B1343)&gt;79,"MÁS DE 79 CARACTERES","")</f>
        <v/>
      </c>
      <c r="D1343" s="53" t="str">
        <f aca="false">IF(PRESIONES!$C$22="NO","",IF(OR(LINEAS!$D$45="",LINEAS!$U$45=0,ABS(IF(OR(LINEAS!$U$45=1,LINEAS!$U$45=3),1,-1)*LINEAS!$AH$45*DATOS!$C$67)&lt;0.00005),"*",LINEAS!$D$45&amp;" UNI "&amp;IF(LINEAS!$U$45&lt;=2,"GZ","GX")&amp;" "&amp;TEXT(IF(OR(LINEAS!$U$45=1,LINEAS!$U$45=3),1,-1)*LINEAS!$AH$45*DATOS!$C$67,DATOS!$C$68)))</f>
        <v/>
      </c>
      <c r="E1343" s="51" t="str">
        <f aca="false">IF(LEN($D1343)&gt;79,"MÁS DE 79 CARACTERES","")</f>
        <v/>
      </c>
    </row>
    <row r="1344" customFormat="false" ht="15" hidden="false" customHeight="true" outlineLevel="0" collapsed="false">
      <c r="B1344" s="53" t="str">
        <f aca="false">IF(OR(LINEAS!$D$46="",LINEAS!$U$46=0,ABS(IF(OR(LINEAS!$U$46=1,LINEAS!$U$46=3),1,-1)*LINEAS!$AH$46*DATOS!$C$67)&lt;0.00005),"*",LINEAS!$D$46&amp;" UNI "&amp;IF(LINEAS!$U$46&lt;=2,"GZ","GX")&amp;" "&amp;TEXT(IF(OR(LINEAS!$U$46=1,LINEAS!$U$46=3),1,-1)*LINEAS!$AH$46*DATOS!$C$67,DATOS!$C$68))</f>
        <v>260 UNI GX -0.0516</v>
      </c>
      <c r="C1344" s="51" t="str">
        <f aca="false">IF(LEN($B1344)&gt;79,"MÁS DE 79 CARACTERES","")</f>
        <v/>
      </c>
      <c r="D1344" s="53" t="str">
        <f aca="false">IF(PRESIONES!$C$22="NO","",IF(OR(LINEAS!$D$46="",LINEAS!$U$46=0,ABS(IF(OR(LINEAS!$U$46=1,LINEAS!$U$46=3),1,-1)*LINEAS!$AH$46*DATOS!$C$67)&lt;0.00005),"*",LINEAS!$D$46&amp;" UNI "&amp;IF(LINEAS!$U$46&lt;=2,"GZ","GX")&amp;" "&amp;TEXT(IF(OR(LINEAS!$U$46=1,LINEAS!$U$46=3),1,-1)*LINEAS!$AH$46*DATOS!$C$67,DATOS!$C$68)))</f>
        <v/>
      </c>
      <c r="E1344" s="51" t="str">
        <f aca="false">IF(LEN($D1344)&gt;79,"MÁS DE 79 CARACTERES","")</f>
        <v/>
      </c>
    </row>
    <row r="1345" customFormat="false" ht="15" hidden="false" customHeight="true" outlineLevel="0" collapsed="false">
      <c r="B1345" s="53" t="str">
        <f aca="false">IF(OR(LINEAS!$D$47="",LINEAS!$U$47=0,ABS(IF(OR(LINEAS!$U$47=1,LINEAS!$U$47=3),1,-1)*LINEAS!$AH$47*DATOS!$C$67)&lt;0.00005),"*",LINEAS!$D$47&amp;" UNI "&amp;IF(LINEAS!$U$47&lt;=2,"GZ","GX")&amp;" "&amp;TEXT(IF(OR(LINEAS!$U$47=1,LINEAS!$U$47=3),1,-1)*LINEAS!$AH$47*DATOS!$C$67,DATOS!$C$68))</f>
        <v>259 UNI GX -0.0516</v>
      </c>
      <c r="C1345" s="51" t="str">
        <f aca="false">IF(LEN($B1345)&gt;79,"MÁS DE 79 CARACTERES","")</f>
        <v/>
      </c>
      <c r="D1345" s="53" t="str">
        <f aca="false">IF(PRESIONES!$C$22="NO","",IF(OR(LINEAS!$D$47="",LINEAS!$U$47=0,ABS(IF(OR(LINEAS!$U$47=1,LINEAS!$U$47=3),1,-1)*LINEAS!$AH$47*DATOS!$C$67)&lt;0.00005),"*",LINEAS!$D$47&amp;" UNI "&amp;IF(LINEAS!$U$47&lt;=2,"GZ","GX")&amp;" "&amp;TEXT(IF(OR(LINEAS!$U$47=1,LINEAS!$U$47=3),1,-1)*LINEAS!$AH$47*DATOS!$C$67,DATOS!$C$68)))</f>
        <v/>
      </c>
      <c r="E1345" s="51" t="str">
        <f aca="false">IF(LEN($D1345)&gt;79,"MÁS DE 79 CARACTERES","")</f>
        <v/>
      </c>
    </row>
    <row r="1346" customFormat="false" ht="15" hidden="false" customHeight="true" outlineLevel="0" collapsed="false">
      <c r="B1346" s="53" t="str">
        <f aca="false">IF(OR(LINEAS!$D$48="",LINEAS!$U$48=0,ABS(IF(OR(LINEAS!$U$48=1,LINEAS!$U$48=3),1,-1)*LINEAS!$AH$48*DATOS!$C$67)&lt;0.00005),"*",LINEAS!$D$48&amp;" UNI "&amp;IF(LINEAS!$U$48&lt;=2,"GZ","GX")&amp;" "&amp;TEXT(IF(OR(LINEAS!$U$48=1,LINEAS!$U$48=3),1,-1)*LINEAS!$AH$48*DATOS!$C$67,DATOS!$C$68))</f>
        <v>270 UNI GX -0.0516</v>
      </c>
      <c r="C1346" s="51" t="str">
        <f aca="false">IF(LEN($B1346)&gt;79,"MÁS DE 79 CARACTERES","")</f>
        <v/>
      </c>
      <c r="D1346" s="53" t="str">
        <f aca="false">IF(PRESIONES!$C$22="NO","",IF(OR(LINEAS!$D$48="",LINEAS!$U$48=0,ABS(IF(OR(LINEAS!$U$48=1,LINEAS!$U$48=3),1,-1)*LINEAS!$AH$48*DATOS!$C$67)&lt;0.00005),"*",LINEAS!$D$48&amp;" UNI "&amp;IF(LINEAS!$U$48&lt;=2,"GZ","GX")&amp;" "&amp;TEXT(IF(OR(LINEAS!$U$48=1,LINEAS!$U$48=3),1,-1)*LINEAS!$AH$48*DATOS!$C$67,DATOS!$C$68)))</f>
        <v/>
      </c>
      <c r="E1346" s="51" t="str">
        <f aca="false">IF(LEN($D1346)&gt;79,"MÁS DE 79 CARACTERES","")</f>
        <v/>
      </c>
    </row>
    <row r="1347" customFormat="false" ht="15" hidden="false" customHeight="true" outlineLevel="0" collapsed="false">
      <c r="B1347" s="53" t="str">
        <f aca="false">IF(OR(LINEAS!$D$49="",LINEAS!$U$49=0,ABS(IF(OR(LINEAS!$U$49=1,LINEAS!$U$49=3),1,-1)*LINEAS!$AH$49*DATOS!$C$67)&lt;0.00005),"*",LINEAS!$D$49&amp;" UNI "&amp;IF(LINEAS!$U$49&lt;=2,"GZ","GX")&amp;" "&amp;TEXT(IF(OR(LINEAS!$U$49=1,LINEAS!$U$49=3),1,-1)*LINEAS!$AH$49*DATOS!$C$67,DATOS!$C$68))</f>
        <v>269 UNI GX -0.0516</v>
      </c>
      <c r="C1347" s="51" t="str">
        <f aca="false">IF(LEN($B1347)&gt;79,"MÁS DE 79 CARACTERES","")</f>
        <v/>
      </c>
      <c r="D1347" s="53" t="str">
        <f aca="false">IF(PRESIONES!$C$22="NO","",IF(OR(LINEAS!$D$49="",LINEAS!$U$49=0,ABS(IF(OR(LINEAS!$U$49=1,LINEAS!$U$49=3),1,-1)*LINEAS!$AH$49*DATOS!$C$67)&lt;0.00005),"*",LINEAS!$D$49&amp;" UNI "&amp;IF(LINEAS!$U$49&lt;=2,"GZ","GX")&amp;" "&amp;TEXT(IF(OR(LINEAS!$U$49=1,LINEAS!$U$49=3),1,-1)*LINEAS!$AH$49*DATOS!$C$67,DATOS!$C$68)))</f>
        <v/>
      </c>
      <c r="E1347" s="51" t="str">
        <f aca="false">IF(LEN($D1347)&gt;79,"MÁS DE 79 CARACTERES","")</f>
        <v/>
      </c>
    </row>
    <row r="1348" customFormat="false" ht="15" hidden="false" customHeight="true" outlineLevel="0" collapsed="false">
      <c r="B1348" s="53" t="str">
        <f aca="false">IF(OR(LINEAS!$D$50="",LINEAS!$U$50=0,ABS(IF(OR(LINEAS!$U$50=1,LINEAS!$U$50=3),1,-1)*LINEAS!$AH$50*DATOS!$C$67)&lt;0.00005),"*",LINEAS!$D$50&amp;" UNI "&amp;IF(LINEAS!$U$50&lt;=2,"GZ","GX")&amp;" "&amp;TEXT(IF(OR(LINEAS!$U$50=1,LINEAS!$U$50=3),1,-1)*LINEAS!$AH$50*DATOS!$C$67,DATOS!$C$68))</f>
        <v>268 UNI GX -0.0516</v>
      </c>
      <c r="C1348" s="51" t="str">
        <f aca="false">IF(LEN($B1348)&gt;79,"MÁS DE 79 CARACTERES","")</f>
        <v/>
      </c>
      <c r="D1348" s="53" t="str">
        <f aca="false">IF(PRESIONES!$C$22="NO","",IF(OR(LINEAS!$D$50="",LINEAS!$U$50=0,ABS(IF(OR(LINEAS!$U$50=1,LINEAS!$U$50=3),1,-1)*LINEAS!$AH$50*DATOS!$C$67)&lt;0.00005),"*",LINEAS!$D$50&amp;" UNI "&amp;IF(LINEAS!$U$50&lt;=2,"GZ","GX")&amp;" "&amp;TEXT(IF(OR(LINEAS!$U$50=1,LINEAS!$U$50=3),1,-1)*LINEAS!$AH$50*DATOS!$C$67,DATOS!$C$68)))</f>
        <v/>
      </c>
      <c r="E1348" s="51" t="str">
        <f aca="false">IF(LEN($D1348)&gt;79,"MÁS DE 79 CARACTERES","")</f>
        <v/>
      </c>
    </row>
    <row r="1349" customFormat="false" ht="15" hidden="false" customHeight="true" outlineLevel="0" collapsed="false">
      <c r="B1349" s="53" t="str">
        <f aca="false">IF(OR(LINEAS!$D$51="",LINEAS!$U$51=0,ABS(IF(OR(LINEAS!$U$51=1,LINEAS!$U$51=3),1,-1)*LINEAS!$AH$51*DATOS!$C$67)&lt;0.00005),"*",LINEAS!$D$51&amp;" UNI "&amp;IF(LINEAS!$U$51&lt;=2,"GZ","GX")&amp;" "&amp;TEXT(IF(OR(LINEAS!$U$51=1,LINEAS!$U$51=3),1,-1)*LINEAS!$AH$51*DATOS!$C$67,DATOS!$C$68))</f>
        <v>279 UNI GX -0.0516</v>
      </c>
      <c r="C1349" s="51" t="str">
        <f aca="false">IF(LEN($B1349)&gt;79,"MÁS DE 79 CARACTERES","")</f>
        <v/>
      </c>
      <c r="D1349" s="53" t="str">
        <f aca="false">IF(PRESIONES!$C$22="NO","",IF(OR(LINEAS!$D$51="",LINEAS!$U$51=0,ABS(IF(OR(LINEAS!$U$51=1,LINEAS!$U$51=3),1,-1)*LINEAS!$AH$51*DATOS!$C$67)&lt;0.00005),"*",LINEAS!$D$51&amp;" UNI "&amp;IF(LINEAS!$U$51&lt;=2,"GZ","GX")&amp;" "&amp;TEXT(IF(OR(LINEAS!$U$51=1,LINEAS!$U$51=3),1,-1)*LINEAS!$AH$51*DATOS!$C$67,DATOS!$C$68)))</f>
        <v/>
      </c>
      <c r="E1349" s="51" t="str">
        <f aca="false">IF(LEN($D1349)&gt;79,"MÁS DE 79 CARACTERES","")</f>
        <v/>
      </c>
    </row>
    <row r="1350" customFormat="false" ht="15" hidden="false" customHeight="true" outlineLevel="0" collapsed="false">
      <c r="B1350" s="53" t="str">
        <f aca="false">IF(OR(LINEAS!$D$52="",LINEAS!$U$52=0,ABS(IF(OR(LINEAS!$U$52=1,LINEAS!$U$52=3),1,-1)*LINEAS!$AH$52*DATOS!$C$67)&lt;0.00005),"*",LINEAS!$D$52&amp;" UNI "&amp;IF(LINEAS!$U$52&lt;=2,"GZ","GX")&amp;" "&amp;TEXT(IF(OR(LINEAS!$U$52=1,LINEAS!$U$52=3),1,-1)*LINEAS!$AH$52*DATOS!$C$67,DATOS!$C$68))</f>
        <v>278 UNI GX -0.0516</v>
      </c>
      <c r="C1350" s="51" t="str">
        <f aca="false">IF(LEN($B1350)&gt;79,"MÁS DE 79 CARACTERES","")</f>
        <v/>
      </c>
      <c r="D1350" s="53" t="str">
        <f aca="false">IF(PRESIONES!$C$22="NO","",IF(OR(LINEAS!$D$52="",LINEAS!$U$52=0,ABS(IF(OR(LINEAS!$U$52=1,LINEAS!$U$52=3),1,-1)*LINEAS!$AH$52*DATOS!$C$67)&lt;0.00005),"*",LINEAS!$D$52&amp;" UNI "&amp;IF(LINEAS!$U$52&lt;=2,"GZ","GX")&amp;" "&amp;TEXT(IF(OR(LINEAS!$U$52=1,LINEAS!$U$52=3),1,-1)*LINEAS!$AH$52*DATOS!$C$67,DATOS!$C$68)))</f>
        <v/>
      </c>
      <c r="E1350" s="51" t="str">
        <f aca="false">IF(LEN($D1350)&gt;79,"MÁS DE 79 CARACTERES","")</f>
        <v/>
      </c>
    </row>
    <row r="1351" customFormat="false" ht="15" hidden="false" customHeight="true" outlineLevel="0" collapsed="false">
      <c r="B1351" s="53" t="str">
        <f aca="false">IF(OR(LINEAS!$D$53="",LINEAS!$U$53=0,ABS(IF(OR(LINEAS!$U$53=1,LINEAS!$U$53=3),1,-1)*LINEAS!$AH$53*DATOS!$C$67)&lt;0.00005),"*",LINEAS!$D$53&amp;" UNI "&amp;IF(LINEAS!$U$53&lt;=2,"GZ","GX")&amp;" "&amp;TEXT(IF(OR(LINEAS!$U$53=1,LINEAS!$U$53=3),1,-1)*LINEAS!$AH$53*DATOS!$C$67,DATOS!$C$68))</f>
        <v>277 UNI GX -0.0516</v>
      </c>
      <c r="C1351" s="51" t="str">
        <f aca="false">IF(LEN($B1351)&gt;79,"MÁS DE 79 CARACTERES","")</f>
        <v/>
      </c>
      <c r="D1351" s="53" t="str">
        <f aca="false">IF(PRESIONES!$C$22="NO","",IF(OR(LINEAS!$D$53="",LINEAS!$U$53=0,ABS(IF(OR(LINEAS!$U$53=1,LINEAS!$U$53=3),1,-1)*LINEAS!$AH$53*DATOS!$C$67)&lt;0.00005),"*",LINEAS!$D$53&amp;" UNI "&amp;IF(LINEAS!$U$53&lt;=2,"GZ","GX")&amp;" "&amp;TEXT(IF(OR(LINEAS!$U$53=1,LINEAS!$U$53=3),1,-1)*LINEAS!$AH$53*DATOS!$C$67,DATOS!$C$68)))</f>
        <v/>
      </c>
      <c r="E1351" s="51" t="str">
        <f aca="false">IF(LEN($D1351)&gt;79,"MÁS DE 79 CARACTERES","")</f>
        <v/>
      </c>
    </row>
    <row r="1352" customFormat="false" ht="15" hidden="false" customHeight="true" outlineLevel="0" collapsed="false">
      <c r="B1352" s="53" t="str">
        <f aca="false">IF(OR(LINEAS!$D$54="",LINEAS!$U$54=0,ABS(IF(OR(LINEAS!$U$54=1,LINEAS!$U$54=3),1,-1)*LINEAS!$AH$54*DATOS!$C$67)&lt;0.00005),"*",LINEAS!$D$54&amp;" UNI "&amp;IF(LINEAS!$U$54&lt;=2,"GZ","GX")&amp;" "&amp;TEXT(IF(OR(LINEAS!$U$54=1,LINEAS!$U$54=3),1,-1)*LINEAS!$AH$54*DATOS!$C$67,DATOS!$C$68))</f>
        <v>289 UNI GX -0.0516</v>
      </c>
      <c r="C1352" s="51" t="str">
        <f aca="false">IF(LEN($B1352)&gt;79,"MÁS DE 79 CARACTERES","")</f>
        <v/>
      </c>
      <c r="D1352" s="53" t="str">
        <f aca="false">IF(PRESIONES!$C$22="NO","",IF(OR(LINEAS!$D$54="",LINEAS!$U$54=0,ABS(IF(OR(LINEAS!$U$54=1,LINEAS!$U$54=3),1,-1)*LINEAS!$AH$54*DATOS!$C$67)&lt;0.00005),"*",LINEAS!$D$54&amp;" UNI "&amp;IF(LINEAS!$U$54&lt;=2,"GZ","GX")&amp;" "&amp;TEXT(IF(OR(LINEAS!$U$54=1,LINEAS!$U$54=3),1,-1)*LINEAS!$AH$54*DATOS!$C$67,DATOS!$C$68)))</f>
        <v/>
      </c>
      <c r="E1352" s="51" t="str">
        <f aca="false">IF(LEN($D1352)&gt;79,"MÁS DE 79 CARACTERES","")</f>
        <v/>
      </c>
    </row>
    <row r="1353" customFormat="false" ht="15" hidden="false" customHeight="true" outlineLevel="0" collapsed="false">
      <c r="B1353" s="53" t="str">
        <f aca="false">IF(OR(LINEAS!$D$55="",LINEAS!$U$55=0,ABS(IF(OR(LINEAS!$U$55=1,LINEAS!$U$55=3),1,-1)*LINEAS!$AH$55*DATOS!$C$67)&lt;0.00005),"*",LINEAS!$D$55&amp;" UNI "&amp;IF(LINEAS!$U$55&lt;=2,"GZ","GX")&amp;" "&amp;TEXT(IF(OR(LINEAS!$U$55=1,LINEAS!$U$55=3),1,-1)*LINEAS!$AH$55*DATOS!$C$67,DATOS!$C$68))</f>
        <v>288 UNI GX -0.0516</v>
      </c>
      <c r="C1353" s="51" t="str">
        <f aca="false">IF(LEN($B1353)&gt;79,"MÁS DE 79 CARACTERES","")</f>
        <v/>
      </c>
      <c r="D1353" s="53" t="str">
        <f aca="false">IF(PRESIONES!$C$22="NO","",IF(OR(LINEAS!$D$55="",LINEAS!$U$55=0,ABS(IF(OR(LINEAS!$U$55=1,LINEAS!$U$55=3),1,-1)*LINEAS!$AH$55*DATOS!$C$67)&lt;0.00005),"*",LINEAS!$D$55&amp;" UNI "&amp;IF(LINEAS!$U$55&lt;=2,"GZ","GX")&amp;" "&amp;TEXT(IF(OR(LINEAS!$U$55=1,LINEAS!$U$55=3),1,-1)*LINEAS!$AH$55*DATOS!$C$67,DATOS!$C$68)))</f>
        <v/>
      </c>
      <c r="E1353" s="51" t="str">
        <f aca="false">IF(LEN($D1353)&gt;79,"MÁS DE 79 CARACTERES","")</f>
        <v/>
      </c>
    </row>
    <row r="1354" customFormat="false" ht="15" hidden="false" customHeight="true" outlineLevel="0" collapsed="false">
      <c r="B1354" s="53" t="str">
        <f aca="false">IF(OR(LINEAS!$D$56="",LINEAS!$U$56=0,ABS(IF(OR(LINEAS!$U$56=1,LINEAS!$U$56=3),1,-1)*LINEAS!$AH$56*DATOS!$C$67)&lt;0.00005),"*",LINEAS!$D$56&amp;" UNI "&amp;IF(LINEAS!$U$56&lt;=2,"GZ","GX")&amp;" "&amp;TEXT(IF(OR(LINEAS!$U$56=1,LINEAS!$U$56=3),1,-1)*LINEAS!$AH$56*DATOS!$C$67,DATOS!$C$68))</f>
        <v>287 UNI GX -0.0516</v>
      </c>
      <c r="C1354" s="51" t="str">
        <f aca="false">IF(LEN($B1354)&gt;79,"MÁS DE 79 CARACTERES","")</f>
        <v/>
      </c>
      <c r="D1354" s="53" t="str">
        <f aca="false">IF(PRESIONES!$C$22="NO","",IF(OR(LINEAS!$D$56="",LINEAS!$U$56=0,ABS(IF(OR(LINEAS!$U$56=1,LINEAS!$U$56=3),1,-1)*LINEAS!$AH$56*DATOS!$C$67)&lt;0.00005),"*",LINEAS!$D$56&amp;" UNI "&amp;IF(LINEAS!$U$56&lt;=2,"GZ","GX")&amp;" "&amp;TEXT(IF(OR(LINEAS!$U$56=1,LINEAS!$U$56=3),1,-1)*LINEAS!$AH$56*DATOS!$C$67,DATOS!$C$68)))</f>
        <v/>
      </c>
      <c r="E1354" s="51" t="str">
        <f aca="false">IF(LEN($D1354)&gt;79,"MÁS DE 79 CARACTERES","")</f>
        <v/>
      </c>
    </row>
    <row r="1355" customFormat="false" ht="15" hidden="false" customHeight="true" outlineLevel="0" collapsed="false">
      <c r="B1355" s="53" t="str">
        <f aca="false">IF(OR(LINEAS!$D$57="",LINEAS!$U$57=0,ABS(IF(OR(LINEAS!$U$57=1,LINEAS!$U$57=3),1,-1)*LINEAS!$AH$57*DATOS!$C$67)&lt;0.00005),"*",LINEAS!$D$57&amp;" UNI "&amp;IF(LINEAS!$U$57&lt;=2,"GZ","GX")&amp;" "&amp;TEXT(IF(OR(LINEAS!$U$57=1,LINEAS!$U$57=3),1,-1)*LINEAS!$AH$57*DATOS!$C$67,DATOS!$C$68))</f>
        <v>297 UNI GX -0.0516</v>
      </c>
      <c r="C1355" s="51" t="str">
        <f aca="false">IF(LEN($B1355)&gt;79,"MÁS DE 79 CARACTERES","")</f>
        <v/>
      </c>
      <c r="D1355" s="53" t="str">
        <f aca="false">IF(PRESIONES!$C$22="NO","",IF(OR(LINEAS!$D$57="",LINEAS!$U$57=0,ABS(IF(OR(LINEAS!$U$57=1,LINEAS!$U$57=3),1,-1)*LINEAS!$AH$57*DATOS!$C$67)&lt;0.00005),"*",LINEAS!$D$57&amp;" UNI "&amp;IF(LINEAS!$U$57&lt;=2,"GZ","GX")&amp;" "&amp;TEXT(IF(OR(LINEAS!$U$57=1,LINEAS!$U$57=3),1,-1)*LINEAS!$AH$57*DATOS!$C$67,DATOS!$C$68)))</f>
        <v/>
      </c>
      <c r="E1355" s="51" t="str">
        <f aca="false">IF(LEN($D1355)&gt;79,"MÁS DE 79 CARACTERES","")</f>
        <v/>
      </c>
    </row>
    <row r="1356" customFormat="false" ht="15" hidden="false" customHeight="true" outlineLevel="0" collapsed="false">
      <c r="B1356" s="53" t="str">
        <f aca="false">IF(OR(LINEAS!$D$58="",LINEAS!$U$58=0,ABS(IF(OR(LINEAS!$U$58=1,LINEAS!$U$58=3),1,-1)*LINEAS!$AH$58*DATOS!$C$67)&lt;0.00005),"*",LINEAS!$D$58&amp;" UNI "&amp;IF(LINEAS!$U$58&lt;=2,"GZ","GX")&amp;" "&amp;TEXT(IF(OR(LINEAS!$U$58=1,LINEAS!$U$58=3),1,-1)*LINEAS!$AH$58*DATOS!$C$67,DATOS!$C$68))</f>
        <v>296 UNI GX -0.0516</v>
      </c>
      <c r="C1356" s="51" t="str">
        <f aca="false">IF(LEN($B1356)&gt;79,"MÁS DE 79 CARACTERES","")</f>
        <v/>
      </c>
      <c r="D1356" s="53" t="str">
        <f aca="false">IF(PRESIONES!$C$22="NO","",IF(OR(LINEAS!$D$58="",LINEAS!$U$58=0,ABS(IF(OR(LINEAS!$U$58=1,LINEAS!$U$58=3),1,-1)*LINEAS!$AH$58*DATOS!$C$67)&lt;0.00005),"*",LINEAS!$D$58&amp;" UNI "&amp;IF(LINEAS!$U$58&lt;=2,"GZ","GX")&amp;" "&amp;TEXT(IF(OR(LINEAS!$U$58=1,LINEAS!$U$58=3),1,-1)*LINEAS!$AH$58*DATOS!$C$67,DATOS!$C$68)))</f>
        <v/>
      </c>
      <c r="E1356" s="51" t="str">
        <f aca="false">IF(LEN($D1356)&gt;79,"MÁS DE 79 CARACTERES","")</f>
        <v/>
      </c>
    </row>
    <row r="1357" customFormat="false" ht="15" hidden="false" customHeight="true" outlineLevel="0" collapsed="false">
      <c r="B1357" s="53" t="str">
        <f aca="false">IF(OR(LINEAS!$D$59="",LINEAS!$U$59=0,ABS(IF(OR(LINEAS!$U$59=1,LINEAS!$U$59=3),1,-1)*LINEAS!$AH$59*DATOS!$C$67)&lt;0.00005),"*",LINEAS!$D$59&amp;" UNI "&amp;IF(LINEAS!$U$59&lt;=2,"GZ","GX")&amp;" "&amp;TEXT(IF(OR(LINEAS!$U$59=1,LINEAS!$U$59=3),1,-1)*LINEAS!$AH$59*DATOS!$C$67,DATOS!$C$68))</f>
        <v>295 UNI GX -0.0516</v>
      </c>
      <c r="C1357" s="51" t="str">
        <f aca="false">IF(LEN($B1357)&gt;79,"MÁS DE 79 CARACTERES","")</f>
        <v/>
      </c>
      <c r="D1357" s="53" t="str">
        <f aca="false">IF(PRESIONES!$C$22="NO","",IF(OR(LINEAS!$D$59="",LINEAS!$U$59=0,ABS(IF(OR(LINEAS!$U$59=1,LINEAS!$U$59=3),1,-1)*LINEAS!$AH$59*DATOS!$C$67)&lt;0.00005),"*",LINEAS!$D$59&amp;" UNI "&amp;IF(LINEAS!$U$59&lt;=2,"GZ","GX")&amp;" "&amp;TEXT(IF(OR(LINEAS!$U$59=1,LINEAS!$U$59=3),1,-1)*LINEAS!$AH$59*DATOS!$C$67,DATOS!$C$68)))</f>
        <v/>
      </c>
      <c r="E1357" s="51" t="str">
        <f aca="false">IF(LEN($D1357)&gt;79,"MÁS DE 79 CARACTERES","")</f>
        <v/>
      </c>
    </row>
    <row r="1358" customFormat="false" ht="15" hidden="false" customHeight="true" outlineLevel="0" collapsed="false">
      <c r="B1358" s="53" t="str">
        <f aca="false">IF(OR(LINEAS!$D$60="",LINEAS!$U$60=0,ABS(IF(OR(LINEAS!$U$60=1,LINEAS!$U$60=3),1,-1)*LINEAS!$AH$60*DATOS!$C$67)&lt;0.00005),"*",LINEAS!$D$60&amp;" UNI "&amp;IF(LINEAS!$U$60&lt;=2,"GZ","GX")&amp;" "&amp;TEXT(IF(OR(LINEAS!$U$60=1,LINEAS!$U$60=3),1,-1)*LINEAS!$AH$60*DATOS!$C$67,DATOS!$C$68))</f>
        <v>305 UNI GX -0.0516</v>
      </c>
      <c r="C1358" s="51" t="str">
        <f aca="false">IF(LEN($B1358)&gt;79,"MÁS DE 79 CARACTERES","")</f>
        <v/>
      </c>
      <c r="D1358" s="53" t="str">
        <f aca="false">IF(PRESIONES!$C$22="NO","",IF(OR(LINEAS!$D$60="",LINEAS!$U$60=0,ABS(IF(OR(LINEAS!$U$60=1,LINEAS!$U$60=3),1,-1)*LINEAS!$AH$60*DATOS!$C$67)&lt;0.00005),"*",LINEAS!$D$60&amp;" UNI "&amp;IF(LINEAS!$U$60&lt;=2,"GZ","GX")&amp;" "&amp;TEXT(IF(OR(LINEAS!$U$60=1,LINEAS!$U$60=3),1,-1)*LINEAS!$AH$60*DATOS!$C$67,DATOS!$C$68)))</f>
        <v/>
      </c>
      <c r="E1358" s="51" t="str">
        <f aca="false">IF(LEN($D1358)&gt;79,"MÁS DE 79 CARACTERES","")</f>
        <v/>
      </c>
    </row>
    <row r="1359" customFormat="false" ht="15" hidden="false" customHeight="true" outlineLevel="0" collapsed="false">
      <c r="B1359" s="53" t="str">
        <f aca="false">IF(OR(LINEAS!$D$61="",LINEAS!$U$61=0,ABS(IF(OR(LINEAS!$U$61=1,LINEAS!$U$61=3),1,-1)*LINEAS!$AH$61*DATOS!$C$67)&lt;0.00005),"*",LINEAS!$D$61&amp;" UNI "&amp;IF(LINEAS!$U$61&lt;=2,"GZ","GX")&amp;" "&amp;TEXT(IF(OR(LINEAS!$U$61=1,LINEAS!$U$61=3),1,-1)*LINEAS!$AH$61*DATOS!$C$67,DATOS!$C$68))</f>
        <v>304 UNI GX -0.0516</v>
      </c>
      <c r="C1359" s="51" t="str">
        <f aca="false">IF(LEN($B1359)&gt;79,"MÁS DE 79 CARACTERES","")</f>
        <v/>
      </c>
      <c r="D1359" s="53" t="str">
        <f aca="false">IF(PRESIONES!$C$22="NO","",IF(OR(LINEAS!$D$61="",LINEAS!$U$61=0,ABS(IF(OR(LINEAS!$U$61=1,LINEAS!$U$61=3),1,-1)*LINEAS!$AH$61*DATOS!$C$67)&lt;0.00005),"*",LINEAS!$D$61&amp;" UNI "&amp;IF(LINEAS!$U$61&lt;=2,"GZ","GX")&amp;" "&amp;TEXT(IF(OR(LINEAS!$U$61=1,LINEAS!$U$61=3),1,-1)*LINEAS!$AH$61*DATOS!$C$67,DATOS!$C$68)))</f>
        <v/>
      </c>
      <c r="E1359" s="51" t="str">
        <f aca="false">IF(LEN($D1359)&gt;79,"MÁS DE 79 CARACTERES","")</f>
        <v/>
      </c>
    </row>
    <row r="1360" customFormat="false" ht="15" hidden="false" customHeight="true" outlineLevel="0" collapsed="false">
      <c r="B1360" s="53" t="str">
        <f aca="false">IF(OR(LINEAS!$D$62="",LINEAS!$U$62=0,ABS(IF(OR(LINEAS!$U$62=1,LINEAS!$U$62=3),1,-1)*LINEAS!$AH$62*DATOS!$C$67)&lt;0.00005),"*",LINEAS!$D$62&amp;" UNI "&amp;IF(LINEAS!$U$62&lt;=2,"GZ","GX")&amp;" "&amp;TEXT(IF(OR(LINEAS!$U$62=1,LINEAS!$U$62=3),1,-1)*LINEAS!$AH$62*DATOS!$C$67,DATOS!$C$68))</f>
        <v>303 UNI GX -0.0516</v>
      </c>
      <c r="C1360" s="51" t="str">
        <f aca="false">IF(LEN($B1360)&gt;79,"MÁS DE 79 CARACTERES","")</f>
        <v/>
      </c>
      <c r="D1360" s="53" t="str">
        <f aca="false">IF(PRESIONES!$C$22="NO","",IF(OR(LINEAS!$D$62="",LINEAS!$U$62=0,ABS(IF(OR(LINEAS!$U$62=1,LINEAS!$U$62=3),1,-1)*LINEAS!$AH$62*DATOS!$C$67)&lt;0.00005),"*",LINEAS!$D$62&amp;" UNI "&amp;IF(LINEAS!$U$62&lt;=2,"GZ","GX")&amp;" "&amp;TEXT(IF(OR(LINEAS!$U$62=1,LINEAS!$U$62=3),1,-1)*LINEAS!$AH$62*DATOS!$C$67,DATOS!$C$68)))</f>
        <v/>
      </c>
      <c r="E1360" s="51" t="str">
        <f aca="false">IF(LEN($D1360)&gt;79,"MÁS DE 79 CARACTERES","")</f>
        <v/>
      </c>
    </row>
    <row r="1361" customFormat="false" ht="15" hidden="false" customHeight="true" outlineLevel="0" collapsed="false">
      <c r="B1361" s="53" t="str">
        <f aca="false">IF(OR(LINEAS!$D$63="",LINEAS!$U$63=0,ABS(IF(OR(LINEAS!$U$63=1,LINEAS!$U$63=3),1,-1)*LINEAS!$AH$63*DATOS!$C$67)&lt;0.00005),"*",LINEAS!$D$63&amp;" UNI "&amp;IF(LINEAS!$U$63&lt;=2,"GZ","GX")&amp;" "&amp;TEXT(IF(OR(LINEAS!$U$63=1,LINEAS!$U$63=3),1,-1)*LINEAS!$AH$63*DATOS!$C$67,DATOS!$C$68))</f>
        <v>314 UNI GX -0.0516</v>
      </c>
      <c r="C1361" s="51" t="str">
        <f aca="false">IF(LEN($B1361)&gt;79,"MÁS DE 79 CARACTERES","")</f>
        <v/>
      </c>
      <c r="D1361" s="53" t="str">
        <f aca="false">IF(PRESIONES!$C$22="NO","",IF(OR(LINEAS!$D$63="",LINEAS!$U$63=0,ABS(IF(OR(LINEAS!$U$63=1,LINEAS!$U$63=3),1,-1)*LINEAS!$AH$63*DATOS!$C$67)&lt;0.00005),"*",LINEAS!$D$63&amp;" UNI "&amp;IF(LINEAS!$U$63&lt;=2,"GZ","GX")&amp;" "&amp;TEXT(IF(OR(LINEAS!$U$63=1,LINEAS!$U$63=3),1,-1)*LINEAS!$AH$63*DATOS!$C$67,DATOS!$C$68)))</f>
        <v/>
      </c>
      <c r="E1361" s="51" t="str">
        <f aca="false">IF(LEN($D1361)&gt;79,"MÁS DE 79 CARACTERES","")</f>
        <v/>
      </c>
    </row>
    <row r="1362" customFormat="false" ht="15" hidden="false" customHeight="true" outlineLevel="0" collapsed="false">
      <c r="B1362" s="53" t="str">
        <f aca="false">IF(OR(LINEAS!$D$64="",LINEAS!$U$64=0,ABS(IF(OR(LINEAS!$U$64=1,LINEAS!$U$64=3),1,-1)*LINEAS!$AH$64*DATOS!$C$67)&lt;0.00005),"*",LINEAS!$D$64&amp;" UNI "&amp;IF(LINEAS!$U$64&lt;=2,"GZ","GX")&amp;" "&amp;TEXT(IF(OR(LINEAS!$U$64=1,LINEAS!$U$64=3),1,-1)*LINEAS!$AH$64*DATOS!$C$67,DATOS!$C$68))</f>
        <v>313 UNI GX -0.0516</v>
      </c>
      <c r="C1362" s="51" t="str">
        <f aca="false">IF(LEN($B1362)&gt;79,"MÁS DE 79 CARACTERES","")</f>
        <v/>
      </c>
      <c r="D1362" s="53" t="str">
        <f aca="false">IF(PRESIONES!$C$22="NO","",IF(OR(LINEAS!$D$64="",LINEAS!$U$64=0,ABS(IF(OR(LINEAS!$U$64=1,LINEAS!$U$64=3),1,-1)*LINEAS!$AH$64*DATOS!$C$67)&lt;0.00005),"*",LINEAS!$D$64&amp;" UNI "&amp;IF(LINEAS!$U$64&lt;=2,"GZ","GX")&amp;" "&amp;TEXT(IF(OR(LINEAS!$U$64=1,LINEAS!$U$64=3),1,-1)*LINEAS!$AH$64*DATOS!$C$67,DATOS!$C$68)))</f>
        <v/>
      </c>
      <c r="E1362" s="51" t="str">
        <f aca="false">IF(LEN($D1362)&gt;79,"MÁS DE 79 CARACTERES","")</f>
        <v/>
      </c>
    </row>
    <row r="1363" customFormat="false" ht="15" hidden="false" customHeight="true" outlineLevel="0" collapsed="false">
      <c r="B1363" s="53" t="str">
        <f aca="false">IF(OR(LINEAS!$D$65="",LINEAS!$U$65=0,ABS(IF(OR(LINEAS!$U$65=1,LINEAS!$U$65=3),1,-1)*LINEAS!$AH$65*DATOS!$C$67)&lt;0.00005),"*",LINEAS!$D$65&amp;" UNI "&amp;IF(LINEAS!$U$65&lt;=2,"GZ","GX")&amp;" "&amp;TEXT(IF(OR(LINEAS!$U$65=1,LINEAS!$U$65=3),1,-1)*LINEAS!$AH$65*DATOS!$C$67,DATOS!$C$68))</f>
        <v>312 UNI GX -0.0516</v>
      </c>
      <c r="C1363" s="51" t="str">
        <f aca="false">IF(LEN($B1363)&gt;79,"MÁS DE 79 CARACTERES","")</f>
        <v/>
      </c>
      <c r="D1363" s="53" t="str">
        <f aca="false">IF(PRESIONES!$C$22="NO","",IF(OR(LINEAS!$D$65="",LINEAS!$U$65=0,ABS(IF(OR(LINEAS!$U$65=1,LINEAS!$U$65=3),1,-1)*LINEAS!$AH$65*DATOS!$C$67)&lt;0.00005),"*",LINEAS!$D$65&amp;" UNI "&amp;IF(LINEAS!$U$65&lt;=2,"GZ","GX")&amp;" "&amp;TEXT(IF(OR(LINEAS!$U$65=1,LINEAS!$U$65=3),1,-1)*LINEAS!$AH$65*DATOS!$C$67,DATOS!$C$68)))</f>
        <v/>
      </c>
      <c r="E1363" s="51" t="str">
        <f aca="false">IF(LEN($D1363)&gt;79,"MÁS DE 79 CARACTERES","")</f>
        <v/>
      </c>
    </row>
    <row r="1364" customFormat="false" ht="15" hidden="false" customHeight="true" outlineLevel="0" collapsed="false">
      <c r="B1364" s="53" t="str">
        <f aca="false">IF(OR(LINEAS!$D$66="",LINEAS!$U$66=0,ABS(IF(OR(LINEAS!$U$66=1,LINEAS!$U$66=3),1,-1)*LINEAS!$AH$66*DATOS!$C$67)&lt;0.00005),"*",LINEAS!$D$66&amp;" UNI "&amp;IF(LINEAS!$U$66&lt;=2,"GZ","GX")&amp;" "&amp;TEXT(IF(OR(LINEAS!$U$66=1,LINEAS!$U$66=3),1,-1)*LINEAS!$AH$66*DATOS!$C$67,DATOS!$C$68))</f>
        <v>317 UNI GX -0.0441</v>
      </c>
      <c r="C1364" s="51" t="str">
        <f aca="false">IF(LEN($B1364)&gt;79,"MÁS DE 79 CARACTERES","")</f>
        <v/>
      </c>
      <c r="D1364" s="53" t="str">
        <f aca="false">IF(PRESIONES!$C$22="NO","",IF(OR(LINEAS!$D$66="",LINEAS!$U$66=0,ABS(IF(OR(LINEAS!$U$66=1,LINEAS!$U$66=3),1,-1)*LINEAS!$AH$66*DATOS!$C$67)&lt;0.00005),"*",LINEAS!$D$66&amp;" UNI "&amp;IF(LINEAS!$U$66&lt;=2,"GZ","GX")&amp;" "&amp;TEXT(IF(OR(LINEAS!$U$66=1,LINEAS!$U$66=3),1,-1)*LINEAS!$AH$66*DATOS!$C$67,DATOS!$C$68)))</f>
        <v/>
      </c>
      <c r="E1364" s="51" t="str">
        <f aca="false">IF(LEN($D1364)&gt;79,"MÁS DE 79 CARACTERES","")</f>
        <v/>
      </c>
    </row>
    <row r="1365" customFormat="false" ht="15" hidden="false" customHeight="true" outlineLevel="0" collapsed="false">
      <c r="B1365" s="53" t="str">
        <f aca="false">IF(OR(LINEAS!$D$67="",LINEAS!$U$67=0,ABS(IF(OR(LINEAS!$U$67=1,LINEAS!$U$67=3),1,-1)*LINEAS!$AH$67*DATOS!$C$67)&lt;0.00005),"*",LINEAS!$D$67&amp;" UNI "&amp;IF(LINEAS!$U$67&lt;=2,"GZ","GX")&amp;" "&amp;TEXT(IF(OR(LINEAS!$U$67=1,LINEAS!$U$67=3),1,-1)*LINEAS!$AH$67*DATOS!$C$67,DATOS!$C$68))</f>
        <v>316 UNI GX -0.0368</v>
      </c>
      <c r="C1365" s="51" t="str">
        <f aca="false">IF(LEN($B1365)&gt;79,"MÁS DE 79 CARACTERES","")</f>
        <v/>
      </c>
      <c r="D1365" s="53" t="str">
        <f aca="false">IF(PRESIONES!$C$22="NO","",IF(OR(LINEAS!$D$67="",LINEAS!$U$67=0,ABS(IF(OR(LINEAS!$U$67=1,LINEAS!$U$67=3),1,-1)*LINEAS!$AH$67*DATOS!$C$67)&lt;0.00005),"*",LINEAS!$D$67&amp;" UNI "&amp;IF(LINEAS!$U$67&lt;=2,"GZ","GX")&amp;" "&amp;TEXT(IF(OR(LINEAS!$U$67=1,LINEAS!$U$67=3),1,-1)*LINEAS!$AH$67*DATOS!$C$67,DATOS!$C$68)))</f>
        <v/>
      </c>
      <c r="E1365" s="51" t="str">
        <f aca="false">IF(LEN($D1365)&gt;79,"MÁS DE 79 CARACTERES","")</f>
        <v/>
      </c>
    </row>
    <row r="1366" customFormat="false" ht="15" hidden="false" customHeight="true" outlineLevel="0" collapsed="false">
      <c r="B1366" s="53" t="str">
        <f aca="false">IF(OR(LINEAS!$D$68="",LINEAS!$U$68=0,ABS(IF(OR(LINEAS!$U$68=1,LINEAS!$U$68=3),1,-1)*LINEAS!$AH$68*DATOS!$C$67)&lt;0.00005),"*",LINEAS!$D$68&amp;" UNI "&amp;IF(LINEAS!$U$68&lt;=2,"GZ","GX")&amp;" "&amp;TEXT(IF(OR(LINEAS!$U$68=1,LINEAS!$U$68=3),1,-1)*LINEAS!$AH$68*DATOS!$C$67,DATOS!$C$68))</f>
        <v>315 UNI GX -0.0318</v>
      </c>
      <c r="C1366" s="51" t="str">
        <f aca="false">IF(LEN($B1366)&gt;79,"MÁS DE 79 CARACTERES","")</f>
        <v/>
      </c>
      <c r="D1366" s="53" t="str">
        <f aca="false">IF(PRESIONES!$C$22="NO","",IF(OR(LINEAS!$D$68="",LINEAS!$U$68=0,ABS(IF(OR(LINEAS!$U$68=1,LINEAS!$U$68=3),1,-1)*LINEAS!$AH$68*DATOS!$C$67)&lt;0.00005),"*",LINEAS!$D$68&amp;" UNI "&amp;IF(LINEAS!$U$68&lt;=2,"GZ","GX")&amp;" "&amp;TEXT(IF(OR(LINEAS!$U$68=1,LINEAS!$U$68=3),1,-1)*LINEAS!$AH$68*DATOS!$C$67,DATOS!$C$68)))</f>
        <v/>
      </c>
      <c r="E1366" s="51" t="str">
        <f aca="false">IF(LEN($D1366)&gt;79,"MÁS DE 79 CARACTERES","")</f>
        <v/>
      </c>
    </row>
    <row r="1367" customFormat="false" ht="15" hidden="false" customHeight="true" outlineLevel="0" collapsed="false">
      <c r="B1367" s="53" t="str">
        <f aca="false">IF(OR(LINEAS!$D$69="",LINEAS!$U$69=0,ABS(IF(OR(LINEAS!$U$69=1,LINEAS!$U$69=3),1,-1)*LINEAS!$AH$69*DATOS!$C$67)&lt;0.00005),"*",LINEAS!$D$69&amp;" UNI "&amp;IF(LINEAS!$U$69&lt;=2,"GZ","GX")&amp;" "&amp;TEXT(IF(OR(LINEAS!$U$69=1,LINEAS!$U$69=3),1,-1)*LINEAS!$AH$69*DATOS!$C$67,DATOS!$C$68))</f>
        <v>265 UNI GX 0.0516</v>
      </c>
      <c r="C1367" s="51" t="str">
        <f aca="false">IF(LEN($B1367)&gt;79,"MÁS DE 79 CARACTERES","")</f>
        <v/>
      </c>
      <c r="D1367" s="53" t="str">
        <f aca="false">IF(PRESIONES!$C$22="NO","",IF(OR(LINEAS!$D$69="",LINEAS!$U$69=0,ABS(IF(OR(LINEAS!$U$69=1,LINEAS!$U$69=3),1,-1)*LINEAS!$AH$69*DATOS!$C$67)&lt;0.00005),"*",LINEAS!$D$69&amp;" UNI "&amp;IF(LINEAS!$U$69&lt;=2,"GZ","GX")&amp;" "&amp;TEXT(IF(OR(LINEAS!$U$69=1,LINEAS!$U$69=3),1,-1)*LINEAS!$AH$69*DATOS!$C$67,DATOS!$C$68)))</f>
        <v/>
      </c>
      <c r="E1367" s="51" t="str">
        <f aca="false">IF(LEN($D1367)&gt;79,"MÁS DE 79 CARACTERES","")</f>
        <v/>
      </c>
    </row>
    <row r="1368" customFormat="false" ht="15" hidden="false" customHeight="true" outlineLevel="0" collapsed="false">
      <c r="B1368" s="53" t="str">
        <f aca="false">IF(OR(LINEAS!$D$70="",LINEAS!$U$70=0,ABS(IF(OR(LINEAS!$U$70=1,LINEAS!$U$70=3),1,-1)*LINEAS!$AH$70*DATOS!$C$67)&lt;0.00005),"*",LINEAS!$D$70&amp;" UNI "&amp;IF(LINEAS!$U$70&lt;=2,"GZ","GX")&amp;" "&amp;TEXT(IF(OR(LINEAS!$U$70=1,LINEAS!$U$70=3),1,-1)*LINEAS!$AH$70*DATOS!$C$67,DATOS!$C$68))</f>
        <v>266 UNI GX 0.0516</v>
      </c>
      <c r="C1368" s="51" t="str">
        <f aca="false">IF(LEN($B1368)&gt;79,"MÁS DE 79 CARACTERES","")</f>
        <v/>
      </c>
      <c r="D1368" s="53" t="str">
        <f aca="false">IF(PRESIONES!$C$22="NO","",IF(OR(LINEAS!$D$70="",LINEAS!$U$70=0,ABS(IF(OR(LINEAS!$U$70=1,LINEAS!$U$70=3),1,-1)*LINEAS!$AH$70*DATOS!$C$67)&lt;0.00005),"*",LINEAS!$D$70&amp;" UNI "&amp;IF(LINEAS!$U$70&lt;=2,"GZ","GX")&amp;" "&amp;TEXT(IF(OR(LINEAS!$U$70=1,LINEAS!$U$70=3),1,-1)*LINEAS!$AH$70*DATOS!$C$67,DATOS!$C$68)))</f>
        <v/>
      </c>
      <c r="E1368" s="51" t="str">
        <f aca="false">IF(LEN($D1368)&gt;79,"MÁS DE 79 CARACTERES","")</f>
        <v/>
      </c>
    </row>
    <row r="1369" customFormat="false" ht="15" hidden="false" customHeight="true" outlineLevel="0" collapsed="false">
      <c r="B1369" s="53" t="str">
        <f aca="false">IF(OR(LINEAS!$D$71="",LINEAS!$U$71=0,ABS(IF(OR(LINEAS!$U$71=1,LINEAS!$U$71=3),1,-1)*LINEAS!$AH$71*DATOS!$C$67)&lt;0.00005),"*",LINEAS!$D$71&amp;" UNI "&amp;IF(LINEAS!$U$71&lt;=2,"GZ","GX")&amp;" "&amp;TEXT(IF(OR(LINEAS!$U$71=1,LINEAS!$U$71=3),1,-1)*LINEAS!$AH$71*DATOS!$C$67,DATOS!$C$68))</f>
        <v>267 UNI GX 0.0516</v>
      </c>
      <c r="C1369" s="51" t="str">
        <f aca="false">IF(LEN($B1369)&gt;79,"MÁS DE 79 CARACTERES","")</f>
        <v/>
      </c>
      <c r="D1369" s="53" t="str">
        <f aca="false">IF(PRESIONES!$C$22="NO","",IF(OR(LINEAS!$D$71="",LINEAS!$U$71=0,ABS(IF(OR(LINEAS!$U$71=1,LINEAS!$U$71=3),1,-1)*LINEAS!$AH$71*DATOS!$C$67)&lt;0.00005),"*",LINEAS!$D$71&amp;" UNI "&amp;IF(LINEAS!$U$71&lt;=2,"GZ","GX")&amp;" "&amp;TEXT(IF(OR(LINEAS!$U$71=1,LINEAS!$U$71=3),1,-1)*LINEAS!$AH$71*DATOS!$C$67,DATOS!$C$68)))</f>
        <v/>
      </c>
      <c r="E1369" s="51" t="str">
        <f aca="false">IF(LEN($D1369)&gt;79,"MÁS DE 79 CARACTERES","")</f>
        <v/>
      </c>
    </row>
    <row r="1370" customFormat="false" ht="15" hidden="false" customHeight="true" outlineLevel="0" collapsed="false">
      <c r="B1370" s="53" t="str">
        <f aca="false">IF(OR(LINEAS!$D$72="",LINEAS!$U$72=0,ABS(IF(OR(LINEAS!$U$72=1,LINEAS!$U$72=3),1,-1)*LINEAS!$AH$72*DATOS!$C$67)&lt;0.00005),"*",LINEAS!$D$72&amp;" UNI "&amp;IF(LINEAS!$U$72&lt;=2,"GZ","GX")&amp;" "&amp;TEXT(IF(OR(LINEAS!$U$72=1,LINEAS!$U$72=3),1,-1)*LINEAS!$AH$72*DATOS!$C$67,DATOS!$C$68))</f>
        <v>274 UNI GX 0.0516</v>
      </c>
      <c r="C1370" s="51" t="str">
        <f aca="false">IF(LEN($B1370)&gt;79,"MÁS DE 79 CARACTERES","")</f>
        <v/>
      </c>
      <c r="D1370" s="53" t="str">
        <f aca="false">IF(PRESIONES!$C$22="NO","",IF(OR(LINEAS!$D$72="",LINEAS!$U$72=0,ABS(IF(OR(LINEAS!$U$72=1,LINEAS!$U$72=3),1,-1)*LINEAS!$AH$72*DATOS!$C$67)&lt;0.00005),"*",LINEAS!$D$72&amp;" UNI "&amp;IF(LINEAS!$U$72&lt;=2,"GZ","GX")&amp;" "&amp;TEXT(IF(OR(LINEAS!$U$72=1,LINEAS!$U$72=3),1,-1)*LINEAS!$AH$72*DATOS!$C$67,DATOS!$C$68)))</f>
        <v/>
      </c>
      <c r="E1370" s="51" t="str">
        <f aca="false">IF(LEN($D1370)&gt;79,"MÁS DE 79 CARACTERES","")</f>
        <v/>
      </c>
    </row>
    <row r="1371" customFormat="false" ht="15" hidden="false" customHeight="true" outlineLevel="0" collapsed="false">
      <c r="B1371" s="53" t="str">
        <f aca="false">IF(OR(LINEAS!$D$73="",LINEAS!$U$73=0,ABS(IF(OR(LINEAS!$U$73=1,LINEAS!$U$73=3),1,-1)*LINEAS!$AH$73*DATOS!$C$67)&lt;0.00005),"*",LINEAS!$D$73&amp;" UNI "&amp;IF(LINEAS!$U$73&lt;=2,"GZ","GX")&amp;" "&amp;TEXT(IF(OR(LINEAS!$U$73=1,LINEAS!$U$73=3),1,-1)*LINEAS!$AH$73*DATOS!$C$67,DATOS!$C$68))</f>
        <v>275 UNI GX 0.0516</v>
      </c>
      <c r="C1371" s="51" t="str">
        <f aca="false">IF(LEN($B1371)&gt;79,"MÁS DE 79 CARACTERES","")</f>
        <v/>
      </c>
      <c r="D1371" s="53" t="str">
        <f aca="false">IF(PRESIONES!$C$22="NO","",IF(OR(LINEAS!$D$73="",LINEAS!$U$73=0,ABS(IF(OR(LINEAS!$U$73=1,LINEAS!$U$73=3),1,-1)*LINEAS!$AH$73*DATOS!$C$67)&lt;0.00005),"*",LINEAS!$D$73&amp;" UNI "&amp;IF(LINEAS!$U$73&lt;=2,"GZ","GX")&amp;" "&amp;TEXT(IF(OR(LINEAS!$U$73=1,LINEAS!$U$73=3),1,-1)*LINEAS!$AH$73*DATOS!$C$67,DATOS!$C$68)))</f>
        <v/>
      </c>
      <c r="E1371" s="51" t="str">
        <f aca="false">IF(LEN($D1371)&gt;79,"MÁS DE 79 CARACTERES","")</f>
        <v/>
      </c>
    </row>
    <row r="1372" customFormat="false" ht="15" hidden="false" customHeight="true" outlineLevel="0" collapsed="false">
      <c r="B1372" s="53" t="str">
        <f aca="false">IF(OR(LINEAS!$D$74="",LINEAS!$U$74=0,ABS(IF(OR(LINEAS!$U$74=1,LINEAS!$U$74=3),1,-1)*LINEAS!$AH$74*DATOS!$C$67)&lt;0.00005),"*",LINEAS!$D$74&amp;" UNI "&amp;IF(LINEAS!$U$74&lt;=2,"GZ","GX")&amp;" "&amp;TEXT(IF(OR(LINEAS!$U$74=1,LINEAS!$U$74=3),1,-1)*LINEAS!$AH$74*DATOS!$C$67,DATOS!$C$68))</f>
        <v>276 UNI GX 0.0516</v>
      </c>
      <c r="C1372" s="51" t="str">
        <f aca="false">IF(LEN($B1372)&gt;79,"MÁS DE 79 CARACTERES","")</f>
        <v/>
      </c>
      <c r="D1372" s="53" t="str">
        <f aca="false">IF(PRESIONES!$C$22="NO","",IF(OR(LINEAS!$D$74="",LINEAS!$U$74=0,ABS(IF(OR(LINEAS!$U$74=1,LINEAS!$U$74=3),1,-1)*LINEAS!$AH$74*DATOS!$C$67)&lt;0.00005),"*",LINEAS!$D$74&amp;" UNI "&amp;IF(LINEAS!$U$74&lt;=2,"GZ","GX")&amp;" "&amp;TEXT(IF(OR(LINEAS!$U$74=1,LINEAS!$U$74=3),1,-1)*LINEAS!$AH$74*DATOS!$C$67,DATOS!$C$68)))</f>
        <v/>
      </c>
      <c r="E1372" s="51" t="str">
        <f aca="false">IF(LEN($D1372)&gt;79,"MÁS DE 79 CARACTERES","")</f>
        <v/>
      </c>
    </row>
    <row r="1373" customFormat="false" ht="15" hidden="false" customHeight="true" outlineLevel="0" collapsed="false">
      <c r="B1373" s="53" t="str">
        <f aca="false">IF(OR(LINEAS!$D$75="",LINEAS!$U$75=0,ABS(IF(OR(LINEAS!$U$75=1,LINEAS!$U$75=3),1,-1)*LINEAS!$AH$75*DATOS!$C$67)&lt;0.00005),"*",LINEAS!$D$75&amp;" UNI "&amp;IF(LINEAS!$U$75&lt;=2,"GZ","GX")&amp;" "&amp;TEXT(IF(OR(LINEAS!$U$75=1,LINEAS!$U$75=3),1,-1)*LINEAS!$AH$75*DATOS!$C$67,DATOS!$C$68))</f>
        <v>283 UNI GX 0.0516</v>
      </c>
      <c r="C1373" s="51" t="str">
        <f aca="false">IF(LEN($B1373)&gt;79,"MÁS DE 79 CARACTERES","")</f>
        <v/>
      </c>
      <c r="D1373" s="53" t="str">
        <f aca="false">IF(PRESIONES!$C$22="NO","",IF(OR(LINEAS!$D$75="",LINEAS!$U$75=0,ABS(IF(OR(LINEAS!$U$75=1,LINEAS!$U$75=3),1,-1)*LINEAS!$AH$75*DATOS!$C$67)&lt;0.00005),"*",LINEAS!$D$75&amp;" UNI "&amp;IF(LINEAS!$U$75&lt;=2,"GZ","GX")&amp;" "&amp;TEXT(IF(OR(LINEAS!$U$75=1,LINEAS!$U$75=3),1,-1)*LINEAS!$AH$75*DATOS!$C$67,DATOS!$C$68)))</f>
        <v/>
      </c>
      <c r="E1373" s="51" t="str">
        <f aca="false">IF(LEN($D1373)&gt;79,"MÁS DE 79 CARACTERES","")</f>
        <v/>
      </c>
    </row>
    <row r="1374" customFormat="false" ht="15" hidden="false" customHeight="true" outlineLevel="0" collapsed="false">
      <c r="B1374" s="53" t="str">
        <f aca="false">IF(OR(LINEAS!$D$76="",LINEAS!$U$76=0,ABS(IF(OR(LINEAS!$U$76=1,LINEAS!$U$76=3),1,-1)*LINEAS!$AH$76*DATOS!$C$67)&lt;0.00005),"*",LINEAS!$D$76&amp;" UNI "&amp;IF(LINEAS!$U$76&lt;=2,"GZ","GX")&amp;" "&amp;TEXT(IF(OR(LINEAS!$U$76=1,LINEAS!$U$76=3),1,-1)*LINEAS!$AH$76*DATOS!$C$67,DATOS!$C$68))</f>
        <v>284 UNI GX 0.0516</v>
      </c>
      <c r="C1374" s="51" t="str">
        <f aca="false">IF(LEN($B1374)&gt;79,"MÁS DE 79 CARACTERES","")</f>
        <v/>
      </c>
      <c r="D1374" s="53" t="str">
        <f aca="false">IF(PRESIONES!$C$22="NO","",IF(OR(LINEAS!$D$76="",LINEAS!$U$76=0,ABS(IF(OR(LINEAS!$U$76=1,LINEAS!$U$76=3),1,-1)*LINEAS!$AH$76*DATOS!$C$67)&lt;0.00005),"*",LINEAS!$D$76&amp;" UNI "&amp;IF(LINEAS!$U$76&lt;=2,"GZ","GX")&amp;" "&amp;TEXT(IF(OR(LINEAS!$U$76=1,LINEAS!$U$76=3),1,-1)*LINEAS!$AH$76*DATOS!$C$67,DATOS!$C$68)))</f>
        <v/>
      </c>
      <c r="E1374" s="51" t="str">
        <f aca="false">IF(LEN($D1374)&gt;79,"MÁS DE 79 CARACTERES","")</f>
        <v/>
      </c>
    </row>
    <row r="1375" customFormat="false" ht="15" hidden="false" customHeight="true" outlineLevel="0" collapsed="false">
      <c r="B1375" s="53" t="str">
        <f aca="false">IF(OR(LINEAS!$D$77="",LINEAS!$U$77=0,ABS(IF(OR(LINEAS!$U$77=1,LINEAS!$U$77=3),1,-1)*LINEAS!$AH$77*DATOS!$C$67)&lt;0.00005),"*",LINEAS!$D$77&amp;" UNI "&amp;IF(LINEAS!$U$77&lt;=2,"GZ","GX")&amp;" "&amp;TEXT(IF(OR(LINEAS!$U$77=1,LINEAS!$U$77=3),1,-1)*LINEAS!$AH$77*DATOS!$C$67,DATOS!$C$68))</f>
        <v>285 UNI GX 0.0516</v>
      </c>
      <c r="C1375" s="51" t="str">
        <f aca="false">IF(LEN($B1375)&gt;79,"MÁS DE 79 CARACTERES","")</f>
        <v/>
      </c>
      <c r="D1375" s="53" t="str">
        <f aca="false">IF(PRESIONES!$C$22="NO","",IF(OR(LINEAS!$D$77="",LINEAS!$U$77=0,ABS(IF(OR(LINEAS!$U$77=1,LINEAS!$U$77=3),1,-1)*LINEAS!$AH$77*DATOS!$C$67)&lt;0.00005),"*",LINEAS!$D$77&amp;" UNI "&amp;IF(LINEAS!$U$77&lt;=2,"GZ","GX")&amp;" "&amp;TEXT(IF(OR(LINEAS!$U$77=1,LINEAS!$U$77=3),1,-1)*LINEAS!$AH$77*DATOS!$C$67,DATOS!$C$68)))</f>
        <v/>
      </c>
      <c r="E1375" s="51" t="str">
        <f aca="false">IF(LEN($D1375)&gt;79,"MÁS DE 79 CARACTERES","")</f>
        <v/>
      </c>
    </row>
    <row r="1376" customFormat="false" ht="15" hidden="false" customHeight="true" outlineLevel="0" collapsed="false">
      <c r="B1376" s="53" t="str">
        <f aca="false">IF(OR(LINEAS!$D$78="",LINEAS!$U$78=0,ABS(IF(OR(LINEAS!$U$78=1,LINEAS!$U$78=3),1,-1)*LINEAS!$AH$78*DATOS!$C$67)&lt;0.00005),"*",LINEAS!$D$78&amp;" UNI "&amp;IF(LINEAS!$U$78&lt;=2,"GZ","GX")&amp;" "&amp;TEXT(IF(OR(LINEAS!$U$78=1,LINEAS!$U$78=3),1,-1)*LINEAS!$AH$78*DATOS!$C$67,DATOS!$C$68))</f>
        <v>292 UNI GX 0.0516</v>
      </c>
      <c r="C1376" s="51" t="str">
        <f aca="false">IF(LEN($B1376)&gt;79,"MÁS DE 79 CARACTERES","")</f>
        <v/>
      </c>
      <c r="D1376" s="53" t="str">
        <f aca="false">IF(PRESIONES!$C$22="NO","",IF(OR(LINEAS!$D$78="",LINEAS!$U$78=0,ABS(IF(OR(LINEAS!$U$78=1,LINEAS!$U$78=3),1,-1)*LINEAS!$AH$78*DATOS!$C$67)&lt;0.00005),"*",LINEAS!$D$78&amp;" UNI "&amp;IF(LINEAS!$U$78&lt;=2,"GZ","GX")&amp;" "&amp;TEXT(IF(OR(LINEAS!$U$78=1,LINEAS!$U$78=3),1,-1)*LINEAS!$AH$78*DATOS!$C$67,DATOS!$C$68)))</f>
        <v/>
      </c>
      <c r="E1376" s="51" t="str">
        <f aca="false">IF(LEN($D1376)&gt;79,"MÁS DE 79 CARACTERES","")</f>
        <v/>
      </c>
    </row>
    <row r="1377" customFormat="false" ht="15" hidden="false" customHeight="true" outlineLevel="0" collapsed="false">
      <c r="B1377" s="53" t="str">
        <f aca="false">IF(OR(LINEAS!$D$79="",LINEAS!$U$79=0,ABS(IF(OR(LINEAS!$U$79=1,LINEAS!$U$79=3),1,-1)*LINEAS!$AH$79*DATOS!$C$67)&lt;0.00005),"*",LINEAS!$D$79&amp;" UNI "&amp;IF(LINEAS!$U$79&lt;=2,"GZ","GX")&amp;" "&amp;TEXT(IF(OR(LINEAS!$U$79=1,LINEAS!$U$79=3),1,-1)*LINEAS!$AH$79*DATOS!$C$67,DATOS!$C$68))</f>
        <v>293 UNI GX 0.0516</v>
      </c>
      <c r="C1377" s="51" t="str">
        <f aca="false">IF(LEN($B1377)&gt;79,"MÁS DE 79 CARACTERES","")</f>
        <v/>
      </c>
      <c r="D1377" s="53" t="str">
        <f aca="false">IF(PRESIONES!$C$22="NO","",IF(OR(LINEAS!$D$79="",LINEAS!$U$79=0,ABS(IF(OR(LINEAS!$U$79=1,LINEAS!$U$79=3),1,-1)*LINEAS!$AH$79*DATOS!$C$67)&lt;0.00005),"*",LINEAS!$D$79&amp;" UNI "&amp;IF(LINEAS!$U$79&lt;=2,"GZ","GX")&amp;" "&amp;TEXT(IF(OR(LINEAS!$U$79=1,LINEAS!$U$79=3),1,-1)*LINEAS!$AH$79*DATOS!$C$67,DATOS!$C$68)))</f>
        <v/>
      </c>
      <c r="E1377" s="51" t="str">
        <f aca="false">IF(LEN($D1377)&gt;79,"MÁS DE 79 CARACTERES","")</f>
        <v/>
      </c>
    </row>
    <row r="1378" customFormat="false" ht="15" hidden="false" customHeight="true" outlineLevel="0" collapsed="false">
      <c r="B1378" s="53" t="str">
        <f aca="false">IF(OR(LINEAS!$D$80="",LINEAS!$U$80=0,ABS(IF(OR(LINEAS!$U$80=1,LINEAS!$U$80=3),1,-1)*LINEAS!$AH$80*DATOS!$C$67)&lt;0.00005),"*",LINEAS!$D$80&amp;" UNI "&amp;IF(LINEAS!$U$80&lt;=2,"GZ","GX")&amp;" "&amp;TEXT(IF(OR(LINEAS!$U$80=1,LINEAS!$U$80=3),1,-1)*LINEAS!$AH$80*DATOS!$C$67,DATOS!$C$68))</f>
        <v>294 UNI GX 0.0516</v>
      </c>
      <c r="C1378" s="51" t="str">
        <f aca="false">IF(LEN($B1378)&gt;79,"MÁS DE 79 CARACTERES","")</f>
        <v/>
      </c>
      <c r="D1378" s="53" t="str">
        <f aca="false">IF(PRESIONES!$C$22="NO","",IF(OR(LINEAS!$D$80="",LINEAS!$U$80=0,ABS(IF(OR(LINEAS!$U$80=1,LINEAS!$U$80=3),1,-1)*LINEAS!$AH$80*DATOS!$C$67)&lt;0.00005),"*",LINEAS!$D$80&amp;" UNI "&amp;IF(LINEAS!$U$80&lt;=2,"GZ","GX")&amp;" "&amp;TEXT(IF(OR(LINEAS!$U$80=1,LINEAS!$U$80=3),1,-1)*LINEAS!$AH$80*DATOS!$C$67,DATOS!$C$68)))</f>
        <v/>
      </c>
      <c r="E1378" s="51" t="str">
        <f aca="false">IF(LEN($D1378)&gt;79,"MÁS DE 79 CARACTERES","")</f>
        <v/>
      </c>
    </row>
    <row r="1379" customFormat="false" ht="15" hidden="false" customHeight="true" outlineLevel="0" collapsed="false">
      <c r="B1379" s="53" t="str">
        <f aca="false">IF(OR(LINEAS!$D$81="",LINEAS!$U$81=0,ABS(IF(OR(LINEAS!$U$81=1,LINEAS!$U$81=3),1,-1)*LINEAS!$AH$81*DATOS!$C$67)&lt;0.00005),"*",LINEAS!$D$81&amp;" UNI "&amp;IF(LINEAS!$U$81&lt;=2,"GZ","GX")&amp;" "&amp;TEXT(IF(OR(LINEAS!$U$81=1,LINEAS!$U$81=3),1,-1)*LINEAS!$AH$81*DATOS!$C$67,DATOS!$C$68))</f>
        <v>300 UNI GX 0.0516</v>
      </c>
      <c r="C1379" s="51" t="str">
        <f aca="false">IF(LEN($B1379)&gt;79,"MÁS DE 79 CARACTERES","")</f>
        <v/>
      </c>
      <c r="D1379" s="53" t="str">
        <f aca="false">IF(PRESIONES!$C$22="NO","",IF(OR(LINEAS!$D$81="",LINEAS!$U$81=0,ABS(IF(OR(LINEAS!$U$81=1,LINEAS!$U$81=3),1,-1)*LINEAS!$AH$81*DATOS!$C$67)&lt;0.00005),"*",LINEAS!$D$81&amp;" UNI "&amp;IF(LINEAS!$U$81&lt;=2,"GZ","GX")&amp;" "&amp;TEXT(IF(OR(LINEAS!$U$81=1,LINEAS!$U$81=3),1,-1)*LINEAS!$AH$81*DATOS!$C$67,DATOS!$C$68)))</f>
        <v/>
      </c>
      <c r="E1379" s="51" t="str">
        <f aca="false">IF(LEN($D1379)&gt;79,"MÁS DE 79 CARACTERES","")</f>
        <v/>
      </c>
    </row>
    <row r="1380" customFormat="false" ht="15" hidden="false" customHeight="true" outlineLevel="0" collapsed="false">
      <c r="B1380" s="53" t="str">
        <f aca="false">IF(OR(LINEAS!$D$82="",LINEAS!$U$82=0,ABS(IF(OR(LINEAS!$U$82=1,LINEAS!$U$82=3),1,-1)*LINEAS!$AH$82*DATOS!$C$67)&lt;0.00005),"*",LINEAS!$D$82&amp;" UNI "&amp;IF(LINEAS!$U$82&lt;=2,"GZ","GX")&amp;" "&amp;TEXT(IF(OR(LINEAS!$U$82=1,LINEAS!$U$82=3),1,-1)*LINEAS!$AH$82*DATOS!$C$67,DATOS!$C$68))</f>
        <v>301 UNI GX 0.0516</v>
      </c>
      <c r="C1380" s="51" t="str">
        <f aca="false">IF(LEN($B1380)&gt;79,"MÁS DE 79 CARACTERES","")</f>
        <v/>
      </c>
      <c r="D1380" s="53" t="str">
        <f aca="false">IF(PRESIONES!$C$22="NO","",IF(OR(LINEAS!$D$82="",LINEAS!$U$82=0,ABS(IF(OR(LINEAS!$U$82=1,LINEAS!$U$82=3),1,-1)*LINEAS!$AH$82*DATOS!$C$67)&lt;0.00005),"*",LINEAS!$D$82&amp;" UNI "&amp;IF(LINEAS!$U$82&lt;=2,"GZ","GX")&amp;" "&amp;TEXT(IF(OR(LINEAS!$U$82=1,LINEAS!$U$82=3),1,-1)*LINEAS!$AH$82*DATOS!$C$67,DATOS!$C$68)))</f>
        <v/>
      </c>
      <c r="E1380" s="51" t="str">
        <f aca="false">IF(LEN($D1380)&gt;79,"MÁS DE 79 CARACTERES","")</f>
        <v/>
      </c>
    </row>
    <row r="1381" customFormat="false" ht="15" hidden="false" customHeight="true" outlineLevel="0" collapsed="false">
      <c r="B1381" s="53" t="str">
        <f aca="false">IF(OR(LINEAS!$D$83="",LINEAS!$U$83=0,ABS(IF(OR(LINEAS!$U$83=1,LINEAS!$U$83=3),1,-1)*LINEAS!$AH$83*DATOS!$C$67)&lt;0.00005),"*",LINEAS!$D$83&amp;" UNI "&amp;IF(LINEAS!$U$83&lt;=2,"GZ","GX")&amp;" "&amp;TEXT(IF(OR(LINEAS!$U$83=1,LINEAS!$U$83=3),1,-1)*LINEAS!$AH$83*DATOS!$C$67,DATOS!$C$68))</f>
        <v>302 UNI GX 0.0516</v>
      </c>
      <c r="C1381" s="51" t="str">
        <f aca="false">IF(LEN($B1381)&gt;79,"MÁS DE 79 CARACTERES","")</f>
        <v/>
      </c>
      <c r="D1381" s="53" t="str">
        <f aca="false">IF(PRESIONES!$C$22="NO","",IF(OR(LINEAS!$D$83="",LINEAS!$U$83=0,ABS(IF(OR(LINEAS!$U$83=1,LINEAS!$U$83=3),1,-1)*LINEAS!$AH$83*DATOS!$C$67)&lt;0.00005),"*",LINEAS!$D$83&amp;" UNI "&amp;IF(LINEAS!$U$83&lt;=2,"GZ","GX")&amp;" "&amp;TEXT(IF(OR(LINEAS!$U$83=1,LINEAS!$U$83=3),1,-1)*LINEAS!$AH$83*DATOS!$C$67,DATOS!$C$68)))</f>
        <v/>
      </c>
      <c r="E1381" s="51" t="str">
        <f aca="false">IF(LEN($D1381)&gt;79,"MÁS DE 79 CARACTERES","")</f>
        <v/>
      </c>
    </row>
    <row r="1382" customFormat="false" ht="15" hidden="false" customHeight="true" outlineLevel="0" collapsed="false">
      <c r="B1382" s="53" t="str">
        <f aca="false">IF(OR(LINEAS!$D$84="",LINEAS!$U$84=0,ABS(IF(OR(LINEAS!$U$84=1,LINEAS!$U$84=3),1,-1)*LINEAS!$AH$84*DATOS!$C$67)&lt;0.00005),"*",LINEAS!$D$84&amp;" UNI "&amp;IF(LINEAS!$U$84&lt;=2,"GZ","GX")&amp;" "&amp;TEXT(IF(OR(LINEAS!$U$84=1,LINEAS!$U$84=3),1,-1)*LINEAS!$AH$84*DATOS!$C$67,DATOS!$C$68))</f>
        <v>307 UNI GX 0.0516</v>
      </c>
      <c r="C1382" s="51" t="str">
        <f aca="false">IF(LEN($B1382)&gt;79,"MÁS DE 79 CARACTERES","")</f>
        <v/>
      </c>
      <c r="D1382" s="53" t="str">
        <f aca="false">IF(PRESIONES!$C$22="NO","",IF(OR(LINEAS!$D$84="",LINEAS!$U$84=0,ABS(IF(OR(LINEAS!$U$84=1,LINEAS!$U$84=3),1,-1)*LINEAS!$AH$84*DATOS!$C$67)&lt;0.00005),"*",LINEAS!$D$84&amp;" UNI "&amp;IF(LINEAS!$U$84&lt;=2,"GZ","GX")&amp;" "&amp;TEXT(IF(OR(LINEAS!$U$84=1,LINEAS!$U$84=3),1,-1)*LINEAS!$AH$84*DATOS!$C$67,DATOS!$C$68)))</f>
        <v/>
      </c>
      <c r="E1382" s="51" t="str">
        <f aca="false">IF(LEN($D1382)&gt;79,"MÁS DE 79 CARACTERES","")</f>
        <v/>
      </c>
    </row>
    <row r="1383" customFormat="false" ht="15" hidden="false" customHeight="true" outlineLevel="0" collapsed="false">
      <c r="B1383" s="53" t="str">
        <f aca="false">IF(OR(LINEAS!$D$85="",LINEAS!$U$85=0,ABS(IF(OR(LINEAS!$U$85=1,LINEAS!$U$85=3),1,-1)*LINEAS!$AH$85*DATOS!$C$67)&lt;0.00005),"*",LINEAS!$D$85&amp;" UNI "&amp;IF(LINEAS!$U$85&lt;=2,"GZ","GX")&amp;" "&amp;TEXT(IF(OR(LINEAS!$U$85=1,LINEAS!$U$85=3),1,-1)*LINEAS!$AH$85*DATOS!$C$67,DATOS!$C$68))</f>
        <v>308 UNI GX 0.0516</v>
      </c>
      <c r="C1383" s="51" t="str">
        <f aca="false">IF(LEN($B1383)&gt;79,"MÁS DE 79 CARACTERES","")</f>
        <v/>
      </c>
      <c r="D1383" s="53" t="str">
        <f aca="false">IF(PRESIONES!$C$22="NO","",IF(OR(LINEAS!$D$85="",LINEAS!$U$85=0,ABS(IF(OR(LINEAS!$U$85=1,LINEAS!$U$85=3),1,-1)*LINEAS!$AH$85*DATOS!$C$67)&lt;0.00005),"*",LINEAS!$D$85&amp;" UNI "&amp;IF(LINEAS!$U$85&lt;=2,"GZ","GX")&amp;" "&amp;TEXT(IF(OR(LINEAS!$U$85=1,LINEAS!$U$85=3),1,-1)*LINEAS!$AH$85*DATOS!$C$67,DATOS!$C$68)))</f>
        <v/>
      </c>
      <c r="E1383" s="51" t="str">
        <f aca="false">IF(LEN($D1383)&gt;79,"MÁS DE 79 CARACTERES","")</f>
        <v/>
      </c>
    </row>
    <row r="1384" customFormat="false" ht="15" hidden="false" customHeight="true" outlineLevel="0" collapsed="false">
      <c r="B1384" s="53" t="str">
        <f aca="false">IF(OR(LINEAS!$D$86="",LINEAS!$U$86=0,ABS(IF(OR(LINEAS!$U$86=1,LINEAS!$U$86=3),1,-1)*LINEAS!$AH$86*DATOS!$C$67)&lt;0.00005),"*",LINEAS!$D$86&amp;" UNI "&amp;IF(LINEAS!$U$86&lt;=2,"GZ","GX")&amp;" "&amp;TEXT(IF(OR(LINEAS!$U$86=1,LINEAS!$U$86=3),1,-1)*LINEAS!$AH$86*DATOS!$C$67,DATOS!$C$68))</f>
        <v>309 UNI GX 0.0516</v>
      </c>
      <c r="C1384" s="51" t="str">
        <f aca="false">IF(LEN($B1384)&gt;79,"MÁS DE 79 CARACTERES","")</f>
        <v/>
      </c>
      <c r="D1384" s="53" t="str">
        <f aca="false">IF(PRESIONES!$C$22="NO","",IF(OR(LINEAS!$D$86="",LINEAS!$U$86=0,ABS(IF(OR(LINEAS!$U$86=1,LINEAS!$U$86=3),1,-1)*LINEAS!$AH$86*DATOS!$C$67)&lt;0.00005),"*",LINEAS!$D$86&amp;" UNI "&amp;IF(LINEAS!$U$86&lt;=2,"GZ","GX")&amp;" "&amp;TEXT(IF(OR(LINEAS!$U$86=1,LINEAS!$U$86=3),1,-1)*LINEAS!$AH$86*DATOS!$C$67,DATOS!$C$68)))</f>
        <v/>
      </c>
      <c r="E1384" s="51" t="str">
        <f aca="false">IF(LEN($D1384)&gt;79,"MÁS DE 79 CARACTERES","")</f>
        <v/>
      </c>
    </row>
    <row r="1385" customFormat="false" ht="15" hidden="false" customHeight="true" outlineLevel="0" collapsed="false">
      <c r="B1385" s="53" t="str">
        <f aca="false">IF(OR(LINEAS!$D$87="",LINEAS!$U$87=0,ABS(IF(OR(LINEAS!$U$87=1,LINEAS!$U$87=3),1,-1)*LINEAS!$AH$87*DATOS!$C$67)&lt;0.00005),"*",LINEAS!$D$87&amp;" UNI "&amp;IF(LINEAS!$U$87&lt;=2,"GZ","GX")&amp;" "&amp;TEXT(IF(OR(LINEAS!$U$87=1,LINEAS!$U$87=3),1,-1)*LINEAS!$AH$87*DATOS!$C$67,DATOS!$C$68))</f>
        <v>318 UNI GX 0.0516</v>
      </c>
      <c r="C1385" s="51" t="str">
        <f aca="false">IF(LEN($B1385)&gt;79,"MÁS DE 79 CARACTERES","")</f>
        <v/>
      </c>
      <c r="D1385" s="53" t="str">
        <f aca="false">IF(PRESIONES!$C$22="NO","",IF(OR(LINEAS!$D$87="",LINEAS!$U$87=0,ABS(IF(OR(LINEAS!$U$87=1,LINEAS!$U$87=3),1,-1)*LINEAS!$AH$87*DATOS!$C$67)&lt;0.00005),"*",LINEAS!$D$87&amp;" UNI "&amp;IF(LINEAS!$U$87&lt;=2,"GZ","GX")&amp;" "&amp;TEXT(IF(OR(LINEAS!$U$87=1,LINEAS!$U$87=3),1,-1)*LINEAS!$AH$87*DATOS!$C$67,DATOS!$C$68)))</f>
        <v/>
      </c>
      <c r="E1385" s="51" t="str">
        <f aca="false">IF(LEN($D1385)&gt;79,"MÁS DE 79 CARACTERES","")</f>
        <v/>
      </c>
    </row>
    <row r="1386" customFormat="false" ht="15" hidden="false" customHeight="true" outlineLevel="0" collapsed="false">
      <c r="B1386" s="53" t="str">
        <f aca="false">IF(OR(LINEAS!$D$88="",LINEAS!$U$88=0,ABS(IF(OR(LINEAS!$U$88=1,LINEAS!$U$88=3),1,-1)*LINEAS!$AH$88*DATOS!$C$67)&lt;0.00005),"*",LINEAS!$D$88&amp;" UNI "&amp;IF(LINEAS!$U$88&lt;=2,"GZ","GX")&amp;" "&amp;TEXT(IF(OR(LINEAS!$U$88=1,LINEAS!$U$88=3),1,-1)*LINEAS!$AH$88*DATOS!$C$67,DATOS!$C$68))</f>
        <v>311 UNI GX 0.0516</v>
      </c>
      <c r="C1386" s="51" t="str">
        <f aca="false">IF(LEN($B1386)&gt;79,"MÁS DE 79 CARACTERES","")</f>
        <v/>
      </c>
      <c r="D1386" s="53" t="str">
        <f aca="false">IF(PRESIONES!$C$22="NO","",IF(OR(LINEAS!$D$88="",LINEAS!$U$88=0,ABS(IF(OR(LINEAS!$U$88=1,LINEAS!$U$88=3),1,-1)*LINEAS!$AH$88*DATOS!$C$67)&lt;0.00005),"*",LINEAS!$D$88&amp;" UNI "&amp;IF(LINEAS!$U$88&lt;=2,"GZ","GX")&amp;" "&amp;TEXT(IF(OR(LINEAS!$U$88=1,LINEAS!$U$88=3),1,-1)*LINEAS!$AH$88*DATOS!$C$67,DATOS!$C$68)))</f>
        <v/>
      </c>
      <c r="E1386" s="51" t="str">
        <f aca="false">IF(LEN($D1386)&gt;79,"MÁS DE 79 CARACTERES","")</f>
        <v/>
      </c>
    </row>
    <row r="1387" customFormat="false" ht="15" hidden="false" customHeight="true" outlineLevel="0" collapsed="false">
      <c r="B1387" s="53" t="str">
        <f aca="false">IF(OR(LINEAS!$D$89="",LINEAS!$U$89=0,ABS(IF(OR(LINEAS!$U$89=1,LINEAS!$U$89=3),1,-1)*LINEAS!$AH$89*DATOS!$C$67)&lt;0.00005),"*",LINEAS!$D$89&amp;" UNI "&amp;IF(LINEAS!$U$89&lt;=2,"GZ","GX")&amp;" "&amp;TEXT(IF(OR(LINEAS!$U$89=1,LINEAS!$U$89=3),1,-1)*LINEAS!$AH$89*DATOS!$C$67,DATOS!$C$68))</f>
        <v>310 UNI GX 0.0516</v>
      </c>
      <c r="C1387" s="51" t="str">
        <f aca="false">IF(LEN($B1387)&gt;79,"MÁS DE 79 CARACTERES","")</f>
        <v/>
      </c>
      <c r="D1387" s="53" t="str">
        <f aca="false">IF(PRESIONES!$C$22="NO","",IF(OR(LINEAS!$D$89="",LINEAS!$U$89=0,ABS(IF(OR(LINEAS!$U$89=1,LINEAS!$U$89=3),1,-1)*LINEAS!$AH$89*DATOS!$C$67)&lt;0.00005),"*",LINEAS!$D$89&amp;" UNI "&amp;IF(LINEAS!$U$89&lt;=2,"GZ","GX")&amp;" "&amp;TEXT(IF(OR(LINEAS!$U$89=1,LINEAS!$U$89=3),1,-1)*LINEAS!$AH$89*DATOS!$C$67,DATOS!$C$68)))</f>
        <v/>
      </c>
      <c r="E1387" s="51" t="str">
        <f aca="false">IF(LEN($D1387)&gt;79,"MÁS DE 79 CARACTERES","")</f>
        <v/>
      </c>
    </row>
    <row r="1388" customFormat="false" ht="15" hidden="false" customHeight="true" outlineLevel="0" collapsed="false">
      <c r="B1388" s="53" t="str">
        <f aca="false">IF(OR(LINEAS!$D$90="",LINEAS!$U$90=0,ABS(IF(OR(LINEAS!$U$90=1,LINEAS!$U$90=3),1,-1)*LINEAS!$AH$90*DATOS!$C$67)&lt;0.00005),"*",LINEAS!$D$90&amp;" UNI "&amp;IF(LINEAS!$U$90&lt;=2,"GZ","GX")&amp;" "&amp;TEXT(IF(OR(LINEAS!$U$90=1,LINEAS!$U$90=3),1,-1)*LINEAS!$AH$90*DATOS!$C$67,DATOS!$C$68))</f>
        <v>321 UNI GX 0.0441</v>
      </c>
      <c r="C1388" s="51" t="str">
        <f aca="false">IF(LEN($B1388)&gt;79,"MÁS DE 79 CARACTERES","")</f>
        <v/>
      </c>
      <c r="D1388" s="53" t="str">
        <f aca="false">IF(PRESIONES!$C$22="NO","",IF(OR(LINEAS!$D$90="",LINEAS!$U$90=0,ABS(IF(OR(LINEAS!$U$90=1,LINEAS!$U$90=3),1,-1)*LINEAS!$AH$90*DATOS!$C$67)&lt;0.00005),"*",LINEAS!$D$90&amp;" UNI "&amp;IF(LINEAS!$U$90&lt;=2,"GZ","GX")&amp;" "&amp;TEXT(IF(OR(LINEAS!$U$90=1,LINEAS!$U$90=3),1,-1)*LINEAS!$AH$90*DATOS!$C$67,DATOS!$C$68)))</f>
        <v/>
      </c>
      <c r="E1388" s="51" t="str">
        <f aca="false">IF(LEN($D1388)&gt;79,"MÁS DE 79 CARACTERES","")</f>
        <v/>
      </c>
    </row>
    <row r="1389" customFormat="false" ht="15" hidden="false" customHeight="true" outlineLevel="0" collapsed="false">
      <c r="B1389" s="53" t="str">
        <f aca="false">IF(OR(LINEAS!$D$91="",LINEAS!$U$91=0,ABS(IF(OR(LINEAS!$U$91=1,LINEAS!$U$91=3),1,-1)*LINEAS!$AH$91*DATOS!$C$67)&lt;0.00005),"*",LINEAS!$D$91&amp;" UNI "&amp;IF(LINEAS!$U$91&lt;=2,"GZ","GX")&amp;" "&amp;TEXT(IF(OR(LINEAS!$U$91=1,LINEAS!$U$91=3),1,-1)*LINEAS!$AH$91*DATOS!$C$67,DATOS!$C$68))</f>
        <v>320 UNI GX 0.0368</v>
      </c>
      <c r="C1389" s="51" t="str">
        <f aca="false">IF(LEN($B1389)&gt;79,"MÁS DE 79 CARACTERES","")</f>
        <v/>
      </c>
      <c r="D1389" s="53" t="str">
        <f aca="false">IF(PRESIONES!$C$22="NO","",IF(OR(LINEAS!$D$91="",LINEAS!$U$91=0,ABS(IF(OR(LINEAS!$U$91=1,LINEAS!$U$91=3),1,-1)*LINEAS!$AH$91*DATOS!$C$67)&lt;0.00005),"*",LINEAS!$D$91&amp;" UNI "&amp;IF(LINEAS!$U$91&lt;=2,"GZ","GX")&amp;" "&amp;TEXT(IF(OR(LINEAS!$U$91=1,LINEAS!$U$91=3),1,-1)*LINEAS!$AH$91*DATOS!$C$67,DATOS!$C$68)))</f>
        <v/>
      </c>
      <c r="E1389" s="51" t="str">
        <f aca="false">IF(LEN($D1389)&gt;79,"MÁS DE 79 CARACTERES","")</f>
        <v/>
      </c>
    </row>
    <row r="1390" customFormat="false" ht="15" hidden="false" customHeight="true" outlineLevel="0" collapsed="false">
      <c r="B1390" s="53" t="str">
        <f aca="false">IF(OR(LINEAS!$D$92="",LINEAS!$U$92=0,ABS(IF(OR(LINEAS!$U$92=1,LINEAS!$U$92=3),1,-1)*LINEAS!$AH$92*DATOS!$C$67)&lt;0.00005),"*",LINEAS!$D$92&amp;" UNI "&amp;IF(LINEAS!$U$92&lt;=2,"GZ","GX")&amp;" "&amp;TEXT(IF(OR(LINEAS!$U$92=1,LINEAS!$U$92=3),1,-1)*LINEAS!$AH$92*DATOS!$C$67,DATOS!$C$68))</f>
        <v>319 UNI GX 0.0318</v>
      </c>
      <c r="C1390" s="51" t="str">
        <f aca="false">IF(LEN($B1390)&gt;79,"MÁS DE 79 CARACTERES","")</f>
        <v/>
      </c>
      <c r="D1390" s="53" t="str">
        <f aca="false">IF(PRESIONES!$C$22="NO","",IF(OR(LINEAS!$D$92="",LINEAS!$U$92=0,ABS(IF(OR(LINEAS!$U$92=1,LINEAS!$U$92=3),1,-1)*LINEAS!$AH$92*DATOS!$C$67)&lt;0.00005),"*",LINEAS!$D$92&amp;" UNI "&amp;IF(LINEAS!$U$92&lt;=2,"GZ","GX")&amp;" "&amp;TEXT(IF(OR(LINEAS!$U$92=1,LINEAS!$U$92=3),1,-1)*LINEAS!$AH$92*DATOS!$C$67,DATOS!$C$68)))</f>
        <v/>
      </c>
      <c r="E1390" s="51" t="str">
        <f aca="false">IF(LEN($D1390)&gt;79,"MÁS DE 79 CARACTERES","")</f>
        <v/>
      </c>
    </row>
    <row r="1391" customFormat="false" ht="15" hidden="false" customHeight="true" outlineLevel="0" collapsed="false">
      <c r="B1391" s="53" t="str">
        <f aca="false">IF(OR(LINEAS!$D$93="",LINEAS!$U$93=0,ABS(IF(OR(LINEAS!$U$93=1,LINEAS!$U$93=3),1,-1)*LINEAS!$AH$93*DATOS!$C$67)&lt;0.00005),"*",LINEAS!$D$93&amp;" UNI "&amp;IF(LINEAS!$U$93&lt;=2,"GZ","GX")&amp;" "&amp;TEXT(IF(OR(LINEAS!$U$93=1,LINEAS!$U$93=3),1,-1)*LINEAS!$AH$93*DATOS!$C$67,DATOS!$C$68))</f>
        <v>60 UNI GX -0.0212</v>
      </c>
      <c r="C1391" s="51" t="str">
        <f aca="false">IF(LEN($B1391)&gt;79,"MÁS DE 79 CARACTERES","")</f>
        <v/>
      </c>
      <c r="D1391" s="53" t="str">
        <f aca="false">IF(PRESIONES!$C$22="NO","",IF(OR(LINEAS!$D$93="",LINEAS!$U$93=0,ABS(IF(OR(LINEAS!$U$93=1,LINEAS!$U$93=3),1,-1)*LINEAS!$AH$93*DATOS!$C$67)&lt;0.00005),"*",LINEAS!$D$93&amp;" UNI "&amp;IF(LINEAS!$U$93&lt;=2,"GZ","GX")&amp;" "&amp;TEXT(IF(OR(LINEAS!$U$93=1,LINEAS!$U$93=3),1,-1)*LINEAS!$AH$93*DATOS!$C$67,DATOS!$C$68)))</f>
        <v/>
      </c>
      <c r="E1391" s="51" t="str">
        <f aca="false">IF(LEN($D1391)&gt;79,"MÁS DE 79 CARACTERES","")</f>
        <v/>
      </c>
    </row>
    <row r="1392" customFormat="false" ht="15" hidden="false" customHeight="true" outlineLevel="0" collapsed="false">
      <c r="B1392" s="53" t="str">
        <f aca="false">IF(OR(LINEAS!$D$94="",LINEAS!$U$94=0,ABS(IF(OR(LINEAS!$U$94=1,LINEAS!$U$94=3),1,-1)*LINEAS!$AH$94*DATOS!$C$67)&lt;0.00005),"*",LINEAS!$D$94&amp;" UNI "&amp;IF(LINEAS!$U$94&lt;=2,"GZ","GX")&amp;" "&amp;TEXT(IF(OR(LINEAS!$U$94=1,LINEAS!$U$94=3),1,-1)*LINEAS!$AH$94*DATOS!$C$67,DATOS!$C$68))</f>
        <v>59 UNI GX -0.0198</v>
      </c>
      <c r="C1392" s="51" t="str">
        <f aca="false">IF(LEN($B1392)&gt;79,"MÁS DE 79 CARACTERES","")</f>
        <v/>
      </c>
      <c r="D1392" s="53" t="str">
        <f aca="false">IF(PRESIONES!$C$22="NO","",IF(OR(LINEAS!$D$94="",LINEAS!$U$94=0,ABS(IF(OR(LINEAS!$U$94=1,LINEAS!$U$94=3),1,-1)*LINEAS!$AH$94*DATOS!$C$67)&lt;0.00005),"*",LINEAS!$D$94&amp;" UNI "&amp;IF(LINEAS!$U$94&lt;=2,"GZ","GX")&amp;" "&amp;TEXT(IF(OR(LINEAS!$U$94=1,LINEAS!$U$94=3),1,-1)*LINEAS!$AH$94*DATOS!$C$67,DATOS!$C$68)))</f>
        <v/>
      </c>
      <c r="E1392" s="51" t="str">
        <f aca="false">IF(LEN($D1392)&gt;79,"MÁS DE 79 CARACTERES","")</f>
        <v/>
      </c>
    </row>
    <row r="1393" customFormat="false" ht="15" hidden="false" customHeight="true" outlineLevel="0" collapsed="false">
      <c r="B1393" s="53" t="str">
        <f aca="false">IF(OR(LINEAS!$D$95="",LINEAS!$U$95=0,ABS(IF(OR(LINEAS!$U$95=1,LINEAS!$U$95=3),1,-1)*LINEAS!$AH$95*DATOS!$C$67)&lt;0.00005),"*",LINEAS!$D$95&amp;" UNI "&amp;IF(LINEAS!$U$95&lt;=2,"GZ","GX")&amp;" "&amp;TEXT(IF(OR(LINEAS!$U$95=1,LINEAS!$U$95=3),1,-1)*LINEAS!$AH$95*DATOS!$C$67,DATOS!$C$68))</f>
        <v>58 UNI GX -0.0183</v>
      </c>
      <c r="C1393" s="51" t="str">
        <f aca="false">IF(LEN($B1393)&gt;79,"MÁS DE 79 CARACTERES","")</f>
        <v/>
      </c>
      <c r="D1393" s="53" t="str">
        <f aca="false">IF(PRESIONES!$C$22="NO","",IF(OR(LINEAS!$D$95="",LINEAS!$U$95=0,ABS(IF(OR(LINEAS!$U$95=1,LINEAS!$U$95=3),1,-1)*LINEAS!$AH$95*DATOS!$C$67)&lt;0.00005),"*",LINEAS!$D$95&amp;" UNI "&amp;IF(LINEAS!$U$95&lt;=2,"GZ","GX")&amp;" "&amp;TEXT(IF(OR(LINEAS!$U$95=1,LINEAS!$U$95=3),1,-1)*LINEAS!$AH$95*DATOS!$C$67,DATOS!$C$68)))</f>
        <v/>
      </c>
      <c r="E1393" s="51" t="str">
        <f aca="false">IF(LEN($D1393)&gt;79,"MÁS DE 79 CARACTERES","")</f>
        <v/>
      </c>
    </row>
    <row r="1394" customFormat="false" ht="15" hidden="false" customHeight="true" outlineLevel="0" collapsed="false">
      <c r="B1394" s="53" t="str">
        <f aca="false">IF(OR(LINEAS!$D$96="",LINEAS!$U$96=0,ABS(IF(OR(LINEAS!$U$96=1,LINEAS!$U$96=3),1,-1)*LINEAS!$AH$96*DATOS!$C$67)&lt;0.00005),"*",LINEAS!$D$96&amp;" UNI "&amp;IF(LINEAS!$U$96&lt;=2,"GZ","GX")&amp;" "&amp;TEXT(IF(OR(LINEAS!$U$96=1,LINEAS!$U$96=3),1,-1)*LINEAS!$AH$96*DATOS!$C$67,DATOS!$C$68))</f>
        <v>57 UNI GX -0.0169</v>
      </c>
      <c r="C1394" s="51" t="str">
        <f aca="false">IF(LEN($B1394)&gt;79,"MÁS DE 79 CARACTERES","")</f>
        <v/>
      </c>
      <c r="D1394" s="53" t="str">
        <f aca="false">IF(PRESIONES!$C$22="NO","",IF(OR(LINEAS!$D$96="",LINEAS!$U$96=0,ABS(IF(OR(LINEAS!$U$96=1,LINEAS!$U$96=3),1,-1)*LINEAS!$AH$96*DATOS!$C$67)&lt;0.00005),"*",LINEAS!$D$96&amp;" UNI "&amp;IF(LINEAS!$U$96&lt;=2,"GZ","GX")&amp;" "&amp;TEXT(IF(OR(LINEAS!$U$96=1,LINEAS!$U$96=3),1,-1)*LINEAS!$AH$96*DATOS!$C$67,DATOS!$C$68)))</f>
        <v/>
      </c>
      <c r="E1394" s="51" t="str">
        <f aca="false">IF(LEN($D1394)&gt;79,"MÁS DE 79 CARACTERES","")</f>
        <v/>
      </c>
    </row>
    <row r="1395" customFormat="false" ht="15" hidden="false" customHeight="true" outlineLevel="0" collapsed="false">
      <c r="B1395" s="53" t="str">
        <f aca="false">IF(OR(LINEAS!$D$97="",LINEAS!$U$97=0,ABS(IF(OR(LINEAS!$U$97=1,LINEAS!$U$97=3),1,-1)*LINEAS!$AH$97*DATOS!$C$67)&lt;0.00005),"*",LINEAS!$D$97&amp;" UNI "&amp;IF(LINEAS!$U$97&lt;=2,"GZ","GX")&amp;" "&amp;TEXT(IF(OR(LINEAS!$U$97=1,LINEAS!$U$97=3),1,-1)*LINEAS!$AH$97*DATOS!$C$67,DATOS!$C$68))</f>
        <v>10 UNI GX -0.0154</v>
      </c>
      <c r="C1395" s="51" t="str">
        <f aca="false">IF(LEN($B1395)&gt;79,"MÁS DE 79 CARACTERES","")</f>
        <v/>
      </c>
      <c r="D1395" s="53" t="str">
        <f aca="false">IF(PRESIONES!$C$22="NO","",IF(OR(LINEAS!$D$97="",LINEAS!$U$97=0,ABS(IF(OR(LINEAS!$U$97=1,LINEAS!$U$97=3),1,-1)*LINEAS!$AH$97*DATOS!$C$67)&lt;0.00005),"*",LINEAS!$D$97&amp;" UNI "&amp;IF(LINEAS!$U$97&lt;=2,"GZ","GX")&amp;" "&amp;TEXT(IF(OR(LINEAS!$U$97=1,LINEAS!$U$97=3),1,-1)*LINEAS!$AH$97*DATOS!$C$67,DATOS!$C$68)))</f>
        <v/>
      </c>
      <c r="E1395" s="51" t="str">
        <f aca="false">IF(LEN($D1395)&gt;79,"MÁS DE 79 CARACTERES","")</f>
        <v/>
      </c>
    </row>
    <row r="1396" customFormat="false" ht="15" hidden="false" customHeight="true" outlineLevel="0" collapsed="false">
      <c r="B1396" s="53" t="str">
        <f aca="false">IF(OR(LINEAS!$D$98="",LINEAS!$U$98=0,ABS(IF(OR(LINEAS!$U$98=1,LINEAS!$U$98=3),1,-1)*LINEAS!$AH$98*DATOS!$C$67)&lt;0.00005),"*",LINEAS!$D$98&amp;" UNI "&amp;IF(LINEAS!$U$98&lt;=2,"GZ","GX")&amp;" "&amp;TEXT(IF(OR(LINEAS!$U$98=1,LINEAS!$U$98=3),1,-1)*LINEAS!$AH$98*DATOS!$C$67,DATOS!$C$68))</f>
        <v>68 UNI GX -0.0139</v>
      </c>
      <c r="C1396" s="51" t="str">
        <f aca="false">IF(LEN($B1396)&gt;79,"MÁS DE 79 CARACTERES","")</f>
        <v/>
      </c>
      <c r="D1396" s="53" t="str">
        <f aca="false">IF(PRESIONES!$C$22="NO","",IF(OR(LINEAS!$D$98="",LINEAS!$U$98=0,ABS(IF(OR(LINEAS!$U$98=1,LINEAS!$U$98=3),1,-1)*LINEAS!$AH$98*DATOS!$C$67)&lt;0.00005),"*",LINEAS!$D$98&amp;" UNI "&amp;IF(LINEAS!$U$98&lt;=2,"GZ","GX")&amp;" "&amp;TEXT(IF(OR(LINEAS!$U$98=1,LINEAS!$U$98=3),1,-1)*LINEAS!$AH$98*DATOS!$C$67,DATOS!$C$68)))</f>
        <v/>
      </c>
      <c r="E1396" s="51" t="str">
        <f aca="false">IF(LEN($D1396)&gt;79,"MÁS DE 79 CARACTERES","")</f>
        <v/>
      </c>
    </row>
    <row r="1397" customFormat="false" ht="15" hidden="false" customHeight="true" outlineLevel="0" collapsed="false">
      <c r="B1397" s="53" t="str">
        <f aca="false">IF(OR(LINEAS!$D$99="",LINEAS!$U$99=0,ABS(IF(OR(LINEAS!$U$99=1,LINEAS!$U$99=3),1,-1)*LINEAS!$AH$99*DATOS!$C$67)&lt;0.00005),"*",LINEAS!$D$99&amp;" UNI "&amp;IF(LINEAS!$U$99&lt;=2,"GZ","GX")&amp;" "&amp;TEXT(IF(OR(LINEAS!$U$99=1,LINEAS!$U$99=3),1,-1)*LINEAS!$AH$99*DATOS!$C$67,DATOS!$C$68))</f>
        <v>67 UNI GX -0.0125</v>
      </c>
      <c r="C1397" s="51" t="str">
        <f aca="false">IF(LEN($B1397)&gt;79,"MÁS DE 79 CARACTERES","")</f>
        <v/>
      </c>
      <c r="D1397" s="53" t="str">
        <f aca="false">IF(PRESIONES!$C$22="NO","",IF(OR(LINEAS!$D$99="",LINEAS!$U$99=0,ABS(IF(OR(LINEAS!$U$99=1,LINEAS!$U$99=3),1,-1)*LINEAS!$AH$99*DATOS!$C$67)&lt;0.00005),"*",LINEAS!$D$99&amp;" UNI "&amp;IF(LINEAS!$U$99&lt;=2,"GZ","GX")&amp;" "&amp;TEXT(IF(OR(LINEAS!$U$99=1,LINEAS!$U$99=3),1,-1)*LINEAS!$AH$99*DATOS!$C$67,DATOS!$C$68)))</f>
        <v/>
      </c>
      <c r="E1397" s="51" t="str">
        <f aca="false">IF(LEN($D1397)&gt;79,"MÁS DE 79 CARACTERES","")</f>
        <v/>
      </c>
    </row>
    <row r="1398" customFormat="false" ht="15" hidden="false" customHeight="true" outlineLevel="0" collapsed="false">
      <c r="B1398" s="53" t="str">
        <f aca="false">IF(OR(LINEAS!$D$100="",LINEAS!$U$100=0,ABS(IF(OR(LINEAS!$U$100=1,LINEAS!$U$100=3),1,-1)*LINEAS!$AH$100*DATOS!$C$67)&lt;0.00005),"*",LINEAS!$D$100&amp;" UNI "&amp;IF(LINEAS!$U$100&lt;=2,"GZ","GX")&amp;" "&amp;TEXT(IF(OR(LINEAS!$U$100=1,LINEAS!$U$100=3),1,-1)*LINEAS!$AH$100*DATOS!$C$67,DATOS!$C$68))</f>
        <v>66 UNI GX -0.0110</v>
      </c>
      <c r="C1398" s="51" t="str">
        <f aca="false">IF(LEN($B1398)&gt;79,"MÁS DE 79 CARACTERES","")</f>
        <v/>
      </c>
      <c r="D1398" s="53" t="str">
        <f aca="false">IF(PRESIONES!$C$22="NO","",IF(OR(LINEAS!$D$100="",LINEAS!$U$100=0,ABS(IF(OR(LINEAS!$U$100=1,LINEAS!$U$100=3),1,-1)*LINEAS!$AH$100*DATOS!$C$67)&lt;0.00005),"*",LINEAS!$D$100&amp;" UNI "&amp;IF(LINEAS!$U$100&lt;=2,"GZ","GX")&amp;" "&amp;TEXT(IF(OR(LINEAS!$U$100=1,LINEAS!$U$100=3),1,-1)*LINEAS!$AH$100*DATOS!$C$67,DATOS!$C$68)))</f>
        <v/>
      </c>
      <c r="E1398" s="51" t="str">
        <f aca="false">IF(LEN($D1398)&gt;79,"MÁS DE 79 CARACTERES","")</f>
        <v/>
      </c>
    </row>
    <row r="1399" customFormat="false" ht="15" hidden="false" customHeight="true" outlineLevel="0" collapsed="false">
      <c r="B1399" s="53" t="str">
        <f aca="false">IF(OR(LINEAS!$D$101="",LINEAS!$U$101=0,ABS(IF(OR(LINEAS!$U$101=1,LINEAS!$U$101=3),1,-1)*LINEAS!$AH$101*DATOS!$C$67)&lt;0.00005),"*",LINEAS!$D$101&amp;" UNI "&amp;IF(LINEAS!$U$101&lt;=2,"GZ","GX")&amp;" "&amp;TEXT(IF(OR(LINEAS!$U$101=1,LINEAS!$U$101=3),1,-1)*LINEAS!$AH$101*DATOS!$C$67,DATOS!$C$68))</f>
        <v>65 UNI GX -0.0096</v>
      </c>
      <c r="C1399" s="51" t="str">
        <f aca="false">IF(LEN($B1399)&gt;79,"MÁS DE 79 CARACTERES","")</f>
        <v/>
      </c>
      <c r="D1399" s="53" t="str">
        <f aca="false">IF(PRESIONES!$C$22="NO","",IF(OR(LINEAS!$D$101="",LINEAS!$U$101=0,ABS(IF(OR(LINEAS!$U$101=1,LINEAS!$U$101=3),1,-1)*LINEAS!$AH$101*DATOS!$C$67)&lt;0.00005),"*",LINEAS!$D$101&amp;" UNI "&amp;IF(LINEAS!$U$101&lt;=2,"GZ","GX")&amp;" "&amp;TEXT(IF(OR(LINEAS!$U$101=1,LINEAS!$U$101=3),1,-1)*LINEAS!$AH$101*DATOS!$C$67,DATOS!$C$68)))</f>
        <v/>
      </c>
      <c r="E1399" s="51" t="str">
        <f aca="false">IF(LEN($D1399)&gt;79,"MÁS DE 79 CARACTERES","")</f>
        <v/>
      </c>
    </row>
    <row r="1400" customFormat="false" ht="15" hidden="false" customHeight="true" outlineLevel="0" collapsed="false">
      <c r="B1400" s="53" t="str">
        <f aca="false">IF(OR(LINEAS!$D$102="",LINEAS!$U$102=0,ABS(IF(OR(LINEAS!$U$102=1,LINEAS!$U$102=3),1,-1)*LINEAS!$AH$102*DATOS!$C$67)&lt;0.00005),"*",LINEAS!$D$102&amp;" UNI "&amp;IF(LINEAS!$U$102&lt;=2,"GZ","GX")&amp;" "&amp;TEXT(IF(OR(LINEAS!$U$102=1,LINEAS!$U$102=3),1,-1)*LINEAS!$AH$102*DATOS!$C$67,DATOS!$C$68))</f>
        <v>43 UNI GX -0.0081</v>
      </c>
      <c r="C1400" s="51" t="str">
        <f aca="false">IF(LEN($B1400)&gt;79,"MÁS DE 79 CARACTERES","")</f>
        <v/>
      </c>
      <c r="D1400" s="53" t="str">
        <f aca="false">IF(PRESIONES!$C$22="NO","",IF(OR(LINEAS!$D$102="",LINEAS!$U$102=0,ABS(IF(OR(LINEAS!$U$102=1,LINEAS!$U$102=3),1,-1)*LINEAS!$AH$102*DATOS!$C$67)&lt;0.00005),"*",LINEAS!$D$102&amp;" UNI "&amp;IF(LINEAS!$U$102&lt;=2,"GZ","GX")&amp;" "&amp;TEXT(IF(OR(LINEAS!$U$102=1,LINEAS!$U$102=3),1,-1)*LINEAS!$AH$102*DATOS!$C$67,DATOS!$C$68)))</f>
        <v/>
      </c>
      <c r="E1400" s="51" t="str">
        <f aca="false">IF(LEN($D1400)&gt;79,"MÁS DE 79 CARACTERES","")</f>
        <v/>
      </c>
    </row>
    <row r="1401" customFormat="false" ht="15" hidden="false" customHeight="true" outlineLevel="0" collapsed="false">
      <c r="B1401" s="53" t="str">
        <f aca="false">IF(OR(LINEAS!$D$103="",LINEAS!$U$103=0,ABS(IF(OR(LINEAS!$U$103=1,LINEAS!$U$103=3),1,-1)*LINEAS!$AH$103*DATOS!$C$67)&lt;0.00005),"*",LINEAS!$D$103&amp;" UNI "&amp;IF(LINEAS!$U$103&lt;=2,"GZ","GX")&amp;" "&amp;TEXT(IF(OR(LINEAS!$U$103=1,LINEAS!$U$103=3),1,-1)*LINEAS!$AH$103*DATOS!$C$67,DATOS!$C$68))</f>
        <v>47 UNI GX -0.0067</v>
      </c>
      <c r="C1401" s="51" t="str">
        <f aca="false">IF(LEN($B1401)&gt;79,"MÁS DE 79 CARACTERES","")</f>
        <v/>
      </c>
      <c r="D1401" s="53" t="str">
        <f aca="false">IF(PRESIONES!$C$22="NO","",IF(OR(LINEAS!$D$103="",LINEAS!$U$103=0,ABS(IF(OR(LINEAS!$U$103=1,LINEAS!$U$103=3),1,-1)*LINEAS!$AH$103*DATOS!$C$67)&lt;0.00005),"*",LINEAS!$D$103&amp;" UNI "&amp;IF(LINEAS!$U$103&lt;=2,"GZ","GX")&amp;" "&amp;TEXT(IF(OR(LINEAS!$U$103=1,LINEAS!$U$103=3),1,-1)*LINEAS!$AH$103*DATOS!$C$67,DATOS!$C$68)))</f>
        <v/>
      </c>
      <c r="E1401" s="51" t="str">
        <f aca="false">IF(LEN($D1401)&gt;79,"MÁS DE 79 CARACTERES","")</f>
        <v/>
      </c>
    </row>
    <row r="1402" customFormat="false" ht="15" hidden="false" customHeight="true" outlineLevel="0" collapsed="false">
      <c r="B1402" s="53" t="str">
        <f aca="false">IF(OR(LINEAS!$D$104="",LINEAS!$U$104=0,ABS(IF(OR(LINEAS!$U$104=1,LINEAS!$U$104=3),1,-1)*LINEAS!$AH$104*DATOS!$C$67)&lt;0.00005),"*",LINEAS!$D$104&amp;" UNI "&amp;IF(LINEAS!$U$104&lt;=2,"GZ","GX")&amp;" "&amp;TEXT(IF(OR(LINEAS!$U$104=1,LINEAS!$U$104=3),1,-1)*LINEAS!$AH$104*DATOS!$C$67,DATOS!$C$68))</f>
        <v>54 UNI GX -0.0054</v>
      </c>
      <c r="C1402" s="51" t="str">
        <f aca="false">IF(LEN($B1402)&gt;79,"MÁS DE 79 CARACTERES","")</f>
        <v/>
      </c>
      <c r="D1402" s="53" t="str">
        <f aca="false">IF(PRESIONES!$C$22="NO","",IF(OR(LINEAS!$D$104="",LINEAS!$U$104=0,ABS(IF(OR(LINEAS!$U$104=1,LINEAS!$U$104=3),1,-1)*LINEAS!$AH$104*DATOS!$C$67)&lt;0.00005),"*",LINEAS!$D$104&amp;" UNI "&amp;IF(LINEAS!$U$104&lt;=2,"GZ","GX")&amp;" "&amp;TEXT(IF(OR(LINEAS!$U$104=1,LINEAS!$U$104=3),1,-1)*LINEAS!$AH$104*DATOS!$C$67,DATOS!$C$68)))</f>
        <v/>
      </c>
      <c r="E1402" s="51" t="str">
        <f aca="false">IF(LEN($D1402)&gt;79,"MÁS DE 79 CARACTERES","")</f>
        <v/>
      </c>
    </row>
    <row r="1403" customFormat="false" ht="15" hidden="false" customHeight="true" outlineLevel="0" collapsed="false">
      <c r="B1403" s="53" t="str">
        <f aca="false">IF(OR(LINEAS!$D$105="",LINEAS!$U$105=0,ABS(IF(OR(LINEAS!$U$105=1,LINEAS!$U$105=3),1,-1)*LINEAS!$AH$105*DATOS!$C$67)&lt;0.00005),"*",LINEAS!$D$105&amp;" UNI "&amp;IF(LINEAS!$U$105&lt;=2,"GZ","GX")&amp;" "&amp;TEXT(IF(OR(LINEAS!$U$105=1,LINEAS!$U$105=3),1,-1)*LINEAS!$AH$105*DATOS!$C$67,DATOS!$C$68))</f>
        <v>64 UNI GX 0.0212</v>
      </c>
      <c r="C1403" s="51" t="str">
        <f aca="false">IF(LEN($B1403)&gt;79,"MÁS DE 79 CARACTERES","")</f>
        <v/>
      </c>
      <c r="D1403" s="53" t="str">
        <f aca="false">IF(PRESIONES!$C$22="NO","",IF(OR(LINEAS!$D$105="",LINEAS!$U$105=0,ABS(IF(OR(LINEAS!$U$105=1,LINEAS!$U$105=3),1,-1)*LINEAS!$AH$105*DATOS!$C$67)&lt;0.00005),"*",LINEAS!$D$105&amp;" UNI "&amp;IF(LINEAS!$U$105&lt;=2,"GZ","GX")&amp;" "&amp;TEXT(IF(OR(LINEAS!$U$105=1,LINEAS!$U$105=3),1,-1)*LINEAS!$AH$105*DATOS!$C$67,DATOS!$C$68)))</f>
        <v/>
      </c>
      <c r="E1403" s="51" t="str">
        <f aca="false">IF(LEN($D1403)&gt;79,"MÁS DE 79 CARACTERES","")</f>
        <v/>
      </c>
    </row>
    <row r="1404" customFormat="false" ht="15" hidden="false" customHeight="true" outlineLevel="0" collapsed="false">
      <c r="B1404" s="53" t="str">
        <f aca="false">IF(OR(LINEAS!$D$106="",LINEAS!$U$106=0,ABS(IF(OR(LINEAS!$U$106=1,LINEAS!$U$106=3),1,-1)*LINEAS!$AH$106*DATOS!$C$67)&lt;0.00005),"*",LINEAS!$D$106&amp;" UNI "&amp;IF(LINEAS!$U$106&lt;=2,"GZ","GX")&amp;" "&amp;TEXT(IF(OR(LINEAS!$U$106=1,LINEAS!$U$106=3),1,-1)*LINEAS!$AH$106*DATOS!$C$67,DATOS!$C$68))</f>
        <v>63 UNI GX 0.0198</v>
      </c>
      <c r="C1404" s="51" t="str">
        <f aca="false">IF(LEN($B1404)&gt;79,"MÁS DE 79 CARACTERES","")</f>
        <v/>
      </c>
      <c r="D1404" s="53" t="str">
        <f aca="false">IF(PRESIONES!$C$22="NO","",IF(OR(LINEAS!$D$106="",LINEAS!$U$106=0,ABS(IF(OR(LINEAS!$U$106=1,LINEAS!$U$106=3),1,-1)*LINEAS!$AH$106*DATOS!$C$67)&lt;0.00005),"*",LINEAS!$D$106&amp;" UNI "&amp;IF(LINEAS!$U$106&lt;=2,"GZ","GX")&amp;" "&amp;TEXT(IF(OR(LINEAS!$U$106=1,LINEAS!$U$106=3),1,-1)*LINEAS!$AH$106*DATOS!$C$67,DATOS!$C$68)))</f>
        <v/>
      </c>
      <c r="E1404" s="51" t="str">
        <f aca="false">IF(LEN($D1404)&gt;79,"MÁS DE 79 CARACTERES","")</f>
        <v/>
      </c>
    </row>
    <row r="1405" customFormat="false" ht="15" hidden="false" customHeight="true" outlineLevel="0" collapsed="false">
      <c r="B1405" s="53" t="str">
        <f aca="false">IF(OR(LINEAS!$D$107="",LINEAS!$U$107=0,ABS(IF(OR(LINEAS!$U$107=1,LINEAS!$U$107=3),1,-1)*LINEAS!$AH$107*DATOS!$C$67)&lt;0.00005),"*",LINEAS!$D$107&amp;" UNI "&amp;IF(LINEAS!$U$107&lt;=2,"GZ","GX")&amp;" "&amp;TEXT(IF(OR(LINEAS!$U$107=1,LINEAS!$U$107=3),1,-1)*LINEAS!$AH$107*DATOS!$C$67,DATOS!$C$68))</f>
        <v>62 UNI GX 0.0183</v>
      </c>
      <c r="C1405" s="51" t="str">
        <f aca="false">IF(LEN($B1405)&gt;79,"MÁS DE 79 CARACTERES","")</f>
        <v/>
      </c>
      <c r="D1405" s="53" t="str">
        <f aca="false">IF(PRESIONES!$C$22="NO","",IF(OR(LINEAS!$D$107="",LINEAS!$U$107=0,ABS(IF(OR(LINEAS!$U$107=1,LINEAS!$U$107=3),1,-1)*LINEAS!$AH$107*DATOS!$C$67)&lt;0.00005),"*",LINEAS!$D$107&amp;" UNI "&amp;IF(LINEAS!$U$107&lt;=2,"GZ","GX")&amp;" "&amp;TEXT(IF(OR(LINEAS!$U$107=1,LINEAS!$U$107=3),1,-1)*LINEAS!$AH$107*DATOS!$C$67,DATOS!$C$68)))</f>
        <v/>
      </c>
      <c r="E1405" s="51" t="str">
        <f aca="false">IF(LEN($D1405)&gt;79,"MÁS DE 79 CARACTERES","")</f>
        <v/>
      </c>
    </row>
    <row r="1406" customFormat="false" ht="15" hidden="false" customHeight="true" outlineLevel="0" collapsed="false">
      <c r="B1406" s="53" t="str">
        <f aca="false">IF(OR(LINEAS!$D$108="",LINEAS!$U$108=0,ABS(IF(OR(LINEAS!$U$108=1,LINEAS!$U$108=3),1,-1)*LINEAS!$AH$108*DATOS!$C$67)&lt;0.00005),"*",LINEAS!$D$108&amp;" UNI "&amp;IF(LINEAS!$U$108&lt;=2,"GZ","GX")&amp;" "&amp;TEXT(IF(OR(LINEAS!$U$108=1,LINEAS!$U$108=3),1,-1)*LINEAS!$AH$108*DATOS!$C$67,DATOS!$C$68))</f>
        <v>61 UNI GX 0.0169</v>
      </c>
      <c r="C1406" s="51" t="str">
        <f aca="false">IF(LEN($B1406)&gt;79,"MÁS DE 79 CARACTERES","")</f>
        <v/>
      </c>
      <c r="D1406" s="53" t="str">
        <f aca="false">IF(PRESIONES!$C$22="NO","",IF(OR(LINEAS!$D$108="",LINEAS!$U$108=0,ABS(IF(OR(LINEAS!$U$108=1,LINEAS!$U$108=3),1,-1)*LINEAS!$AH$108*DATOS!$C$67)&lt;0.00005),"*",LINEAS!$D$108&amp;" UNI "&amp;IF(LINEAS!$U$108&lt;=2,"GZ","GX")&amp;" "&amp;TEXT(IF(OR(LINEAS!$U$108=1,LINEAS!$U$108=3),1,-1)*LINEAS!$AH$108*DATOS!$C$67,DATOS!$C$68)))</f>
        <v/>
      </c>
      <c r="E1406" s="51" t="str">
        <f aca="false">IF(LEN($D1406)&gt;79,"MÁS DE 79 CARACTERES","")</f>
        <v/>
      </c>
    </row>
    <row r="1407" customFormat="false" ht="15" hidden="false" customHeight="true" outlineLevel="0" collapsed="false">
      <c r="B1407" s="53" t="str">
        <f aca="false">IF(OR(LINEAS!$D$109="",LINEAS!$U$109=0,ABS(IF(OR(LINEAS!$U$109=1,LINEAS!$U$109=3),1,-1)*LINEAS!$AH$109*DATOS!$C$67)&lt;0.00005),"*",LINEAS!$D$109&amp;" UNI "&amp;IF(LINEAS!$U$109&lt;=2,"GZ","GX")&amp;" "&amp;TEXT(IF(OR(LINEAS!$U$109=1,LINEAS!$U$109=3),1,-1)*LINEAS!$AH$109*DATOS!$C$67,DATOS!$C$68))</f>
        <v>12 UNI GX 0.0154</v>
      </c>
      <c r="C1407" s="51" t="str">
        <f aca="false">IF(LEN($B1407)&gt;79,"MÁS DE 79 CARACTERES","")</f>
        <v/>
      </c>
      <c r="D1407" s="53" t="str">
        <f aca="false">IF(PRESIONES!$C$22="NO","",IF(OR(LINEAS!$D$109="",LINEAS!$U$109=0,ABS(IF(OR(LINEAS!$U$109=1,LINEAS!$U$109=3),1,-1)*LINEAS!$AH$109*DATOS!$C$67)&lt;0.00005),"*",LINEAS!$D$109&amp;" UNI "&amp;IF(LINEAS!$U$109&lt;=2,"GZ","GX")&amp;" "&amp;TEXT(IF(OR(LINEAS!$U$109=1,LINEAS!$U$109=3),1,-1)*LINEAS!$AH$109*DATOS!$C$67,DATOS!$C$68)))</f>
        <v/>
      </c>
      <c r="E1407" s="51" t="str">
        <f aca="false">IF(LEN($D1407)&gt;79,"MÁS DE 79 CARACTERES","")</f>
        <v/>
      </c>
    </row>
    <row r="1408" customFormat="false" ht="15" hidden="false" customHeight="true" outlineLevel="0" collapsed="false">
      <c r="B1408" s="53" t="str">
        <f aca="false">IF(OR(LINEAS!$D$110="",LINEAS!$U$110=0,ABS(IF(OR(LINEAS!$U$110=1,LINEAS!$U$110=3),1,-1)*LINEAS!$AH$110*DATOS!$C$67)&lt;0.00005),"*",LINEAS!$D$110&amp;" UNI "&amp;IF(LINEAS!$U$110&lt;=2,"GZ","GX")&amp;" "&amp;TEXT(IF(OR(LINEAS!$U$110=1,LINEAS!$U$110=3),1,-1)*LINEAS!$AH$110*DATOS!$C$67,DATOS!$C$68))</f>
        <v>72 UNI GX 0.0139</v>
      </c>
      <c r="C1408" s="51" t="str">
        <f aca="false">IF(LEN($B1408)&gt;79,"MÁS DE 79 CARACTERES","")</f>
        <v/>
      </c>
      <c r="D1408" s="53" t="str">
        <f aca="false">IF(PRESIONES!$C$22="NO","",IF(OR(LINEAS!$D$110="",LINEAS!$U$110=0,ABS(IF(OR(LINEAS!$U$110=1,LINEAS!$U$110=3),1,-1)*LINEAS!$AH$110*DATOS!$C$67)&lt;0.00005),"*",LINEAS!$D$110&amp;" UNI "&amp;IF(LINEAS!$U$110&lt;=2,"GZ","GX")&amp;" "&amp;TEXT(IF(OR(LINEAS!$U$110=1,LINEAS!$U$110=3),1,-1)*LINEAS!$AH$110*DATOS!$C$67,DATOS!$C$68)))</f>
        <v/>
      </c>
      <c r="E1408" s="51" t="str">
        <f aca="false">IF(LEN($D1408)&gt;79,"MÁS DE 79 CARACTERES","")</f>
        <v/>
      </c>
    </row>
    <row r="1409" customFormat="false" ht="15" hidden="false" customHeight="true" outlineLevel="0" collapsed="false">
      <c r="B1409" s="53" t="str">
        <f aca="false">IF(OR(LINEAS!$D$111="",LINEAS!$U$111=0,ABS(IF(OR(LINEAS!$U$111=1,LINEAS!$U$111=3),1,-1)*LINEAS!$AH$111*DATOS!$C$67)&lt;0.00005),"*",LINEAS!$D$111&amp;" UNI "&amp;IF(LINEAS!$U$111&lt;=2,"GZ","GX")&amp;" "&amp;TEXT(IF(OR(LINEAS!$U$111=1,LINEAS!$U$111=3),1,-1)*LINEAS!$AH$111*DATOS!$C$67,DATOS!$C$68))</f>
        <v>71 UNI GX 0.0125</v>
      </c>
      <c r="C1409" s="51" t="str">
        <f aca="false">IF(LEN($B1409)&gt;79,"MÁS DE 79 CARACTERES","")</f>
        <v/>
      </c>
      <c r="D1409" s="53" t="str">
        <f aca="false">IF(PRESIONES!$C$22="NO","",IF(OR(LINEAS!$D$111="",LINEAS!$U$111=0,ABS(IF(OR(LINEAS!$U$111=1,LINEAS!$U$111=3),1,-1)*LINEAS!$AH$111*DATOS!$C$67)&lt;0.00005),"*",LINEAS!$D$111&amp;" UNI "&amp;IF(LINEAS!$U$111&lt;=2,"GZ","GX")&amp;" "&amp;TEXT(IF(OR(LINEAS!$U$111=1,LINEAS!$U$111=3),1,-1)*LINEAS!$AH$111*DATOS!$C$67,DATOS!$C$68)))</f>
        <v/>
      </c>
      <c r="E1409" s="51" t="str">
        <f aca="false">IF(LEN($D1409)&gt;79,"MÁS DE 79 CARACTERES","")</f>
        <v/>
      </c>
    </row>
    <row r="1410" customFormat="false" ht="15" hidden="false" customHeight="true" outlineLevel="0" collapsed="false">
      <c r="B1410" s="53" t="str">
        <f aca="false">IF(OR(LINEAS!$D$112="",LINEAS!$U$112=0,ABS(IF(OR(LINEAS!$U$112=1,LINEAS!$U$112=3),1,-1)*LINEAS!$AH$112*DATOS!$C$67)&lt;0.00005),"*",LINEAS!$D$112&amp;" UNI "&amp;IF(LINEAS!$U$112&lt;=2,"GZ","GX")&amp;" "&amp;TEXT(IF(OR(LINEAS!$U$112=1,LINEAS!$U$112=3),1,-1)*LINEAS!$AH$112*DATOS!$C$67,DATOS!$C$68))</f>
        <v>70 UNI GX 0.0110</v>
      </c>
      <c r="C1410" s="51" t="str">
        <f aca="false">IF(LEN($B1410)&gt;79,"MÁS DE 79 CARACTERES","")</f>
        <v/>
      </c>
      <c r="D1410" s="53" t="str">
        <f aca="false">IF(PRESIONES!$C$22="NO","",IF(OR(LINEAS!$D$112="",LINEAS!$U$112=0,ABS(IF(OR(LINEAS!$U$112=1,LINEAS!$U$112=3),1,-1)*LINEAS!$AH$112*DATOS!$C$67)&lt;0.00005),"*",LINEAS!$D$112&amp;" UNI "&amp;IF(LINEAS!$U$112&lt;=2,"GZ","GX")&amp;" "&amp;TEXT(IF(OR(LINEAS!$U$112=1,LINEAS!$U$112=3),1,-1)*LINEAS!$AH$112*DATOS!$C$67,DATOS!$C$68)))</f>
        <v/>
      </c>
      <c r="E1410" s="51" t="str">
        <f aca="false">IF(LEN($D1410)&gt;79,"MÁS DE 79 CARACTERES","")</f>
        <v/>
      </c>
    </row>
    <row r="1411" customFormat="false" ht="15" hidden="false" customHeight="true" outlineLevel="0" collapsed="false">
      <c r="B1411" s="53" t="str">
        <f aca="false">IF(OR(LINEAS!$D$113="",LINEAS!$U$113=0,ABS(IF(OR(LINEAS!$U$113=1,LINEAS!$U$113=3),1,-1)*LINEAS!$AH$113*DATOS!$C$67)&lt;0.00005),"*",LINEAS!$D$113&amp;" UNI "&amp;IF(LINEAS!$U$113&lt;=2,"GZ","GX")&amp;" "&amp;TEXT(IF(OR(LINEAS!$U$113=1,LINEAS!$U$113=3),1,-1)*LINEAS!$AH$113*DATOS!$C$67,DATOS!$C$68))</f>
        <v>69 UNI GX 0.0096</v>
      </c>
      <c r="C1411" s="51" t="str">
        <f aca="false">IF(LEN($B1411)&gt;79,"MÁS DE 79 CARACTERES","")</f>
        <v/>
      </c>
      <c r="D1411" s="53" t="str">
        <f aca="false">IF(PRESIONES!$C$22="NO","",IF(OR(LINEAS!$D$113="",LINEAS!$U$113=0,ABS(IF(OR(LINEAS!$U$113=1,LINEAS!$U$113=3),1,-1)*LINEAS!$AH$113*DATOS!$C$67)&lt;0.00005),"*",LINEAS!$D$113&amp;" UNI "&amp;IF(LINEAS!$U$113&lt;=2,"GZ","GX")&amp;" "&amp;TEXT(IF(OR(LINEAS!$U$113=1,LINEAS!$U$113=3),1,-1)*LINEAS!$AH$113*DATOS!$C$67,DATOS!$C$68)))</f>
        <v/>
      </c>
      <c r="E1411" s="51" t="str">
        <f aca="false">IF(LEN($D1411)&gt;79,"MÁS DE 79 CARACTERES","")</f>
        <v/>
      </c>
    </row>
    <row r="1412" customFormat="false" ht="15" hidden="false" customHeight="true" outlineLevel="0" collapsed="false">
      <c r="B1412" s="53" t="str">
        <f aca="false">IF(OR(LINEAS!$D$114="",LINEAS!$U$114=0,ABS(IF(OR(LINEAS!$U$114=1,LINEAS!$U$114=3),1,-1)*LINEAS!$AH$114*DATOS!$C$67)&lt;0.00005),"*",LINEAS!$D$114&amp;" UNI "&amp;IF(LINEAS!$U$114&lt;=2,"GZ","GX")&amp;" "&amp;TEXT(IF(OR(LINEAS!$U$114=1,LINEAS!$U$114=3),1,-1)*LINEAS!$AH$114*DATOS!$C$67,DATOS!$C$68))</f>
        <v>50 UNI GX 0.0081</v>
      </c>
      <c r="C1412" s="51" t="str">
        <f aca="false">IF(LEN($B1412)&gt;79,"MÁS DE 79 CARACTERES","")</f>
        <v/>
      </c>
      <c r="D1412" s="53" t="str">
        <f aca="false">IF(PRESIONES!$C$22="NO","",IF(OR(LINEAS!$D$114="",LINEAS!$U$114=0,ABS(IF(OR(LINEAS!$U$114=1,LINEAS!$U$114=3),1,-1)*LINEAS!$AH$114*DATOS!$C$67)&lt;0.00005),"*",LINEAS!$D$114&amp;" UNI "&amp;IF(LINEAS!$U$114&lt;=2,"GZ","GX")&amp;" "&amp;TEXT(IF(OR(LINEAS!$U$114=1,LINEAS!$U$114=3),1,-1)*LINEAS!$AH$114*DATOS!$C$67,DATOS!$C$68)))</f>
        <v/>
      </c>
      <c r="E1412" s="51" t="str">
        <f aca="false">IF(LEN($D1412)&gt;79,"MÁS DE 79 CARACTERES","")</f>
        <v/>
      </c>
    </row>
    <row r="1413" customFormat="false" ht="15" hidden="false" customHeight="true" outlineLevel="0" collapsed="false">
      <c r="B1413" s="53" t="str">
        <f aca="false">IF(OR(LINEAS!$D$115="",LINEAS!$U$115=0,ABS(IF(OR(LINEAS!$U$115=1,LINEAS!$U$115=3),1,-1)*LINEAS!$AH$115*DATOS!$C$67)&lt;0.00005),"*",LINEAS!$D$115&amp;" UNI "&amp;IF(LINEAS!$U$115&lt;=2,"GZ","GX")&amp;" "&amp;TEXT(IF(OR(LINEAS!$U$115=1,LINEAS!$U$115=3),1,-1)*LINEAS!$AH$115*DATOS!$C$67,DATOS!$C$68))</f>
        <v>53 UNI GX 0.0067</v>
      </c>
      <c r="C1413" s="51" t="str">
        <f aca="false">IF(LEN($B1413)&gt;79,"MÁS DE 79 CARACTERES","")</f>
        <v/>
      </c>
      <c r="D1413" s="53" t="str">
        <f aca="false">IF(PRESIONES!$C$22="NO","",IF(OR(LINEAS!$D$115="",LINEAS!$U$115=0,ABS(IF(OR(LINEAS!$U$115=1,LINEAS!$U$115=3),1,-1)*LINEAS!$AH$115*DATOS!$C$67)&lt;0.00005),"*",LINEAS!$D$115&amp;" UNI "&amp;IF(LINEAS!$U$115&lt;=2,"GZ","GX")&amp;" "&amp;TEXT(IF(OR(LINEAS!$U$115=1,LINEAS!$U$115=3),1,-1)*LINEAS!$AH$115*DATOS!$C$67,DATOS!$C$68)))</f>
        <v/>
      </c>
      <c r="E1413" s="51" t="str">
        <f aca="false">IF(LEN($D1413)&gt;79,"MÁS DE 79 CARACTERES","")</f>
        <v/>
      </c>
    </row>
    <row r="1414" customFormat="false" ht="15" hidden="false" customHeight="true" outlineLevel="0" collapsed="false">
      <c r="B1414" s="53" t="str">
        <f aca="false">IF(OR(LINEAS!$D$116="",LINEAS!$U$116=0,ABS(IF(OR(LINEAS!$U$116=1,LINEAS!$U$116=3),1,-1)*LINEAS!$AH$116*DATOS!$C$67)&lt;0.00005),"*",LINEAS!$D$116&amp;" UNI "&amp;IF(LINEAS!$U$116&lt;=2,"GZ","GX")&amp;" "&amp;TEXT(IF(OR(LINEAS!$U$116=1,LINEAS!$U$116=3),1,-1)*LINEAS!$AH$116*DATOS!$C$67,DATOS!$C$68))</f>
        <v>55 UNI GX 0.0054</v>
      </c>
      <c r="C1414" s="51" t="str">
        <f aca="false">IF(LEN($B1414)&gt;79,"MÁS DE 79 CARACTERES","")</f>
        <v/>
      </c>
      <c r="D1414" s="53" t="str">
        <f aca="false">IF(PRESIONES!$C$22="NO","",IF(OR(LINEAS!$D$116="",LINEAS!$U$116=0,ABS(IF(OR(LINEAS!$U$116=1,LINEAS!$U$116=3),1,-1)*LINEAS!$AH$116*DATOS!$C$67)&lt;0.00005),"*",LINEAS!$D$116&amp;" UNI "&amp;IF(LINEAS!$U$116&lt;=2,"GZ","GX")&amp;" "&amp;TEXT(IF(OR(LINEAS!$U$116=1,LINEAS!$U$116=3),1,-1)*LINEAS!$AH$116*DATOS!$C$67,DATOS!$C$68)))</f>
        <v/>
      </c>
      <c r="E1414" s="51" t="str">
        <f aca="false">IF(LEN($D1414)&gt;79,"MÁS DE 79 CARACTERES","")</f>
        <v/>
      </c>
    </row>
    <row r="1415" customFormat="false" ht="15" hidden="false" customHeight="true" outlineLevel="0" collapsed="false">
      <c r="B1415" s="53" t="str">
        <f aca="false">IF(OR(LINEAS!$D$117="",LINEAS!$U$117=0,ABS(IF(OR(LINEAS!$U$117=1,LINEAS!$U$117=3),1,-1)*LINEAS!$AH$117*DATOS!$C$67)&lt;0.00005),"*",LINEAS!$D$117&amp;" UNI "&amp;IF(LINEAS!$U$117&lt;=2,"GZ","GX")&amp;" "&amp;TEXT(IF(OR(LINEAS!$U$117=1,LINEAS!$U$117=3),1,-1)*LINEAS!$AH$117*DATOS!$C$67,DATOS!$C$68))</f>
        <v>262 UNI GZ 0.8124</v>
      </c>
      <c r="C1415" s="51" t="str">
        <f aca="false">IF(LEN($B1415)&gt;79,"MÁS DE 79 CARACTERES","")</f>
        <v/>
      </c>
      <c r="D1415" s="53" t="str">
        <f aca="false">IF(PRESIONES!$C$22="NO","",IF(OR(LINEAS!$D$117="",LINEAS!$U$117=0,ABS(IF(OR(LINEAS!$U$117=1,LINEAS!$U$117=3),1,-1)*LINEAS!$AH$117*DATOS!$C$67)&lt;0.00005),"*",LINEAS!$D$117&amp;" UNI "&amp;IF(LINEAS!$U$117&lt;=2,"GZ","GX")&amp;" "&amp;TEXT(IF(OR(LINEAS!$U$117=1,LINEAS!$U$117=3),1,-1)*LINEAS!$AH$117*DATOS!$C$67,DATOS!$C$68)))</f>
        <v/>
      </c>
      <c r="E1415" s="51" t="str">
        <f aca="false">IF(LEN($D1415)&gt;79,"MÁS DE 79 CARACTERES","")</f>
        <v/>
      </c>
    </row>
    <row r="1416" customFormat="false" ht="15" hidden="false" customHeight="true" outlineLevel="0" collapsed="false">
      <c r="B1416" s="53" t="str">
        <f aca="false">IF(OR(LINEAS!$D$118="",LINEAS!$U$118=0,ABS(IF(OR(LINEAS!$U$118=1,LINEAS!$U$118=3),1,-1)*LINEAS!$AH$118*DATOS!$C$67)&lt;0.00005),"*",LINEAS!$D$118&amp;" UNI "&amp;IF(LINEAS!$U$118&lt;=2,"GZ","GX")&amp;" "&amp;TEXT(IF(OR(LINEAS!$U$118=1,LINEAS!$U$118=3),1,-1)*LINEAS!$AH$118*DATOS!$C$67,DATOS!$C$68))</f>
        <v>263 UNI GZ 0.8124</v>
      </c>
      <c r="C1416" s="51" t="str">
        <f aca="false">IF(LEN($B1416)&gt;79,"MÁS DE 79 CARACTERES","")</f>
        <v/>
      </c>
      <c r="D1416" s="53" t="str">
        <f aca="false">IF(PRESIONES!$C$22="NO","",IF(OR(LINEAS!$D$118="",LINEAS!$U$118=0,ABS(IF(OR(LINEAS!$U$118=1,LINEAS!$U$118=3),1,-1)*LINEAS!$AH$118*DATOS!$C$67)&lt;0.00005),"*",LINEAS!$D$118&amp;" UNI "&amp;IF(LINEAS!$U$118&lt;=2,"GZ","GX")&amp;" "&amp;TEXT(IF(OR(LINEAS!$U$118=1,LINEAS!$U$118=3),1,-1)*LINEAS!$AH$118*DATOS!$C$67,DATOS!$C$68)))</f>
        <v/>
      </c>
      <c r="E1416" s="51" t="str">
        <f aca="false">IF(LEN($D1416)&gt;79,"MÁS DE 79 CARACTERES","")</f>
        <v/>
      </c>
    </row>
    <row r="1417" customFormat="false" ht="15" hidden="false" customHeight="true" outlineLevel="0" collapsed="false">
      <c r="B1417" s="53" t="str">
        <f aca="false">IF(OR(LINEAS!$D$119="",LINEAS!$U$119=0,ABS(IF(OR(LINEAS!$U$119=1,LINEAS!$U$119=3),1,-1)*LINEAS!$AH$119*DATOS!$C$67)&lt;0.00005),"*",LINEAS!$D$119&amp;" UNI "&amp;IF(LINEAS!$U$119&lt;=2,"GZ","GX")&amp;" "&amp;TEXT(IF(OR(LINEAS!$U$119=1,LINEAS!$U$119=3),1,-1)*LINEAS!$AH$119*DATOS!$C$67,DATOS!$C$68))</f>
        <v>264 UNI GZ 0.8124</v>
      </c>
      <c r="C1417" s="51" t="str">
        <f aca="false">IF(LEN($B1417)&gt;79,"MÁS DE 79 CARACTERES","")</f>
        <v/>
      </c>
      <c r="D1417" s="53" t="str">
        <f aca="false">IF(PRESIONES!$C$22="NO","",IF(OR(LINEAS!$D$119="",LINEAS!$U$119=0,ABS(IF(OR(LINEAS!$U$119=1,LINEAS!$U$119=3),1,-1)*LINEAS!$AH$119*DATOS!$C$67)&lt;0.00005),"*",LINEAS!$D$119&amp;" UNI "&amp;IF(LINEAS!$U$119&lt;=2,"GZ","GX")&amp;" "&amp;TEXT(IF(OR(LINEAS!$U$119=1,LINEAS!$U$119=3),1,-1)*LINEAS!$AH$119*DATOS!$C$67,DATOS!$C$68)))</f>
        <v/>
      </c>
      <c r="E1417" s="51" t="str">
        <f aca="false">IF(LEN($D1417)&gt;79,"MÁS DE 79 CARACTERES","")</f>
        <v/>
      </c>
    </row>
    <row r="1418" customFormat="false" ht="15" hidden="false" customHeight="true" outlineLevel="0" collapsed="false">
      <c r="B1418" s="53" t="str">
        <f aca="false">IF(OR(LINEAS!$D$120="",LINEAS!$U$120=0,ABS(IF(OR(LINEAS!$U$120=1,LINEAS!$U$120=3),1,-1)*LINEAS!$AH$120*DATOS!$C$67)&lt;0.00005),"*",LINEAS!$D$120&amp;" UNI "&amp;IF(LINEAS!$U$120&lt;=2,"GZ","GX")&amp;" "&amp;TEXT(IF(OR(LINEAS!$U$120=1,LINEAS!$U$120=3),1,-1)*LINEAS!$AH$120*DATOS!$C$67,DATOS!$C$68))</f>
        <v>271 UNI GZ 0.8124</v>
      </c>
      <c r="C1418" s="51" t="str">
        <f aca="false">IF(LEN($B1418)&gt;79,"MÁS DE 79 CARACTERES","")</f>
        <v/>
      </c>
      <c r="D1418" s="53" t="str">
        <f aca="false">IF(PRESIONES!$C$22="NO","",IF(OR(LINEAS!$D$120="",LINEAS!$U$120=0,ABS(IF(OR(LINEAS!$U$120=1,LINEAS!$U$120=3),1,-1)*LINEAS!$AH$120*DATOS!$C$67)&lt;0.00005),"*",LINEAS!$D$120&amp;" UNI "&amp;IF(LINEAS!$U$120&lt;=2,"GZ","GX")&amp;" "&amp;TEXT(IF(OR(LINEAS!$U$120=1,LINEAS!$U$120=3),1,-1)*LINEAS!$AH$120*DATOS!$C$67,DATOS!$C$68)))</f>
        <v/>
      </c>
      <c r="E1418" s="51" t="str">
        <f aca="false">IF(LEN($D1418)&gt;79,"MÁS DE 79 CARACTERES","")</f>
        <v/>
      </c>
    </row>
    <row r="1419" customFormat="false" ht="15" hidden="false" customHeight="true" outlineLevel="0" collapsed="false">
      <c r="B1419" s="53" t="str">
        <f aca="false">IF(OR(LINEAS!$D$121="",LINEAS!$U$121=0,ABS(IF(OR(LINEAS!$U$121=1,LINEAS!$U$121=3),1,-1)*LINEAS!$AH$121*DATOS!$C$67)&lt;0.00005),"*",LINEAS!$D$121&amp;" UNI "&amp;IF(LINEAS!$U$121&lt;=2,"GZ","GX")&amp;" "&amp;TEXT(IF(OR(LINEAS!$U$121=1,LINEAS!$U$121=3),1,-1)*LINEAS!$AH$121*DATOS!$C$67,DATOS!$C$68))</f>
        <v>286 UNI GZ 0.4062</v>
      </c>
      <c r="C1419" s="51" t="str">
        <f aca="false">IF(LEN($B1419)&gt;79,"MÁS DE 79 CARACTERES","")</f>
        <v/>
      </c>
      <c r="D1419" s="53" t="str">
        <f aca="false">IF(PRESIONES!$C$22="NO","",IF(OR(LINEAS!$D$121="",LINEAS!$U$121=0,ABS(IF(OR(LINEAS!$U$121=1,LINEAS!$U$121=3),1,-1)*LINEAS!$AH$121*DATOS!$C$67)&lt;0.00005),"*",LINEAS!$D$121&amp;" UNI "&amp;IF(LINEAS!$U$121&lt;=2,"GZ","GX")&amp;" "&amp;TEXT(IF(OR(LINEAS!$U$121=1,LINEAS!$U$121=3),1,-1)*LINEAS!$AH$121*DATOS!$C$67,DATOS!$C$68)))</f>
        <v/>
      </c>
      <c r="E1419" s="51" t="str">
        <f aca="false">IF(LEN($D1419)&gt;79,"MÁS DE 79 CARACTERES","")</f>
        <v/>
      </c>
    </row>
    <row r="1420" customFormat="false" ht="15" hidden="false" customHeight="true" outlineLevel="0" collapsed="false">
      <c r="B1420" s="53" t="str">
        <f aca="false">IF(OR(LINEAS!$D$122="",LINEAS!$U$122=0,ABS(IF(OR(LINEAS!$U$122=1,LINEAS!$U$122=3),1,-1)*LINEAS!$AH$122*DATOS!$C$67)&lt;0.00005),"*",LINEAS!$D$122&amp;" UNI "&amp;IF(LINEAS!$U$122&lt;=2,"GZ","GX")&amp;" "&amp;TEXT(IF(OR(LINEAS!$U$122=1,LINEAS!$U$122=3),1,-1)*LINEAS!$AH$122*DATOS!$C$67,DATOS!$C$68))</f>
        <v>272 UNI GZ 0.8124</v>
      </c>
      <c r="C1420" s="51" t="str">
        <f aca="false">IF(LEN($B1420)&gt;79,"MÁS DE 79 CARACTERES","")</f>
        <v/>
      </c>
      <c r="D1420" s="53" t="str">
        <f aca="false">IF(PRESIONES!$C$22="NO","",IF(OR(LINEAS!$D$122="",LINEAS!$U$122=0,ABS(IF(OR(LINEAS!$U$122=1,LINEAS!$U$122=3),1,-1)*LINEAS!$AH$122*DATOS!$C$67)&lt;0.00005),"*",LINEAS!$D$122&amp;" UNI "&amp;IF(LINEAS!$U$122&lt;=2,"GZ","GX")&amp;" "&amp;TEXT(IF(OR(LINEAS!$U$122=1,LINEAS!$U$122=3),1,-1)*LINEAS!$AH$122*DATOS!$C$67,DATOS!$C$68)))</f>
        <v/>
      </c>
      <c r="E1420" s="51" t="str">
        <f aca="false">IF(LEN($D1420)&gt;79,"MÁS DE 79 CARACTERES","")</f>
        <v/>
      </c>
    </row>
    <row r="1421" customFormat="false" ht="15" hidden="false" customHeight="true" outlineLevel="0" collapsed="false">
      <c r="B1421" s="53" t="str">
        <f aca="false">IF(OR(LINEAS!$D$123="",LINEAS!$U$123=0,ABS(IF(OR(LINEAS!$U$123=1,LINEAS!$U$123=3),1,-1)*LINEAS!$AH$123*DATOS!$C$67)&lt;0.00005),"*",LINEAS!$D$123&amp;" UNI "&amp;IF(LINEAS!$U$123&lt;=2,"GZ","GX")&amp;" "&amp;TEXT(IF(OR(LINEAS!$U$123=1,LINEAS!$U$123=3),1,-1)*LINEAS!$AH$123*DATOS!$C$67,DATOS!$C$68))</f>
        <v>273 UNI GZ 0.8124</v>
      </c>
      <c r="C1421" s="51" t="str">
        <f aca="false">IF(LEN($B1421)&gt;79,"MÁS DE 79 CARACTERES","")</f>
        <v/>
      </c>
      <c r="D1421" s="53" t="str">
        <f aca="false">IF(PRESIONES!$C$22="NO","",IF(OR(LINEAS!$D$123="",LINEAS!$U$123=0,ABS(IF(OR(LINEAS!$U$123=1,LINEAS!$U$123=3),1,-1)*LINEAS!$AH$123*DATOS!$C$67)&lt;0.00005),"*",LINEAS!$D$123&amp;" UNI "&amp;IF(LINEAS!$U$123&lt;=2,"GZ","GX")&amp;" "&amp;TEXT(IF(OR(LINEAS!$U$123=1,LINEAS!$U$123=3),1,-1)*LINEAS!$AH$123*DATOS!$C$67,DATOS!$C$68)))</f>
        <v/>
      </c>
      <c r="E1421" s="51" t="str">
        <f aca="false">IF(LEN($D1421)&gt;79,"MÁS DE 79 CARACTERES","")</f>
        <v/>
      </c>
    </row>
    <row r="1422" customFormat="false" ht="15" hidden="false" customHeight="true" outlineLevel="0" collapsed="false">
      <c r="B1422" s="53" t="str">
        <f aca="false">IF(OR(LINEAS!$D$124="",LINEAS!$U$124=0,ABS(IF(OR(LINEAS!$U$124=1,LINEAS!$U$124=3),1,-1)*LINEAS!$AH$124*DATOS!$C$67)&lt;0.00005),"*",LINEAS!$D$124&amp;" UNI "&amp;IF(LINEAS!$U$124&lt;=2,"GZ","GX")&amp;" "&amp;TEXT(IF(OR(LINEAS!$U$124=1,LINEAS!$U$124=3),1,-1)*LINEAS!$AH$124*DATOS!$C$67,DATOS!$C$68))</f>
        <v>280 UNI GZ 0.8124</v>
      </c>
      <c r="C1422" s="51" t="str">
        <f aca="false">IF(LEN($B1422)&gt;79,"MÁS DE 79 CARACTERES","")</f>
        <v/>
      </c>
      <c r="D1422" s="53" t="str">
        <f aca="false">IF(PRESIONES!$C$22="NO","",IF(OR(LINEAS!$D$124="",LINEAS!$U$124=0,ABS(IF(OR(LINEAS!$U$124=1,LINEAS!$U$124=3),1,-1)*LINEAS!$AH$124*DATOS!$C$67)&lt;0.00005),"*",LINEAS!$D$124&amp;" UNI "&amp;IF(LINEAS!$U$124&lt;=2,"GZ","GX")&amp;" "&amp;TEXT(IF(OR(LINEAS!$U$124=1,LINEAS!$U$124=3),1,-1)*LINEAS!$AH$124*DATOS!$C$67,DATOS!$C$68)))</f>
        <v/>
      </c>
      <c r="E1422" s="51" t="str">
        <f aca="false">IF(LEN($D1422)&gt;79,"MÁS DE 79 CARACTERES","")</f>
        <v/>
      </c>
    </row>
    <row r="1423" customFormat="false" ht="15" hidden="false" customHeight="true" outlineLevel="0" collapsed="false">
      <c r="B1423" s="53" t="str">
        <f aca="false">IF(OR(LINEAS!$D$125="",LINEAS!$U$125=0,ABS(IF(OR(LINEAS!$U$125=1,LINEAS!$U$125=3),1,-1)*LINEAS!$AH$125*DATOS!$C$67)&lt;0.00005),"*",LINEAS!$D$125&amp;" UNI "&amp;IF(LINEAS!$U$125&lt;=2,"GZ","GX")&amp;" "&amp;TEXT(IF(OR(LINEAS!$U$125=1,LINEAS!$U$125=3),1,-1)*LINEAS!$AH$125*DATOS!$C$67,DATOS!$C$68))</f>
        <v>282 UNI GZ 0.8124</v>
      </c>
      <c r="C1423" s="51" t="str">
        <f aca="false">IF(LEN($B1423)&gt;79,"MÁS DE 79 CARACTERES","")</f>
        <v/>
      </c>
      <c r="D1423" s="53" t="str">
        <f aca="false">IF(PRESIONES!$C$22="NO","",IF(OR(LINEAS!$D$125="",LINEAS!$U$125=0,ABS(IF(OR(LINEAS!$U$125=1,LINEAS!$U$125=3),1,-1)*LINEAS!$AH$125*DATOS!$C$67)&lt;0.00005),"*",LINEAS!$D$125&amp;" UNI "&amp;IF(LINEAS!$U$125&lt;=2,"GZ","GX")&amp;" "&amp;TEXT(IF(OR(LINEAS!$U$125=1,LINEAS!$U$125=3),1,-1)*LINEAS!$AH$125*DATOS!$C$67,DATOS!$C$68)))</f>
        <v/>
      </c>
      <c r="E1423" s="51" t="str">
        <f aca="false">IF(LEN($D1423)&gt;79,"MÁS DE 79 CARACTERES","")</f>
        <v/>
      </c>
    </row>
    <row r="1424" customFormat="false" ht="15" hidden="false" customHeight="true" outlineLevel="0" collapsed="false">
      <c r="B1424" s="53" t="str">
        <f aca="false">IF(OR(LINEAS!$D$126="",LINEAS!$U$126=0,ABS(IF(OR(LINEAS!$U$126=1,LINEAS!$U$126=3),1,-1)*LINEAS!$AH$126*DATOS!$C$67)&lt;0.00005),"*",LINEAS!$D$126&amp;" UNI "&amp;IF(LINEAS!$U$126&lt;=2,"GZ","GX")&amp;" "&amp;TEXT(IF(OR(LINEAS!$U$126=1,LINEAS!$U$126=3),1,-1)*LINEAS!$AH$126*DATOS!$C$67,DATOS!$C$68))</f>
        <v>290 UNI GZ 0.8124</v>
      </c>
      <c r="C1424" s="51" t="str">
        <f aca="false">IF(LEN($B1424)&gt;79,"MÁS DE 79 CARACTERES","")</f>
        <v/>
      </c>
      <c r="D1424" s="53" t="str">
        <f aca="false">IF(PRESIONES!$C$22="NO","",IF(OR(LINEAS!$D$126="",LINEAS!$U$126=0,ABS(IF(OR(LINEAS!$U$126=1,LINEAS!$U$126=3),1,-1)*LINEAS!$AH$126*DATOS!$C$67)&lt;0.00005),"*",LINEAS!$D$126&amp;" UNI "&amp;IF(LINEAS!$U$126&lt;=2,"GZ","GX")&amp;" "&amp;TEXT(IF(OR(LINEAS!$U$126=1,LINEAS!$U$126=3),1,-1)*LINEAS!$AH$126*DATOS!$C$67,DATOS!$C$68)))</f>
        <v/>
      </c>
      <c r="E1424" s="51" t="str">
        <f aca="false">IF(LEN($D1424)&gt;79,"MÁS DE 79 CARACTERES","")</f>
        <v/>
      </c>
    </row>
    <row r="1425" customFormat="false" ht="15" hidden="false" customHeight="true" outlineLevel="0" collapsed="false">
      <c r="B1425" s="53" t="str">
        <f aca="false">IF(OR(LINEAS!$D$127="",LINEAS!$U$127=0,ABS(IF(OR(LINEAS!$U$127=1,LINEAS!$U$127=3),1,-1)*LINEAS!$AH$127*DATOS!$C$67)&lt;0.00005),"*",LINEAS!$D$127&amp;" UNI "&amp;IF(LINEAS!$U$127&lt;=2,"GZ","GX")&amp;" "&amp;TEXT(IF(OR(LINEAS!$U$127=1,LINEAS!$U$127=3),1,-1)*LINEAS!$AH$127*DATOS!$C$67,DATOS!$C$68))</f>
        <v>291 UNI GZ 0.8124</v>
      </c>
      <c r="C1425" s="51" t="str">
        <f aca="false">IF(LEN($B1425)&gt;79,"MÁS DE 79 CARACTERES","")</f>
        <v/>
      </c>
      <c r="D1425" s="53" t="str">
        <f aca="false">IF(PRESIONES!$C$22="NO","",IF(OR(LINEAS!$D$127="",LINEAS!$U$127=0,ABS(IF(OR(LINEAS!$U$127=1,LINEAS!$U$127=3),1,-1)*LINEAS!$AH$127*DATOS!$C$67)&lt;0.00005),"*",LINEAS!$D$127&amp;" UNI "&amp;IF(LINEAS!$U$127&lt;=2,"GZ","GX")&amp;" "&amp;TEXT(IF(OR(LINEAS!$U$127=1,LINEAS!$U$127=3),1,-1)*LINEAS!$AH$127*DATOS!$C$67,DATOS!$C$68)))</f>
        <v/>
      </c>
      <c r="E1425" s="51" t="str">
        <f aca="false">IF(LEN($D1425)&gt;79,"MÁS DE 79 CARACTERES","")</f>
        <v/>
      </c>
    </row>
    <row r="1426" customFormat="false" ht="15" hidden="false" customHeight="true" outlineLevel="0" collapsed="false">
      <c r="B1426" s="53" t="str">
        <f aca="false">IF(OR(LINEAS!$D$128="",LINEAS!$U$128=0,ABS(IF(OR(LINEAS!$U$128=1,LINEAS!$U$128=3),1,-1)*LINEAS!$AH$128*DATOS!$C$67)&lt;0.00005),"*",LINEAS!$D$128&amp;" UNI "&amp;IF(LINEAS!$U$128&lt;=2,"GZ","GX")&amp;" "&amp;TEXT(IF(OR(LINEAS!$U$128=1,LINEAS!$U$128=3),1,-1)*LINEAS!$AH$128*DATOS!$C$67,DATOS!$C$68))</f>
        <v>298 UNI GZ 0.5179</v>
      </c>
      <c r="C1426" s="51" t="str">
        <f aca="false">IF(LEN($B1426)&gt;79,"MÁS DE 79 CARACTERES","")</f>
        <v/>
      </c>
      <c r="D1426" s="53" t="str">
        <f aca="false">IF(PRESIONES!$C$22="NO","",IF(OR(LINEAS!$D$128="",LINEAS!$U$128=0,ABS(IF(OR(LINEAS!$U$128=1,LINEAS!$U$128=3),1,-1)*LINEAS!$AH$128*DATOS!$C$67)&lt;0.00005),"*",LINEAS!$D$128&amp;" UNI "&amp;IF(LINEAS!$U$128&lt;=2,"GZ","GX")&amp;" "&amp;TEXT(IF(OR(LINEAS!$U$128=1,LINEAS!$U$128=3),1,-1)*LINEAS!$AH$128*DATOS!$C$67,DATOS!$C$68)))</f>
        <v/>
      </c>
      <c r="E1426" s="51" t="str">
        <f aca="false">IF(LEN($D1426)&gt;79,"MÁS DE 79 CARACTERES","")</f>
        <v/>
      </c>
    </row>
    <row r="1427" customFormat="false" ht="15" hidden="false" customHeight="true" outlineLevel="0" collapsed="false">
      <c r="B1427" s="53" t="str">
        <f aca="false">IF(OR(LINEAS!$D$129="",LINEAS!$U$129=0,ABS(IF(OR(LINEAS!$U$129=1,LINEAS!$U$129=3),1,-1)*LINEAS!$AH$129*DATOS!$C$67)&lt;0.00005),"*",LINEAS!$D$129&amp;" UNI "&amp;IF(LINEAS!$U$129&lt;=2,"GZ","GX")&amp;" "&amp;TEXT(IF(OR(LINEAS!$U$129=1,LINEAS!$U$129=3),1,-1)*LINEAS!$AH$129*DATOS!$C$67,DATOS!$C$68))</f>
        <v>299 UNI GZ 0.5179</v>
      </c>
      <c r="C1427" s="51" t="str">
        <f aca="false">IF(LEN($B1427)&gt;79,"MÁS DE 79 CARACTERES","")</f>
        <v/>
      </c>
      <c r="D1427" s="53" t="str">
        <f aca="false">IF(PRESIONES!$C$22="NO","",IF(OR(LINEAS!$D$129="",LINEAS!$U$129=0,ABS(IF(OR(LINEAS!$U$129=1,LINEAS!$U$129=3),1,-1)*LINEAS!$AH$129*DATOS!$C$67)&lt;0.00005),"*",LINEAS!$D$129&amp;" UNI "&amp;IF(LINEAS!$U$129&lt;=2,"GZ","GX")&amp;" "&amp;TEXT(IF(OR(LINEAS!$U$129=1,LINEAS!$U$129=3),1,-1)*LINEAS!$AH$129*DATOS!$C$67,DATOS!$C$68)))</f>
        <v/>
      </c>
      <c r="E1427" s="51" t="str">
        <f aca="false">IF(LEN($D1427)&gt;79,"MÁS DE 79 CARACTERES","")</f>
        <v/>
      </c>
    </row>
    <row r="1428" customFormat="false" ht="15" hidden="false" customHeight="true" outlineLevel="0" collapsed="false">
      <c r="B1428" s="53" t="str">
        <f aca="false">IF(OR(LINEAS!$D$130="",LINEAS!$U$130=0,ABS(IF(OR(LINEAS!$U$130=1,LINEAS!$U$130=3),1,-1)*LINEAS!$AH$130*DATOS!$C$67)&lt;0.00005),"*",LINEAS!$D$130&amp;" UNI "&amp;IF(LINEAS!$U$130&lt;=2,"GZ","GX")&amp;" "&amp;TEXT(IF(OR(LINEAS!$U$130=1,LINEAS!$U$130=3),1,-1)*LINEAS!$AH$130*DATOS!$C$67,DATOS!$C$68))</f>
        <v>326 UNI GZ 0.4062</v>
      </c>
      <c r="C1428" s="51" t="str">
        <f aca="false">IF(LEN($B1428)&gt;79,"MÁS DE 79 CARACTERES","")</f>
        <v/>
      </c>
      <c r="D1428" s="53" t="str">
        <f aca="false">IF(PRESIONES!$C$22="NO","",IF(OR(LINEAS!$D$130="",LINEAS!$U$130=0,ABS(IF(OR(LINEAS!$U$130=1,LINEAS!$U$130=3),1,-1)*LINEAS!$AH$130*DATOS!$C$67)&lt;0.00005),"*",LINEAS!$D$130&amp;" UNI "&amp;IF(LINEAS!$U$130&lt;=2,"GZ","GX")&amp;" "&amp;TEXT(IF(OR(LINEAS!$U$130=1,LINEAS!$U$130=3),1,-1)*LINEAS!$AH$130*DATOS!$C$67,DATOS!$C$68)))</f>
        <v/>
      </c>
      <c r="E1428" s="51" t="str">
        <f aca="false">IF(LEN($D1428)&gt;79,"MÁS DE 79 CARACTERES","")</f>
        <v/>
      </c>
    </row>
    <row r="1429" customFormat="false" ht="15" hidden="false" customHeight="true" outlineLevel="0" collapsed="false">
      <c r="B1429" s="53" t="str">
        <f aca="false">IF(OR(LINEAS!$D$131="",LINEAS!$U$131=0,ABS(IF(OR(LINEAS!$U$131=1,LINEAS!$U$131=3),1,-1)*LINEAS!$AH$131*DATOS!$C$67)&lt;0.00005),"*",LINEAS!$D$131&amp;" UNI "&amp;IF(LINEAS!$U$131&lt;=2,"GZ","GX")&amp;" "&amp;TEXT(IF(OR(LINEAS!$U$131=1,LINEAS!$U$131=3),1,-1)*LINEAS!$AH$131*DATOS!$C$67,DATOS!$C$68))</f>
        <v>25 UNI GZ 0.2945</v>
      </c>
      <c r="C1429" s="51" t="str">
        <f aca="false">IF(LEN($B1429)&gt;79,"MÁS DE 79 CARACTERES","")</f>
        <v/>
      </c>
      <c r="D1429" s="53" t="str">
        <f aca="false">IF(PRESIONES!$C$22="NO","",IF(OR(LINEAS!$D$131="",LINEAS!$U$131=0,ABS(IF(OR(LINEAS!$U$131=1,LINEAS!$U$131=3),1,-1)*LINEAS!$AH$131*DATOS!$C$67)&lt;0.00005),"*",LINEAS!$D$131&amp;" UNI "&amp;IF(LINEAS!$U$131&lt;=2,"GZ","GX")&amp;" "&amp;TEXT(IF(OR(LINEAS!$U$131=1,LINEAS!$U$131=3),1,-1)*LINEAS!$AH$131*DATOS!$C$67,DATOS!$C$68)))</f>
        <v/>
      </c>
      <c r="E1429" s="51" t="str">
        <f aca="false">IF(LEN($D1429)&gt;79,"MÁS DE 79 CARACTERES","")</f>
        <v/>
      </c>
    </row>
    <row r="1430" customFormat="false" ht="15" hidden="false" customHeight="true" outlineLevel="0" collapsed="false">
      <c r="B1430" s="53" t="str">
        <f aca="false">IF(OR(LINEAS!$D$132="",LINEAS!$U$132=0,ABS(IF(OR(LINEAS!$U$132=1,LINEAS!$U$132=3),1,-1)*LINEAS!$AH$132*DATOS!$C$67)&lt;0.00005),"*",LINEAS!$D$132&amp;" UNI "&amp;IF(LINEAS!$U$132&lt;=2,"GZ","GX")&amp;" "&amp;TEXT(IF(OR(LINEAS!$U$132=1,LINEAS!$U$132=3),1,-1)*LINEAS!$AH$132*DATOS!$C$67,DATOS!$C$68))</f>
        <v>327 UNI GZ 0.4062</v>
      </c>
      <c r="C1430" s="51" t="str">
        <f aca="false">IF(LEN($B1430)&gt;79,"MÁS DE 79 CARACTERES","")</f>
        <v/>
      </c>
      <c r="D1430" s="53" t="str">
        <f aca="false">IF(PRESIONES!$C$22="NO","",IF(OR(LINEAS!$D$132="",LINEAS!$U$132=0,ABS(IF(OR(LINEAS!$U$132=1,LINEAS!$U$132=3),1,-1)*LINEAS!$AH$132*DATOS!$C$67)&lt;0.00005),"*",LINEAS!$D$132&amp;" UNI "&amp;IF(LINEAS!$U$132&lt;=2,"GZ","GX")&amp;" "&amp;TEXT(IF(OR(LINEAS!$U$132=1,LINEAS!$U$132=3),1,-1)*LINEAS!$AH$132*DATOS!$C$67,DATOS!$C$68)))</f>
        <v/>
      </c>
      <c r="E1430" s="51" t="str">
        <f aca="false">IF(LEN($D1430)&gt;79,"MÁS DE 79 CARACTERES","")</f>
        <v/>
      </c>
    </row>
    <row r="1431" customFormat="false" ht="15" hidden="false" customHeight="true" outlineLevel="0" collapsed="false">
      <c r="B1431" s="53" t="str">
        <f aca="false">IF(OR(LINEAS!$D$133="",LINEAS!$U$133=0,ABS(IF(OR(LINEAS!$U$133=1,LINEAS!$U$133=3),1,-1)*LINEAS!$AH$133*DATOS!$C$67)&lt;0.00005),"*",LINEAS!$D$133&amp;" UNI "&amp;IF(LINEAS!$U$133&lt;=2,"GZ","GX")&amp;" "&amp;TEXT(IF(OR(LINEAS!$U$133=1,LINEAS!$U$133=3),1,-1)*LINEAS!$AH$133*DATOS!$C$67,DATOS!$C$68))</f>
        <v>306 UNI GZ 0.7007</v>
      </c>
      <c r="C1431" s="51" t="str">
        <f aca="false">IF(LEN($B1431)&gt;79,"MÁS DE 79 CARACTERES","")</f>
        <v/>
      </c>
      <c r="D1431" s="53" t="str">
        <f aca="false">IF(PRESIONES!$C$22="NO","",IF(OR(LINEAS!$D$133="",LINEAS!$U$133=0,ABS(IF(OR(LINEAS!$U$133=1,LINEAS!$U$133=3),1,-1)*LINEAS!$AH$133*DATOS!$C$67)&lt;0.00005),"*",LINEAS!$D$133&amp;" UNI "&amp;IF(LINEAS!$U$133&lt;=2,"GZ","GX")&amp;" "&amp;TEXT(IF(OR(LINEAS!$U$133=1,LINEAS!$U$133=3),1,-1)*LINEAS!$AH$133*DATOS!$C$67,DATOS!$C$68)))</f>
        <v/>
      </c>
      <c r="E1431" s="51" t="str">
        <f aca="false">IF(LEN($D1431)&gt;79,"MÁS DE 79 CARACTERES","")</f>
        <v/>
      </c>
    </row>
    <row r="1432" customFormat="false" ht="15" hidden="false" customHeight="true" outlineLevel="0" collapsed="false">
      <c r="B1432" s="53" t="str">
        <f aca="false">IF(OR(LINEAS!$D$134="",LINEAS!$U$134=0,ABS(IF(OR(LINEAS!$U$134=1,LINEAS!$U$134=3),1,-1)*LINEAS!$AH$134*DATOS!$C$67)&lt;0.00005),"*",LINEAS!$D$134&amp;" UNI "&amp;IF(LINEAS!$U$134&lt;=2,"GZ","GX")&amp;" "&amp;TEXT(IF(OR(LINEAS!$U$134=1,LINEAS!$U$134=3),1,-1)*LINEAS!$AH$134*DATOS!$C$67,DATOS!$C$68))</f>
        <v>322 UNI GZ 0.8124</v>
      </c>
      <c r="C1432" s="51" t="str">
        <f aca="false">IF(LEN($B1432)&gt;79,"MÁS DE 79 CARACTERES","")</f>
        <v/>
      </c>
      <c r="D1432" s="53" t="str">
        <f aca="false">IF(PRESIONES!$C$22="NO","",IF(OR(LINEAS!$D$134="",LINEAS!$U$134=0,ABS(IF(OR(LINEAS!$U$134=1,LINEAS!$U$134=3),1,-1)*LINEAS!$AH$134*DATOS!$C$67)&lt;0.00005),"*",LINEAS!$D$134&amp;" UNI "&amp;IF(LINEAS!$U$134&lt;=2,"GZ","GX")&amp;" "&amp;TEXT(IF(OR(LINEAS!$U$134=1,LINEAS!$U$134=3),1,-1)*LINEAS!$AH$134*DATOS!$C$67,DATOS!$C$68)))</f>
        <v/>
      </c>
      <c r="E1432" s="51" t="str">
        <f aca="false">IF(LEN($D1432)&gt;79,"MÁS DE 79 CARACTERES","")</f>
        <v/>
      </c>
    </row>
    <row r="1433" customFormat="false" ht="15" hidden="false" customHeight="true" outlineLevel="0" collapsed="false">
      <c r="B1433" s="53" t="str">
        <f aca="false">IF(OR(LINEAS!$D$135="",LINEAS!$U$135=0,ABS(IF(OR(LINEAS!$U$135=1,LINEAS!$U$135=3),1,-1)*LINEAS!$AH$135*DATOS!$C$67)&lt;0.00005),"*",LINEAS!$D$135&amp;" UNI "&amp;IF(LINEAS!$U$135&lt;=2,"GZ","GX")&amp;" "&amp;TEXT(IF(OR(LINEAS!$U$135=1,LINEAS!$U$135=3),1,-1)*LINEAS!$AH$135*DATOS!$C$67,DATOS!$C$68))</f>
        <v>323 UNI GZ 0.7528</v>
      </c>
      <c r="C1433" s="51" t="str">
        <f aca="false">IF(LEN($B1433)&gt;79,"MÁS DE 79 CARACTERES","")</f>
        <v/>
      </c>
      <c r="D1433" s="53" t="str">
        <f aca="false">IF(PRESIONES!$C$22="NO","",IF(OR(LINEAS!$D$135="",LINEAS!$U$135=0,ABS(IF(OR(LINEAS!$U$135=1,LINEAS!$U$135=3),1,-1)*LINEAS!$AH$135*DATOS!$C$67)&lt;0.00005),"*",LINEAS!$D$135&amp;" UNI "&amp;IF(LINEAS!$U$135&lt;=2,"GZ","GX")&amp;" "&amp;TEXT(IF(OR(LINEAS!$U$135=1,LINEAS!$U$135=3),1,-1)*LINEAS!$AH$135*DATOS!$C$67,DATOS!$C$68)))</f>
        <v/>
      </c>
      <c r="E1433" s="51" t="str">
        <f aca="false">IF(LEN($D1433)&gt;79,"MÁS DE 79 CARACTERES","")</f>
        <v/>
      </c>
    </row>
    <row r="1434" customFormat="false" ht="15" hidden="false" customHeight="true" outlineLevel="0" collapsed="false">
      <c r="B1434" s="53" t="str">
        <f aca="false">IF(OR(LINEAS!$D$136="",LINEAS!$U$136=0,ABS(IF(OR(LINEAS!$U$136=1,LINEAS!$U$136=3),1,-1)*LINEAS!$AH$136*DATOS!$C$67)&lt;0.00005),"*",LINEAS!$D$136&amp;" UNI "&amp;IF(LINEAS!$U$136&lt;=2,"GZ","GX")&amp;" "&amp;TEXT(IF(OR(LINEAS!$U$136=1,LINEAS!$U$136=3),1,-1)*LINEAS!$AH$136*DATOS!$C$67,DATOS!$C$68))</f>
        <v>22 85 TO 88 UNI GZ 0.3487</v>
      </c>
      <c r="C1434" s="51" t="str">
        <f aca="false">IF(LEN($B1434)&gt;79,"MÁS DE 79 CARACTERES","")</f>
        <v/>
      </c>
      <c r="D1434" s="53" t="str">
        <f aca="false">IF(PRESIONES!$C$22="NO","",IF(OR(LINEAS!$D$136="",LINEAS!$U$136=0,ABS(IF(OR(LINEAS!$U$136=1,LINEAS!$U$136=3),1,-1)*LINEAS!$AH$136*DATOS!$C$67)&lt;0.00005),"*",LINEAS!$D$136&amp;" UNI "&amp;IF(LINEAS!$U$136&lt;=2,"GZ","GX")&amp;" "&amp;TEXT(IF(OR(LINEAS!$U$136=1,LINEAS!$U$136=3),1,-1)*LINEAS!$AH$136*DATOS!$C$67,DATOS!$C$68)))</f>
        <v/>
      </c>
      <c r="E1434" s="51" t="str">
        <f aca="false">IF(LEN($D1434)&gt;79,"MÁS DE 79 CARACTERES","")</f>
        <v/>
      </c>
    </row>
    <row r="1435" customFormat="false" ht="15" hidden="false" customHeight="true" outlineLevel="0" collapsed="false">
      <c r="B1435" s="53" t="str">
        <f aca="false">IF(OR(LINEAS!$D$137="",LINEAS!$U$137=0,ABS(IF(OR(LINEAS!$U$137=1,LINEAS!$U$137=3),1,-1)*LINEAS!$AH$137*DATOS!$C$67)&lt;0.00005),"*",LINEAS!$D$137&amp;" UNI "&amp;IF(LINEAS!$U$137&lt;=2,"GZ","GX")&amp;" "&amp;TEXT(IF(OR(LINEAS!$U$137=1,LINEAS!$U$137=3),1,-1)*LINEAS!$AH$137*DATOS!$C$67,DATOS!$C$68))</f>
        <v>*</v>
      </c>
      <c r="C1435" s="51" t="str">
        <f aca="false">IF(LEN($B1435)&gt;79,"MÁS DE 79 CARACTERES","")</f>
        <v/>
      </c>
      <c r="D1435" s="53" t="str">
        <f aca="false">IF(PRESIONES!$C$22="NO","",IF(OR(LINEAS!$D$137="",LINEAS!$U$137=0,ABS(IF(OR(LINEAS!$U$137=1,LINEAS!$U$137=3),1,-1)*LINEAS!$AH$137*DATOS!$C$67)&lt;0.00005),"*",LINEAS!$D$137&amp;" UNI "&amp;IF(LINEAS!$U$137&lt;=2,"GZ","GX")&amp;" "&amp;TEXT(IF(OR(LINEAS!$U$137=1,LINEAS!$U$137=3),1,-1)*LINEAS!$AH$137*DATOS!$C$67,DATOS!$C$68)))</f>
        <v/>
      </c>
      <c r="E1435" s="51" t="str">
        <f aca="false">IF(LEN($D1435)&gt;79,"MÁS DE 79 CARACTERES","")</f>
        <v/>
      </c>
    </row>
    <row r="1436" customFormat="false" ht="15" hidden="false" customHeight="true" outlineLevel="0" collapsed="false">
      <c r="B1436" s="53" t="str">
        <f aca="false">IF(OR(LINEAS!$D$138="",LINEAS!$U$138=0,ABS(IF(OR(LINEAS!$U$138=1,LINEAS!$U$138=3),1,-1)*LINEAS!$AH$138*DATOS!$C$67)&lt;0.00005),"*",LINEAS!$D$138&amp;" UNI "&amp;IF(LINEAS!$U$138&lt;=2,"GZ","GX")&amp;" "&amp;TEXT(IF(OR(LINEAS!$U$138=1,LINEAS!$U$138=3),1,-1)*LINEAS!$AH$138*DATOS!$C$67,DATOS!$C$68))</f>
        <v>*</v>
      </c>
      <c r="C1436" s="51" t="str">
        <f aca="false">IF(LEN($B1436)&gt;79,"MÁS DE 79 CARACTERES","")</f>
        <v/>
      </c>
      <c r="D1436" s="53" t="str">
        <f aca="false">IF(PRESIONES!$C$22="NO","",IF(OR(LINEAS!$D$138="",LINEAS!$U$138=0,ABS(IF(OR(LINEAS!$U$138=1,LINEAS!$U$138=3),1,-1)*LINEAS!$AH$138*DATOS!$C$67)&lt;0.00005),"*",LINEAS!$D$138&amp;" UNI "&amp;IF(LINEAS!$U$138&lt;=2,"GZ","GX")&amp;" "&amp;TEXT(IF(OR(LINEAS!$U$138=1,LINEAS!$U$138=3),1,-1)*LINEAS!$AH$138*DATOS!$C$67,DATOS!$C$68)))</f>
        <v/>
      </c>
      <c r="E1436" s="51" t="str">
        <f aca="false">IF(LEN($D1436)&gt;79,"MÁS DE 79 CARACTERES","")</f>
        <v/>
      </c>
    </row>
    <row r="1437" customFormat="false" ht="15" hidden="false" customHeight="true" outlineLevel="0" collapsed="false">
      <c r="B1437" s="53" t="str">
        <f aca="false">IF(OR(LINEAS!$D$139="",LINEAS!$U$139=0,ABS(IF(OR(LINEAS!$U$139=1,LINEAS!$U$139=3),1,-1)*LINEAS!$AH$139*DATOS!$C$67)&lt;0.00005),"*",LINEAS!$D$139&amp;" UNI "&amp;IF(LINEAS!$U$139&lt;=2,"GZ","GX")&amp;" "&amp;TEXT(IF(OR(LINEAS!$U$139=1,LINEAS!$U$139=3),1,-1)*LINEAS!$AH$139*DATOS!$C$67,DATOS!$C$68))</f>
        <v>*</v>
      </c>
      <c r="C1437" s="51" t="str">
        <f aca="false">IF(LEN($B1437)&gt;79,"MÁS DE 79 CARACTERES","")</f>
        <v/>
      </c>
      <c r="D1437" s="53" t="str">
        <f aca="false">IF(PRESIONES!$C$22="NO","",IF(OR(LINEAS!$D$139="",LINEAS!$U$139=0,ABS(IF(OR(LINEAS!$U$139=1,LINEAS!$U$139=3),1,-1)*LINEAS!$AH$139*DATOS!$C$67)&lt;0.00005),"*",LINEAS!$D$139&amp;" UNI "&amp;IF(LINEAS!$U$139&lt;=2,"GZ","GX")&amp;" "&amp;TEXT(IF(OR(LINEAS!$U$139=1,LINEAS!$U$139=3),1,-1)*LINEAS!$AH$139*DATOS!$C$67,DATOS!$C$68)))</f>
        <v/>
      </c>
      <c r="E1437" s="51" t="str">
        <f aca="false">IF(LEN($D1437)&gt;79,"MÁS DE 79 CARACTERES","")</f>
        <v/>
      </c>
    </row>
    <row r="1438" customFormat="false" ht="15" hidden="false" customHeight="true" outlineLevel="0" collapsed="false">
      <c r="B1438" s="53" t="str">
        <f aca="false">IF(OR(LINEAS!$D$140="",LINEAS!$U$140=0,ABS(IF(OR(LINEAS!$U$140=1,LINEAS!$U$140=3),1,-1)*LINEAS!$AH$140*DATOS!$C$67)&lt;0.00005),"*",LINEAS!$D$140&amp;" UNI "&amp;IF(LINEAS!$U$140&lt;=2,"GZ","GX")&amp;" "&amp;TEXT(IF(OR(LINEAS!$U$140=1,LINEAS!$U$140=3),1,-1)*LINEAS!$AH$140*DATOS!$C$67,DATOS!$C$68))</f>
        <v>*</v>
      </c>
      <c r="C1438" s="51" t="str">
        <f aca="false">IF(LEN($B1438)&gt;79,"MÁS DE 79 CARACTERES","")</f>
        <v/>
      </c>
      <c r="D1438" s="53" t="str">
        <f aca="false">IF(PRESIONES!$C$22="NO","",IF(OR(LINEAS!$D$140="",LINEAS!$U$140=0,ABS(IF(OR(LINEAS!$U$140=1,LINEAS!$U$140=3),1,-1)*LINEAS!$AH$140*DATOS!$C$67)&lt;0.00005),"*",LINEAS!$D$140&amp;" UNI "&amp;IF(LINEAS!$U$140&lt;=2,"GZ","GX")&amp;" "&amp;TEXT(IF(OR(LINEAS!$U$140=1,LINEAS!$U$140=3),1,-1)*LINEAS!$AH$140*DATOS!$C$67,DATOS!$C$68)))</f>
        <v/>
      </c>
      <c r="E1438" s="51" t="str">
        <f aca="false">IF(LEN($D1438)&gt;79,"MÁS DE 79 CARACTERES","")</f>
        <v/>
      </c>
    </row>
    <row r="1439" customFormat="false" ht="15" hidden="false" customHeight="true" outlineLevel="0" collapsed="false">
      <c r="B1439" s="53" t="str">
        <f aca="false">IF(OR(LINEAS!$D$141="",LINEAS!$U$141=0,ABS(IF(OR(LINEAS!$U$141=1,LINEAS!$U$141=3),1,-1)*LINEAS!$AH$141*DATOS!$C$67)&lt;0.00005),"*",LINEAS!$D$141&amp;" UNI "&amp;IF(LINEAS!$U$141&lt;=2,"GZ","GX")&amp;" "&amp;TEXT(IF(OR(LINEAS!$U$141=1,LINEAS!$U$141=3),1,-1)*LINEAS!$AH$141*DATOS!$C$67,DATOS!$C$68))</f>
        <v>*</v>
      </c>
      <c r="C1439" s="51" t="str">
        <f aca="false">IF(LEN($B1439)&gt;79,"MÁS DE 79 CARACTERES","")</f>
        <v/>
      </c>
      <c r="D1439" s="53" t="str">
        <f aca="false">IF(PRESIONES!$C$22="NO","",IF(OR(LINEAS!$D$141="",LINEAS!$U$141=0,ABS(IF(OR(LINEAS!$U$141=1,LINEAS!$U$141=3),1,-1)*LINEAS!$AH$141*DATOS!$C$67)&lt;0.00005),"*",LINEAS!$D$141&amp;" UNI "&amp;IF(LINEAS!$U$141&lt;=2,"GZ","GX")&amp;" "&amp;TEXT(IF(OR(LINEAS!$U$141=1,LINEAS!$U$141=3),1,-1)*LINEAS!$AH$141*DATOS!$C$67,DATOS!$C$68)))</f>
        <v/>
      </c>
      <c r="E1439" s="51" t="str">
        <f aca="false">IF(LEN($D1439)&gt;79,"MÁS DE 79 CARACTERES","")</f>
        <v/>
      </c>
    </row>
    <row r="1440" customFormat="false" ht="15" hidden="false" customHeight="true" outlineLevel="0" collapsed="false">
      <c r="B1440" s="53" t="str">
        <f aca="false">IF(OR(LINEAS!$D$142="",LINEAS!$U$142=0,ABS(IF(OR(LINEAS!$U$142=1,LINEAS!$U$142=3),1,-1)*LINEAS!$AH$142*DATOS!$C$67)&lt;0.00005),"*",LINEAS!$D$142&amp;" UNI "&amp;IF(LINEAS!$U$142&lt;=2,"GZ","GX")&amp;" "&amp;TEXT(IF(OR(LINEAS!$U$142=1,LINEAS!$U$142=3),1,-1)*LINEAS!$AH$142*DATOS!$C$67,DATOS!$C$68))</f>
        <v>*</v>
      </c>
      <c r="C1440" s="51" t="str">
        <f aca="false">IF(LEN($B1440)&gt;79,"MÁS DE 79 CARACTERES","")</f>
        <v/>
      </c>
      <c r="D1440" s="53" t="str">
        <f aca="false">IF(PRESIONES!$C$22="NO","",IF(OR(LINEAS!$D$142="",LINEAS!$U$142=0,ABS(IF(OR(LINEAS!$U$142=1,LINEAS!$U$142=3),1,-1)*LINEAS!$AH$142*DATOS!$C$67)&lt;0.00005),"*",LINEAS!$D$142&amp;" UNI "&amp;IF(LINEAS!$U$142&lt;=2,"GZ","GX")&amp;" "&amp;TEXT(IF(OR(LINEAS!$U$142=1,LINEAS!$U$142=3),1,-1)*LINEAS!$AH$142*DATOS!$C$67,DATOS!$C$68)))</f>
        <v/>
      </c>
      <c r="E1440" s="51" t="str">
        <f aca="false">IF(LEN($D1440)&gt;79,"MÁS DE 79 CARACTERES","")</f>
        <v/>
      </c>
    </row>
    <row r="1441" customFormat="false" ht="15" hidden="false" customHeight="true" outlineLevel="0" collapsed="false">
      <c r="B1441" s="53" t="str">
        <f aca="false">IF(OR(LINEAS!$D$143="",LINEAS!$U$143=0,ABS(IF(OR(LINEAS!$U$143=1,LINEAS!$U$143=3),1,-1)*LINEAS!$AH$143*DATOS!$C$67)&lt;0.00005),"*",LINEAS!$D$143&amp;" UNI "&amp;IF(LINEAS!$U$143&lt;=2,"GZ","GX")&amp;" "&amp;TEXT(IF(OR(LINEAS!$U$143=1,LINEAS!$U$143=3),1,-1)*LINEAS!$AH$143*DATOS!$C$67,DATOS!$C$68))</f>
        <v>*</v>
      </c>
      <c r="C1441" s="51" t="str">
        <f aca="false">IF(LEN($B1441)&gt;79,"MÁS DE 79 CARACTERES","")</f>
        <v/>
      </c>
      <c r="D1441" s="53" t="str">
        <f aca="false">IF(PRESIONES!$C$22="NO","",IF(OR(LINEAS!$D$143="",LINEAS!$U$143=0,ABS(IF(OR(LINEAS!$U$143=1,LINEAS!$U$143=3),1,-1)*LINEAS!$AH$143*DATOS!$C$67)&lt;0.00005),"*",LINEAS!$D$143&amp;" UNI "&amp;IF(LINEAS!$U$143&lt;=2,"GZ","GX")&amp;" "&amp;TEXT(IF(OR(LINEAS!$U$143=1,LINEAS!$U$143=3),1,-1)*LINEAS!$AH$143*DATOS!$C$67,DATOS!$C$68)))</f>
        <v/>
      </c>
      <c r="E1441" s="51" t="str">
        <f aca="false">IF(LEN($D1441)&gt;79,"MÁS DE 79 CARACTERES","")</f>
        <v/>
      </c>
    </row>
    <row r="1442" customFormat="false" ht="15" hidden="false" customHeight="true" outlineLevel="0" collapsed="false">
      <c r="B1442" s="53" t="str">
        <f aca="false">IF(OR(LINEAS!$D$144="",LINEAS!$U$144=0,ABS(IF(OR(LINEAS!$U$144=1,LINEAS!$U$144=3),1,-1)*LINEAS!$AH$144*DATOS!$C$67)&lt;0.00005),"*",LINEAS!$D$144&amp;" UNI "&amp;IF(LINEAS!$U$144&lt;=2,"GZ","GX")&amp;" "&amp;TEXT(IF(OR(LINEAS!$U$144=1,LINEAS!$U$144=3),1,-1)*LINEAS!$AH$144*DATOS!$C$67,DATOS!$C$68))</f>
        <v>*</v>
      </c>
      <c r="C1442" s="51" t="str">
        <f aca="false">IF(LEN($B1442)&gt;79,"MÁS DE 79 CARACTERES","")</f>
        <v/>
      </c>
      <c r="D1442" s="53" t="str">
        <f aca="false">IF(PRESIONES!$C$22="NO","",IF(OR(LINEAS!$D$144="",LINEAS!$U$144=0,ABS(IF(OR(LINEAS!$U$144=1,LINEAS!$U$144=3),1,-1)*LINEAS!$AH$144*DATOS!$C$67)&lt;0.00005),"*",LINEAS!$D$144&amp;" UNI "&amp;IF(LINEAS!$U$144&lt;=2,"GZ","GX")&amp;" "&amp;TEXT(IF(OR(LINEAS!$U$144=1,LINEAS!$U$144=3),1,-1)*LINEAS!$AH$144*DATOS!$C$67,DATOS!$C$68)))</f>
        <v/>
      </c>
      <c r="E1442" s="51" t="str">
        <f aca="false">IF(LEN($D1442)&gt;79,"MÁS DE 79 CARACTERES","")</f>
        <v/>
      </c>
    </row>
    <row r="1443" customFormat="false" ht="15" hidden="false" customHeight="true" outlineLevel="0" collapsed="false">
      <c r="B1443" s="53" t="str">
        <f aca="false">IF(OR(LINEAS!$D$145="",LINEAS!$U$145=0,ABS(IF(OR(LINEAS!$U$145=1,LINEAS!$U$145=3),1,-1)*LINEAS!$AH$145*DATOS!$C$67)&lt;0.00005),"*",LINEAS!$D$145&amp;" UNI "&amp;IF(LINEAS!$U$145&lt;=2,"GZ","GX")&amp;" "&amp;TEXT(IF(OR(LINEAS!$U$145=1,LINEAS!$U$145=3),1,-1)*LINEAS!$AH$145*DATOS!$C$67,DATOS!$C$68))</f>
        <v>*</v>
      </c>
      <c r="C1443" s="51" t="str">
        <f aca="false">IF(LEN($B1443)&gt;79,"MÁS DE 79 CARACTERES","")</f>
        <v/>
      </c>
      <c r="D1443" s="53" t="str">
        <f aca="false">IF(PRESIONES!$C$22="NO","",IF(OR(LINEAS!$D$145="",LINEAS!$U$145=0,ABS(IF(OR(LINEAS!$U$145=1,LINEAS!$U$145=3),1,-1)*LINEAS!$AH$145*DATOS!$C$67)&lt;0.00005),"*",LINEAS!$D$145&amp;" UNI "&amp;IF(LINEAS!$U$145&lt;=2,"GZ","GX")&amp;" "&amp;TEXT(IF(OR(LINEAS!$U$145=1,LINEAS!$U$145=3),1,-1)*LINEAS!$AH$145*DATOS!$C$67,DATOS!$C$68)))</f>
        <v/>
      </c>
      <c r="E1443" s="51" t="str">
        <f aca="false">IF(LEN($D1443)&gt;79,"MÁS DE 79 CARACTERES","")</f>
        <v/>
      </c>
    </row>
    <row r="1444" customFormat="false" ht="15" hidden="false" customHeight="true" outlineLevel="0" collapsed="false">
      <c r="B1444" s="53" t="str">
        <f aca="false">IF(OR(LINEAS!$D$146="",LINEAS!$U$146=0,ABS(IF(OR(LINEAS!$U$146=1,LINEAS!$U$146=3),1,-1)*LINEAS!$AH$146*DATOS!$C$67)&lt;0.00005),"*",LINEAS!$D$146&amp;" UNI "&amp;IF(LINEAS!$U$146&lt;=2,"GZ","GX")&amp;" "&amp;TEXT(IF(OR(LINEAS!$U$146=1,LINEAS!$U$146=3),1,-1)*LINEAS!$AH$146*DATOS!$C$67,DATOS!$C$68))</f>
        <v>*</v>
      </c>
      <c r="C1444" s="51" t="str">
        <f aca="false">IF(LEN($B1444)&gt;79,"MÁS DE 79 CARACTERES","")</f>
        <v/>
      </c>
      <c r="D1444" s="53" t="str">
        <f aca="false">IF(PRESIONES!$C$22="NO","",IF(OR(LINEAS!$D$146="",LINEAS!$U$146=0,ABS(IF(OR(LINEAS!$U$146=1,LINEAS!$U$146=3),1,-1)*LINEAS!$AH$146*DATOS!$C$67)&lt;0.00005),"*",LINEAS!$D$146&amp;" UNI "&amp;IF(LINEAS!$U$146&lt;=2,"GZ","GX")&amp;" "&amp;TEXT(IF(OR(LINEAS!$U$146=1,LINEAS!$U$146=3),1,-1)*LINEAS!$AH$146*DATOS!$C$67,DATOS!$C$68)))</f>
        <v/>
      </c>
      <c r="E1444" s="51" t="str">
        <f aca="false">IF(LEN($D1444)&gt;79,"MÁS DE 79 CARACTERES","")</f>
        <v/>
      </c>
    </row>
    <row r="1445" customFormat="false" ht="15" hidden="false" customHeight="true" outlineLevel="0" collapsed="false">
      <c r="B1445" s="53" t="str">
        <f aca="false">IF(OR(LINEAS!$D$147="",LINEAS!$U$147=0,ABS(IF(OR(LINEAS!$U$147=1,LINEAS!$U$147=3),1,-1)*LINEAS!$AH$147*DATOS!$C$67)&lt;0.00005),"*",LINEAS!$D$147&amp;" UNI "&amp;IF(LINEAS!$U$147&lt;=2,"GZ","GX")&amp;" "&amp;TEXT(IF(OR(LINEAS!$U$147=1,LINEAS!$U$147=3),1,-1)*LINEAS!$AH$147*DATOS!$C$67,DATOS!$C$68))</f>
        <v>*</v>
      </c>
      <c r="C1445" s="51" t="str">
        <f aca="false">IF(LEN($B1445)&gt;79,"MÁS DE 79 CARACTERES","")</f>
        <v/>
      </c>
      <c r="D1445" s="53" t="str">
        <f aca="false">IF(PRESIONES!$C$22="NO","",IF(OR(LINEAS!$D$147="",LINEAS!$U$147=0,ABS(IF(OR(LINEAS!$U$147=1,LINEAS!$U$147=3),1,-1)*LINEAS!$AH$147*DATOS!$C$67)&lt;0.00005),"*",LINEAS!$D$147&amp;" UNI "&amp;IF(LINEAS!$U$147&lt;=2,"GZ","GX")&amp;" "&amp;TEXT(IF(OR(LINEAS!$U$147=1,LINEAS!$U$147=3),1,-1)*LINEAS!$AH$147*DATOS!$C$67,DATOS!$C$68)))</f>
        <v/>
      </c>
      <c r="E1445" s="51" t="str">
        <f aca="false">IF(LEN($D1445)&gt;79,"MÁS DE 79 CARACTERES","")</f>
        <v/>
      </c>
    </row>
    <row r="1446" customFormat="false" ht="15" hidden="false" customHeight="true" outlineLevel="0" collapsed="false">
      <c r="B1446" s="53" t="str">
        <f aca="false">IF(OR(LINEAS!$D$148="",LINEAS!$U$148=0,ABS(IF(OR(LINEAS!$U$148=1,LINEAS!$U$148=3),1,-1)*LINEAS!$AH$148*DATOS!$C$67)&lt;0.00005),"*",LINEAS!$D$148&amp;" UNI "&amp;IF(LINEAS!$U$148&lt;=2,"GZ","GX")&amp;" "&amp;TEXT(IF(OR(LINEAS!$U$148=1,LINEAS!$U$148=3),1,-1)*LINEAS!$AH$148*DATOS!$C$67,DATOS!$C$68))</f>
        <v>*</v>
      </c>
      <c r="C1446" s="51" t="str">
        <f aca="false">IF(LEN($B1446)&gt;79,"MÁS DE 79 CARACTERES","")</f>
        <v/>
      </c>
      <c r="D1446" s="53" t="str">
        <f aca="false">IF(PRESIONES!$C$22="NO","",IF(OR(LINEAS!$D$148="",LINEAS!$U$148=0,ABS(IF(OR(LINEAS!$U$148=1,LINEAS!$U$148=3),1,-1)*LINEAS!$AH$148*DATOS!$C$67)&lt;0.00005),"*",LINEAS!$D$148&amp;" UNI "&amp;IF(LINEAS!$U$148&lt;=2,"GZ","GX")&amp;" "&amp;TEXT(IF(OR(LINEAS!$U$148=1,LINEAS!$U$148=3),1,-1)*LINEAS!$AH$148*DATOS!$C$67,DATOS!$C$68)))</f>
        <v/>
      </c>
      <c r="E1446" s="51" t="str">
        <f aca="false">IF(LEN($D1446)&gt;79,"MÁS DE 79 CARACTERES","")</f>
        <v/>
      </c>
    </row>
    <row r="1447" customFormat="false" ht="15" hidden="false" customHeight="true" outlineLevel="0" collapsed="false">
      <c r="B1447" s="53" t="str">
        <f aca="false">IF(OR(LINEAS!$D$149="",LINEAS!$U$149=0,ABS(IF(OR(LINEAS!$U$149=1,LINEAS!$U$149=3),1,-1)*LINEAS!$AH$149*DATOS!$C$67)&lt;0.00005),"*",LINEAS!$D$149&amp;" UNI "&amp;IF(LINEAS!$U$149&lt;=2,"GZ","GX")&amp;" "&amp;TEXT(IF(OR(LINEAS!$U$149=1,LINEAS!$U$149=3),1,-1)*LINEAS!$AH$149*DATOS!$C$67,DATOS!$C$68))</f>
        <v>*</v>
      </c>
      <c r="C1447" s="51" t="str">
        <f aca="false">IF(LEN($B1447)&gt;79,"MÁS DE 79 CARACTERES","")</f>
        <v/>
      </c>
      <c r="D1447" s="53" t="str">
        <f aca="false">IF(PRESIONES!$C$22="NO","",IF(OR(LINEAS!$D$149="",LINEAS!$U$149=0,ABS(IF(OR(LINEAS!$U$149=1,LINEAS!$U$149=3),1,-1)*LINEAS!$AH$149*DATOS!$C$67)&lt;0.00005),"*",LINEAS!$D$149&amp;" UNI "&amp;IF(LINEAS!$U$149&lt;=2,"GZ","GX")&amp;" "&amp;TEXT(IF(OR(LINEAS!$U$149=1,LINEAS!$U$149=3),1,-1)*LINEAS!$AH$149*DATOS!$C$67,DATOS!$C$68)))</f>
        <v/>
      </c>
      <c r="E1447" s="51" t="str">
        <f aca="false">IF(LEN($D1447)&gt;79,"MÁS DE 79 CARACTERES","")</f>
        <v/>
      </c>
    </row>
    <row r="1448" customFormat="false" ht="15" hidden="false" customHeight="true" outlineLevel="0" collapsed="false">
      <c r="B1448" s="53" t="str">
        <f aca="false">IF(OR(LINEAS!$D$150="",LINEAS!$U$150=0,ABS(IF(OR(LINEAS!$U$150=1,LINEAS!$U$150=3),1,-1)*LINEAS!$AH$150*DATOS!$C$67)&lt;0.00005),"*",LINEAS!$D$150&amp;" UNI "&amp;IF(LINEAS!$U$150&lt;=2,"GZ","GX")&amp;" "&amp;TEXT(IF(OR(LINEAS!$U$150=1,LINEAS!$U$150=3),1,-1)*LINEAS!$AH$150*DATOS!$C$67,DATOS!$C$68))</f>
        <v>*</v>
      </c>
      <c r="C1448" s="51" t="str">
        <f aca="false">IF(LEN($B1448)&gt;79,"MÁS DE 79 CARACTERES","")</f>
        <v/>
      </c>
      <c r="D1448" s="53" t="str">
        <f aca="false">IF(PRESIONES!$C$22="NO","",IF(OR(LINEAS!$D$150="",LINEAS!$U$150=0,ABS(IF(OR(LINEAS!$U$150=1,LINEAS!$U$150=3),1,-1)*LINEAS!$AH$150*DATOS!$C$67)&lt;0.00005),"*",LINEAS!$D$150&amp;" UNI "&amp;IF(LINEAS!$U$150&lt;=2,"GZ","GX")&amp;" "&amp;TEXT(IF(OR(LINEAS!$U$150=1,LINEAS!$U$150=3),1,-1)*LINEAS!$AH$150*DATOS!$C$67,DATOS!$C$68)))</f>
        <v/>
      </c>
      <c r="E1448" s="51" t="str">
        <f aca="false">IF(LEN($D1448)&gt;79,"MÁS DE 79 CARACTERES","")</f>
        <v/>
      </c>
    </row>
    <row r="1449" customFormat="false" ht="15" hidden="false" customHeight="true" outlineLevel="0" collapsed="false">
      <c r="B1449" s="53" t="str">
        <f aca="false">IF(OR(LINEAS!$D$151="",LINEAS!$U$151=0,ABS(IF(OR(LINEAS!$U$151=1,LINEAS!$U$151=3),1,-1)*LINEAS!$AH$151*DATOS!$C$67)&lt;0.00005),"*",LINEAS!$D$151&amp;" UNI "&amp;IF(LINEAS!$U$151&lt;=2,"GZ","GX")&amp;" "&amp;TEXT(IF(OR(LINEAS!$U$151=1,LINEAS!$U$151=3),1,-1)*LINEAS!$AH$151*DATOS!$C$67,DATOS!$C$68))</f>
        <v>*</v>
      </c>
      <c r="C1449" s="51" t="str">
        <f aca="false">IF(LEN($B1449)&gt;79,"MÁS DE 79 CARACTERES","")</f>
        <v/>
      </c>
      <c r="D1449" s="53" t="str">
        <f aca="false">IF(PRESIONES!$C$22="NO","",IF(OR(LINEAS!$D$151="",LINEAS!$U$151=0,ABS(IF(OR(LINEAS!$U$151=1,LINEAS!$U$151=3),1,-1)*LINEAS!$AH$151*DATOS!$C$67)&lt;0.00005),"*",LINEAS!$D$151&amp;" UNI "&amp;IF(LINEAS!$U$151&lt;=2,"GZ","GX")&amp;" "&amp;TEXT(IF(OR(LINEAS!$U$151=1,LINEAS!$U$151=3),1,-1)*LINEAS!$AH$151*DATOS!$C$67,DATOS!$C$68)))</f>
        <v/>
      </c>
      <c r="E1449" s="51" t="str">
        <f aca="false">IF(LEN($D1449)&gt;79,"MÁS DE 79 CARACTERES","")</f>
        <v/>
      </c>
    </row>
    <row r="1450" customFormat="false" ht="15" hidden="false" customHeight="true" outlineLevel="0" collapsed="false">
      <c r="B1450" s="53" t="str">
        <f aca="false">IF(OR(LINEAS!$D$152="",LINEAS!$U$152=0,ABS(IF(OR(LINEAS!$U$152=1,LINEAS!$U$152=3),1,-1)*LINEAS!$AH$152*DATOS!$C$67)&lt;0.00005),"*",LINEAS!$D$152&amp;" UNI "&amp;IF(LINEAS!$U$152&lt;=2,"GZ","GX")&amp;" "&amp;TEXT(IF(OR(LINEAS!$U$152=1,LINEAS!$U$152=3),1,-1)*LINEAS!$AH$152*DATOS!$C$67,DATOS!$C$68))</f>
        <v>*</v>
      </c>
      <c r="C1450" s="51" t="str">
        <f aca="false">IF(LEN($B1450)&gt;79,"MÁS DE 79 CARACTERES","")</f>
        <v/>
      </c>
      <c r="D1450" s="53" t="str">
        <f aca="false">IF(PRESIONES!$C$22="NO","",IF(OR(LINEAS!$D$152="",LINEAS!$U$152=0,ABS(IF(OR(LINEAS!$U$152=1,LINEAS!$U$152=3),1,-1)*LINEAS!$AH$152*DATOS!$C$67)&lt;0.00005),"*",LINEAS!$D$152&amp;" UNI "&amp;IF(LINEAS!$U$152&lt;=2,"GZ","GX")&amp;" "&amp;TEXT(IF(OR(LINEAS!$U$152=1,LINEAS!$U$152=3),1,-1)*LINEAS!$AH$152*DATOS!$C$67,DATOS!$C$68)))</f>
        <v/>
      </c>
      <c r="E1450" s="51" t="str">
        <f aca="false">IF(LEN($D1450)&gt;79,"MÁS DE 79 CARACTERES","")</f>
        <v/>
      </c>
    </row>
    <row r="1451" customFormat="false" ht="15" hidden="false" customHeight="true" outlineLevel="0" collapsed="false">
      <c r="B1451" s="53" t="str">
        <f aca="false">IF(OR(LINEAS!$D$153="",LINEAS!$U$153=0,ABS(IF(OR(LINEAS!$U$153=1,LINEAS!$U$153=3),1,-1)*LINEAS!$AH$153*DATOS!$C$67)&lt;0.00005),"*",LINEAS!$D$153&amp;" UNI "&amp;IF(LINEAS!$U$153&lt;=2,"GZ","GX")&amp;" "&amp;TEXT(IF(OR(LINEAS!$U$153=1,LINEAS!$U$153=3),1,-1)*LINEAS!$AH$153*DATOS!$C$67,DATOS!$C$68))</f>
        <v>*</v>
      </c>
      <c r="C1451" s="51" t="str">
        <f aca="false">IF(LEN($B1451)&gt;79,"MÁS DE 79 CARACTERES","")</f>
        <v/>
      </c>
      <c r="D1451" s="53" t="str">
        <f aca="false">IF(PRESIONES!$C$22="NO","",IF(OR(LINEAS!$D$153="",LINEAS!$U$153=0,ABS(IF(OR(LINEAS!$U$153=1,LINEAS!$U$153=3),1,-1)*LINEAS!$AH$153*DATOS!$C$67)&lt;0.00005),"*",LINEAS!$D$153&amp;" UNI "&amp;IF(LINEAS!$U$153&lt;=2,"GZ","GX")&amp;" "&amp;TEXT(IF(OR(LINEAS!$U$153=1,LINEAS!$U$153=3),1,-1)*LINEAS!$AH$153*DATOS!$C$67,DATOS!$C$68)))</f>
        <v/>
      </c>
      <c r="E1451" s="51" t="str">
        <f aca="false">IF(LEN($D1451)&gt;79,"MÁS DE 79 CARACTERES","")</f>
        <v/>
      </c>
    </row>
    <row r="1452" customFormat="false" ht="15" hidden="false" customHeight="true" outlineLevel="0" collapsed="false">
      <c r="B1452" s="53" t="str">
        <f aca="false">IF(OR(LINEAS!$D$154="",LINEAS!$U$154=0,ABS(IF(OR(LINEAS!$U$154=1,LINEAS!$U$154=3),1,-1)*LINEAS!$AH$154*DATOS!$C$67)&lt;0.00005),"*",LINEAS!$D$154&amp;" UNI "&amp;IF(LINEAS!$U$154&lt;=2,"GZ","GX")&amp;" "&amp;TEXT(IF(OR(LINEAS!$U$154=1,LINEAS!$U$154=3),1,-1)*LINEAS!$AH$154*DATOS!$C$67,DATOS!$C$68))</f>
        <v>*</v>
      </c>
      <c r="C1452" s="51" t="str">
        <f aca="false">IF(LEN($B1452)&gt;79,"MÁS DE 79 CARACTERES","")</f>
        <v/>
      </c>
      <c r="D1452" s="53" t="str">
        <f aca="false">IF(PRESIONES!$C$22="NO","",IF(OR(LINEAS!$D$154="",LINEAS!$U$154=0,ABS(IF(OR(LINEAS!$U$154=1,LINEAS!$U$154=3),1,-1)*LINEAS!$AH$154*DATOS!$C$67)&lt;0.00005),"*",LINEAS!$D$154&amp;" UNI "&amp;IF(LINEAS!$U$154&lt;=2,"GZ","GX")&amp;" "&amp;TEXT(IF(OR(LINEAS!$U$154=1,LINEAS!$U$154=3),1,-1)*LINEAS!$AH$154*DATOS!$C$67,DATOS!$C$68)))</f>
        <v/>
      </c>
      <c r="E1452" s="51" t="str">
        <f aca="false">IF(LEN($D1452)&gt;79,"MÁS DE 79 CARACTERES","")</f>
        <v/>
      </c>
    </row>
    <row r="1453" customFormat="false" ht="15" hidden="false" customHeight="true" outlineLevel="0" collapsed="false">
      <c r="B1453" s="53" t="str">
        <f aca="false">IF(OR(LINEAS!$D$155="",LINEAS!$U$155=0,ABS(IF(OR(LINEAS!$U$155=1,LINEAS!$U$155=3),1,-1)*LINEAS!$AH$155*DATOS!$C$67)&lt;0.00005),"*",LINEAS!$D$155&amp;" UNI "&amp;IF(LINEAS!$U$155&lt;=2,"GZ","GX")&amp;" "&amp;TEXT(IF(OR(LINEAS!$U$155=1,LINEAS!$U$155=3),1,-1)*LINEAS!$AH$155*DATOS!$C$67,DATOS!$C$68))</f>
        <v>*</v>
      </c>
      <c r="C1453" s="51" t="str">
        <f aca="false">IF(LEN($B1453)&gt;79,"MÁS DE 79 CARACTERES","")</f>
        <v/>
      </c>
      <c r="D1453" s="53" t="str">
        <f aca="false">IF(PRESIONES!$C$22="NO","",IF(OR(LINEAS!$D$155="",LINEAS!$U$155=0,ABS(IF(OR(LINEAS!$U$155=1,LINEAS!$U$155=3),1,-1)*LINEAS!$AH$155*DATOS!$C$67)&lt;0.00005),"*",LINEAS!$D$155&amp;" UNI "&amp;IF(LINEAS!$U$155&lt;=2,"GZ","GX")&amp;" "&amp;TEXT(IF(OR(LINEAS!$U$155=1,LINEAS!$U$155=3),1,-1)*LINEAS!$AH$155*DATOS!$C$67,DATOS!$C$68)))</f>
        <v/>
      </c>
      <c r="E1453" s="51" t="str">
        <f aca="false">IF(LEN($D1453)&gt;79,"MÁS DE 79 CARACTERES","")</f>
        <v/>
      </c>
    </row>
    <row r="1454" customFormat="false" ht="15" hidden="false" customHeight="true" outlineLevel="0" collapsed="false">
      <c r="B1454" s="53" t="str">
        <f aca="false">IF(OR(LINEAS!$D$156="",LINEAS!$U$156=0,ABS(IF(OR(LINEAS!$U$156=1,LINEAS!$U$156=3),1,-1)*LINEAS!$AH$156*DATOS!$C$67)&lt;0.00005),"*",LINEAS!$D$156&amp;" UNI "&amp;IF(LINEAS!$U$156&lt;=2,"GZ","GX")&amp;" "&amp;TEXT(IF(OR(LINEAS!$U$156=1,LINEAS!$U$156=3),1,-1)*LINEAS!$AH$156*DATOS!$C$67,DATOS!$C$68))</f>
        <v>*</v>
      </c>
      <c r="C1454" s="51" t="str">
        <f aca="false">IF(LEN($B1454)&gt;79,"MÁS DE 79 CARACTERES","")</f>
        <v/>
      </c>
      <c r="D1454" s="53" t="str">
        <f aca="false">IF(PRESIONES!$C$22="NO","",IF(OR(LINEAS!$D$156="",LINEAS!$U$156=0,ABS(IF(OR(LINEAS!$U$156=1,LINEAS!$U$156=3),1,-1)*LINEAS!$AH$156*DATOS!$C$67)&lt;0.00005),"*",LINEAS!$D$156&amp;" UNI "&amp;IF(LINEAS!$U$156&lt;=2,"GZ","GX")&amp;" "&amp;TEXT(IF(OR(LINEAS!$U$156=1,LINEAS!$U$156=3),1,-1)*LINEAS!$AH$156*DATOS!$C$67,DATOS!$C$68)))</f>
        <v/>
      </c>
      <c r="E1454" s="51" t="str">
        <f aca="false">IF(LEN($D1454)&gt;79,"MÁS DE 79 CARACTERES","")</f>
        <v/>
      </c>
    </row>
    <row r="1455" customFormat="false" ht="15" hidden="false" customHeight="true" outlineLevel="0" collapsed="false">
      <c r="B1455" s="53" t="str">
        <f aca="false">IF(OR(LINEAS!$D$157="",LINEAS!$U$157=0,ABS(IF(OR(LINEAS!$U$157=1,LINEAS!$U$157=3),1,-1)*LINEAS!$AH$157*DATOS!$C$67)&lt;0.00005),"*",LINEAS!$D$157&amp;" UNI "&amp;IF(LINEAS!$U$157&lt;=2,"GZ","GX")&amp;" "&amp;TEXT(IF(OR(LINEAS!$U$157=1,LINEAS!$U$157=3),1,-1)*LINEAS!$AH$157*DATOS!$C$67,DATOS!$C$68))</f>
        <v>*</v>
      </c>
      <c r="C1455" s="51" t="str">
        <f aca="false">IF(LEN($B1455)&gt;79,"MÁS DE 79 CARACTERES","")</f>
        <v/>
      </c>
      <c r="D1455" s="53" t="str">
        <f aca="false">IF(PRESIONES!$C$22="NO","",IF(OR(LINEAS!$D$157="",LINEAS!$U$157=0,ABS(IF(OR(LINEAS!$U$157=1,LINEAS!$U$157=3),1,-1)*LINEAS!$AH$157*DATOS!$C$67)&lt;0.00005),"*",LINEAS!$D$157&amp;" UNI "&amp;IF(LINEAS!$U$157&lt;=2,"GZ","GX")&amp;" "&amp;TEXT(IF(OR(LINEAS!$U$157=1,LINEAS!$U$157=3),1,-1)*LINEAS!$AH$157*DATOS!$C$67,DATOS!$C$68)))</f>
        <v/>
      </c>
      <c r="E1455" s="51" t="str">
        <f aca="false">IF(LEN($D1455)&gt;79,"MÁS DE 79 CARACTERES","")</f>
        <v/>
      </c>
    </row>
    <row r="1456" customFormat="false" ht="15" hidden="false" customHeight="true" outlineLevel="0" collapsed="false">
      <c r="B1456" s="53" t="str">
        <f aca="false">IF(OR(LINEAS!$D$158="",LINEAS!$U$158=0,ABS(IF(OR(LINEAS!$U$158=1,LINEAS!$U$158=3),1,-1)*LINEAS!$AH$158*DATOS!$C$67)&lt;0.00005),"*",LINEAS!$D$158&amp;" UNI "&amp;IF(LINEAS!$U$158&lt;=2,"GZ","GX")&amp;" "&amp;TEXT(IF(OR(LINEAS!$U$158=1,LINEAS!$U$158=3),1,-1)*LINEAS!$AH$158*DATOS!$C$67,DATOS!$C$68))</f>
        <v>*</v>
      </c>
      <c r="C1456" s="51" t="str">
        <f aca="false">IF(LEN($B1456)&gt;79,"MÁS DE 79 CARACTERES","")</f>
        <v/>
      </c>
      <c r="D1456" s="53" t="str">
        <f aca="false">IF(PRESIONES!$C$22="NO","",IF(OR(LINEAS!$D$158="",LINEAS!$U$158=0,ABS(IF(OR(LINEAS!$U$158=1,LINEAS!$U$158=3),1,-1)*LINEAS!$AH$158*DATOS!$C$67)&lt;0.00005),"*",LINEAS!$D$158&amp;" UNI "&amp;IF(LINEAS!$U$158&lt;=2,"GZ","GX")&amp;" "&amp;TEXT(IF(OR(LINEAS!$U$158=1,LINEAS!$U$158=3),1,-1)*LINEAS!$AH$158*DATOS!$C$67,DATOS!$C$68)))</f>
        <v/>
      </c>
      <c r="E1456" s="51" t="str">
        <f aca="false">IF(LEN($D1456)&gt;79,"MÁS DE 79 CARACTERES","")</f>
        <v/>
      </c>
    </row>
    <row r="1457" customFormat="false" ht="15" hidden="false" customHeight="true" outlineLevel="0" collapsed="false">
      <c r="B1457" s="53" t="str">
        <f aca="false">IF(OR(LINEAS!$D$159="",LINEAS!$U$159=0,ABS(IF(OR(LINEAS!$U$159=1,LINEAS!$U$159=3),1,-1)*LINEAS!$AH$159*DATOS!$C$67)&lt;0.00005),"*",LINEAS!$D$159&amp;" UNI "&amp;IF(LINEAS!$U$159&lt;=2,"GZ","GX")&amp;" "&amp;TEXT(IF(OR(LINEAS!$U$159=1,LINEAS!$U$159=3),1,-1)*LINEAS!$AH$159*DATOS!$C$67,DATOS!$C$68))</f>
        <v>*</v>
      </c>
      <c r="C1457" s="51" t="str">
        <f aca="false">IF(LEN($B1457)&gt;79,"MÁS DE 79 CARACTERES","")</f>
        <v/>
      </c>
      <c r="D1457" s="53" t="str">
        <f aca="false">IF(PRESIONES!$C$22="NO","",IF(OR(LINEAS!$D$159="",LINEAS!$U$159=0,ABS(IF(OR(LINEAS!$U$159=1,LINEAS!$U$159=3),1,-1)*LINEAS!$AH$159*DATOS!$C$67)&lt;0.00005),"*",LINEAS!$D$159&amp;" UNI "&amp;IF(LINEAS!$U$159&lt;=2,"GZ","GX")&amp;" "&amp;TEXT(IF(OR(LINEAS!$U$159=1,LINEAS!$U$159=3),1,-1)*LINEAS!$AH$159*DATOS!$C$67,DATOS!$C$68)))</f>
        <v/>
      </c>
      <c r="E1457" s="51" t="str">
        <f aca="false">IF(LEN($D1457)&gt;79,"MÁS DE 79 CARACTERES","")</f>
        <v/>
      </c>
    </row>
    <row r="1458" customFormat="false" ht="15" hidden="false" customHeight="true" outlineLevel="0" collapsed="false">
      <c r="B1458" s="53" t="str">
        <f aca="false">IF(OR(LINEAS!$D$160="",LINEAS!$U$160=0,ABS(IF(OR(LINEAS!$U$160=1,LINEAS!$U$160=3),1,-1)*LINEAS!$AH$160*DATOS!$C$67)&lt;0.00005),"*",LINEAS!$D$160&amp;" UNI "&amp;IF(LINEAS!$U$160&lt;=2,"GZ","GX")&amp;" "&amp;TEXT(IF(OR(LINEAS!$U$160=1,LINEAS!$U$160=3),1,-1)*LINEAS!$AH$160*DATOS!$C$67,DATOS!$C$68))</f>
        <v>*</v>
      </c>
      <c r="C1458" s="51" t="str">
        <f aca="false">IF(LEN($B1458)&gt;79,"MÁS DE 79 CARACTERES","")</f>
        <v/>
      </c>
      <c r="D1458" s="53" t="str">
        <f aca="false">IF(PRESIONES!$C$22="NO","",IF(OR(LINEAS!$D$160="",LINEAS!$U$160=0,ABS(IF(OR(LINEAS!$U$160=1,LINEAS!$U$160=3),1,-1)*LINEAS!$AH$160*DATOS!$C$67)&lt;0.00005),"*",LINEAS!$D$160&amp;" UNI "&amp;IF(LINEAS!$U$160&lt;=2,"GZ","GX")&amp;" "&amp;TEXT(IF(OR(LINEAS!$U$160=1,LINEAS!$U$160=3),1,-1)*LINEAS!$AH$160*DATOS!$C$67,DATOS!$C$68)))</f>
        <v/>
      </c>
      <c r="E1458" s="51" t="str">
        <f aca="false">IF(LEN($D1458)&gt;79,"MÁS DE 79 CARACTERES","")</f>
        <v/>
      </c>
    </row>
    <row r="1459" customFormat="false" ht="15" hidden="false" customHeight="true" outlineLevel="0" collapsed="false">
      <c r="B1459" s="53" t="str">
        <f aca="false">IF(OR(LINEAS!$D$161="",LINEAS!$U$161=0,ABS(IF(OR(LINEAS!$U$161=1,LINEAS!$U$161=3),1,-1)*LINEAS!$AH$161*DATOS!$C$67)&lt;0.00005),"*",LINEAS!$D$161&amp;" UNI "&amp;IF(LINEAS!$U$161&lt;=2,"GZ","GX")&amp;" "&amp;TEXT(IF(OR(LINEAS!$U$161=1,LINEAS!$U$161=3),1,-1)*LINEAS!$AH$161*DATOS!$C$67,DATOS!$C$68))</f>
        <v>*</v>
      </c>
      <c r="C1459" s="51" t="str">
        <f aca="false">IF(LEN($B1459)&gt;79,"MÁS DE 79 CARACTERES","")</f>
        <v/>
      </c>
      <c r="D1459" s="53" t="str">
        <f aca="false">IF(PRESIONES!$C$22="NO","",IF(OR(LINEAS!$D$161="",LINEAS!$U$161=0,ABS(IF(OR(LINEAS!$U$161=1,LINEAS!$U$161=3),1,-1)*LINEAS!$AH$161*DATOS!$C$67)&lt;0.00005),"*",LINEAS!$D$161&amp;" UNI "&amp;IF(LINEAS!$U$161&lt;=2,"GZ","GX")&amp;" "&amp;TEXT(IF(OR(LINEAS!$U$161=1,LINEAS!$U$161=3),1,-1)*LINEAS!$AH$161*DATOS!$C$67,DATOS!$C$68)))</f>
        <v/>
      </c>
      <c r="E1459" s="51" t="str">
        <f aca="false">IF(LEN($D1459)&gt;79,"MÁS DE 79 CARACTERES","")</f>
        <v/>
      </c>
    </row>
    <row r="1460" customFormat="false" ht="15" hidden="false" customHeight="true" outlineLevel="0" collapsed="false">
      <c r="B1460" s="53" t="str">
        <f aca="false">IF(OR(LINEAS!$D$162="",LINEAS!$U$162=0,ABS(IF(OR(LINEAS!$U$162=1,LINEAS!$U$162=3),1,-1)*LINEAS!$AH$162*DATOS!$C$67)&lt;0.00005),"*",LINEAS!$D$162&amp;" UNI "&amp;IF(LINEAS!$U$162&lt;=2,"GZ","GX")&amp;" "&amp;TEXT(IF(OR(LINEAS!$U$162=1,LINEAS!$U$162=3),1,-1)*LINEAS!$AH$162*DATOS!$C$67,DATOS!$C$68))</f>
        <v>*</v>
      </c>
      <c r="C1460" s="51" t="str">
        <f aca="false">IF(LEN($B1460)&gt;79,"MÁS DE 79 CARACTERES","")</f>
        <v/>
      </c>
      <c r="D1460" s="53" t="str">
        <f aca="false">IF(PRESIONES!$C$22="NO","",IF(OR(LINEAS!$D$162="",LINEAS!$U$162=0,ABS(IF(OR(LINEAS!$U$162=1,LINEAS!$U$162=3),1,-1)*LINEAS!$AH$162*DATOS!$C$67)&lt;0.00005),"*",LINEAS!$D$162&amp;" UNI "&amp;IF(LINEAS!$U$162&lt;=2,"GZ","GX")&amp;" "&amp;TEXT(IF(OR(LINEAS!$U$162=1,LINEAS!$U$162=3),1,-1)*LINEAS!$AH$162*DATOS!$C$67,DATOS!$C$68)))</f>
        <v/>
      </c>
      <c r="E1460" s="51" t="str">
        <f aca="false">IF(LEN($D1460)&gt;79,"MÁS DE 79 CARACTERES","")</f>
        <v/>
      </c>
    </row>
    <row r="1461" customFormat="false" ht="15" hidden="false" customHeight="true" outlineLevel="0" collapsed="false">
      <c r="B1461" s="53" t="str">
        <f aca="false">IF(OR(LINEAS!$D$163="",LINEAS!$U$163=0,ABS(IF(OR(LINEAS!$U$163=1,LINEAS!$U$163=3),1,-1)*LINEAS!$AH$163*DATOS!$C$67)&lt;0.00005),"*",LINEAS!$D$163&amp;" UNI "&amp;IF(LINEAS!$U$163&lt;=2,"GZ","GX")&amp;" "&amp;TEXT(IF(OR(LINEAS!$U$163=1,LINEAS!$U$163=3),1,-1)*LINEAS!$AH$163*DATOS!$C$67,DATOS!$C$68))</f>
        <v>*</v>
      </c>
      <c r="C1461" s="51" t="str">
        <f aca="false">IF(LEN($B1461)&gt;79,"MÁS DE 79 CARACTERES","")</f>
        <v/>
      </c>
      <c r="D1461" s="53" t="str">
        <f aca="false">IF(PRESIONES!$C$22="NO","",IF(OR(LINEAS!$D$163="",LINEAS!$U$163=0,ABS(IF(OR(LINEAS!$U$163=1,LINEAS!$U$163=3),1,-1)*LINEAS!$AH$163*DATOS!$C$67)&lt;0.00005),"*",LINEAS!$D$163&amp;" UNI "&amp;IF(LINEAS!$U$163&lt;=2,"GZ","GX")&amp;" "&amp;TEXT(IF(OR(LINEAS!$U$163=1,LINEAS!$U$163=3),1,-1)*LINEAS!$AH$163*DATOS!$C$67,DATOS!$C$68)))</f>
        <v/>
      </c>
      <c r="E1461" s="51" t="str">
        <f aca="false">IF(LEN($D1461)&gt;79,"MÁS DE 79 CARACTERES","")</f>
        <v/>
      </c>
    </row>
    <row r="1462" customFormat="false" ht="15" hidden="false" customHeight="true" outlineLevel="0" collapsed="false">
      <c r="B1462" s="53" t="str">
        <f aca="false">IF(OR(LINEAS!$D$164="",LINEAS!$U$164=0,ABS(IF(OR(LINEAS!$U$164=1,LINEAS!$U$164=3),1,-1)*LINEAS!$AH$164*DATOS!$C$67)&lt;0.00005),"*",LINEAS!$D$164&amp;" UNI "&amp;IF(LINEAS!$U$164&lt;=2,"GZ","GX")&amp;" "&amp;TEXT(IF(OR(LINEAS!$U$164=1,LINEAS!$U$164=3),1,-1)*LINEAS!$AH$164*DATOS!$C$67,DATOS!$C$68))</f>
        <v>*</v>
      </c>
      <c r="C1462" s="51" t="str">
        <f aca="false">IF(LEN($B1462)&gt;79,"MÁS DE 79 CARACTERES","")</f>
        <v/>
      </c>
      <c r="D1462" s="53" t="str">
        <f aca="false">IF(PRESIONES!$C$22="NO","",IF(OR(LINEAS!$D$164="",LINEAS!$U$164=0,ABS(IF(OR(LINEAS!$U$164=1,LINEAS!$U$164=3),1,-1)*LINEAS!$AH$164*DATOS!$C$67)&lt;0.00005),"*",LINEAS!$D$164&amp;" UNI "&amp;IF(LINEAS!$U$164&lt;=2,"GZ","GX")&amp;" "&amp;TEXT(IF(OR(LINEAS!$U$164=1,LINEAS!$U$164=3),1,-1)*LINEAS!$AH$164*DATOS!$C$67,DATOS!$C$68)))</f>
        <v/>
      </c>
      <c r="E1462" s="51" t="str">
        <f aca="false">IF(LEN($D1462)&gt;79,"MÁS DE 79 CARACTERES","")</f>
        <v/>
      </c>
    </row>
    <row r="1463" customFormat="false" ht="15" hidden="false" customHeight="true" outlineLevel="0" collapsed="false">
      <c r="B1463" s="53" t="str">
        <f aca="false">IF(OR(LINEAS!$D$165="",LINEAS!$U$165=0,ABS(IF(OR(LINEAS!$U$165=1,LINEAS!$U$165=3),1,-1)*LINEAS!$AH$165*DATOS!$C$67)&lt;0.00005),"*",LINEAS!$D$165&amp;" UNI "&amp;IF(LINEAS!$U$165&lt;=2,"GZ","GX")&amp;" "&amp;TEXT(IF(OR(LINEAS!$U$165=1,LINEAS!$U$165=3),1,-1)*LINEAS!$AH$165*DATOS!$C$67,DATOS!$C$68))</f>
        <v>*</v>
      </c>
      <c r="C1463" s="51" t="str">
        <f aca="false">IF(LEN($B1463)&gt;79,"MÁS DE 79 CARACTERES","")</f>
        <v/>
      </c>
      <c r="D1463" s="53" t="str">
        <f aca="false">IF(PRESIONES!$C$22="NO","",IF(OR(LINEAS!$D$165="",LINEAS!$U$165=0,ABS(IF(OR(LINEAS!$U$165=1,LINEAS!$U$165=3),1,-1)*LINEAS!$AH$165*DATOS!$C$67)&lt;0.00005),"*",LINEAS!$D$165&amp;" UNI "&amp;IF(LINEAS!$U$165&lt;=2,"GZ","GX")&amp;" "&amp;TEXT(IF(OR(LINEAS!$U$165=1,LINEAS!$U$165=3),1,-1)*LINEAS!$AH$165*DATOS!$C$67,DATOS!$C$68)))</f>
        <v/>
      </c>
      <c r="E1463" s="51" t="str">
        <f aca="false">IF(LEN($D1463)&gt;79,"MÁS DE 79 CARACTERES","")</f>
        <v/>
      </c>
    </row>
    <row r="1464" customFormat="false" ht="15" hidden="false" customHeight="true" outlineLevel="0" collapsed="false">
      <c r="B1464" s="53" t="str">
        <f aca="false">IF(OR(LINEAS!$D$166="",LINEAS!$U$166=0,ABS(IF(OR(LINEAS!$U$166=1,LINEAS!$U$166=3),1,-1)*LINEAS!$AH$166*DATOS!$C$67)&lt;0.00005),"*",LINEAS!$D$166&amp;" UNI "&amp;IF(LINEAS!$U$166&lt;=2,"GZ","GX")&amp;" "&amp;TEXT(IF(OR(LINEAS!$U$166=1,LINEAS!$U$166=3),1,-1)*LINEAS!$AH$166*DATOS!$C$67,DATOS!$C$68))</f>
        <v>*</v>
      </c>
      <c r="C1464" s="51" t="str">
        <f aca="false">IF(LEN($B1464)&gt;79,"MÁS DE 79 CARACTERES","")</f>
        <v/>
      </c>
      <c r="D1464" s="53" t="str">
        <f aca="false">IF(PRESIONES!$C$22="NO","",IF(OR(LINEAS!$D$166="",LINEAS!$U$166=0,ABS(IF(OR(LINEAS!$U$166=1,LINEAS!$U$166=3),1,-1)*LINEAS!$AH$166*DATOS!$C$67)&lt;0.00005),"*",LINEAS!$D$166&amp;" UNI "&amp;IF(LINEAS!$U$166&lt;=2,"GZ","GX")&amp;" "&amp;TEXT(IF(OR(LINEAS!$U$166=1,LINEAS!$U$166=3),1,-1)*LINEAS!$AH$166*DATOS!$C$67,DATOS!$C$68)))</f>
        <v/>
      </c>
      <c r="E1464" s="51" t="str">
        <f aca="false">IF(LEN($D1464)&gt;79,"MÁS DE 79 CARACTERES","")</f>
        <v/>
      </c>
    </row>
    <row r="1465" customFormat="false" ht="15" hidden="false" customHeight="true" outlineLevel="0" collapsed="false">
      <c r="B1465" s="53" t="str">
        <f aca="false">IF(OR(LINEAS!$D$167="",LINEAS!$U$167=0,ABS(IF(OR(LINEAS!$U$167=1,LINEAS!$U$167=3),1,-1)*LINEAS!$AH$167*DATOS!$C$67)&lt;0.00005),"*",LINEAS!$D$167&amp;" UNI "&amp;IF(LINEAS!$U$167&lt;=2,"GZ","GX")&amp;" "&amp;TEXT(IF(OR(LINEAS!$U$167=1,LINEAS!$U$167=3),1,-1)*LINEAS!$AH$167*DATOS!$C$67,DATOS!$C$68))</f>
        <v>*</v>
      </c>
      <c r="C1465" s="51" t="str">
        <f aca="false">IF(LEN($B1465)&gt;79,"MÁS DE 79 CARACTERES","")</f>
        <v/>
      </c>
      <c r="D1465" s="53" t="str">
        <f aca="false">IF(PRESIONES!$C$22="NO","",IF(OR(LINEAS!$D$167="",LINEAS!$U$167=0,ABS(IF(OR(LINEAS!$U$167=1,LINEAS!$U$167=3),1,-1)*LINEAS!$AH$167*DATOS!$C$67)&lt;0.00005),"*",LINEAS!$D$167&amp;" UNI "&amp;IF(LINEAS!$U$167&lt;=2,"GZ","GX")&amp;" "&amp;TEXT(IF(OR(LINEAS!$U$167=1,LINEAS!$U$167=3),1,-1)*LINEAS!$AH$167*DATOS!$C$67,DATOS!$C$68)))</f>
        <v/>
      </c>
      <c r="E1465" s="51" t="str">
        <f aca="false">IF(LEN($D1465)&gt;79,"MÁS DE 79 CARACTERES","")</f>
        <v/>
      </c>
    </row>
    <row r="1466" customFormat="false" ht="15" hidden="false" customHeight="true" outlineLevel="0" collapsed="false">
      <c r="B1466" s="53" t="str">
        <f aca="false">IF(OR(LINEAS!$D$168="",LINEAS!$U$168=0,ABS(IF(OR(LINEAS!$U$168=1,LINEAS!$U$168=3),1,-1)*LINEAS!$AH$168*DATOS!$C$67)&lt;0.00005),"*",LINEAS!$D$168&amp;" UNI "&amp;IF(LINEAS!$U$168&lt;=2,"GZ","GX")&amp;" "&amp;TEXT(IF(OR(LINEAS!$U$168=1,LINEAS!$U$168=3),1,-1)*LINEAS!$AH$168*DATOS!$C$67,DATOS!$C$68))</f>
        <v>*</v>
      </c>
      <c r="C1466" s="51" t="str">
        <f aca="false">IF(LEN($B1466)&gt;79,"MÁS DE 79 CARACTERES","")</f>
        <v/>
      </c>
      <c r="D1466" s="53" t="str">
        <f aca="false">IF(PRESIONES!$C$22="NO","",IF(OR(LINEAS!$D$168="",LINEAS!$U$168=0,ABS(IF(OR(LINEAS!$U$168=1,LINEAS!$U$168=3),1,-1)*LINEAS!$AH$168*DATOS!$C$67)&lt;0.00005),"*",LINEAS!$D$168&amp;" UNI "&amp;IF(LINEAS!$U$168&lt;=2,"GZ","GX")&amp;" "&amp;TEXT(IF(OR(LINEAS!$U$168=1,LINEAS!$U$168=3),1,-1)*LINEAS!$AH$168*DATOS!$C$67,DATOS!$C$68)))</f>
        <v/>
      </c>
      <c r="E1466" s="51" t="str">
        <f aca="false">IF(LEN($D1466)&gt;79,"MÁS DE 79 CARACTERES","")</f>
        <v/>
      </c>
    </row>
    <row r="1467" customFormat="false" ht="15" hidden="false" customHeight="true" outlineLevel="0" collapsed="false">
      <c r="B1467" s="53" t="str">
        <f aca="false">IF(OR(LINEAS!$D$169="",LINEAS!$U$169=0,ABS(IF(OR(LINEAS!$U$169=1,LINEAS!$U$169=3),1,-1)*LINEAS!$AH$169*DATOS!$C$67)&lt;0.00005),"*",LINEAS!$D$169&amp;" UNI "&amp;IF(LINEAS!$U$169&lt;=2,"GZ","GX")&amp;" "&amp;TEXT(IF(OR(LINEAS!$U$169=1,LINEAS!$U$169=3),1,-1)*LINEAS!$AH$169*DATOS!$C$67,DATOS!$C$68))</f>
        <v>*</v>
      </c>
      <c r="C1467" s="51" t="str">
        <f aca="false">IF(LEN($B1467)&gt;79,"MÁS DE 79 CARACTERES","")</f>
        <v/>
      </c>
      <c r="D1467" s="53" t="str">
        <f aca="false">IF(PRESIONES!$C$22="NO","",IF(OR(LINEAS!$D$169="",LINEAS!$U$169=0,ABS(IF(OR(LINEAS!$U$169=1,LINEAS!$U$169=3),1,-1)*LINEAS!$AH$169*DATOS!$C$67)&lt;0.00005),"*",LINEAS!$D$169&amp;" UNI "&amp;IF(LINEAS!$U$169&lt;=2,"GZ","GX")&amp;" "&amp;TEXT(IF(OR(LINEAS!$U$169=1,LINEAS!$U$169=3),1,-1)*LINEAS!$AH$169*DATOS!$C$67,DATOS!$C$68)))</f>
        <v/>
      </c>
      <c r="E1467" s="51" t="str">
        <f aca="false">IF(LEN($D1467)&gt;79,"MÁS DE 79 CARACTERES","")</f>
        <v/>
      </c>
    </row>
    <row r="1468" customFormat="false" ht="15" hidden="false" customHeight="true" outlineLevel="0" collapsed="false">
      <c r="B1468" s="53" t="str">
        <f aca="false">IF(OR(LINEAS!$D$170="",LINEAS!$U$170=0,ABS(IF(OR(LINEAS!$U$170=1,LINEAS!$U$170=3),1,-1)*LINEAS!$AH$170*DATOS!$C$67)&lt;0.00005),"*",LINEAS!$D$170&amp;" UNI "&amp;IF(LINEAS!$U$170&lt;=2,"GZ","GX")&amp;" "&amp;TEXT(IF(OR(LINEAS!$U$170=1,LINEAS!$U$170=3),1,-1)*LINEAS!$AH$170*DATOS!$C$67,DATOS!$C$68))</f>
        <v>*</v>
      </c>
      <c r="C1468" s="51" t="str">
        <f aca="false">IF(LEN($B1468)&gt;79,"MÁS DE 79 CARACTERES","")</f>
        <v/>
      </c>
      <c r="D1468" s="53" t="str">
        <f aca="false">IF(PRESIONES!$C$22="NO","",IF(OR(LINEAS!$D$170="",LINEAS!$U$170=0,ABS(IF(OR(LINEAS!$U$170=1,LINEAS!$U$170=3),1,-1)*LINEAS!$AH$170*DATOS!$C$67)&lt;0.00005),"*",LINEAS!$D$170&amp;" UNI "&amp;IF(LINEAS!$U$170&lt;=2,"GZ","GX")&amp;" "&amp;TEXT(IF(OR(LINEAS!$U$170=1,LINEAS!$U$170=3),1,-1)*LINEAS!$AH$170*DATOS!$C$67,DATOS!$C$68)))</f>
        <v/>
      </c>
      <c r="E1468" s="51" t="str">
        <f aca="false">IF(LEN($D1468)&gt;79,"MÁS DE 79 CARACTERES","")</f>
        <v/>
      </c>
    </row>
    <row r="1469" customFormat="false" ht="15" hidden="false" customHeight="true" outlineLevel="0" collapsed="false">
      <c r="B1469" s="53" t="str">
        <f aca="false">IF(OR(LINEAS!$D$171="",LINEAS!$U$171=0,ABS(IF(OR(LINEAS!$U$171=1,LINEAS!$U$171=3),1,-1)*LINEAS!$AH$171*DATOS!$C$67)&lt;0.00005),"*",LINEAS!$D$171&amp;" UNI "&amp;IF(LINEAS!$U$171&lt;=2,"GZ","GX")&amp;" "&amp;TEXT(IF(OR(LINEAS!$U$171=1,LINEAS!$U$171=3),1,-1)*LINEAS!$AH$171*DATOS!$C$67,DATOS!$C$68))</f>
        <v>*</v>
      </c>
      <c r="C1469" s="51" t="str">
        <f aca="false">IF(LEN($B1469)&gt;79,"MÁS DE 79 CARACTERES","")</f>
        <v/>
      </c>
      <c r="D1469" s="53" t="str">
        <f aca="false">IF(PRESIONES!$C$22="NO","",IF(OR(LINEAS!$D$171="",LINEAS!$U$171=0,ABS(IF(OR(LINEAS!$U$171=1,LINEAS!$U$171=3),1,-1)*LINEAS!$AH$171*DATOS!$C$67)&lt;0.00005),"*",LINEAS!$D$171&amp;" UNI "&amp;IF(LINEAS!$U$171&lt;=2,"GZ","GX")&amp;" "&amp;TEXT(IF(OR(LINEAS!$U$171=1,LINEAS!$U$171=3),1,-1)*LINEAS!$AH$171*DATOS!$C$67,DATOS!$C$68)))</f>
        <v/>
      </c>
      <c r="E1469" s="51" t="str">
        <f aca="false">IF(LEN($D1469)&gt;79,"MÁS DE 79 CARACTERES","")</f>
        <v/>
      </c>
    </row>
    <row r="1470" customFormat="false" ht="15" hidden="false" customHeight="true" outlineLevel="0" collapsed="false">
      <c r="B1470" s="53" t="str">
        <f aca="false">IF(OR(LINEAS!$D$172="",LINEAS!$U$172=0,ABS(IF(OR(LINEAS!$U$172=1,LINEAS!$U$172=3),1,-1)*LINEAS!$AH$172*DATOS!$C$67)&lt;0.00005),"*",LINEAS!$D$172&amp;" UNI "&amp;IF(LINEAS!$U$172&lt;=2,"GZ","GX")&amp;" "&amp;TEXT(IF(OR(LINEAS!$U$172=1,LINEAS!$U$172=3),1,-1)*LINEAS!$AH$172*DATOS!$C$67,DATOS!$C$68))</f>
        <v>*</v>
      </c>
      <c r="C1470" s="51" t="str">
        <f aca="false">IF(LEN($B1470)&gt;79,"MÁS DE 79 CARACTERES","")</f>
        <v/>
      </c>
      <c r="D1470" s="53" t="str">
        <f aca="false">IF(PRESIONES!$C$22="NO","",IF(OR(LINEAS!$D$172="",LINEAS!$U$172=0,ABS(IF(OR(LINEAS!$U$172=1,LINEAS!$U$172=3),1,-1)*LINEAS!$AH$172*DATOS!$C$67)&lt;0.00005),"*",LINEAS!$D$172&amp;" UNI "&amp;IF(LINEAS!$U$172&lt;=2,"GZ","GX")&amp;" "&amp;TEXT(IF(OR(LINEAS!$U$172=1,LINEAS!$U$172=3),1,-1)*LINEAS!$AH$172*DATOS!$C$67,DATOS!$C$68)))</f>
        <v/>
      </c>
      <c r="E1470" s="51" t="str">
        <f aca="false">IF(LEN($D1470)&gt;79,"MÁS DE 79 CARACTERES","")</f>
        <v/>
      </c>
    </row>
    <row r="1471" customFormat="false" ht="15" hidden="false" customHeight="true" outlineLevel="0" collapsed="false">
      <c r="B1471" s="53" t="str">
        <f aca="false">IF(OR(LINEAS!$D$173="",LINEAS!$U$173=0,ABS(IF(OR(LINEAS!$U$173=1,LINEAS!$U$173=3),1,-1)*LINEAS!$AH$173*DATOS!$C$67)&lt;0.00005),"*",LINEAS!$D$173&amp;" UNI "&amp;IF(LINEAS!$U$173&lt;=2,"GZ","GX")&amp;" "&amp;TEXT(IF(OR(LINEAS!$U$173=1,LINEAS!$U$173=3),1,-1)*LINEAS!$AH$173*DATOS!$C$67,DATOS!$C$68))</f>
        <v>*</v>
      </c>
      <c r="C1471" s="51" t="str">
        <f aca="false">IF(LEN($B1471)&gt;79,"MÁS DE 79 CARACTERES","")</f>
        <v/>
      </c>
      <c r="D1471" s="53" t="str">
        <f aca="false">IF(PRESIONES!$C$22="NO","",IF(OR(LINEAS!$D$173="",LINEAS!$U$173=0,ABS(IF(OR(LINEAS!$U$173=1,LINEAS!$U$173=3),1,-1)*LINEAS!$AH$173*DATOS!$C$67)&lt;0.00005),"*",LINEAS!$D$173&amp;" UNI "&amp;IF(LINEAS!$U$173&lt;=2,"GZ","GX")&amp;" "&amp;TEXT(IF(OR(LINEAS!$U$173=1,LINEAS!$U$173=3),1,-1)*LINEAS!$AH$173*DATOS!$C$67,DATOS!$C$68)))</f>
        <v/>
      </c>
      <c r="E1471" s="51" t="str">
        <f aca="false">IF(LEN($D1471)&gt;79,"MÁS DE 79 CARACTERES","")</f>
        <v/>
      </c>
    </row>
    <row r="1472" customFormat="false" ht="15" hidden="false" customHeight="true" outlineLevel="0" collapsed="false">
      <c r="B1472" s="53" t="str">
        <f aca="false">IF(OR(LINEAS!$D$174="",LINEAS!$U$174=0,ABS(IF(OR(LINEAS!$U$174=1,LINEAS!$U$174=3),1,-1)*LINEAS!$AH$174*DATOS!$C$67)&lt;0.00005),"*",LINEAS!$D$174&amp;" UNI "&amp;IF(LINEAS!$U$174&lt;=2,"GZ","GX")&amp;" "&amp;TEXT(IF(OR(LINEAS!$U$174=1,LINEAS!$U$174=3),1,-1)*LINEAS!$AH$174*DATOS!$C$67,DATOS!$C$68))</f>
        <v>*</v>
      </c>
      <c r="C1472" s="51" t="str">
        <f aca="false">IF(LEN($B1472)&gt;79,"MÁS DE 79 CARACTERES","")</f>
        <v/>
      </c>
      <c r="D1472" s="53" t="str">
        <f aca="false">IF(PRESIONES!$C$22="NO","",IF(OR(LINEAS!$D$174="",LINEAS!$U$174=0,ABS(IF(OR(LINEAS!$U$174=1,LINEAS!$U$174=3),1,-1)*LINEAS!$AH$174*DATOS!$C$67)&lt;0.00005),"*",LINEAS!$D$174&amp;" UNI "&amp;IF(LINEAS!$U$174&lt;=2,"GZ","GX")&amp;" "&amp;TEXT(IF(OR(LINEAS!$U$174=1,LINEAS!$U$174=3),1,-1)*LINEAS!$AH$174*DATOS!$C$67,DATOS!$C$68)))</f>
        <v/>
      </c>
      <c r="E1472" s="51" t="str">
        <f aca="false">IF(LEN($D1472)&gt;79,"MÁS DE 79 CARACTERES","")</f>
        <v/>
      </c>
    </row>
    <row r="1473" customFormat="false" ht="15" hidden="false" customHeight="true" outlineLevel="0" collapsed="false">
      <c r="B1473" s="53" t="str">
        <f aca="false">IF(OR(LINEAS!$D$175="",LINEAS!$U$175=0,ABS(IF(OR(LINEAS!$U$175=1,LINEAS!$U$175=3),1,-1)*LINEAS!$AH$175*DATOS!$C$67)&lt;0.00005),"*",LINEAS!$D$175&amp;" UNI "&amp;IF(LINEAS!$U$175&lt;=2,"GZ","GX")&amp;" "&amp;TEXT(IF(OR(LINEAS!$U$175=1,LINEAS!$U$175=3),1,-1)*LINEAS!$AH$175*DATOS!$C$67,DATOS!$C$68))</f>
        <v>*</v>
      </c>
      <c r="C1473" s="51" t="str">
        <f aca="false">IF(LEN($B1473)&gt;79,"MÁS DE 79 CARACTERES","")</f>
        <v/>
      </c>
      <c r="D1473" s="53" t="str">
        <f aca="false">IF(PRESIONES!$C$22="NO","",IF(OR(LINEAS!$D$175="",LINEAS!$U$175=0,ABS(IF(OR(LINEAS!$U$175=1,LINEAS!$U$175=3),1,-1)*LINEAS!$AH$175*DATOS!$C$67)&lt;0.00005),"*",LINEAS!$D$175&amp;" UNI "&amp;IF(LINEAS!$U$175&lt;=2,"GZ","GX")&amp;" "&amp;TEXT(IF(OR(LINEAS!$U$175=1,LINEAS!$U$175=3),1,-1)*LINEAS!$AH$175*DATOS!$C$67,DATOS!$C$68)))</f>
        <v/>
      </c>
      <c r="E1473" s="51" t="str">
        <f aca="false">IF(LEN($D1473)&gt;79,"MÁS DE 79 CARACTERES","")</f>
        <v/>
      </c>
    </row>
    <row r="1474" customFormat="false" ht="15" hidden="false" customHeight="true" outlineLevel="0" collapsed="false">
      <c r="B1474" s="53" t="str">
        <f aca="false">IF(OR(LINEAS!$D$176="",LINEAS!$U$176=0,ABS(IF(OR(LINEAS!$U$176=1,LINEAS!$U$176=3),1,-1)*LINEAS!$AH$176*DATOS!$C$67)&lt;0.00005),"*",LINEAS!$D$176&amp;" UNI "&amp;IF(LINEAS!$U$176&lt;=2,"GZ","GX")&amp;" "&amp;TEXT(IF(OR(LINEAS!$U$176=1,LINEAS!$U$176=3),1,-1)*LINEAS!$AH$176*DATOS!$C$67,DATOS!$C$68))</f>
        <v>*</v>
      </c>
      <c r="C1474" s="51" t="str">
        <f aca="false">IF(LEN($B1474)&gt;79,"MÁS DE 79 CARACTERES","")</f>
        <v/>
      </c>
      <c r="D1474" s="53" t="str">
        <f aca="false">IF(PRESIONES!$C$22="NO","",IF(OR(LINEAS!$D$176="",LINEAS!$U$176=0,ABS(IF(OR(LINEAS!$U$176=1,LINEAS!$U$176=3),1,-1)*LINEAS!$AH$176*DATOS!$C$67)&lt;0.00005),"*",LINEAS!$D$176&amp;" UNI "&amp;IF(LINEAS!$U$176&lt;=2,"GZ","GX")&amp;" "&amp;TEXT(IF(OR(LINEAS!$U$176=1,LINEAS!$U$176=3),1,-1)*LINEAS!$AH$176*DATOS!$C$67,DATOS!$C$68)))</f>
        <v/>
      </c>
      <c r="E1474" s="51" t="str">
        <f aca="false">IF(LEN($D1474)&gt;79,"MÁS DE 79 CARACTERES","")</f>
        <v/>
      </c>
    </row>
    <row r="1475" customFormat="false" ht="15" hidden="false" customHeight="true" outlineLevel="0" collapsed="false">
      <c r="B1475" s="53" t="str">
        <f aca="false">IF(OR(LINEAS!$D$177="",LINEAS!$U$177=0,ABS(IF(OR(LINEAS!$U$177=1,LINEAS!$U$177=3),1,-1)*LINEAS!$AH$177*DATOS!$C$67)&lt;0.00005),"*",LINEAS!$D$177&amp;" UNI "&amp;IF(LINEAS!$U$177&lt;=2,"GZ","GX")&amp;" "&amp;TEXT(IF(OR(LINEAS!$U$177=1,LINEAS!$U$177=3),1,-1)*LINEAS!$AH$177*DATOS!$C$67,DATOS!$C$68))</f>
        <v>*</v>
      </c>
      <c r="C1475" s="51" t="str">
        <f aca="false">IF(LEN($B1475)&gt;79,"MÁS DE 79 CARACTERES","")</f>
        <v/>
      </c>
      <c r="D1475" s="53" t="str">
        <f aca="false">IF(PRESIONES!$C$22="NO","",IF(OR(LINEAS!$D$177="",LINEAS!$U$177=0,ABS(IF(OR(LINEAS!$U$177=1,LINEAS!$U$177=3),1,-1)*LINEAS!$AH$177*DATOS!$C$67)&lt;0.00005),"*",LINEAS!$D$177&amp;" UNI "&amp;IF(LINEAS!$U$177&lt;=2,"GZ","GX")&amp;" "&amp;TEXT(IF(OR(LINEAS!$U$177=1,LINEAS!$U$177=3),1,-1)*LINEAS!$AH$177*DATOS!$C$67,DATOS!$C$68)))</f>
        <v/>
      </c>
      <c r="E1475" s="51" t="str">
        <f aca="false">IF(LEN($D1475)&gt;79,"MÁS DE 79 CARACTERES","")</f>
        <v/>
      </c>
    </row>
    <row r="1476" customFormat="false" ht="15" hidden="false" customHeight="true" outlineLevel="0" collapsed="false">
      <c r="B1476" s="53" t="str">
        <f aca="false">IF(OR(LINEAS!$D$178="",LINEAS!$U$178=0,ABS(IF(OR(LINEAS!$U$178=1,LINEAS!$U$178=3),1,-1)*LINEAS!$AH$178*DATOS!$C$67)&lt;0.00005),"*",LINEAS!$D$178&amp;" UNI "&amp;IF(LINEAS!$U$178&lt;=2,"GZ","GX")&amp;" "&amp;TEXT(IF(OR(LINEAS!$U$178=1,LINEAS!$U$178=3),1,-1)*LINEAS!$AH$178*DATOS!$C$67,DATOS!$C$68))</f>
        <v>*</v>
      </c>
      <c r="C1476" s="51" t="str">
        <f aca="false">IF(LEN($B1476)&gt;79,"MÁS DE 79 CARACTERES","")</f>
        <v/>
      </c>
      <c r="D1476" s="53" t="str">
        <f aca="false">IF(PRESIONES!$C$22="NO","",IF(OR(LINEAS!$D$178="",LINEAS!$U$178=0,ABS(IF(OR(LINEAS!$U$178=1,LINEAS!$U$178=3),1,-1)*LINEAS!$AH$178*DATOS!$C$67)&lt;0.00005),"*",LINEAS!$D$178&amp;" UNI "&amp;IF(LINEAS!$U$178&lt;=2,"GZ","GX")&amp;" "&amp;TEXT(IF(OR(LINEAS!$U$178=1,LINEAS!$U$178=3),1,-1)*LINEAS!$AH$178*DATOS!$C$67,DATOS!$C$68)))</f>
        <v/>
      </c>
      <c r="E1476" s="51" t="str">
        <f aca="false">IF(LEN($D1476)&gt;79,"MÁS DE 79 CARACTERES","")</f>
        <v/>
      </c>
    </row>
    <row r="1477" customFormat="false" ht="15" hidden="false" customHeight="true" outlineLevel="0" collapsed="false">
      <c r="B1477" s="53" t="str">
        <f aca="false">IF(OR(LINEAS!$D$179="",LINEAS!$U$179=0,ABS(IF(OR(LINEAS!$U$179=1,LINEAS!$U$179=3),1,-1)*LINEAS!$AH$179*DATOS!$C$67)&lt;0.00005),"*",LINEAS!$D$179&amp;" UNI "&amp;IF(LINEAS!$U$179&lt;=2,"GZ","GX")&amp;" "&amp;TEXT(IF(OR(LINEAS!$U$179=1,LINEAS!$U$179=3),1,-1)*LINEAS!$AH$179*DATOS!$C$67,DATOS!$C$68))</f>
        <v>*</v>
      </c>
      <c r="C1477" s="51" t="str">
        <f aca="false">IF(LEN($B1477)&gt;79,"MÁS DE 79 CARACTERES","")</f>
        <v/>
      </c>
      <c r="D1477" s="53" t="str">
        <f aca="false">IF(PRESIONES!$C$22="NO","",IF(OR(LINEAS!$D$179="",LINEAS!$U$179=0,ABS(IF(OR(LINEAS!$U$179=1,LINEAS!$U$179=3),1,-1)*LINEAS!$AH$179*DATOS!$C$67)&lt;0.00005),"*",LINEAS!$D$179&amp;" UNI "&amp;IF(LINEAS!$U$179&lt;=2,"GZ","GX")&amp;" "&amp;TEXT(IF(OR(LINEAS!$U$179=1,LINEAS!$U$179=3),1,-1)*LINEAS!$AH$179*DATOS!$C$67,DATOS!$C$68)))</f>
        <v/>
      </c>
      <c r="E1477" s="51" t="str">
        <f aca="false">IF(LEN($D1477)&gt;79,"MÁS DE 79 CARACTERES","")</f>
        <v/>
      </c>
    </row>
    <row r="1478" customFormat="false" ht="15" hidden="false" customHeight="true" outlineLevel="0" collapsed="false">
      <c r="B1478" s="53" t="str">
        <f aca="false">IF(OR(LINEAS!$D$180="",LINEAS!$U$180=0,ABS(IF(OR(LINEAS!$U$180=1,LINEAS!$U$180=3),1,-1)*LINEAS!$AH$180*DATOS!$C$67)&lt;0.00005),"*",LINEAS!$D$180&amp;" UNI "&amp;IF(LINEAS!$U$180&lt;=2,"GZ","GX")&amp;" "&amp;TEXT(IF(OR(LINEAS!$U$180=1,LINEAS!$U$180=3),1,-1)*LINEAS!$AH$180*DATOS!$C$67,DATOS!$C$68))</f>
        <v>*</v>
      </c>
      <c r="C1478" s="51" t="str">
        <f aca="false">IF(LEN($B1478)&gt;79,"MÁS DE 79 CARACTERES","")</f>
        <v/>
      </c>
      <c r="D1478" s="53" t="str">
        <f aca="false">IF(PRESIONES!$C$22="NO","",IF(OR(LINEAS!$D$180="",LINEAS!$U$180=0,ABS(IF(OR(LINEAS!$U$180=1,LINEAS!$U$180=3),1,-1)*LINEAS!$AH$180*DATOS!$C$67)&lt;0.00005),"*",LINEAS!$D$180&amp;" UNI "&amp;IF(LINEAS!$U$180&lt;=2,"GZ","GX")&amp;" "&amp;TEXT(IF(OR(LINEAS!$U$180=1,LINEAS!$U$180=3),1,-1)*LINEAS!$AH$180*DATOS!$C$67,DATOS!$C$68)))</f>
        <v/>
      </c>
      <c r="E1478" s="51" t="str">
        <f aca="false">IF(LEN($D1478)&gt;79,"MÁS DE 79 CARACTERES","")</f>
        <v/>
      </c>
    </row>
    <row r="1479" customFormat="false" ht="15" hidden="false" customHeight="true" outlineLevel="0" collapsed="false">
      <c r="B1479" s="53" t="str">
        <f aca="false">IF(OR(LINEAS!$D$181="",LINEAS!$U$181=0,ABS(IF(OR(LINEAS!$U$181=1,LINEAS!$U$181=3),1,-1)*LINEAS!$AH$181*DATOS!$C$67)&lt;0.00005),"*",LINEAS!$D$181&amp;" UNI "&amp;IF(LINEAS!$U$181&lt;=2,"GZ","GX")&amp;" "&amp;TEXT(IF(OR(LINEAS!$U$181=1,LINEAS!$U$181=3),1,-1)*LINEAS!$AH$181*DATOS!$C$67,DATOS!$C$68))</f>
        <v>*</v>
      </c>
      <c r="C1479" s="51" t="str">
        <f aca="false">IF(LEN($B1479)&gt;79,"MÁS DE 79 CARACTERES","")</f>
        <v/>
      </c>
      <c r="D1479" s="53" t="str">
        <f aca="false">IF(PRESIONES!$C$22="NO","",IF(OR(LINEAS!$D$181="",LINEAS!$U$181=0,ABS(IF(OR(LINEAS!$U$181=1,LINEAS!$U$181=3),1,-1)*LINEAS!$AH$181*DATOS!$C$67)&lt;0.00005),"*",LINEAS!$D$181&amp;" UNI "&amp;IF(LINEAS!$U$181&lt;=2,"GZ","GX")&amp;" "&amp;TEXT(IF(OR(LINEAS!$U$181=1,LINEAS!$U$181=3),1,-1)*LINEAS!$AH$181*DATOS!$C$67,DATOS!$C$68)))</f>
        <v/>
      </c>
      <c r="E1479" s="51" t="str">
        <f aca="false">IF(LEN($D1479)&gt;79,"MÁS DE 79 CARACTERES","")</f>
        <v/>
      </c>
    </row>
    <row r="1480" customFormat="false" ht="15" hidden="false" customHeight="true" outlineLevel="0" collapsed="false">
      <c r="B1480" s="53" t="str">
        <f aca="false">IF(OR(LINEAS!$D$182="",LINEAS!$U$182=0,ABS(IF(OR(LINEAS!$U$182=1,LINEAS!$U$182=3),1,-1)*LINEAS!$AH$182*DATOS!$C$67)&lt;0.00005),"*",LINEAS!$D$182&amp;" UNI "&amp;IF(LINEAS!$U$182&lt;=2,"GZ","GX")&amp;" "&amp;TEXT(IF(OR(LINEAS!$U$182=1,LINEAS!$U$182=3),1,-1)*LINEAS!$AH$182*DATOS!$C$67,DATOS!$C$68))</f>
        <v>*</v>
      </c>
      <c r="C1480" s="51" t="str">
        <f aca="false">IF(LEN($B1480)&gt;79,"MÁS DE 79 CARACTERES","")</f>
        <v/>
      </c>
      <c r="D1480" s="53" t="str">
        <f aca="false">IF(PRESIONES!$C$22="NO","",IF(OR(LINEAS!$D$182="",LINEAS!$U$182=0,ABS(IF(OR(LINEAS!$U$182=1,LINEAS!$U$182=3),1,-1)*LINEAS!$AH$182*DATOS!$C$67)&lt;0.00005),"*",LINEAS!$D$182&amp;" UNI "&amp;IF(LINEAS!$U$182&lt;=2,"GZ","GX")&amp;" "&amp;TEXT(IF(OR(LINEAS!$U$182=1,LINEAS!$U$182=3),1,-1)*LINEAS!$AH$182*DATOS!$C$67,DATOS!$C$68)))</f>
        <v/>
      </c>
      <c r="E1480" s="51" t="str">
        <f aca="false">IF(LEN($D1480)&gt;79,"MÁS DE 79 CARACTERES","")</f>
        <v/>
      </c>
    </row>
    <row r="1481" customFormat="false" ht="15" hidden="false" customHeight="true" outlineLevel="0" collapsed="false">
      <c r="B1481" s="53" t="str">
        <f aca="false">IF(OR(LINEAS!$D$183="",LINEAS!$U$183=0,ABS(IF(OR(LINEAS!$U$183=1,LINEAS!$U$183=3),1,-1)*LINEAS!$AH$183*DATOS!$C$67)&lt;0.00005),"*",LINEAS!$D$183&amp;" UNI "&amp;IF(LINEAS!$U$183&lt;=2,"GZ","GX")&amp;" "&amp;TEXT(IF(OR(LINEAS!$U$183=1,LINEAS!$U$183=3),1,-1)*LINEAS!$AH$183*DATOS!$C$67,DATOS!$C$68))</f>
        <v>*</v>
      </c>
      <c r="C1481" s="51" t="str">
        <f aca="false">IF(LEN($B1481)&gt;79,"MÁS DE 79 CARACTERES","")</f>
        <v/>
      </c>
      <c r="D1481" s="53" t="str">
        <f aca="false">IF(PRESIONES!$C$22="NO","",IF(OR(LINEAS!$D$183="",LINEAS!$U$183=0,ABS(IF(OR(LINEAS!$U$183=1,LINEAS!$U$183=3),1,-1)*LINEAS!$AH$183*DATOS!$C$67)&lt;0.00005),"*",LINEAS!$D$183&amp;" UNI "&amp;IF(LINEAS!$U$183&lt;=2,"GZ","GX")&amp;" "&amp;TEXT(IF(OR(LINEAS!$U$183=1,LINEAS!$U$183=3),1,-1)*LINEAS!$AH$183*DATOS!$C$67,DATOS!$C$68)))</f>
        <v/>
      </c>
      <c r="E1481" s="51" t="str">
        <f aca="false">IF(LEN($D1481)&gt;79,"MÁS DE 79 CARACTERES","")</f>
        <v/>
      </c>
    </row>
    <row r="1482" customFormat="false" ht="15" hidden="false" customHeight="true" outlineLevel="0" collapsed="false">
      <c r="B1482" s="53" t="str">
        <f aca="false">IF(OR(LINEAS!$D$184="",LINEAS!$U$184=0,ABS(IF(OR(LINEAS!$U$184=1,LINEAS!$U$184=3),1,-1)*LINEAS!$AH$184*DATOS!$C$67)&lt;0.00005),"*",LINEAS!$D$184&amp;" UNI "&amp;IF(LINEAS!$U$184&lt;=2,"GZ","GX")&amp;" "&amp;TEXT(IF(OR(LINEAS!$U$184=1,LINEAS!$U$184=3),1,-1)*LINEAS!$AH$184*DATOS!$C$67,DATOS!$C$68))</f>
        <v>*</v>
      </c>
      <c r="C1482" s="51" t="str">
        <f aca="false">IF(LEN($B1482)&gt;79,"MÁS DE 79 CARACTERES","")</f>
        <v/>
      </c>
      <c r="D1482" s="53" t="str">
        <f aca="false">IF(PRESIONES!$C$22="NO","",IF(OR(LINEAS!$D$184="",LINEAS!$U$184=0,ABS(IF(OR(LINEAS!$U$184=1,LINEAS!$U$184=3),1,-1)*LINEAS!$AH$184*DATOS!$C$67)&lt;0.00005),"*",LINEAS!$D$184&amp;" UNI "&amp;IF(LINEAS!$U$184&lt;=2,"GZ","GX")&amp;" "&amp;TEXT(IF(OR(LINEAS!$U$184=1,LINEAS!$U$184=3),1,-1)*LINEAS!$AH$184*DATOS!$C$67,DATOS!$C$68)))</f>
        <v/>
      </c>
      <c r="E1482" s="51" t="str">
        <f aca="false">IF(LEN($D1482)&gt;79,"MÁS DE 79 CARACTERES","")</f>
        <v/>
      </c>
    </row>
    <row r="1483" customFormat="false" ht="15" hidden="false" customHeight="true" outlineLevel="0" collapsed="false">
      <c r="B1483" s="53" t="str">
        <f aca="false">IF(OR(LINEAS!$D$185="",LINEAS!$U$185=0,ABS(IF(OR(LINEAS!$U$185=1,LINEAS!$U$185=3),1,-1)*LINEAS!$AH$185*DATOS!$C$67)&lt;0.00005),"*",LINEAS!$D$185&amp;" UNI "&amp;IF(LINEAS!$U$185&lt;=2,"GZ","GX")&amp;" "&amp;TEXT(IF(OR(LINEAS!$U$185=1,LINEAS!$U$185=3),1,-1)*LINEAS!$AH$185*DATOS!$C$67,DATOS!$C$68))</f>
        <v>*</v>
      </c>
      <c r="C1483" s="51" t="str">
        <f aca="false">IF(LEN($B1483)&gt;79,"MÁS DE 79 CARACTERES","")</f>
        <v/>
      </c>
      <c r="D1483" s="53" t="str">
        <f aca="false">IF(PRESIONES!$C$22="NO","",IF(OR(LINEAS!$D$185="",LINEAS!$U$185=0,ABS(IF(OR(LINEAS!$U$185=1,LINEAS!$U$185=3),1,-1)*LINEAS!$AH$185*DATOS!$C$67)&lt;0.00005),"*",LINEAS!$D$185&amp;" UNI "&amp;IF(LINEAS!$U$185&lt;=2,"GZ","GX")&amp;" "&amp;TEXT(IF(OR(LINEAS!$U$185=1,LINEAS!$U$185=3),1,-1)*LINEAS!$AH$185*DATOS!$C$67,DATOS!$C$68)))</f>
        <v/>
      </c>
      <c r="E1483" s="51" t="str">
        <f aca="false">IF(LEN($D1483)&gt;79,"MÁS DE 79 CARACTERES","")</f>
        <v/>
      </c>
    </row>
    <row r="1484" customFormat="false" ht="15" hidden="false" customHeight="true" outlineLevel="0" collapsed="false">
      <c r="B1484" s="53" t="str">
        <f aca="false">IF(OR(LINEAS!$D$186="",LINEAS!$U$186=0,ABS(IF(OR(LINEAS!$U$186=1,LINEAS!$U$186=3),1,-1)*LINEAS!$AH$186*DATOS!$C$67)&lt;0.00005),"*",LINEAS!$D$186&amp;" UNI "&amp;IF(LINEAS!$U$186&lt;=2,"GZ","GX")&amp;" "&amp;TEXT(IF(OR(LINEAS!$U$186=1,LINEAS!$U$186=3),1,-1)*LINEAS!$AH$186*DATOS!$C$67,DATOS!$C$68))</f>
        <v>*</v>
      </c>
      <c r="C1484" s="51" t="str">
        <f aca="false">IF(LEN($B1484)&gt;79,"MÁS DE 79 CARACTERES","")</f>
        <v/>
      </c>
      <c r="D1484" s="53" t="str">
        <f aca="false">IF(PRESIONES!$C$22="NO","",IF(OR(LINEAS!$D$186="",LINEAS!$U$186=0,ABS(IF(OR(LINEAS!$U$186=1,LINEAS!$U$186=3),1,-1)*LINEAS!$AH$186*DATOS!$C$67)&lt;0.00005),"*",LINEAS!$D$186&amp;" UNI "&amp;IF(LINEAS!$U$186&lt;=2,"GZ","GX")&amp;" "&amp;TEXT(IF(OR(LINEAS!$U$186=1,LINEAS!$U$186=3),1,-1)*LINEAS!$AH$186*DATOS!$C$67,DATOS!$C$68)))</f>
        <v/>
      </c>
      <c r="E1484" s="51" t="str">
        <f aca="false">IF(LEN($D1484)&gt;79,"MÁS DE 79 CARACTERES","")</f>
        <v/>
      </c>
    </row>
    <row r="1485" customFormat="false" ht="15" hidden="false" customHeight="true" outlineLevel="0" collapsed="false">
      <c r="B1485" s="53" t="str">
        <f aca="false">IF(OR(LINEAS!$D$187="",LINEAS!$U$187=0,ABS(IF(OR(LINEAS!$U$187=1,LINEAS!$U$187=3),1,-1)*LINEAS!$AH$187*DATOS!$C$67)&lt;0.00005),"*",LINEAS!$D$187&amp;" UNI "&amp;IF(LINEAS!$U$187&lt;=2,"GZ","GX")&amp;" "&amp;TEXT(IF(OR(LINEAS!$U$187=1,LINEAS!$U$187=3),1,-1)*LINEAS!$AH$187*DATOS!$C$67,DATOS!$C$68))</f>
        <v>*</v>
      </c>
      <c r="C1485" s="51" t="str">
        <f aca="false">IF(LEN($B1485)&gt;79,"MÁS DE 79 CARACTERES","")</f>
        <v/>
      </c>
      <c r="D1485" s="53" t="str">
        <f aca="false">IF(PRESIONES!$C$22="NO","",IF(OR(LINEAS!$D$187="",LINEAS!$U$187=0,ABS(IF(OR(LINEAS!$U$187=1,LINEAS!$U$187=3),1,-1)*LINEAS!$AH$187*DATOS!$C$67)&lt;0.00005),"*",LINEAS!$D$187&amp;" UNI "&amp;IF(LINEAS!$U$187&lt;=2,"GZ","GX")&amp;" "&amp;TEXT(IF(OR(LINEAS!$U$187=1,LINEAS!$U$187=3),1,-1)*LINEAS!$AH$187*DATOS!$C$67,DATOS!$C$68)))</f>
        <v/>
      </c>
      <c r="E1485" s="51" t="str">
        <f aca="false">IF(LEN($D1485)&gt;79,"MÁS DE 79 CARACTERES","")</f>
        <v/>
      </c>
    </row>
    <row r="1486" customFormat="false" ht="15" hidden="false" customHeight="true" outlineLevel="0" collapsed="false">
      <c r="B1486" s="53" t="str">
        <f aca="false">IF(OR(LINEAS!$D$188="",LINEAS!$U$188=0,ABS(IF(OR(LINEAS!$U$188=1,LINEAS!$U$188=3),1,-1)*LINEAS!$AH$188*DATOS!$C$67)&lt;0.00005),"*",LINEAS!$D$188&amp;" UNI "&amp;IF(LINEAS!$U$188&lt;=2,"GZ","GX")&amp;" "&amp;TEXT(IF(OR(LINEAS!$U$188=1,LINEAS!$U$188=3),1,-1)*LINEAS!$AH$188*DATOS!$C$67,DATOS!$C$68))</f>
        <v>*</v>
      </c>
      <c r="C1486" s="51" t="str">
        <f aca="false">IF(LEN($B1486)&gt;79,"MÁS DE 79 CARACTERES","")</f>
        <v/>
      </c>
      <c r="D1486" s="53" t="str">
        <f aca="false">IF(PRESIONES!$C$22="NO","",IF(OR(LINEAS!$D$188="",LINEAS!$U$188=0,ABS(IF(OR(LINEAS!$U$188=1,LINEAS!$U$188=3),1,-1)*LINEAS!$AH$188*DATOS!$C$67)&lt;0.00005),"*",LINEAS!$D$188&amp;" UNI "&amp;IF(LINEAS!$U$188&lt;=2,"GZ","GX")&amp;" "&amp;TEXT(IF(OR(LINEAS!$U$188=1,LINEAS!$U$188=3),1,-1)*LINEAS!$AH$188*DATOS!$C$67,DATOS!$C$68)))</f>
        <v/>
      </c>
      <c r="E1486" s="51" t="str">
        <f aca="false">IF(LEN($D1486)&gt;79,"MÁS DE 79 CARACTERES","")</f>
        <v/>
      </c>
    </row>
    <row r="1487" customFormat="false" ht="15" hidden="false" customHeight="true" outlineLevel="0" collapsed="false">
      <c r="B1487" s="53" t="str">
        <f aca="false">IF(OR(LINEAS!$D$189="",LINEAS!$U$189=0,ABS(IF(OR(LINEAS!$U$189=1,LINEAS!$U$189=3),1,-1)*LINEAS!$AH$189*DATOS!$C$67)&lt;0.00005),"*",LINEAS!$D$189&amp;" UNI "&amp;IF(LINEAS!$U$189&lt;=2,"GZ","GX")&amp;" "&amp;TEXT(IF(OR(LINEAS!$U$189=1,LINEAS!$U$189=3),1,-1)*LINEAS!$AH$189*DATOS!$C$67,DATOS!$C$68))</f>
        <v>*</v>
      </c>
      <c r="C1487" s="51" t="str">
        <f aca="false">IF(LEN($B1487)&gt;79,"MÁS DE 79 CARACTERES","")</f>
        <v/>
      </c>
      <c r="D1487" s="53" t="str">
        <f aca="false">IF(PRESIONES!$C$22="NO","",IF(OR(LINEAS!$D$189="",LINEAS!$U$189=0,ABS(IF(OR(LINEAS!$U$189=1,LINEAS!$U$189=3),1,-1)*LINEAS!$AH$189*DATOS!$C$67)&lt;0.00005),"*",LINEAS!$D$189&amp;" UNI "&amp;IF(LINEAS!$U$189&lt;=2,"GZ","GX")&amp;" "&amp;TEXT(IF(OR(LINEAS!$U$189=1,LINEAS!$U$189=3),1,-1)*LINEAS!$AH$189*DATOS!$C$67,DATOS!$C$68)))</f>
        <v/>
      </c>
      <c r="E1487" s="51" t="str">
        <f aca="false">IF(LEN($D1487)&gt;79,"MÁS DE 79 CARACTERES","")</f>
        <v/>
      </c>
    </row>
    <row r="1488" customFormat="false" ht="15" hidden="false" customHeight="true" outlineLevel="0" collapsed="false">
      <c r="B1488" s="53" t="str">
        <f aca="false">IF(OR(LINEAS!$D$190="",LINEAS!$U$190=0,ABS(IF(OR(LINEAS!$U$190=1,LINEAS!$U$190=3),1,-1)*LINEAS!$AH$190*DATOS!$C$67)&lt;0.00005),"*",LINEAS!$D$190&amp;" UNI "&amp;IF(LINEAS!$U$190&lt;=2,"GZ","GX")&amp;" "&amp;TEXT(IF(OR(LINEAS!$U$190=1,LINEAS!$U$190=3),1,-1)*LINEAS!$AH$190*DATOS!$C$67,DATOS!$C$68))</f>
        <v>*</v>
      </c>
      <c r="C1488" s="51" t="str">
        <f aca="false">IF(LEN($B1488)&gt;79,"MÁS DE 79 CARACTERES","")</f>
        <v/>
      </c>
      <c r="D1488" s="53" t="str">
        <f aca="false">IF(PRESIONES!$C$22="NO","",IF(OR(LINEAS!$D$190="",LINEAS!$U$190=0,ABS(IF(OR(LINEAS!$U$190=1,LINEAS!$U$190=3),1,-1)*LINEAS!$AH$190*DATOS!$C$67)&lt;0.00005),"*",LINEAS!$D$190&amp;" UNI "&amp;IF(LINEAS!$U$190&lt;=2,"GZ","GX")&amp;" "&amp;TEXT(IF(OR(LINEAS!$U$190=1,LINEAS!$U$190=3),1,-1)*LINEAS!$AH$190*DATOS!$C$67,DATOS!$C$68)))</f>
        <v/>
      </c>
      <c r="E1488" s="51" t="str">
        <f aca="false">IF(LEN($D1488)&gt;79,"MÁS DE 79 CARACTERES","")</f>
        <v/>
      </c>
    </row>
    <row r="1489" customFormat="false" ht="15" hidden="false" customHeight="true" outlineLevel="0" collapsed="false">
      <c r="B1489" s="53" t="str">
        <f aca="false">IF(OR(LINEAS!$D$191="",LINEAS!$U$191=0,ABS(IF(OR(LINEAS!$U$191=1,LINEAS!$U$191=3),1,-1)*LINEAS!$AH$191*DATOS!$C$67)&lt;0.00005),"*",LINEAS!$D$191&amp;" UNI "&amp;IF(LINEAS!$U$191&lt;=2,"GZ","GX")&amp;" "&amp;TEXT(IF(OR(LINEAS!$U$191=1,LINEAS!$U$191=3),1,-1)*LINEAS!$AH$191*DATOS!$C$67,DATOS!$C$68))</f>
        <v>*</v>
      </c>
      <c r="C1489" s="51" t="str">
        <f aca="false">IF(LEN($B1489)&gt;79,"MÁS DE 79 CARACTERES","")</f>
        <v/>
      </c>
      <c r="D1489" s="53" t="str">
        <f aca="false">IF(PRESIONES!$C$22="NO","",IF(OR(LINEAS!$D$191="",LINEAS!$U$191=0,ABS(IF(OR(LINEAS!$U$191=1,LINEAS!$U$191=3),1,-1)*LINEAS!$AH$191*DATOS!$C$67)&lt;0.00005),"*",LINEAS!$D$191&amp;" UNI "&amp;IF(LINEAS!$U$191&lt;=2,"GZ","GX")&amp;" "&amp;TEXT(IF(OR(LINEAS!$U$191=1,LINEAS!$U$191=3),1,-1)*LINEAS!$AH$191*DATOS!$C$67,DATOS!$C$68)))</f>
        <v/>
      </c>
      <c r="E1489" s="51" t="str">
        <f aca="false">IF(LEN($D1489)&gt;79,"MÁS DE 79 CARACTERES","")</f>
        <v/>
      </c>
    </row>
    <row r="1490" customFormat="false" ht="15" hidden="false" customHeight="true" outlineLevel="0" collapsed="false">
      <c r="B1490" s="53" t="str">
        <f aca="false">IF(OR(LINEAS!$D$192="",LINEAS!$U$192=0,ABS(IF(OR(LINEAS!$U$192=1,LINEAS!$U$192=3),1,-1)*LINEAS!$AH$192*DATOS!$C$67)&lt;0.00005),"*",LINEAS!$D$192&amp;" UNI "&amp;IF(LINEAS!$U$192&lt;=2,"GZ","GX")&amp;" "&amp;TEXT(IF(OR(LINEAS!$U$192=1,LINEAS!$U$192=3),1,-1)*LINEAS!$AH$192*DATOS!$C$67,DATOS!$C$68))</f>
        <v>*</v>
      </c>
      <c r="C1490" s="51" t="str">
        <f aca="false">IF(LEN($B1490)&gt;79,"MÁS DE 79 CARACTERES","")</f>
        <v/>
      </c>
      <c r="D1490" s="53" t="str">
        <f aca="false">IF(PRESIONES!$C$22="NO","",IF(OR(LINEAS!$D$192="",LINEAS!$U$192=0,ABS(IF(OR(LINEAS!$U$192=1,LINEAS!$U$192=3),1,-1)*LINEAS!$AH$192*DATOS!$C$67)&lt;0.00005),"*",LINEAS!$D$192&amp;" UNI "&amp;IF(LINEAS!$U$192&lt;=2,"GZ","GX")&amp;" "&amp;TEXT(IF(OR(LINEAS!$U$192=1,LINEAS!$U$192=3),1,-1)*LINEAS!$AH$192*DATOS!$C$67,DATOS!$C$68)))</f>
        <v/>
      </c>
      <c r="E1490" s="51" t="str">
        <f aca="false">IF(LEN($D1490)&gt;79,"MÁS DE 79 CARACTERES","")</f>
        <v/>
      </c>
    </row>
    <row r="1491" customFormat="false" ht="15" hidden="false" customHeight="true" outlineLevel="0" collapsed="false">
      <c r="B1491" s="53" t="str">
        <f aca="false">IF(OR(LINEAS!$D$193="",LINEAS!$U$193=0,ABS(IF(OR(LINEAS!$U$193=1,LINEAS!$U$193=3),1,-1)*LINEAS!$AH$193*DATOS!$C$67)&lt;0.00005),"*",LINEAS!$D$193&amp;" UNI "&amp;IF(LINEAS!$U$193&lt;=2,"GZ","GX")&amp;" "&amp;TEXT(IF(OR(LINEAS!$U$193=1,LINEAS!$U$193=3),1,-1)*LINEAS!$AH$193*DATOS!$C$67,DATOS!$C$68))</f>
        <v>*</v>
      </c>
      <c r="C1491" s="51" t="str">
        <f aca="false">IF(LEN($B1491)&gt;79,"MÁS DE 79 CARACTERES","")</f>
        <v/>
      </c>
      <c r="D1491" s="53" t="str">
        <f aca="false">IF(PRESIONES!$C$22="NO","",IF(OR(LINEAS!$D$193="",LINEAS!$U$193=0,ABS(IF(OR(LINEAS!$U$193=1,LINEAS!$U$193=3),1,-1)*LINEAS!$AH$193*DATOS!$C$67)&lt;0.00005),"*",LINEAS!$D$193&amp;" UNI "&amp;IF(LINEAS!$U$193&lt;=2,"GZ","GX")&amp;" "&amp;TEXT(IF(OR(LINEAS!$U$193=1,LINEAS!$U$193=3),1,-1)*LINEAS!$AH$193*DATOS!$C$67,DATOS!$C$68)))</f>
        <v/>
      </c>
      <c r="E1491" s="51" t="str">
        <f aca="false">IF(LEN($D1491)&gt;79,"MÁS DE 79 CARACTERES","")</f>
        <v/>
      </c>
    </row>
    <row r="1492" customFormat="false" ht="15" hidden="false" customHeight="true" outlineLevel="0" collapsed="false">
      <c r="B1492" s="53" t="str">
        <f aca="false">IF(OR(LINEAS!$D$194="",LINEAS!$U$194=0,ABS(IF(OR(LINEAS!$U$194=1,LINEAS!$U$194=3),1,-1)*LINEAS!$AH$194*DATOS!$C$67)&lt;0.00005),"*",LINEAS!$D$194&amp;" UNI "&amp;IF(LINEAS!$U$194&lt;=2,"GZ","GX")&amp;" "&amp;TEXT(IF(OR(LINEAS!$U$194=1,LINEAS!$U$194=3),1,-1)*LINEAS!$AH$194*DATOS!$C$67,DATOS!$C$68))</f>
        <v>*</v>
      </c>
      <c r="C1492" s="51" t="str">
        <f aca="false">IF(LEN($B1492)&gt;79,"MÁS DE 79 CARACTERES","")</f>
        <v/>
      </c>
      <c r="D1492" s="53" t="str">
        <f aca="false">IF(PRESIONES!$C$22="NO","",IF(OR(LINEAS!$D$194="",LINEAS!$U$194=0,ABS(IF(OR(LINEAS!$U$194=1,LINEAS!$U$194=3),1,-1)*LINEAS!$AH$194*DATOS!$C$67)&lt;0.00005),"*",LINEAS!$D$194&amp;" UNI "&amp;IF(LINEAS!$U$194&lt;=2,"GZ","GX")&amp;" "&amp;TEXT(IF(OR(LINEAS!$U$194=1,LINEAS!$U$194=3),1,-1)*LINEAS!$AH$194*DATOS!$C$67,DATOS!$C$68)))</f>
        <v/>
      </c>
      <c r="E1492" s="51" t="str">
        <f aca="false">IF(LEN($D1492)&gt;79,"MÁS DE 79 CARACTERES","")</f>
        <v/>
      </c>
    </row>
    <row r="1493" customFormat="false" ht="15" hidden="false" customHeight="true" outlineLevel="0" collapsed="false">
      <c r="B1493" s="52" t="str">
        <f aca="false">"LOAD "&amp;(DATOS!$C$66+7)&amp;" LOADTYPE Wind  TITLE "&amp;DATOS!$E$79</f>
        <v>LOAD 15 LOADTYPE Wind  TITLE VIENTO -Z PA</v>
      </c>
      <c r="C1493" s="51" t="str">
        <f aca="false">IF(LEN($B1493)&gt;79,"MÁS DE 79 CARACTERES","")</f>
        <v/>
      </c>
      <c r="D1493" s="53" t="str">
        <f aca="false">IF(PRESIONES!$C$22="NO",IF(8=1,"* CASOS B = CASOS A (SIN ±0.4 NI +0.3 EN EL TECHO): NO HACE FALTA",""),"LOAD "&amp;(DATOS!$C$69+7)&amp;" LOADTYPE Wind  TITLE "&amp;DATOS!$E$79&amp;" B")</f>
        <v/>
      </c>
      <c r="E1493" s="51" t="str">
        <f aca="false">IF(LEN($D1493)&gt;79,"MÁS DE 79 CARACTERES","")</f>
        <v/>
      </c>
    </row>
    <row r="1494" customFormat="false" ht="15" hidden="false" customHeight="true" outlineLevel="0" collapsed="false">
      <c r="B1494" s="53" t="s">
        <v>634</v>
      </c>
      <c r="C1494" s="51" t="str">
        <f aca="false">IF(LEN($B1494)&gt;79,"MÁS DE 79 CARACTERES","")</f>
        <v/>
      </c>
      <c r="D1494" s="53" t="str">
        <f aca="false">IF(PRESIONES!$C$22="NO","","MEMBER LOAD")</f>
        <v/>
      </c>
      <c r="E1494" s="51" t="str">
        <f aca="false">IF(LEN($D1494)&gt;79,"MÁS DE 79 CARACTERES","")</f>
        <v/>
      </c>
    </row>
    <row r="1495" customFormat="false" ht="15" hidden="false" customHeight="true" outlineLevel="0" collapsed="false">
      <c r="B1495" s="53" t="str">
        <f aca="false">IF(OR(LINEAS!$D$9="",ABS(-LINEAS!$AI$9*DATOS!$C$67)&lt;0.00005),"*",LINEAS!$D$9&amp;" UNI GY "&amp;TEXT(-LINEAS!$AI$9*DATOS!$C$67,DATOS!$C$68))</f>
        <v>22 85 TO 88 UNI GY 0.4779</v>
      </c>
      <c r="C1495" s="51" t="str">
        <f aca="false">IF(LEN($B1495)&gt;79,"MÁS DE 79 CARACTERES","")</f>
        <v/>
      </c>
      <c r="D1495" s="53" t="str">
        <f aca="false">IF(PRESIONES!$C$22="NO","",IF(OR(LINEAS!$D$9="",ABS(-LINEAS!$AY$9*DATOS!$C$67)&lt;0.00005),"*",LINEAS!$D$9&amp;" UNI GY "&amp;TEXT(-LINEAS!$AY$9*DATOS!$C$67,DATOS!$C$68)))</f>
        <v/>
      </c>
      <c r="E1495" s="51" t="str">
        <f aca="false">IF(LEN($D1495)&gt;79,"MÁS DE 79 CARACTERES","")</f>
        <v/>
      </c>
    </row>
    <row r="1496" customFormat="false" ht="15" hidden="false" customHeight="true" outlineLevel="0" collapsed="false">
      <c r="B1496" s="53" t="str">
        <f aca="false">IF(OR(LINEAS!$D$9="",DATOS!$C$22="—",ABS(LINEAS!$AQ$9*DATOS!$C$67)&lt;0.00005),"*",LINEAS!$D$9&amp;" UNI G"&amp;DATOS!$C$22&amp;" "&amp;TEXT(LINEAS!$AQ$9*DATOS!$C$67,DATOS!$C$68))</f>
        <v>22 85 TO 88 UNI GZ 0.0239</v>
      </c>
      <c r="C1496" s="51" t="str">
        <f aca="false">IF(LEN($B1496)&gt;79,"MÁS DE 79 CARACTERES","")</f>
        <v/>
      </c>
      <c r="D1496" s="53" t="str">
        <f aca="false">IF(PRESIONES!$C$22="NO","",IF(OR(LINEAS!$D$9="",DATOS!$C$22="—",ABS(LINEAS!$BG$9*DATOS!$C$67)&lt;0.00005),"*",LINEAS!$D$9&amp;" UNI G"&amp;DATOS!$C$22&amp;" "&amp;TEXT(LINEAS!$BG$9*DATOS!$C$67,DATOS!$C$68)))</f>
        <v/>
      </c>
      <c r="E1496" s="51" t="str">
        <f aca="false">IF(LEN($D1496)&gt;79,"MÁS DE 79 CARACTERES","")</f>
        <v/>
      </c>
    </row>
    <row r="1497" customFormat="false" ht="15" hidden="false" customHeight="true" outlineLevel="0" collapsed="false">
      <c r="B1497" s="53" t="str">
        <f aca="false">IF(OR(LINEAS!$D$10="",ABS(-LINEAS!$AI$10*DATOS!$C$67)&lt;0.00005),"*",LINEAS!$D$10&amp;" UNI GY "&amp;TEXT(-LINEAS!$AI$10*DATOS!$C$67,DATOS!$C$68))</f>
        <v>80 129 TO 132 UNI GY 0.9559</v>
      </c>
      <c r="C1497" s="51" t="str">
        <f aca="false">IF(LEN($B1497)&gt;79,"MÁS DE 79 CARACTERES","")</f>
        <v/>
      </c>
      <c r="D1497" s="53" t="str">
        <f aca="false">IF(PRESIONES!$C$22="NO","",IF(OR(LINEAS!$D$10="",ABS(-LINEAS!$AY$10*DATOS!$C$67)&lt;0.00005),"*",LINEAS!$D$10&amp;" UNI GY "&amp;TEXT(-LINEAS!$AY$10*DATOS!$C$67,DATOS!$C$68)))</f>
        <v/>
      </c>
      <c r="E1497" s="51" t="str">
        <f aca="false">IF(LEN($D1497)&gt;79,"MÁS DE 79 CARACTERES","")</f>
        <v/>
      </c>
    </row>
    <row r="1498" customFormat="false" ht="15" hidden="false" customHeight="true" outlineLevel="0" collapsed="false">
      <c r="B1498" s="53" t="str">
        <f aca="false">IF(OR(LINEAS!$D$10="",DATOS!$C$22="—",ABS(LINEAS!$AQ$10*DATOS!$C$67)&lt;0.00005),"*",LINEAS!$D$10&amp;" UNI G"&amp;DATOS!$C$22&amp;" "&amp;TEXT(LINEAS!$AQ$10*DATOS!$C$67,DATOS!$C$68))</f>
        <v>80 129 TO 132 UNI GZ 0.0478</v>
      </c>
      <c r="C1498" s="51" t="str">
        <f aca="false">IF(LEN($B1498)&gt;79,"MÁS DE 79 CARACTERES","")</f>
        <v/>
      </c>
      <c r="D1498" s="53" t="str">
        <f aca="false">IF(PRESIONES!$C$22="NO","",IF(OR(LINEAS!$D$10="",DATOS!$C$22="—",ABS(LINEAS!$BG$10*DATOS!$C$67)&lt;0.00005),"*",LINEAS!$D$10&amp;" UNI G"&amp;DATOS!$C$22&amp;" "&amp;TEXT(LINEAS!$BG$10*DATOS!$C$67,DATOS!$C$68)))</f>
        <v/>
      </c>
      <c r="E1498" s="51" t="str">
        <f aca="false">IF(LEN($D1498)&gt;79,"MÁS DE 79 CARACTERES","")</f>
        <v/>
      </c>
    </row>
    <row r="1499" customFormat="false" ht="15" hidden="false" customHeight="true" outlineLevel="0" collapsed="false">
      <c r="B1499" s="53" t="str">
        <f aca="false">IF(OR(LINEAS!$D$11="",ABS(-LINEAS!$AI$11*DATOS!$C$67)&lt;0.00005),"*",LINEAS!$D$11&amp;" UNI GY "&amp;TEXT(-LINEAS!$AI$11*DATOS!$C$67,DATOS!$C$68))</f>
        <v>79 125 TO 128 UNI GY 0.9559</v>
      </c>
      <c r="C1499" s="51" t="str">
        <f aca="false">IF(LEN($B1499)&gt;79,"MÁS DE 79 CARACTERES","")</f>
        <v/>
      </c>
      <c r="D1499" s="53" t="str">
        <f aca="false">IF(PRESIONES!$C$22="NO","",IF(OR(LINEAS!$D$11="",ABS(-LINEAS!$AY$11*DATOS!$C$67)&lt;0.00005),"*",LINEAS!$D$11&amp;" UNI GY "&amp;TEXT(-LINEAS!$AY$11*DATOS!$C$67,DATOS!$C$68)))</f>
        <v/>
      </c>
      <c r="E1499" s="51" t="str">
        <f aca="false">IF(LEN($D1499)&gt;79,"MÁS DE 79 CARACTERES","")</f>
        <v/>
      </c>
    </row>
    <row r="1500" customFormat="false" ht="15" hidden="false" customHeight="true" outlineLevel="0" collapsed="false">
      <c r="B1500" s="53" t="str">
        <f aca="false">IF(OR(LINEAS!$D$11="",DATOS!$C$22="—",ABS(LINEAS!$AQ$11*DATOS!$C$67)&lt;0.00005),"*",LINEAS!$D$11&amp;" UNI G"&amp;DATOS!$C$22&amp;" "&amp;TEXT(LINEAS!$AQ$11*DATOS!$C$67,DATOS!$C$68))</f>
        <v>79 125 TO 128 UNI GZ 0.0478</v>
      </c>
      <c r="C1500" s="51" t="str">
        <f aca="false">IF(LEN($B1500)&gt;79,"MÁS DE 79 CARACTERES","")</f>
        <v/>
      </c>
      <c r="D1500" s="53" t="str">
        <f aca="false">IF(PRESIONES!$C$22="NO","",IF(OR(LINEAS!$D$11="",DATOS!$C$22="—",ABS(LINEAS!$BG$11*DATOS!$C$67)&lt;0.00005),"*",LINEAS!$D$11&amp;" UNI G"&amp;DATOS!$C$22&amp;" "&amp;TEXT(LINEAS!$BG$11*DATOS!$C$67,DATOS!$C$68)))</f>
        <v/>
      </c>
      <c r="E1500" s="51" t="str">
        <f aca="false">IF(LEN($D1500)&gt;79,"MÁS DE 79 CARACTERES","")</f>
        <v/>
      </c>
    </row>
    <row r="1501" customFormat="false" ht="15" hidden="false" customHeight="true" outlineLevel="0" collapsed="false">
      <c r="B1501" s="53" t="str">
        <f aca="false">IF(OR(LINEAS!$D$12="",ABS(-LINEAS!$AI$12*DATOS!$C$67)&lt;0.00005),"*",LINEAS!$D$12&amp;" UNI GY "&amp;TEXT(-LINEAS!$AI$12*DATOS!$C$67,DATOS!$C$68))</f>
        <v>78 121 TO 124 UNI GY 0.9559</v>
      </c>
      <c r="C1501" s="51" t="str">
        <f aca="false">IF(LEN($B1501)&gt;79,"MÁS DE 79 CARACTERES","")</f>
        <v/>
      </c>
      <c r="D1501" s="53" t="str">
        <f aca="false">IF(PRESIONES!$C$22="NO","",IF(OR(LINEAS!$D$12="",ABS(-LINEAS!$AY$12*DATOS!$C$67)&lt;0.00005),"*",LINEAS!$D$12&amp;" UNI GY "&amp;TEXT(-LINEAS!$AY$12*DATOS!$C$67,DATOS!$C$68)))</f>
        <v/>
      </c>
      <c r="E1501" s="51" t="str">
        <f aca="false">IF(LEN($D1501)&gt;79,"MÁS DE 79 CARACTERES","")</f>
        <v/>
      </c>
    </row>
    <row r="1502" customFormat="false" ht="15" hidden="false" customHeight="true" outlineLevel="0" collapsed="false">
      <c r="B1502" s="53" t="str">
        <f aca="false">IF(OR(LINEAS!$D$12="",DATOS!$C$22="—",ABS(LINEAS!$AQ$12*DATOS!$C$67)&lt;0.00005),"*",LINEAS!$D$12&amp;" UNI G"&amp;DATOS!$C$22&amp;" "&amp;TEXT(LINEAS!$AQ$12*DATOS!$C$67,DATOS!$C$68))</f>
        <v>78 121 TO 124 UNI GZ 0.0478</v>
      </c>
      <c r="C1502" s="51" t="str">
        <f aca="false">IF(LEN($B1502)&gt;79,"MÁS DE 79 CARACTERES","")</f>
        <v/>
      </c>
      <c r="D1502" s="53" t="str">
        <f aca="false">IF(PRESIONES!$C$22="NO","",IF(OR(LINEAS!$D$12="",DATOS!$C$22="—",ABS(LINEAS!$BG$12*DATOS!$C$67)&lt;0.00005),"*",LINEAS!$D$12&amp;" UNI G"&amp;DATOS!$C$22&amp;" "&amp;TEXT(LINEAS!$BG$12*DATOS!$C$67,DATOS!$C$68)))</f>
        <v/>
      </c>
      <c r="E1502" s="51" t="str">
        <f aca="false">IF(LEN($D1502)&gt;79,"MÁS DE 79 CARACTERES","")</f>
        <v/>
      </c>
    </row>
    <row r="1503" customFormat="false" ht="15" hidden="false" customHeight="true" outlineLevel="0" collapsed="false">
      <c r="B1503" s="53" t="str">
        <f aca="false">IF(OR(LINEAS!$D$13="",ABS(-LINEAS!$AI$13*DATOS!$C$67)&lt;0.00005),"*",LINEAS!$D$13&amp;" UNI GY "&amp;TEXT(-LINEAS!$AI$13*DATOS!$C$67,DATOS!$C$68))</f>
        <v>77 117 TO 120 UNI GY 0.9559</v>
      </c>
      <c r="C1503" s="51" t="str">
        <f aca="false">IF(LEN($B1503)&gt;79,"MÁS DE 79 CARACTERES","")</f>
        <v/>
      </c>
      <c r="D1503" s="53" t="str">
        <f aca="false">IF(PRESIONES!$C$22="NO","",IF(OR(LINEAS!$D$13="",ABS(-LINEAS!$AY$13*DATOS!$C$67)&lt;0.00005),"*",LINEAS!$D$13&amp;" UNI GY "&amp;TEXT(-LINEAS!$AY$13*DATOS!$C$67,DATOS!$C$68)))</f>
        <v/>
      </c>
      <c r="E1503" s="51" t="str">
        <f aca="false">IF(LEN($D1503)&gt;79,"MÁS DE 79 CARACTERES","")</f>
        <v/>
      </c>
    </row>
    <row r="1504" customFormat="false" ht="15" hidden="false" customHeight="true" outlineLevel="0" collapsed="false">
      <c r="B1504" s="53" t="str">
        <f aca="false">IF(OR(LINEAS!$D$13="",DATOS!$C$22="—",ABS(LINEAS!$AQ$13*DATOS!$C$67)&lt;0.00005),"*",LINEAS!$D$13&amp;" UNI G"&amp;DATOS!$C$22&amp;" "&amp;TEXT(LINEAS!$AQ$13*DATOS!$C$67,DATOS!$C$68))</f>
        <v>77 117 TO 120 UNI GZ 0.0478</v>
      </c>
      <c r="C1504" s="51" t="str">
        <f aca="false">IF(LEN($B1504)&gt;79,"MÁS DE 79 CARACTERES","")</f>
        <v/>
      </c>
      <c r="D1504" s="53" t="str">
        <f aca="false">IF(PRESIONES!$C$22="NO","",IF(OR(LINEAS!$D$13="",DATOS!$C$22="—",ABS(LINEAS!$BG$13*DATOS!$C$67)&lt;0.00005),"*",LINEAS!$D$13&amp;" UNI G"&amp;DATOS!$C$22&amp;" "&amp;TEXT(LINEAS!$BG$13*DATOS!$C$67,DATOS!$C$68)))</f>
        <v/>
      </c>
      <c r="E1504" s="51" t="str">
        <f aca="false">IF(LEN($D1504)&gt;79,"MÁS DE 79 CARACTERES","")</f>
        <v/>
      </c>
    </row>
    <row r="1505" customFormat="false" ht="15" hidden="false" customHeight="true" outlineLevel="0" collapsed="false">
      <c r="B1505" s="53" t="str">
        <f aca="false">IF(OR(LINEAS!$D$14="",ABS(-LINEAS!$AI$14*DATOS!$C$67)&lt;0.00005),"*",LINEAS!$D$14&amp;" UNI GY "&amp;TEXT(-LINEAS!$AI$14*DATOS!$C$67,DATOS!$C$68))</f>
        <v>9 93 TO 96 UNI GY 0.9559</v>
      </c>
      <c r="C1505" s="51" t="str">
        <f aca="false">IF(LEN($B1505)&gt;79,"MÁS DE 79 CARACTERES","")</f>
        <v/>
      </c>
      <c r="D1505" s="53" t="str">
        <f aca="false">IF(PRESIONES!$C$22="NO","",IF(OR(LINEAS!$D$14="",ABS(-LINEAS!$AY$14*DATOS!$C$67)&lt;0.00005),"*",LINEAS!$D$14&amp;" UNI GY "&amp;TEXT(-LINEAS!$AY$14*DATOS!$C$67,DATOS!$C$68)))</f>
        <v/>
      </c>
      <c r="E1505" s="51" t="str">
        <f aca="false">IF(LEN($D1505)&gt;79,"MÁS DE 79 CARACTERES","")</f>
        <v/>
      </c>
    </row>
    <row r="1506" customFormat="false" ht="15" hidden="false" customHeight="true" outlineLevel="0" collapsed="false">
      <c r="B1506" s="53" t="str">
        <f aca="false">IF(OR(LINEAS!$D$14="",DATOS!$C$22="—",ABS(LINEAS!$AQ$14*DATOS!$C$67)&lt;0.00005),"*",LINEAS!$D$14&amp;" UNI G"&amp;DATOS!$C$22&amp;" "&amp;TEXT(LINEAS!$AQ$14*DATOS!$C$67,DATOS!$C$68))</f>
        <v>9 93 TO 96 UNI GZ 0.0478</v>
      </c>
      <c r="C1506" s="51" t="str">
        <f aca="false">IF(LEN($B1506)&gt;79,"MÁS DE 79 CARACTERES","")</f>
        <v/>
      </c>
      <c r="D1506" s="53" t="str">
        <f aca="false">IF(PRESIONES!$C$22="NO","",IF(OR(LINEAS!$D$14="",DATOS!$C$22="—",ABS(LINEAS!$BG$14*DATOS!$C$67)&lt;0.00005),"*",LINEAS!$D$14&amp;" UNI G"&amp;DATOS!$C$22&amp;" "&amp;TEXT(LINEAS!$BG$14*DATOS!$C$67,DATOS!$C$68)))</f>
        <v/>
      </c>
      <c r="E1506" s="51" t="str">
        <f aca="false">IF(LEN($D1506)&gt;79,"MÁS DE 79 CARACTERES","")</f>
        <v/>
      </c>
    </row>
    <row r="1507" customFormat="false" ht="15" hidden="false" customHeight="true" outlineLevel="0" collapsed="false">
      <c r="B1507" s="53" t="str">
        <f aca="false">IF(OR(LINEAS!$D$15="",ABS(-LINEAS!$AI$15*DATOS!$C$67)&lt;0.00005),"*",LINEAS!$D$15&amp;" UNI GY "&amp;TEXT(-LINEAS!$AI$15*DATOS!$C$67,DATOS!$C$68))</f>
        <v>76 113 TO 116 UNI GY 0.9559</v>
      </c>
      <c r="C1507" s="51" t="str">
        <f aca="false">IF(LEN($B1507)&gt;79,"MÁS DE 79 CARACTERES","")</f>
        <v/>
      </c>
      <c r="D1507" s="53" t="str">
        <f aca="false">IF(PRESIONES!$C$22="NO","",IF(OR(LINEAS!$D$15="",ABS(-LINEAS!$AY$15*DATOS!$C$67)&lt;0.00005),"*",LINEAS!$D$15&amp;" UNI GY "&amp;TEXT(-LINEAS!$AY$15*DATOS!$C$67,DATOS!$C$68)))</f>
        <v/>
      </c>
      <c r="E1507" s="51" t="str">
        <f aca="false">IF(LEN($D1507)&gt;79,"MÁS DE 79 CARACTERES","")</f>
        <v/>
      </c>
    </row>
    <row r="1508" customFormat="false" ht="15" hidden="false" customHeight="true" outlineLevel="0" collapsed="false">
      <c r="B1508" s="53" t="str">
        <f aca="false">IF(OR(LINEAS!$D$15="",DATOS!$C$22="—",ABS(LINEAS!$AQ$15*DATOS!$C$67)&lt;0.00005),"*",LINEAS!$D$15&amp;" UNI G"&amp;DATOS!$C$22&amp;" "&amp;TEXT(LINEAS!$AQ$15*DATOS!$C$67,DATOS!$C$68))</f>
        <v>76 113 TO 116 UNI GZ 0.0478</v>
      </c>
      <c r="C1508" s="51" t="str">
        <f aca="false">IF(LEN($B1508)&gt;79,"MÁS DE 79 CARACTERES","")</f>
        <v/>
      </c>
      <c r="D1508" s="53" t="str">
        <f aca="false">IF(PRESIONES!$C$22="NO","",IF(OR(LINEAS!$D$15="",DATOS!$C$22="—",ABS(LINEAS!$BG$15*DATOS!$C$67)&lt;0.00005),"*",LINEAS!$D$15&amp;" UNI G"&amp;DATOS!$C$22&amp;" "&amp;TEXT(LINEAS!$BG$15*DATOS!$C$67,DATOS!$C$68)))</f>
        <v/>
      </c>
      <c r="E1508" s="51" t="str">
        <f aca="false">IF(LEN($D1508)&gt;79,"MÁS DE 79 CARACTERES","")</f>
        <v/>
      </c>
    </row>
    <row r="1509" customFormat="false" ht="15" hidden="false" customHeight="true" outlineLevel="0" collapsed="false">
      <c r="B1509" s="53" t="str">
        <f aca="false">IF(OR(LINEAS!$D$16="",ABS(-LINEAS!$AI$16*DATOS!$C$67)&lt;0.00005),"*",LINEAS!$D$16&amp;" UNI GY "&amp;TEXT(-LINEAS!$AI$16*DATOS!$C$67,DATOS!$C$68))</f>
        <v>75 109 TO 112 UNI GY 0.9559</v>
      </c>
      <c r="C1509" s="51" t="str">
        <f aca="false">IF(LEN($B1509)&gt;79,"MÁS DE 79 CARACTERES","")</f>
        <v/>
      </c>
      <c r="D1509" s="53" t="str">
        <f aca="false">IF(PRESIONES!$C$22="NO","",IF(OR(LINEAS!$D$16="",ABS(-LINEAS!$AY$16*DATOS!$C$67)&lt;0.00005),"*",LINEAS!$D$16&amp;" UNI GY "&amp;TEXT(-LINEAS!$AY$16*DATOS!$C$67,DATOS!$C$68)))</f>
        <v/>
      </c>
      <c r="E1509" s="51" t="str">
        <f aca="false">IF(LEN($D1509)&gt;79,"MÁS DE 79 CARACTERES","")</f>
        <v/>
      </c>
    </row>
    <row r="1510" customFormat="false" ht="15" hidden="false" customHeight="true" outlineLevel="0" collapsed="false">
      <c r="B1510" s="53" t="str">
        <f aca="false">IF(OR(LINEAS!$D$16="",DATOS!$C$22="—",ABS(LINEAS!$AQ$16*DATOS!$C$67)&lt;0.00005),"*",LINEAS!$D$16&amp;" UNI G"&amp;DATOS!$C$22&amp;" "&amp;TEXT(LINEAS!$AQ$16*DATOS!$C$67,DATOS!$C$68))</f>
        <v>75 109 TO 112 UNI GZ 0.0478</v>
      </c>
      <c r="C1510" s="51" t="str">
        <f aca="false">IF(LEN($B1510)&gt;79,"MÁS DE 79 CARACTERES","")</f>
        <v/>
      </c>
      <c r="D1510" s="53" t="str">
        <f aca="false">IF(PRESIONES!$C$22="NO","",IF(OR(LINEAS!$D$16="",DATOS!$C$22="—",ABS(LINEAS!$BG$16*DATOS!$C$67)&lt;0.00005),"*",LINEAS!$D$16&amp;" UNI G"&amp;DATOS!$C$22&amp;" "&amp;TEXT(LINEAS!$BG$16*DATOS!$C$67,DATOS!$C$68)))</f>
        <v/>
      </c>
      <c r="E1510" s="51" t="str">
        <f aca="false">IF(LEN($D1510)&gt;79,"MÁS DE 79 CARACTERES","")</f>
        <v/>
      </c>
    </row>
    <row r="1511" customFormat="false" ht="15" hidden="false" customHeight="true" outlineLevel="0" collapsed="false">
      <c r="B1511" s="53" t="str">
        <f aca="false">IF(OR(LINEAS!$D$17="",ABS(-LINEAS!$AI$17*DATOS!$C$67)&lt;0.00005),"*",LINEAS!$D$17&amp;" UNI GY "&amp;TEXT(-LINEAS!$AI$17*DATOS!$C$67,DATOS!$C$68))</f>
        <v>74 105 TO 108 UNI GY 0.9559</v>
      </c>
      <c r="C1511" s="51" t="str">
        <f aca="false">IF(LEN($B1511)&gt;79,"MÁS DE 79 CARACTERES","")</f>
        <v/>
      </c>
      <c r="D1511" s="53" t="str">
        <f aca="false">IF(PRESIONES!$C$22="NO","",IF(OR(LINEAS!$D$17="",ABS(-LINEAS!$AY$17*DATOS!$C$67)&lt;0.00005),"*",LINEAS!$D$17&amp;" UNI GY "&amp;TEXT(-LINEAS!$AY$17*DATOS!$C$67,DATOS!$C$68)))</f>
        <v/>
      </c>
      <c r="E1511" s="51" t="str">
        <f aca="false">IF(LEN($D1511)&gt;79,"MÁS DE 79 CARACTERES","")</f>
        <v/>
      </c>
    </row>
    <row r="1512" customFormat="false" ht="15" hidden="false" customHeight="true" outlineLevel="0" collapsed="false">
      <c r="B1512" s="53" t="str">
        <f aca="false">IF(OR(LINEAS!$D$17="",DATOS!$C$22="—",ABS(LINEAS!$AQ$17*DATOS!$C$67)&lt;0.00005),"*",LINEAS!$D$17&amp;" UNI G"&amp;DATOS!$C$22&amp;" "&amp;TEXT(LINEAS!$AQ$17*DATOS!$C$67,DATOS!$C$68))</f>
        <v>74 105 TO 108 UNI GZ 0.0478</v>
      </c>
      <c r="C1512" s="51" t="str">
        <f aca="false">IF(LEN($B1512)&gt;79,"MÁS DE 79 CARACTERES","")</f>
        <v/>
      </c>
      <c r="D1512" s="53" t="str">
        <f aca="false">IF(PRESIONES!$C$22="NO","",IF(OR(LINEAS!$D$17="",DATOS!$C$22="—",ABS(LINEAS!$BG$17*DATOS!$C$67)&lt;0.00005),"*",LINEAS!$D$17&amp;" UNI G"&amp;DATOS!$C$22&amp;" "&amp;TEXT(LINEAS!$BG$17*DATOS!$C$67,DATOS!$C$68)))</f>
        <v/>
      </c>
      <c r="E1512" s="51" t="str">
        <f aca="false">IF(LEN($D1512)&gt;79,"MÁS DE 79 CARACTERES","")</f>
        <v/>
      </c>
    </row>
    <row r="1513" customFormat="false" ht="15" hidden="false" customHeight="true" outlineLevel="0" collapsed="false">
      <c r="B1513" s="53" t="str">
        <f aca="false">IF(OR(LINEAS!$D$18="",ABS(-LINEAS!$AI$18*DATOS!$C$67)&lt;0.00005),"*",LINEAS!$D$18&amp;" UNI GY "&amp;TEXT(-LINEAS!$AI$18*DATOS!$C$67,DATOS!$C$68))</f>
        <v>73 101 TO 104 UNI GY 0.9559</v>
      </c>
      <c r="C1513" s="51" t="str">
        <f aca="false">IF(LEN($B1513)&gt;79,"MÁS DE 79 CARACTERES","")</f>
        <v/>
      </c>
      <c r="D1513" s="53" t="str">
        <f aca="false">IF(PRESIONES!$C$22="NO","",IF(OR(LINEAS!$D$18="",ABS(-LINEAS!$AY$18*DATOS!$C$67)&lt;0.00005),"*",LINEAS!$D$18&amp;" UNI GY "&amp;TEXT(-LINEAS!$AY$18*DATOS!$C$67,DATOS!$C$68)))</f>
        <v/>
      </c>
      <c r="E1513" s="51" t="str">
        <f aca="false">IF(LEN($D1513)&gt;79,"MÁS DE 79 CARACTERES","")</f>
        <v/>
      </c>
    </row>
    <row r="1514" customFormat="false" ht="15" hidden="false" customHeight="true" outlineLevel="0" collapsed="false">
      <c r="B1514" s="53" t="str">
        <f aca="false">IF(OR(LINEAS!$D$18="",DATOS!$C$22="—",ABS(LINEAS!$AQ$18*DATOS!$C$67)&lt;0.00005),"*",LINEAS!$D$18&amp;" UNI G"&amp;DATOS!$C$22&amp;" "&amp;TEXT(LINEAS!$AQ$18*DATOS!$C$67,DATOS!$C$68))</f>
        <v>73 101 TO 104 UNI GZ 0.0478</v>
      </c>
      <c r="C1514" s="51" t="str">
        <f aca="false">IF(LEN($B1514)&gt;79,"MÁS DE 79 CARACTERES","")</f>
        <v/>
      </c>
      <c r="D1514" s="53" t="str">
        <f aca="false">IF(PRESIONES!$C$22="NO","",IF(OR(LINEAS!$D$18="",DATOS!$C$22="—",ABS(LINEAS!$BG$18*DATOS!$C$67)&lt;0.00005),"*",LINEAS!$D$18&amp;" UNI G"&amp;DATOS!$C$22&amp;" "&amp;TEXT(LINEAS!$BG$18*DATOS!$C$67,DATOS!$C$68)))</f>
        <v/>
      </c>
      <c r="E1514" s="51" t="str">
        <f aca="false">IF(LEN($D1514)&gt;79,"MÁS DE 79 CARACTERES","")</f>
        <v/>
      </c>
    </row>
    <row r="1515" customFormat="false" ht="15" hidden="false" customHeight="true" outlineLevel="0" collapsed="false">
      <c r="B1515" s="53" t="str">
        <f aca="false">IF(OR(LINEAS!$D$19="",ABS(-LINEAS!$AI$19*DATOS!$C$67)&lt;0.00005),"*",LINEAS!$D$19&amp;" UNI GY "&amp;TEXT(-LINEAS!$AI$19*DATOS!$C$67,DATOS!$C$68))</f>
        <v>8 89 TO 92 UNI GY 0.9205</v>
      </c>
      <c r="C1515" s="51" t="str">
        <f aca="false">IF(LEN($B1515)&gt;79,"MÁS DE 79 CARACTERES","")</f>
        <v/>
      </c>
      <c r="D1515" s="53" t="str">
        <f aca="false">IF(PRESIONES!$C$22="NO","",IF(OR(LINEAS!$D$19="",ABS(-LINEAS!$AY$19*DATOS!$C$67)&lt;0.00005),"*",LINEAS!$D$19&amp;" UNI GY "&amp;TEXT(-LINEAS!$AY$19*DATOS!$C$67,DATOS!$C$68)))</f>
        <v/>
      </c>
      <c r="E1515" s="51" t="str">
        <f aca="false">IF(LEN($D1515)&gt;79,"MÁS DE 79 CARACTERES","")</f>
        <v/>
      </c>
    </row>
    <row r="1516" customFormat="false" ht="15" hidden="false" customHeight="true" outlineLevel="0" collapsed="false">
      <c r="B1516" s="53" t="str">
        <f aca="false">IF(OR(LINEAS!$D$19="",DATOS!$C$22="—",ABS(LINEAS!$AQ$19*DATOS!$C$67)&lt;0.00005),"*",LINEAS!$D$19&amp;" UNI G"&amp;DATOS!$C$22&amp;" "&amp;TEXT(LINEAS!$AQ$19*DATOS!$C$67,DATOS!$C$68))</f>
        <v>8 89 TO 92 UNI GZ 0.0460</v>
      </c>
      <c r="C1516" s="51" t="str">
        <f aca="false">IF(LEN($B1516)&gt;79,"MÁS DE 79 CARACTERES","")</f>
        <v/>
      </c>
      <c r="D1516" s="53" t="str">
        <f aca="false">IF(PRESIONES!$C$22="NO","",IF(OR(LINEAS!$D$19="",DATOS!$C$22="—",ABS(LINEAS!$BG$19*DATOS!$C$67)&lt;0.00005),"*",LINEAS!$D$19&amp;" UNI G"&amp;DATOS!$C$22&amp;" "&amp;TEXT(LINEAS!$BG$19*DATOS!$C$67,DATOS!$C$68)))</f>
        <v/>
      </c>
      <c r="E1516" s="51" t="str">
        <f aca="false">IF(LEN($D1516)&gt;79,"MÁS DE 79 CARACTERES","")</f>
        <v/>
      </c>
    </row>
    <row r="1517" customFormat="false" ht="15" hidden="false" customHeight="true" outlineLevel="0" collapsed="false">
      <c r="B1517" s="53" t="str">
        <f aca="false">IF(OR(LINEAS!$D$20="",ABS(-LINEAS!$AI$20*DATOS!$C$67)&lt;0.00005),"*",LINEAS!$D$20&amp;" UNI GY "&amp;TEXT(-LINEAS!$AI$20*DATOS!$C$67,DATOS!$C$68))</f>
        <v>56 97 TO 100 UNI GY 0.8851</v>
      </c>
      <c r="C1517" s="51" t="str">
        <f aca="false">IF(LEN($B1517)&gt;79,"MÁS DE 79 CARACTERES","")</f>
        <v/>
      </c>
      <c r="D1517" s="53" t="str">
        <f aca="false">IF(PRESIONES!$C$22="NO","",IF(OR(LINEAS!$D$20="",ABS(-LINEAS!$AY$20*DATOS!$C$67)&lt;0.00005),"*",LINEAS!$D$20&amp;" UNI GY "&amp;TEXT(-LINEAS!$AY$20*DATOS!$C$67,DATOS!$C$68)))</f>
        <v/>
      </c>
      <c r="E1517" s="51" t="str">
        <f aca="false">IF(LEN($D1517)&gt;79,"MÁS DE 79 CARACTERES","")</f>
        <v/>
      </c>
    </row>
    <row r="1518" customFormat="false" ht="15" hidden="false" customHeight="true" outlineLevel="0" collapsed="false">
      <c r="B1518" s="53" t="str">
        <f aca="false">IF(OR(LINEAS!$D$20="",DATOS!$C$22="—",ABS(LINEAS!$AQ$20*DATOS!$C$67)&lt;0.00005),"*",LINEAS!$D$20&amp;" UNI G"&amp;DATOS!$C$22&amp;" "&amp;TEXT(LINEAS!$AQ$20*DATOS!$C$67,DATOS!$C$68))</f>
        <v>56 97 TO 100 UNI GZ 0.0443</v>
      </c>
      <c r="C1518" s="51" t="str">
        <f aca="false">IF(LEN($B1518)&gt;79,"MÁS DE 79 CARACTERES","")</f>
        <v/>
      </c>
      <c r="D1518" s="53" t="str">
        <f aca="false">IF(PRESIONES!$C$22="NO","",IF(OR(LINEAS!$D$20="",DATOS!$C$22="—",ABS(LINEAS!$BG$20*DATOS!$C$67)&lt;0.00005),"*",LINEAS!$D$20&amp;" UNI G"&amp;DATOS!$C$22&amp;" "&amp;TEXT(LINEAS!$BG$20*DATOS!$C$67,DATOS!$C$68)))</f>
        <v/>
      </c>
      <c r="E1518" s="51" t="str">
        <f aca="false">IF(LEN($D1518)&gt;79,"MÁS DE 79 CARACTERES","")</f>
        <v/>
      </c>
    </row>
    <row r="1519" customFormat="false" ht="15" hidden="false" customHeight="true" outlineLevel="0" collapsed="false">
      <c r="B1519" s="53" t="str">
        <f aca="false">IF(OR(LINEAS!$D$21="",ABS(-LINEAS!$AI$21*DATOS!$C$67)&lt;0.00005),"*",LINEAS!$D$21&amp;" UNI GY "&amp;TEXT(-LINEAS!$AI$21*DATOS!$C$67,DATOS!$C$68))</f>
        <v>7 81 TO 84 UNI GY 0.4425</v>
      </c>
      <c r="C1519" s="51" t="str">
        <f aca="false">IF(LEN($B1519)&gt;79,"MÁS DE 79 CARACTERES","")</f>
        <v/>
      </c>
      <c r="D1519" s="53" t="str">
        <f aca="false">IF(PRESIONES!$C$22="NO","",IF(OR(LINEAS!$D$21="",ABS(-LINEAS!$AY$21*DATOS!$C$67)&lt;0.00005),"*",LINEAS!$D$21&amp;" UNI GY "&amp;TEXT(-LINEAS!$AY$21*DATOS!$C$67,DATOS!$C$68)))</f>
        <v/>
      </c>
      <c r="E1519" s="51" t="str">
        <f aca="false">IF(LEN($D1519)&gt;79,"MÁS DE 79 CARACTERES","")</f>
        <v/>
      </c>
    </row>
    <row r="1520" customFormat="false" ht="15" hidden="false" customHeight="true" outlineLevel="0" collapsed="false">
      <c r="B1520" s="53" t="str">
        <f aca="false">IF(OR(LINEAS!$D$21="",DATOS!$C$22="—",ABS(LINEAS!$AQ$21*DATOS!$C$67)&lt;0.00005),"*",LINEAS!$D$21&amp;" UNI G"&amp;DATOS!$C$22&amp;" "&amp;TEXT(LINEAS!$AQ$21*DATOS!$C$67,DATOS!$C$68))</f>
        <v>7 81 TO 84 UNI GZ 0.0221</v>
      </c>
      <c r="C1520" s="51" t="str">
        <f aca="false">IF(LEN($B1520)&gt;79,"MÁS DE 79 CARACTERES","")</f>
        <v/>
      </c>
      <c r="D1520" s="53" t="str">
        <f aca="false">IF(PRESIONES!$C$22="NO","",IF(OR(LINEAS!$D$21="",DATOS!$C$22="—",ABS(LINEAS!$BG$21*DATOS!$C$67)&lt;0.00005),"*",LINEAS!$D$21&amp;" UNI G"&amp;DATOS!$C$22&amp;" "&amp;TEXT(LINEAS!$BG$21*DATOS!$C$67,DATOS!$C$68)))</f>
        <v/>
      </c>
      <c r="E1520" s="51" t="str">
        <f aca="false">IF(LEN($D1520)&gt;79,"MÁS DE 79 CARACTERES","")</f>
        <v/>
      </c>
    </row>
    <row r="1521" customFormat="false" ht="15" hidden="false" customHeight="true" outlineLevel="0" collapsed="false">
      <c r="B1521" s="53" t="str">
        <f aca="false">IF(OR(LINEAS!$D$22="",ABS(-LINEAS!$AI$22*DATOS!$C$67)&lt;0.00005),"*",LINEAS!$D$22&amp;" UNI GY "&amp;TEXT(-LINEAS!$AI$22*DATOS!$C$67,DATOS!$C$68))</f>
        <v>*</v>
      </c>
      <c r="C1521" s="51" t="str">
        <f aca="false">IF(LEN($B1521)&gt;79,"MÁS DE 79 CARACTERES","")</f>
        <v/>
      </c>
      <c r="D1521" s="53" t="str">
        <f aca="false">IF(PRESIONES!$C$22="NO","",IF(OR(LINEAS!$D$22="",ABS(-LINEAS!$AY$22*DATOS!$C$67)&lt;0.00005),"*",LINEAS!$D$22&amp;" UNI GY "&amp;TEXT(-LINEAS!$AY$22*DATOS!$C$67,DATOS!$C$68)))</f>
        <v/>
      </c>
      <c r="E1521" s="51" t="str">
        <f aca="false">IF(LEN($D1521)&gt;79,"MÁS DE 79 CARACTERES","")</f>
        <v/>
      </c>
    </row>
    <row r="1522" customFormat="false" ht="15" hidden="false" customHeight="true" outlineLevel="0" collapsed="false">
      <c r="B1522" s="53" t="str">
        <f aca="false">IF(OR(LINEAS!$D$22="",DATOS!$C$22="—",ABS(LINEAS!$AQ$22*DATOS!$C$67)&lt;0.00005),"*",LINEAS!$D$22&amp;" UNI G"&amp;DATOS!$C$22&amp;" "&amp;TEXT(LINEAS!$AQ$22*DATOS!$C$67,DATOS!$C$68))</f>
        <v>*</v>
      </c>
      <c r="C1522" s="51" t="str">
        <f aca="false">IF(LEN($B1522)&gt;79,"MÁS DE 79 CARACTERES","")</f>
        <v/>
      </c>
      <c r="D1522" s="53" t="str">
        <f aca="false">IF(PRESIONES!$C$22="NO","",IF(OR(LINEAS!$D$22="",DATOS!$C$22="—",ABS(LINEAS!$BG$22*DATOS!$C$67)&lt;0.00005),"*",LINEAS!$D$22&amp;" UNI G"&amp;DATOS!$C$22&amp;" "&amp;TEXT(LINEAS!$BG$22*DATOS!$C$67,DATOS!$C$68)))</f>
        <v/>
      </c>
      <c r="E1522" s="51" t="str">
        <f aca="false">IF(LEN($D1522)&gt;79,"MÁS DE 79 CARACTERES","")</f>
        <v/>
      </c>
    </row>
    <row r="1523" customFormat="false" ht="15" hidden="false" customHeight="true" outlineLevel="0" collapsed="false">
      <c r="B1523" s="53" t="str">
        <f aca="false">IF(OR(LINEAS!$D$23="",ABS(-LINEAS!$AI$23*DATOS!$C$67)&lt;0.00005),"*",LINEAS!$D$23&amp;" UNI GY "&amp;TEXT(-LINEAS!$AI$23*DATOS!$C$67,DATOS!$C$68))</f>
        <v>*</v>
      </c>
      <c r="C1523" s="51" t="str">
        <f aca="false">IF(LEN($B1523)&gt;79,"MÁS DE 79 CARACTERES","")</f>
        <v/>
      </c>
      <c r="D1523" s="53" t="str">
        <f aca="false">IF(PRESIONES!$C$22="NO","",IF(OR(LINEAS!$D$23="",ABS(-LINEAS!$AY$23*DATOS!$C$67)&lt;0.00005),"*",LINEAS!$D$23&amp;" UNI GY "&amp;TEXT(-LINEAS!$AY$23*DATOS!$C$67,DATOS!$C$68)))</f>
        <v/>
      </c>
      <c r="E1523" s="51" t="str">
        <f aca="false">IF(LEN($D1523)&gt;79,"MÁS DE 79 CARACTERES","")</f>
        <v/>
      </c>
    </row>
    <row r="1524" customFormat="false" ht="15" hidden="false" customHeight="true" outlineLevel="0" collapsed="false">
      <c r="B1524" s="53" t="str">
        <f aca="false">IF(OR(LINEAS!$D$23="",DATOS!$C$22="—",ABS(LINEAS!$AQ$23*DATOS!$C$67)&lt;0.00005),"*",LINEAS!$D$23&amp;" UNI G"&amp;DATOS!$C$22&amp;" "&amp;TEXT(LINEAS!$AQ$23*DATOS!$C$67,DATOS!$C$68))</f>
        <v>*</v>
      </c>
      <c r="C1524" s="51" t="str">
        <f aca="false">IF(LEN($B1524)&gt;79,"MÁS DE 79 CARACTERES","")</f>
        <v/>
      </c>
      <c r="D1524" s="53" t="str">
        <f aca="false">IF(PRESIONES!$C$22="NO","",IF(OR(LINEAS!$D$23="",DATOS!$C$22="—",ABS(LINEAS!$BG$23*DATOS!$C$67)&lt;0.00005),"*",LINEAS!$D$23&amp;" UNI G"&amp;DATOS!$C$22&amp;" "&amp;TEXT(LINEAS!$BG$23*DATOS!$C$67,DATOS!$C$68)))</f>
        <v/>
      </c>
      <c r="E1524" s="51" t="str">
        <f aca="false">IF(LEN($D1524)&gt;79,"MÁS DE 79 CARACTERES","")</f>
        <v/>
      </c>
    </row>
    <row r="1525" customFormat="false" ht="15" hidden="false" customHeight="true" outlineLevel="0" collapsed="false">
      <c r="B1525" s="53" t="str">
        <f aca="false">IF(OR(LINEAS!$D$24="",ABS(-LINEAS!$AI$24*DATOS!$C$67)&lt;0.00005),"*",LINEAS!$D$24&amp;" UNI GY "&amp;TEXT(-LINEAS!$AI$24*DATOS!$C$67,DATOS!$C$68))</f>
        <v>*</v>
      </c>
      <c r="C1525" s="51" t="str">
        <f aca="false">IF(LEN($B1525)&gt;79,"MÁS DE 79 CARACTERES","")</f>
        <v/>
      </c>
      <c r="D1525" s="53" t="str">
        <f aca="false">IF(PRESIONES!$C$22="NO","",IF(OR(LINEAS!$D$24="",ABS(-LINEAS!$AY$24*DATOS!$C$67)&lt;0.00005),"*",LINEAS!$D$24&amp;" UNI GY "&amp;TEXT(-LINEAS!$AY$24*DATOS!$C$67,DATOS!$C$68)))</f>
        <v/>
      </c>
      <c r="E1525" s="51" t="str">
        <f aca="false">IF(LEN($D1525)&gt;79,"MÁS DE 79 CARACTERES","")</f>
        <v/>
      </c>
    </row>
    <row r="1526" customFormat="false" ht="15" hidden="false" customHeight="true" outlineLevel="0" collapsed="false">
      <c r="B1526" s="53" t="str">
        <f aca="false">IF(OR(LINEAS!$D$24="",DATOS!$C$22="—",ABS(LINEAS!$AQ$24*DATOS!$C$67)&lt;0.00005),"*",LINEAS!$D$24&amp;" UNI G"&amp;DATOS!$C$22&amp;" "&amp;TEXT(LINEAS!$AQ$24*DATOS!$C$67,DATOS!$C$68))</f>
        <v>*</v>
      </c>
      <c r="C1526" s="51" t="str">
        <f aca="false">IF(LEN($B1526)&gt;79,"MÁS DE 79 CARACTERES","")</f>
        <v/>
      </c>
      <c r="D1526" s="53" t="str">
        <f aca="false">IF(PRESIONES!$C$22="NO","",IF(OR(LINEAS!$D$24="",DATOS!$C$22="—",ABS(LINEAS!$BG$24*DATOS!$C$67)&lt;0.00005),"*",LINEAS!$D$24&amp;" UNI G"&amp;DATOS!$C$22&amp;" "&amp;TEXT(LINEAS!$BG$24*DATOS!$C$67,DATOS!$C$68)))</f>
        <v/>
      </c>
      <c r="E1526" s="51" t="str">
        <f aca="false">IF(LEN($D1526)&gt;79,"MÁS DE 79 CARACTERES","")</f>
        <v/>
      </c>
    </row>
    <row r="1527" customFormat="false" ht="15" hidden="false" customHeight="true" outlineLevel="0" collapsed="false">
      <c r="B1527" s="53" t="str">
        <f aca="false">IF(OR(LINEAS!$D$25="",ABS(-LINEAS!$AI$25*DATOS!$C$67)&lt;0.00005),"*",LINEAS!$D$25&amp;" UNI GY "&amp;TEXT(-LINEAS!$AI$25*DATOS!$C$67,DATOS!$C$68))</f>
        <v>*</v>
      </c>
      <c r="C1527" s="51" t="str">
        <f aca="false">IF(LEN($B1527)&gt;79,"MÁS DE 79 CARACTERES","")</f>
        <v/>
      </c>
      <c r="D1527" s="53" t="str">
        <f aca="false">IF(PRESIONES!$C$22="NO","",IF(OR(LINEAS!$D$25="",ABS(-LINEAS!$AY$25*DATOS!$C$67)&lt;0.00005),"*",LINEAS!$D$25&amp;" UNI GY "&amp;TEXT(-LINEAS!$AY$25*DATOS!$C$67,DATOS!$C$68)))</f>
        <v/>
      </c>
      <c r="E1527" s="51" t="str">
        <f aca="false">IF(LEN($D1527)&gt;79,"MÁS DE 79 CARACTERES","")</f>
        <v/>
      </c>
    </row>
    <row r="1528" customFormat="false" ht="15" hidden="false" customHeight="true" outlineLevel="0" collapsed="false">
      <c r="B1528" s="53" t="str">
        <f aca="false">IF(OR(LINEAS!$D$25="",DATOS!$C$22="—",ABS(LINEAS!$AQ$25*DATOS!$C$67)&lt;0.00005),"*",LINEAS!$D$25&amp;" UNI G"&amp;DATOS!$C$22&amp;" "&amp;TEXT(LINEAS!$AQ$25*DATOS!$C$67,DATOS!$C$68))</f>
        <v>*</v>
      </c>
      <c r="C1528" s="51" t="str">
        <f aca="false">IF(LEN($B1528)&gt;79,"MÁS DE 79 CARACTERES","")</f>
        <v/>
      </c>
      <c r="D1528" s="53" t="str">
        <f aca="false">IF(PRESIONES!$C$22="NO","",IF(OR(LINEAS!$D$25="",DATOS!$C$22="—",ABS(LINEAS!$BG$25*DATOS!$C$67)&lt;0.00005),"*",LINEAS!$D$25&amp;" UNI G"&amp;DATOS!$C$22&amp;" "&amp;TEXT(LINEAS!$BG$25*DATOS!$C$67,DATOS!$C$68)))</f>
        <v/>
      </c>
      <c r="E1528" s="51" t="str">
        <f aca="false">IF(LEN($D1528)&gt;79,"MÁS DE 79 CARACTERES","")</f>
        <v/>
      </c>
    </row>
    <row r="1529" customFormat="false" ht="15" hidden="false" customHeight="true" outlineLevel="0" collapsed="false">
      <c r="B1529" s="53" t="str">
        <f aca="false">IF(OR(LINEAS!$D$26="",ABS(-LINEAS!$AI$26*DATOS!$C$67)&lt;0.00005),"*",LINEAS!$D$26&amp;" UNI GY "&amp;TEXT(-LINEAS!$AI$26*DATOS!$C$67,DATOS!$C$68))</f>
        <v>*</v>
      </c>
      <c r="C1529" s="51" t="str">
        <f aca="false">IF(LEN($B1529)&gt;79,"MÁS DE 79 CARACTERES","")</f>
        <v/>
      </c>
      <c r="D1529" s="53" t="str">
        <f aca="false">IF(PRESIONES!$C$22="NO","",IF(OR(LINEAS!$D$26="",ABS(-LINEAS!$AY$26*DATOS!$C$67)&lt;0.00005),"*",LINEAS!$D$26&amp;" UNI GY "&amp;TEXT(-LINEAS!$AY$26*DATOS!$C$67,DATOS!$C$68)))</f>
        <v/>
      </c>
      <c r="E1529" s="51" t="str">
        <f aca="false">IF(LEN($D1529)&gt;79,"MÁS DE 79 CARACTERES","")</f>
        <v/>
      </c>
    </row>
    <row r="1530" customFormat="false" ht="15" hidden="false" customHeight="true" outlineLevel="0" collapsed="false">
      <c r="B1530" s="53" t="str">
        <f aca="false">IF(OR(LINEAS!$D$26="",DATOS!$C$22="—",ABS(LINEAS!$AQ$26*DATOS!$C$67)&lt;0.00005),"*",LINEAS!$D$26&amp;" UNI G"&amp;DATOS!$C$22&amp;" "&amp;TEXT(LINEAS!$AQ$26*DATOS!$C$67,DATOS!$C$68))</f>
        <v>*</v>
      </c>
      <c r="C1530" s="51" t="str">
        <f aca="false">IF(LEN($B1530)&gt;79,"MÁS DE 79 CARACTERES","")</f>
        <v/>
      </c>
      <c r="D1530" s="53" t="str">
        <f aca="false">IF(PRESIONES!$C$22="NO","",IF(OR(LINEAS!$D$26="",DATOS!$C$22="—",ABS(LINEAS!$BG$26*DATOS!$C$67)&lt;0.00005),"*",LINEAS!$D$26&amp;" UNI G"&amp;DATOS!$C$22&amp;" "&amp;TEXT(LINEAS!$BG$26*DATOS!$C$67,DATOS!$C$68)))</f>
        <v/>
      </c>
      <c r="E1530" s="51" t="str">
        <f aca="false">IF(LEN($D1530)&gt;79,"MÁS DE 79 CARACTERES","")</f>
        <v/>
      </c>
    </row>
    <row r="1531" customFormat="false" ht="15" hidden="false" customHeight="true" outlineLevel="0" collapsed="false">
      <c r="B1531" s="53" t="str">
        <f aca="false">IF(OR(LINEAS!$D$27="",ABS(-LINEAS!$AI$27*DATOS!$C$67)&lt;0.00005),"*",LINEAS!$D$27&amp;" UNI GY "&amp;TEXT(-LINEAS!$AI$27*DATOS!$C$67,DATOS!$C$68))</f>
        <v>*</v>
      </c>
      <c r="C1531" s="51" t="str">
        <f aca="false">IF(LEN($B1531)&gt;79,"MÁS DE 79 CARACTERES","")</f>
        <v/>
      </c>
      <c r="D1531" s="53" t="str">
        <f aca="false">IF(PRESIONES!$C$22="NO","",IF(OR(LINEAS!$D$27="",ABS(-LINEAS!$AY$27*DATOS!$C$67)&lt;0.00005),"*",LINEAS!$D$27&amp;" UNI GY "&amp;TEXT(-LINEAS!$AY$27*DATOS!$C$67,DATOS!$C$68)))</f>
        <v/>
      </c>
      <c r="E1531" s="51" t="str">
        <f aca="false">IF(LEN($D1531)&gt;79,"MÁS DE 79 CARACTERES","")</f>
        <v/>
      </c>
    </row>
    <row r="1532" customFormat="false" ht="15" hidden="false" customHeight="true" outlineLevel="0" collapsed="false">
      <c r="B1532" s="53" t="str">
        <f aca="false">IF(OR(LINEAS!$D$27="",DATOS!$C$22="—",ABS(LINEAS!$AQ$27*DATOS!$C$67)&lt;0.00005),"*",LINEAS!$D$27&amp;" UNI G"&amp;DATOS!$C$22&amp;" "&amp;TEXT(LINEAS!$AQ$27*DATOS!$C$67,DATOS!$C$68))</f>
        <v>*</v>
      </c>
      <c r="C1532" s="51" t="str">
        <f aca="false">IF(LEN($B1532)&gt;79,"MÁS DE 79 CARACTERES","")</f>
        <v/>
      </c>
      <c r="D1532" s="53" t="str">
        <f aca="false">IF(PRESIONES!$C$22="NO","",IF(OR(LINEAS!$D$27="",DATOS!$C$22="—",ABS(LINEAS!$BG$27*DATOS!$C$67)&lt;0.00005),"*",LINEAS!$D$27&amp;" UNI G"&amp;DATOS!$C$22&amp;" "&amp;TEXT(LINEAS!$BG$27*DATOS!$C$67,DATOS!$C$68)))</f>
        <v/>
      </c>
      <c r="E1532" s="51" t="str">
        <f aca="false">IF(LEN($D1532)&gt;79,"MÁS DE 79 CARACTERES","")</f>
        <v/>
      </c>
    </row>
    <row r="1533" customFormat="false" ht="15" hidden="false" customHeight="true" outlineLevel="0" collapsed="false">
      <c r="B1533" s="53" t="str">
        <f aca="false">IF(OR(LINEAS!$D$28="",ABS(-LINEAS!$AI$28*DATOS!$C$67)&lt;0.00005),"*",LINEAS!$D$28&amp;" UNI GY "&amp;TEXT(-LINEAS!$AI$28*DATOS!$C$67,DATOS!$C$68))</f>
        <v>*</v>
      </c>
      <c r="C1533" s="51" t="str">
        <f aca="false">IF(LEN($B1533)&gt;79,"MÁS DE 79 CARACTERES","")</f>
        <v/>
      </c>
      <c r="D1533" s="53" t="str">
        <f aca="false">IF(PRESIONES!$C$22="NO","",IF(OR(LINEAS!$D$28="",ABS(-LINEAS!$AY$28*DATOS!$C$67)&lt;0.00005),"*",LINEAS!$D$28&amp;" UNI GY "&amp;TEXT(-LINEAS!$AY$28*DATOS!$C$67,DATOS!$C$68)))</f>
        <v/>
      </c>
      <c r="E1533" s="51" t="str">
        <f aca="false">IF(LEN($D1533)&gt;79,"MÁS DE 79 CARACTERES","")</f>
        <v/>
      </c>
    </row>
    <row r="1534" customFormat="false" ht="15" hidden="false" customHeight="true" outlineLevel="0" collapsed="false">
      <c r="B1534" s="53" t="str">
        <f aca="false">IF(OR(LINEAS!$D$28="",DATOS!$C$22="—",ABS(LINEAS!$AQ$28*DATOS!$C$67)&lt;0.00005),"*",LINEAS!$D$28&amp;" UNI G"&amp;DATOS!$C$22&amp;" "&amp;TEXT(LINEAS!$AQ$28*DATOS!$C$67,DATOS!$C$68))</f>
        <v>*</v>
      </c>
      <c r="C1534" s="51" t="str">
        <f aca="false">IF(LEN($B1534)&gt;79,"MÁS DE 79 CARACTERES","")</f>
        <v/>
      </c>
      <c r="D1534" s="53" t="str">
        <f aca="false">IF(PRESIONES!$C$22="NO","",IF(OR(LINEAS!$D$28="",DATOS!$C$22="—",ABS(LINEAS!$BG$28*DATOS!$C$67)&lt;0.00005),"*",LINEAS!$D$28&amp;" UNI G"&amp;DATOS!$C$22&amp;" "&amp;TEXT(LINEAS!$BG$28*DATOS!$C$67,DATOS!$C$68)))</f>
        <v/>
      </c>
      <c r="E1534" s="51" t="str">
        <f aca="false">IF(LEN($D1534)&gt;79,"MÁS DE 79 CARACTERES","")</f>
        <v/>
      </c>
    </row>
    <row r="1535" customFormat="false" ht="15" hidden="false" customHeight="true" outlineLevel="0" collapsed="false">
      <c r="B1535" s="53" t="str">
        <f aca="false">IF(OR(LINEAS!$D$29="",ABS(-LINEAS!$AI$29*DATOS!$C$67)&lt;0.00005),"*",LINEAS!$D$29&amp;" UNI GY "&amp;TEXT(-LINEAS!$AI$29*DATOS!$C$67,DATOS!$C$68))</f>
        <v>*</v>
      </c>
      <c r="C1535" s="51" t="str">
        <f aca="false">IF(LEN($B1535)&gt;79,"MÁS DE 79 CARACTERES","")</f>
        <v/>
      </c>
      <c r="D1535" s="53" t="str">
        <f aca="false">IF(PRESIONES!$C$22="NO","",IF(OR(LINEAS!$D$29="",ABS(-LINEAS!$AY$29*DATOS!$C$67)&lt;0.00005),"*",LINEAS!$D$29&amp;" UNI GY "&amp;TEXT(-LINEAS!$AY$29*DATOS!$C$67,DATOS!$C$68)))</f>
        <v/>
      </c>
      <c r="E1535" s="51" t="str">
        <f aca="false">IF(LEN($D1535)&gt;79,"MÁS DE 79 CARACTERES","")</f>
        <v/>
      </c>
    </row>
    <row r="1536" customFormat="false" ht="15" hidden="false" customHeight="true" outlineLevel="0" collapsed="false">
      <c r="B1536" s="53" t="str">
        <f aca="false">IF(OR(LINEAS!$D$29="",DATOS!$C$22="—",ABS(LINEAS!$AQ$29*DATOS!$C$67)&lt;0.00005),"*",LINEAS!$D$29&amp;" UNI G"&amp;DATOS!$C$22&amp;" "&amp;TEXT(LINEAS!$AQ$29*DATOS!$C$67,DATOS!$C$68))</f>
        <v>*</v>
      </c>
      <c r="C1536" s="51" t="str">
        <f aca="false">IF(LEN($B1536)&gt;79,"MÁS DE 79 CARACTERES","")</f>
        <v/>
      </c>
      <c r="D1536" s="53" t="str">
        <f aca="false">IF(PRESIONES!$C$22="NO","",IF(OR(LINEAS!$D$29="",DATOS!$C$22="—",ABS(LINEAS!$BG$29*DATOS!$C$67)&lt;0.00005),"*",LINEAS!$D$29&amp;" UNI G"&amp;DATOS!$C$22&amp;" "&amp;TEXT(LINEAS!$BG$29*DATOS!$C$67,DATOS!$C$68)))</f>
        <v/>
      </c>
      <c r="E1536" s="51" t="str">
        <f aca="false">IF(LEN($D1536)&gt;79,"MÁS DE 79 CARACTERES","")</f>
        <v/>
      </c>
    </row>
    <row r="1537" customFormat="false" ht="15" hidden="false" customHeight="true" outlineLevel="0" collapsed="false">
      <c r="B1537" s="53" t="str">
        <f aca="false">IF(OR(LINEAS!$D$30="",ABS(-LINEAS!$AI$30*DATOS!$C$67)&lt;0.00005),"*",LINEAS!$D$30&amp;" UNI GY "&amp;TEXT(-LINEAS!$AI$30*DATOS!$C$67,DATOS!$C$68))</f>
        <v>*</v>
      </c>
      <c r="C1537" s="51" t="str">
        <f aca="false">IF(LEN($B1537)&gt;79,"MÁS DE 79 CARACTERES","")</f>
        <v/>
      </c>
      <c r="D1537" s="53" t="str">
        <f aca="false">IF(PRESIONES!$C$22="NO","",IF(OR(LINEAS!$D$30="",ABS(-LINEAS!$AY$30*DATOS!$C$67)&lt;0.00005),"*",LINEAS!$D$30&amp;" UNI GY "&amp;TEXT(-LINEAS!$AY$30*DATOS!$C$67,DATOS!$C$68)))</f>
        <v/>
      </c>
      <c r="E1537" s="51" t="str">
        <f aca="false">IF(LEN($D1537)&gt;79,"MÁS DE 79 CARACTERES","")</f>
        <v/>
      </c>
    </row>
    <row r="1538" customFormat="false" ht="15" hidden="false" customHeight="true" outlineLevel="0" collapsed="false">
      <c r="B1538" s="53" t="str">
        <f aca="false">IF(OR(LINEAS!$D$30="",DATOS!$C$22="—",ABS(LINEAS!$AQ$30*DATOS!$C$67)&lt;0.00005),"*",LINEAS!$D$30&amp;" UNI G"&amp;DATOS!$C$22&amp;" "&amp;TEXT(LINEAS!$AQ$30*DATOS!$C$67,DATOS!$C$68))</f>
        <v>*</v>
      </c>
      <c r="C1538" s="51" t="str">
        <f aca="false">IF(LEN($B1538)&gt;79,"MÁS DE 79 CARACTERES","")</f>
        <v/>
      </c>
      <c r="D1538" s="53" t="str">
        <f aca="false">IF(PRESIONES!$C$22="NO","",IF(OR(LINEAS!$D$30="",DATOS!$C$22="—",ABS(LINEAS!$BG$30*DATOS!$C$67)&lt;0.00005),"*",LINEAS!$D$30&amp;" UNI G"&amp;DATOS!$C$22&amp;" "&amp;TEXT(LINEAS!$BG$30*DATOS!$C$67,DATOS!$C$68)))</f>
        <v/>
      </c>
      <c r="E1538" s="51" t="str">
        <f aca="false">IF(LEN($D1538)&gt;79,"MÁS DE 79 CARACTERES","")</f>
        <v/>
      </c>
    </row>
    <row r="1539" customFormat="false" ht="15" hidden="false" customHeight="true" outlineLevel="0" collapsed="false">
      <c r="B1539" s="53" t="str">
        <f aca="false">IF(OR(LINEAS!$D$31="",ABS(-LINEAS!$AI$31*DATOS!$C$67)&lt;0.00005),"*",LINEAS!$D$31&amp;" UNI GY "&amp;TEXT(-LINEAS!$AI$31*DATOS!$C$67,DATOS!$C$68))</f>
        <v>*</v>
      </c>
      <c r="C1539" s="51" t="str">
        <f aca="false">IF(LEN($B1539)&gt;79,"MÁS DE 79 CARACTERES","")</f>
        <v/>
      </c>
      <c r="D1539" s="53" t="str">
        <f aca="false">IF(PRESIONES!$C$22="NO","",IF(OR(LINEAS!$D$31="",ABS(-LINEAS!$AY$31*DATOS!$C$67)&lt;0.00005),"*",LINEAS!$D$31&amp;" UNI GY "&amp;TEXT(-LINEAS!$AY$31*DATOS!$C$67,DATOS!$C$68)))</f>
        <v/>
      </c>
      <c r="E1539" s="51" t="str">
        <f aca="false">IF(LEN($D1539)&gt;79,"MÁS DE 79 CARACTERES","")</f>
        <v/>
      </c>
    </row>
    <row r="1540" customFormat="false" ht="15" hidden="false" customHeight="true" outlineLevel="0" collapsed="false">
      <c r="B1540" s="53" t="str">
        <f aca="false">IF(OR(LINEAS!$D$31="",DATOS!$C$22="—",ABS(LINEAS!$AQ$31*DATOS!$C$67)&lt;0.00005),"*",LINEAS!$D$31&amp;" UNI G"&amp;DATOS!$C$22&amp;" "&amp;TEXT(LINEAS!$AQ$31*DATOS!$C$67,DATOS!$C$68))</f>
        <v>*</v>
      </c>
      <c r="C1540" s="51" t="str">
        <f aca="false">IF(LEN($B1540)&gt;79,"MÁS DE 79 CARACTERES","")</f>
        <v/>
      </c>
      <c r="D1540" s="53" t="str">
        <f aca="false">IF(PRESIONES!$C$22="NO","",IF(OR(LINEAS!$D$31="",DATOS!$C$22="—",ABS(LINEAS!$BG$31*DATOS!$C$67)&lt;0.00005),"*",LINEAS!$D$31&amp;" UNI G"&amp;DATOS!$C$22&amp;" "&amp;TEXT(LINEAS!$BG$31*DATOS!$C$67,DATOS!$C$68)))</f>
        <v/>
      </c>
      <c r="E1540" s="51" t="str">
        <f aca="false">IF(LEN($D1540)&gt;79,"MÁS DE 79 CARACTERES","")</f>
        <v/>
      </c>
    </row>
    <row r="1541" customFormat="false" ht="15" hidden="false" customHeight="true" outlineLevel="0" collapsed="false">
      <c r="B1541" s="53" t="str">
        <f aca="false">IF(OR(LINEAS!$D$32="",ABS(-LINEAS!$AI$32*DATOS!$C$67)&lt;0.00005),"*",LINEAS!$D$32&amp;" UNI GY "&amp;TEXT(-LINEAS!$AI$32*DATOS!$C$67,DATOS!$C$68))</f>
        <v>*</v>
      </c>
      <c r="C1541" s="51" t="str">
        <f aca="false">IF(LEN($B1541)&gt;79,"MÁS DE 79 CARACTERES","")</f>
        <v/>
      </c>
      <c r="D1541" s="53" t="str">
        <f aca="false">IF(PRESIONES!$C$22="NO","",IF(OR(LINEAS!$D$32="",ABS(-LINEAS!$AY$32*DATOS!$C$67)&lt;0.00005),"*",LINEAS!$D$32&amp;" UNI GY "&amp;TEXT(-LINEAS!$AY$32*DATOS!$C$67,DATOS!$C$68)))</f>
        <v/>
      </c>
      <c r="E1541" s="51" t="str">
        <f aca="false">IF(LEN($D1541)&gt;79,"MÁS DE 79 CARACTERES","")</f>
        <v/>
      </c>
    </row>
    <row r="1542" customFormat="false" ht="15" hidden="false" customHeight="true" outlineLevel="0" collapsed="false">
      <c r="B1542" s="53" t="str">
        <f aca="false">IF(OR(LINEAS!$D$32="",DATOS!$C$22="—",ABS(LINEAS!$AQ$32*DATOS!$C$67)&lt;0.00005),"*",LINEAS!$D$32&amp;" UNI G"&amp;DATOS!$C$22&amp;" "&amp;TEXT(LINEAS!$AQ$32*DATOS!$C$67,DATOS!$C$68))</f>
        <v>*</v>
      </c>
      <c r="C1542" s="51" t="str">
        <f aca="false">IF(LEN($B1542)&gt;79,"MÁS DE 79 CARACTERES","")</f>
        <v/>
      </c>
      <c r="D1542" s="53" t="str">
        <f aca="false">IF(PRESIONES!$C$22="NO","",IF(OR(LINEAS!$D$32="",DATOS!$C$22="—",ABS(LINEAS!$BG$32*DATOS!$C$67)&lt;0.00005),"*",LINEAS!$D$32&amp;" UNI G"&amp;DATOS!$C$22&amp;" "&amp;TEXT(LINEAS!$BG$32*DATOS!$C$67,DATOS!$C$68)))</f>
        <v/>
      </c>
      <c r="E1542" s="51" t="str">
        <f aca="false">IF(LEN($D1542)&gt;79,"MÁS DE 79 CARACTERES","")</f>
        <v/>
      </c>
    </row>
    <row r="1543" customFormat="false" ht="15" hidden="false" customHeight="true" outlineLevel="0" collapsed="false">
      <c r="B1543" s="53" t="str">
        <f aca="false">IF(OR(LINEAS!$D$33="",ABS(-LINEAS!$AI$33*DATOS!$C$67)&lt;0.00005),"*",LINEAS!$D$33&amp;" UNI GY "&amp;TEXT(-LINEAS!$AI$33*DATOS!$C$67,DATOS!$C$68))</f>
        <v>*</v>
      </c>
      <c r="C1543" s="51" t="str">
        <f aca="false">IF(LEN($B1543)&gt;79,"MÁS DE 79 CARACTERES","")</f>
        <v/>
      </c>
      <c r="D1543" s="53" t="str">
        <f aca="false">IF(PRESIONES!$C$22="NO","",IF(OR(LINEAS!$D$33="",ABS(-LINEAS!$AY$33*DATOS!$C$67)&lt;0.00005),"*",LINEAS!$D$33&amp;" UNI GY "&amp;TEXT(-LINEAS!$AY$33*DATOS!$C$67,DATOS!$C$68)))</f>
        <v/>
      </c>
      <c r="E1543" s="51" t="str">
        <f aca="false">IF(LEN($D1543)&gt;79,"MÁS DE 79 CARACTERES","")</f>
        <v/>
      </c>
    </row>
    <row r="1544" customFormat="false" ht="15" hidden="false" customHeight="true" outlineLevel="0" collapsed="false">
      <c r="B1544" s="53" t="str">
        <f aca="false">IF(OR(LINEAS!$D$33="",DATOS!$C$22="—",ABS(LINEAS!$AQ$33*DATOS!$C$67)&lt;0.00005),"*",LINEAS!$D$33&amp;" UNI G"&amp;DATOS!$C$22&amp;" "&amp;TEXT(LINEAS!$AQ$33*DATOS!$C$67,DATOS!$C$68))</f>
        <v>*</v>
      </c>
      <c r="C1544" s="51" t="str">
        <f aca="false">IF(LEN($B1544)&gt;79,"MÁS DE 79 CARACTERES","")</f>
        <v/>
      </c>
      <c r="D1544" s="53" t="str">
        <f aca="false">IF(PRESIONES!$C$22="NO","",IF(OR(LINEAS!$D$33="",DATOS!$C$22="—",ABS(LINEAS!$BG$33*DATOS!$C$67)&lt;0.00005),"*",LINEAS!$D$33&amp;" UNI G"&amp;DATOS!$C$22&amp;" "&amp;TEXT(LINEAS!$BG$33*DATOS!$C$67,DATOS!$C$68)))</f>
        <v/>
      </c>
      <c r="E1544" s="51" t="str">
        <f aca="false">IF(LEN($D1544)&gt;79,"MÁS DE 79 CARACTERES","")</f>
        <v/>
      </c>
    </row>
    <row r="1545" customFormat="false" ht="15" hidden="false" customHeight="true" outlineLevel="0" collapsed="false">
      <c r="B1545" s="53" t="str">
        <f aca="false">IF(OR(LINEAS!$D$34="",ABS(-LINEAS!$AI$34*DATOS!$C$67)&lt;0.00005),"*",LINEAS!$D$34&amp;" UNI GY "&amp;TEXT(-LINEAS!$AI$34*DATOS!$C$67,DATOS!$C$68))</f>
        <v>*</v>
      </c>
      <c r="C1545" s="51" t="str">
        <f aca="false">IF(LEN($B1545)&gt;79,"MÁS DE 79 CARACTERES","")</f>
        <v/>
      </c>
      <c r="D1545" s="53" t="str">
        <f aca="false">IF(PRESIONES!$C$22="NO","",IF(OR(LINEAS!$D$34="",ABS(-LINEAS!$AY$34*DATOS!$C$67)&lt;0.00005),"*",LINEAS!$D$34&amp;" UNI GY "&amp;TEXT(-LINEAS!$AY$34*DATOS!$C$67,DATOS!$C$68)))</f>
        <v/>
      </c>
      <c r="E1545" s="51" t="str">
        <f aca="false">IF(LEN($D1545)&gt;79,"MÁS DE 79 CARACTERES","")</f>
        <v/>
      </c>
    </row>
    <row r="1546" customFormat="false" ht="15" hidden="false" customHeight="true" outlineLevel="0" collapsed="false">
      <c r="B1546" s="53" t="str">
        <f aca="false">IF(OR(LINEAS!$D$34="",DATOS!$C$22="—",ABS(LINEAS!$AQ$34*DATOS!$C$67)&lt;0.00005),"*",LINEAS!$D$34&amp;" UNI G"&amp;DATOS!$C$22&amp;" "&amp;TEXT(LINEAS!$AQ$34*DATOS!$C$67,DATOS!$C$68))</f>
        <v>*</v>
      </c>
      <c r="C1546" s="51" t="str">
        <f aca="false">IF(LEN($B1546)&gt;79,"MÁS DE 79 CARACTERES","")</f>
        <v/>
      </c>
      <c r="D1546" s="53" t="str">
        <f aca="false">IF(PRESIONES!$C$22="NO","",IF(OR(LINEAS!$D$34="",DATOS!$C$22="—",ABS(LINEAS!$BG$34*DATOS!$C$67)&lt;0.00005),"*",LINEAS!$D$34&amp;" UNI G"&amp;DATOS!$C$22&amp;" "&amp;TEXT(LINEAS!$BG$34*DATOS!$C$67,DATOS!$C$68)))</f>
        <v/>
      </c>
      <c r="E1546" s="51" t="str">
        <f aca="false">IF(LEN($D1546)&gt;79,"MÁS DE 79 CARACTERES","")</f>
        <v/>
      </c>
    </row>
    <row r="1547" customFormat="false" ht="15" hidden="false" customHeight="true" outlineLevel="0" collapsed="false">
      <c r="B1547" s="53" t="str">
        <f aca="false">IF(OR(LINEAS!$D$35="",ABS(-LINEAS!$AI$35*DATOS!$C$67)&lt;0.00005),"*",LINEAS!$D$35&amp;" UNI GY "&amp;TEXT(-LINEAS!$AI$35*DATOS!$C$67,DATOS!$C$68))</f>
        <v>*</v>
      </c>
      <c r="C1547" s="51" t="str">
        <f aca="false">IF(LEN($B1547)&gt;79,"MÁS DE 79 CARACTERES","")</f>
        <v/>
      </c>
      <c r="D1547" s="53" t="str">
        <f aca="false">IF(PRESIONES!$C$22="NO","",IF(OR(LINEAS!$D$35="",ABS(-LINEAS!$AY$35*DATOS!$C$67)&lt;0.00005),"*",LINEAS!$D$35&amp;" UNI GY "&amp;TEXT(-LINEAS!$AY$35*DATOS!$C$67,DATOS!$C$68)))</f>
        <v/>
      </c>
      <c r="E1547" s="51" t="str">
        <f aca="false">IF(LEN($D1547)&gt;79,"MÁS DE 79 CARACTERES","")</f>
        <v/>
      </c>
    </row>
    <row r="1548" customFormat="false" ht="15" hidden="false" customHeight="true" outlineLevel="0" collapsed="false">
      <c r="B1548" s="53" t="str">
        <f aca="false">IF(OR(LINEAS!$D$35="",DATOS!$C$22="—",ABS(LINEAS!$AQ$35*DATOS!$C$67)&lt;0.00005),"*",LINEAS!$D$35&amp;" UNI G"&amp;DATOS!$C$22&amp;" "&amp;TEXT(LINEAS!$AQ$35*DATOS!$C$67,DATOS!$C$68))</f>
        <v>*</v>
      </c>
      <c r="C1548" s="51" t="str">
        <f aca="false">IF(LEN($B1548)&gt;79,"MÁS DE 79 CARACTERES","")</f>
        <v/>
      </c>
      <c r="D1548" s="53" t="str">
        <f aca="false">IF(PRESIONES!$C$22="NO","",IF(OR(LINEAS!$D$35="",DATOS!$C$22="—",ABS(LINEAS!$BG$35*DATOS!$C$67)&lt;0.00005),"*",LINEAS!$D$35&amp;" UNI G"&amp;DATOS!$C$22&amp;" "&amp;TEXT(LINEAS!$BG$35*DATOS!$C$67,DATOS!$C$68)))</f>
        <v/>
      </c>
      <c r="E1548" s="51" t="str">
        <f aca="false">IF(LEN($D1548)&gt;79,"MÁS DE 79 CARACTERES","")</f>
        <v/>
      </c>
    </row>
    <row r="1549" customFormat="false" ht="15" hidden="false" customHeight="true" outlineLevel="0" collapsed="false">
      <c r="B1549" s="53" t="str">
        <f aca="false">IF(OR(LINEAS!$D$36="",ABS(-LINEAS!$AI$36*DATOS!$C$67)&lt;0.00005),"*",LINEAS!$D$36&amp;" UNI GY "&amp;TEXT(-LINEAS!$AI$36*DATOS!$C$67,DATOS!$C$68))</f>
        <v>*</v>
      </c>
      <c r="C1549" s="51" t="str">
        <f aca="false">IF(LEN($B1549)&gt;79,"MÁS DE 79 CARACTERES","")</f>
        <v/>
      </c>
      <c r="D1549" s="53" t="str">
        <f aca="false">IF(PRESIONES!$C$22="NO","",IF(OR(LINEAS!$D$36="",ABS(-LINEAS!$AY$36*DATOS!$C$67)&lt;0.00005),"*",LINEAS!$D$36&amp;" UNI GY "&amp;TEXT(-LINEAS!$AY$36*DATOS!$C$67,DATOS!$C$68)))</f>
        <v/>
      </c>
      <c r="E1549" s="51" t="str">
        <f aca="false">IF(LEN($D1549)&gt;79,"MÁS DE 79 CARACTERES","")</f>
        <v/>
      </c>
    </row>
    <row r="1550" customFormat="false" ht="15" hidden="false" customHeight="true" outlineLevel="0" collapsed="false">
      <c r="B1550" s="53" t="str">
        <f aca="false">IF(OR(LINEAS!$D$36="",DATOS!$C$22="—",ABS(LINEAS!$AQ$36*DATOS!$C$67)&lt;0.00005),"*",LINEAS!$D$36&amp;" UNI G"&amp;DATOS!$C$22&amp;" "&amp;TEXT(LINEAS!$AQ$36*DATOS!$C$67,DATOS!$C$68))</f>
        <v>*</v>
      </c>
      <c r="C1550" s="51" t="str">
        <f aca="false">IF(LEN($B1550)&gt;79,"MÁS DE 79 CARACTERES","")</f>
        <v/>
      </c>
      <c r="D1550" s="53" t="str">
        <f aca="false">IF(PRESIONES!$C$22="NO","",IF(OR(LINEAS!$D$36="",DATOS!$C$22="—",ABS(LINEAS!$BG$36*DATOS!$C$67)&lt;0.00005),"*",LINEAS!$D$36&amp;" UNI G"&amp;DATOS!$C$22&amp;" "&amp;TEXT(LINEAS!$BG$36*DATOS!$C$67,DATOS!$C$68)))</f>
        <v/>
      </c>
      <c r="E1550" s="51" t="str">
        <f aca="false">IF(LEN($D1550)&gt;79,"MÁS DE 79 CARACTERES","")</f>
        <v/>
      </c>
    </row>
    <row r="1551" customFormat="false" ht="15" hidden="false" customHeight="true" outlineLevel="0" collapsed="false">
      <c r="B1551" s="53" t="str">
        <f aca="false">IF(OR(LINEAS!$D$37="",ABS(-LINEAS!$AI$37*DATOS!$C$67)&lt;0.00005),"*",LINEAS!$D$37&amp;" UNI GY "&amp;TEXT(-LINEAS!$AI$37*DATOS!$C$67,DATOS!$C$68))</f>
        <v>*</v>
      </c>
      <c r="C1551" s="51" t="str">
        <f aca="false">IF(LEN($B1551)&gt;79,"MÁS DE 79 CARACTERES","")</f>
        <v/>
      </c>
      <c r="D1551" s="53" t="str">
        <f aca="false">IF(PRESIONES!$C$22="NO","",IF(OR(LINEAS!$D$37="",ABS(-LINEAS!$AY$37*DATOS!$C$67)&lt;0.00005),"*",LINEAS!$D$37&amp;" UNI GY "&amp;TEXT(-LINEAS!$AY$37*DATOS!$C$67,DATOS!$C$68)))</f>
        <v/>
      </c>
      <c r="E1551" s="51" t="str">
        <f aca="false">IF(LEN($D1551)&gt;79,"MÁS DE 79 CARACTERES","")</f>
        <v/>
      </c>
    </row>
    <row r="1552" customFormat="false" ht="15" hidden="false" customHeight="true" outlineLevel="0" collapsed="false">
      <c r="B1552" s="53" t="str">
        <f aca="false">IF(OR(LINEAS!$D$37="",DATOS!$C$22="—",ABS(LINEAS!$AQ$37*DATOS!$C$67)&lt;0.00005),"*",LINEAS!$D$37&amp;" UNI G"&amp;DATOS!$C$22&amp;" "&amp;TEXT(LINEAS!$AQ$37*DATOS!$C$67,DATOS!$C$68))</f>
        <v>*</v>
      </c>
      <c r="C1552" s="51" t="str">
        <f aca="false">IF(LEN($B1552)&gt;79,"MÁS DE 79 CARACTERES","")</f>
        <v/>
      </c>
      <c r="D1552" s="53" t="str">
        <f aca="false">IF(PRESIONES!$C$22="NO","",IF(OR(LINEAS!$D$37="",DATOS!$C$22="—",ABS(LINEAS!$BG$37*DATOS!$C$67)&lt;0.00005),"*",LINEAS!$D$37&amp;" UNI G"&amp;DATOS!$C$22&amp;" "&amp;TEXT(LINEAS!$BG$37*DATOS!$C$67,DATOS!$C$68)))</f>
        <v/>
      </c>
      <c r="E1552" s="51" t="str">
        <f aca="false">IF(LEN($D1552)&gt;79,"MÁS DE 79 CARACTERES","")</f>
        <v/>
      </c>
    </row>
    <row r="1553" customFormat="false" ht="15" hidden="false" customHeight="true" outlineLevel="0" collapsed="false">
      <c r="B1553" s="53" t="str">
        <f aca="false">IF(OR(LINEAS!$D$38="",ABS(-LINEAS!$AI$38*DATOS!$C$67)&lt;0.00005),"*",LINEAS!$D$38&amp;" UNI GY "&amp;TEXT(-LINEAS!$AI$38*DATOS!$C$67,DATOS!$C$68))</f>
        <v>*</v>
      </c>
      <c r="C1553" s="51" t="str">
        <f aca="false">IF(LEN($B1553)&gt;79,"MÁS DE 79 CARACTERES","")</f>
        <v/>
      </c>
      <c r="D1553" s="53" t="str">
        <f aca="false">IF(PRESIONES!$C$22="NO","",IF(OR(LINEAS!$D$38="",ABS(-LINEAS!$AY$38*DATOS!$C$67)&lt;0.00005),"*",LINEAS!$D$38&amp;" UNI GY "&amp;TEXT(-LINEAS!$AY$38*DATOS!$C$67,DATOS!$C$68)))</f>
        <v/>
      </c>
      <c r="E1553" s="51" t="str">
        <f aca="false">IF(LEN($D1553)&gt;79,"MÁS DE 79 CARACTERES","")</f>
        <v/>
      </c>
    </row>
    <row r="1554" customFormat="false" ht="15" hidden="false" customHeight="true" outlineLevel="0" collapsed="false">
      <c r="B1554" s="53" t="str">
        <f aca="false">IF(OR(LINEAS!$D$38="",DATOS!$C$22="—",ABS(LINEAS!$AQ$38*DATOS!$C$67)&lt;0.00005),"*",LINEAS!$D$38&amp;" UNI G"&amp;DATOS!$C$22&amp;" "&amp;TEXT(LINEAS!$AQ$38*DATOS!$C$67,DATOS!$C$68))</f>
        <v>*</v>
      </c>
      <c r="C1554" s="51" t="str">
        <f aca="false">IF(LEN($B1554)&gt;79,"MÁS DE 79 CARACTERES","")</f>
        <v/>
      </c>
      <c r="D1554" s="53" t="str">
        <f aca="false">IF(PRESIONES!$C$22="NO","",IF(OR(LINEAS!$D$38="",DATOS!$C$22="—",ABS(LINEAS!$BG$38*DATOS!$C$67)&lt;0.00005),"*",LINEAS!$D$38&amp;" UNI G"&amp;DATOS!$C$22&amp;" "&amp;TEXT(LINEAS!$BG$38*DATOS!$C$67,DATOS!$C$68)))</f>
        <v/>
      </c>
      <c r="E1554" s="51" t="str">
        <f aca="false">IF(LEN($D1554)&gt;79,"MÁS DE 79 CARACTERES","")</f>
        <v/>
      </c>
    </row>
    <row r="1555" customFormat="false" ht="15" hidden="false" customHeight="true" outlineLevel="0" collapsed="false">
      <c r="B1555" s="53" t="str">
        <f aca="false">IF(OR(LINEAS!$D$45="",LINEAS!$U$45=0,ABS(IF(OR(LINEAS!$U$45=1,LINEAS!$U$45=3),1,-1)*LINEAS!$AI$45*DATOS!$C$67)&lt;0.00005),"*",LINEAS!$D$45&amp;" UNI "&amp;IF(LINEAS!$U$45&lt;=2,"GZ","GX")&amp;" "&amp;TEXT(IF(OR(LINEAS!$U$45=1,LINEAS!$U$45=3),1,-1)*LINEAS!$AI$45*DATOS!$C$67,DATOS!$C$68))</f>
        <v>261 UNI GX -0.8427</v>
      </c>
      <c r="C1555" s="51" t="str">
        <f aca="false">IF(LEN($B1555)&gt;79,"MÁS DE 79 CARACTERES","")</f>
        <v/>
      </c>
      <c r="D1555" s="53" t="str">
        <f aca="false">IF(PRESIONES!$C$22="NO","",IF(OR(LINEAS!$D$45="",LINEAS!$U$45=0,ABS(IF(OR(LINEAS!$U$45=1,LINEAS!$U$45=3),1,-1)*LINEAS!$AI$45*DATOS!$C$67)&lt;0.00005),"*",LINEAS!$D$45&amp;" UNI "&amp;IF(LINEAS!$U$45&lt;=2,"GZ","GX")&amp;" "&amp;TEXT(IF(OR(LINEAS!$U$45=1,LINEAS!$U$45=3),1,-1)*LINEAS!$AI$45*DATOS!$C$67,DATOS!$C$68)))</f>
        <v/>
      </c>
      <c r="E1555" s="51" t="str">
        <f aca="false">IF(LEN($D1555)&gt;79,"MÁS DE 79 CARACTERES","")</f>
        <v/>
      </c>
    </row>
    <row r="1556" customFormat="false" ht="15" hidden="false" customHeight="true" outlineLevel="0" collapsed="false">
      <c r="B1556" s="53" t="str">
        <f aca="false">IF(OR(LINEAS!$D$46="",LINEAS!$U$46=0,ABS(IF(OR(LINEAS!$U$46=1,LINEAS!$U$46=3),1,-1)*LINEAS!$AI$46*DATOS!$C$67)&lt;0.00005),"*",LINEAS!$D$46&amp;" UNI "&amp;IF(LINEAS!$U$46&lt;=2,"GZ","GX")&amp;" "&amp;TEXT(IF(OR(LINEAS!$U$46=1,LINEAS!$U$46=3),1,-1)*LINEAS!$AI$46*DATOS!$C$67,DATOS!$C$68))</f>
        <v>260 UNI GX -0.8427</v>
      </c>
      <c r="C1556" s="51" t="str">
        <f aca="false">IF(LEN($B1556)&gt;79,"MÁS DE 79 CARACTERES","")</f>
        <v/>
      </c>
      <c r="D1556" s="53" t="str">
        <f aca="false">IF(PRESIONES!$C$22="NO","",IF(OR(LINEAS!$D$46="",LINEAS!$U$46=0,ABS(IF(OR(LINEAS!$U$46=1,LINEAS!$U$46=3),1,-1)*LINEAS!$AI$46*DATOS!$C$67)&lt;0.00005),"*",LINEAS!$D$46&amp;" UNI "&amp;IF(LINEAS!$U$46&lt;=2,"GZ","GX")&amp;" "&amp;TEXT(IF(OR(LINEAS!$U$46=1,LINEAS!$U$46=3),1,-1)*LINEAS!$AI$46*DATOS!$C$67,DATOS!$C$68)))</f>
        <v/>
      </c>
      <c r="E1556" s="51" t="str">
        <f aca="false">IF(LEN($D1556)&gt;79,"MÁS DE 79 CARACTERES","")</f>
        <v/>
      </c>
    </row>
    <row r="1557" customFormat="false" ht="15" hidden="false" customHeight="true" outlineLevel="0" collapsed="false">
      <c r="B1557" s="53" t="str">
        <f aca="false">IF(OR(LINEAS!$D$47="",LINEAS!$U$47=0,ABS(IF(OR(LINEAS!$U$47=1,LINEAS!$U$47=3),1,-1)*LINEAS!$AI$47*DATOS!$C$67)&lt;0.00005),"*",LINEAS!$D$47&amp;" UNI "&amp;IF(LINEAS!$U$47&lt;=2,"GZ","GX")&amp;" "&amp;TEXT(IF(OR(LINEAS!$U$47=1,LINEAS!$U$47=3),1,-1)*LINEAS!$AI$47*DATOS!$C$67,DATOS!$C$68))</f>
        <v>259 UNI GX -0.8427</v>
      </c>
      <c r="C1557" s="51" t="str">
        <f aca="false">IF(LEN($B1557)&gt;79,"MÁS DE 79 CARACTERES","")</f>
        <v/>
      </c>
      <c r="D1557" s="53" t="str">
        <f aca="false">IF(PRESIONES!$C$22="NO","",IF(OR(LINEAS!$D$47="",LINEAS!$U$47=0,ABS(IF(OR(LINEAS!$U$47=1,LINEAS!$U$47=3),1,-1)*LINEAS!$AI$47*DATOS!$C$67)&lt;0.00005),"*",LINEAS!$D$47&amp;" UNI "&amp;IF(LINEAS!$U$47&lt;=2,"GZ","GX")&amp;" "&amp;TEXT(IF(OR(LINEAS!$U$47=1,LINEAS!$U$47=3),1,-1)*LINEAS!$AI$47*DATOS!$C$67,DATOS!$C$68)))</f>
        <v/>
      </c>
      <c r="E1557" s="51" t="str">
        <f aca="false">IF(LEN($D1557)&gt;79,"MÁS DE 79 CARACTERES","")</f>
        <v/>
      </c>
    </row>
    <row r="1558" customFormat="false" ht="15" hidden="false" customHeight="true" outlineLevel="0" collapsed="false">
      <c r="B1558" s="53" t="str">
        <f aca="false">IF(OR(LINEAS!$D$48="",LINEAS!$U$48=0,ABS(IF(OR(LINEAS!$U$48=1,LINEAS!$U$48=3),1,-1)*LINEAS!$AI$48*DATOS!$C$67)&lt;0.00005),"*",LINEAS!$D$48&amp;" UNI "&amp;IF(LINEAS!$U$48&lt;=2,"GZ","GX")&amp;" "&amp;TEXT(IF(OR(LINEAS!$U$48=1,LINEAS!$U$48=3),1,-1)*LINEAS!$AI$48*DATOS!$C$67,DATOS!$C$68))</f>
        <v>270 UNI GX -0.8427</v>
      </c>
      <c r="C1558" s="51" t="str">
        <f aca="false">IF(LEN($B1558)&gt;79,"MÁS DE 79 CARACTERES","")</f>
        <v/>
      </c>
      <c r="D1558" s="53" t="str">
        <f aca="false">IF(PRESIONES!$C$22="NO","",IF(OR(LINEAS!$D$48="",LINEAS!$U$48=0,ABS(IF(OR(LINEAS!$U$48=1,LINEAS!$U$48=3),1,-1)*LINEAS!$AI$48*DATOS!$C$67)&lt;0.00005),"*",LINEAS!$D$48&amp;" UNI "&amp;IF(LINEAS!$U$48&lt;=2,"GZ","GX")&amp;" "&amp;TEXT(IF(OR(LINEAS!$U$48=1,LINEAS!$U$48=3),1,-1)*LINEAS!$AI$48*DATOS!$C$67,DATOS!$C$68)))</f>
        <v/>
      </c>
      <c r="E1558" s="51" t="str">
        <f aca="false">IF(LEN($D1558)&gt;79,"MÁS DE 79 CARACTERES","")</f>
        <v/>
      </c>
    </row>
    <row r="1559" customFormat="false" ht="15" hidden="false" customHeight="true" outlineLevel="0" collapsed="false">
      <c r="B1559" s="53" t="str">
        <f aca="false">IF(OR(LINEAS!$D$49="",LINEAS!$U$49=0,ABS(IF(OR(LINEAS!$U$49=1,LINEAS!$U$49=3),1,-1)*LINEAS!$AI$49*DATOS!$C$67)&lt;0.00005),"*",LINEAS!$D$49&amp;" UNI "&amp;IF(LINEAS!$U$49&lt;=2,"GZ","GX")&amp;" "&amp;TEXT(IF(OR(LINEAS!$U$49=1,LINEAS!$U$49=3),1,-1)*LINEAS!$AI$49*DATOS!$C$67,DATOS!$C$68))</f>
        <v>269 UNI GX -0.8427</v>
      </c>
      <c r="C1559" s="51" t="str">
        <f aca="false">IF(LEN($B1559)&gt;79,"MÁS DE 79 CARACTERES","")</f>
        <v/>
      </c>
      <c r="D1559" s="53" t="str">
        <f aca="false">IF(PRESIONES!$C$22="NO","",IF(OR(LINEAS!$D$49="",LINEAS!$U$49=0,ABS(IF(OR(LINEAS!$U$49=1,LINEAS!$U$49=3),1,-1)*LINEAS!$AI$49*DATOS!$C$67)&lt;0.00005),"*",LINEAS!$D$49&amp;" UNI "&amp;IF(LINEAS!$U$49&lt;=2,"GZ","GX")&amp;" "&amp;TEXT(IF(OR(LINEAS!$U$49=1,LINEAS!$U$49=3),1,-1)*LINEAS!$AI$49*DATOS!$C$67,DATOS!$C$68)))</f>
        <v/>
      </c>
      <c r="E1559" s="51" t="str">
        <f aca="false">IF(LEN($D1559)&gt;79,"MÁS DE 79 CARACTERES","")</f>
        <v/>
      </c>
    </row>
    <row r="1560" customFormat="false" ht="15" hidden="false" customHeight="true" outlineLevel="0" collapsed="false">
      <c r="B1560" s="53" t="str">
        <f aca="false">IF(OR(LINEAS!$D$50="",LINEAS!$U$50=0,ABS(IF(OR(LINEAS!$U$50=1,LINEAS!$U$50=3),1,-1)*LINEAS!$AI$50*DATOS!$C$67)&lt;0.00005),"*",LINEAS!$D$50&amp;" UNI "&amp;IF(LINEAS!$U$50&lt;=2,"GZ","GX")&amp;" "&amp;TEXT(IF(OR(LINEAS!$U$50=1,LINEAS!$U$50=3),1,-1)*LINEAS!$AI$50*DATOS!$C$67,DATOS!$C$68))</f>
        <v>268 UNI GX -0.8427</v>
      </c>
      <c r="C1560" s="51" t="str">
        <f aca="false">IF(LEN($B1560)&gt;79,"MÁS DE 79 CARACTERES","")</f>
        <v/>
      </c>
      <c r="D1560" s="53" t="str">
        <f aca="false">IF(PRESIONES!$C$22="NO","",IF(OR(LINEAS!$D$50="",LINEAS!$U$50=0,ABS(IF(OR(LINEAS!$U$50=1,LINEAS!$U$50=3),1,-1)*LINEAS!$AI$50*DATOS!$C$67)&lt;0.00005),"*",LINEAS!$D$50&amp;" UNI "&amp;IF(LINEAS!$U$50&lt;=2,"GZ","GX")&amp;" "&amp;TEXT(IF(OR(LINEAS!$U$50=1,LINEAS!$U$50=3),1,-1)*LINEAS!$AI$50*DATOS!$C$67,DATOS!$C$68)))</f>
        <v/>
      </c>
      <c r="E1560" s="51" t="str">
        <f aca="false">IF(LEN($D1560)&gt;79,"MÁS DE 79 CARACTERES","")</f>
        <v/>
      </c>
    </row>
    <row r="1561" customFormat="false" ht="15" hidden="false" customHeight="true" outlineLevel="0" collapsed="false">
      <c r="B1561" s="53" t="str">
        <f aca="false">IF(OR(LINEAS!$D$51="",LINEAS!$U$51=0,ABS(IF(OR(LINEAS!$U$51=1,LINEAS!$U$51=3),1,-1)*LINEAS!$AI$51*DATOS!$C$67)&lt;0.00005),"*",LINEAS!$D$51&amp;" UNI "&amp;IF(LINEAS!$U$51&lt;=2,"GZ","GX")&amp;" "&amp;TEXT(IF(OR(LINEAS!$U$51=1,LINEAS!$U$51=3),1,-1)*LINEAS!$AI$51*DATOS!$C$67,DATOS!$C$68))</f>
        <v>279 UNI GX -0.8427</v>
      </c>
      <c r="C1561" s="51" t="str">
        <f aca="false">IF(LEN($B1561)&gt;79,"MÁS DE 79 CARACTERES","")</f>
        <v/>
      </c>
      <c r="D1561" s="53" t="str">
        <f aca="false">IF(PRESIONES!$C$22="NO","",IF(OR(LINEAS!$D$51="",LINEAS!$U$51=0,ABS(IF(OR(LINEAS!$U$51=1,LINEAS!$U$51=3),1,-1)*LINEAS!$AI$51*DATOS!$C$67)&lt;0.00005),"*",LINEAS!$D$51&amp;" UNI "&amp;IF(LINEAS!$U$51&lt;=2,"GZ","GX")&amp;" "&amp;TEXT(IF(OR(LINEAS!$U$51=1,LINEAS!$U$51=3),1,-1)*LINEAS!$AI$51*DATOS!$C$67,DATOS!$C$68)))</f>
        <v/>
      </c>
      <c r="E1561" s="51" t="str">
        <f aca="false">IF(LEN($D1561)&gt;79,"MÁS DE 79 CARACTERES","")</f>
        <v/>
      </c>
    </row>
    <row r="1562" customFormat="false" ht="15" hidden="false" customHeight="true" outlineLevel="0" collapsed="false">
      <c r="B1562" s="53" t="str">
        <f aca="false">IF(OR(LINEAS!$D$52="",LINEAS!$U$52=0,ABS(IF(OR(LINEAS!$U$52=1,LINEAS!$U$52=3),1,-1)*LINEAS!$AI$52*DATOS!$C$67)&lt;0.00005),"*",LINEAS!$D$52&amp;" UNI "&amp;IF(LINEAS!$U$52&lt;=2,"GZ","GX")&amp;" "&amp;TEXT(IF(OR(LINEAS!$U$52=1,LINEAS!$U$52=3),1,-1)*LINEAS!$AI$52*DATOS!$C$67,DATOS!$C$68))</f>
        <v>278 UNI GX -0.8427</v>
      </c>
      <c r="C1562" s="51" t="str">
        <f aca="false">IF(LEN($B1562)&gt;79,"MÁS DE 79 CARACTERES","")</f>
        <v/>
      </c>
      <c r="D1562" s="53" t="str">
        <f aca="false">IF(PRESIONES!$C$22="NO","",IF(OR(LINEAS!$D$52="",LINEAS!$U$52=0,ABS(IF(OR(LINEAS!$U$52=1,LINEAS!$U$52=3),1,-1)*LINEAS!$AI$52*DATOS!$C$67)&lt;0.00005),"*",LINEAS!$D$52&amp;" UNI "&amp;IF(LINEAS!$U$52&lt;=2,"GZ","GX")&amp;" "&amp;TEXT(IF(OR(LINEAS!$U$52=1,LINEAS!$U$52=3),1,-1)*LINEAS!$AI$52*DATOS!$C$67,DATOS!$C$68)))</f>
        <v/>
      </c>
      <c r="E1562" s="51" t="str">
        <f aca="false">IF(LEN($D1562)&gt;79,"MÁS DE 79 CARACTERES","")</f>
        <v/>
      </c>
    </row>
    <row r="1563" customFormat="false" ht="15" hidden="false" customHeight="true" outlineLevel="0" collapsed="false">
      <c r="B1563" s="53" t="str">
        <f aca="false">IF(OR(LINEAS!$D$53="",LINEAS!$U$53=0,ABS(IF(OR(LINEAS!$U$53=1,LINEAS!$U$53=3),1,-1)*LINEAS!$AI$53*DATOS!$C$67)&lt;0.00005),"*",LINEAS!$D$53&amp;" UNI "&amp;IF(LINEAS!$U$53&lt;=2,"GZ","GX")&amp;" "&amp;TEXT(IF(OR(LINEAS!$U$53=1,LINEAS!$U$53=3),1,-1)*LINEAS!$AI$53*DATOS!$C$67,DATOS!$C$68))</f>
        <v>277 UNI GX -0.8427</v>
      </c>
      <c r="C1563" s="51" t="str">
        <f aca="false">IF(LEN($B1563)&gt;79,"MÁS DE 79 CARACTERES","")</f>
        <v/>
      </c>
      <c r="D1563" s="53" t="str">
        <f aca="false">IF(PRESIONES!$C$22="NO","",IF(OR(LINEAS!$D$53="",LINEAS!$U$53=0,ABS(IF(OR(LINEAS!$U$53=1,LINEAS!$U$53=3),1,-1)*LINEAS!$AI$53*DATOS!$C$67)&lt;0.00005),"*",LINEAS!$D$53&amp;" UNI "&amp;IF(LINEAS!$U$53&lt;=2,"GZ","GX")&amp;" "&amp;TEXT(IF(OR(LINEAS!$U$53=1,LINEAS!$U$53=3),1,-1)*LINEAS!$AI$53*DATOS!$C$67,DATOS!$C$68)))</f>
        <v/>
      </c>
      <c r="E1563" s="51" t="str">
        <f aca="false">IF(LEN($D1563)&gt;79,"MÁS DE 79 CARACTERES","")</f>
        <v/>
      </c>
    </row>
    <row r="1564" customFormat="false" ht="15" hidden="false" customHeight="true" outlineLevel="0" collapsed="false">
      <c r="B1564" s="53" t="str">
        <f aca="false">IF(OR(LINEAS!$D$54="",LINEAS!$U$54=0,ABS(IF(OR(LINEAS!$U$54=1,LINEAS!$U$54=3),1,-1)*LINEAS!$AI$54*DATOS!$C$67)&lt;0.00005),"*",LINEAS!$D$54&amp;" UNI "&amp;IF(LINEAS!$U$54&lt;=2,"GZ","GX")&amp;" "&amp;TEXT(IF(OR(LINEAS!$U$54=1,LINEAS!$U$54=3),1,-1)*LINEAS!$AI$54*DATOS!$C$67,DATOS!$C$68))</f>
        <v>289 UNI GX -0.8427</v>
      </c>
      <c r="C1564" s="51" t="str">
        <f aca="false">IF(LEN($B1564)&gt;79,"MÁS DE 79 CARACTERES","")</f>
        <v/>
      </c>
      <c r="D1564" s="53" t="str">
        <f aca="false">IF(PRESIONES!$C$22="NO","",IF(OR(LINEAS!$D$54="",LINEAS!$U$54=0,ABS(IF(OR(LINEAS!$U$54=1,LINEAS!$U$54=3),1,-1)*LINEAS!$AI$54*DATOS!$C$67)&lt;0.00005),"*",LINEAS!$D$54&amp;" UNI "&amp;IF(LINEAS!$U$54&lt;=2,"GZ","GX")&amp;" "&amp;TEXT(IF(OR(LINEAS!$U$54=1,LINEAS!$U$54=3),1,-1)*LINEAS!$AI$54*DATOS!$C$67,DATOS!$C$68)))</f>
        <v/>
      </c>
      <c r="E1564" s="51" t="str">
        <f aca="false">IF(LEN($D1564)&gt;79,"MÁS DE 79 CARACTERES","")</f>
        <v/>
      </c>
    </row>
    <row r="1565" customFormat="false" ht="15" hidden="false" customHeight="true" outlineLevel="0" collapsed="false">
      <c r="B1565" s="53" t="str">
        <f aca="false">IF(OR(LINEAS!$D$55="",LINEAS!$U$55=0,ABS(IF(OR(LINEAS!$U$55=1,LINEAS!$U$55=3),1,-1)*LINEAS!$AI$55*DATOS!$C$67)&lt;0.00005),"*",LINEAS!$D$55&amp;" UNI "&amp;IF(LINEAS!$U$55&lt;=2,"GZ","GX")&amp;" "&amp;TEXT(IF(OR(LINEAS!$U$55=1,LINEAS!$U$55=3),1,-1)*LINEAS!$AI$55*DATOS!$C$67,DATOS!$C$68))</f>
        <v>288 UNI GX -0.8427</v>
      </c>
      <c r="C1565" s="51" t="str">
        <f aca="false">IF(LEN($B1565)&gt;79,"MÁS DE 79 CARACTERES","")</f>
        <v/>
      </c>
      <c r="D1565" s="53" t="str">
        <f aca="false">IF(PRESIONES!$C$22="NO","",IF(OR(LINEAS!$D$55="",LINEAS!$U$55=0,ABS(IF(OR(LINEAS!$U$55=1,LINEAS!$U$55=3),1,-1)*LINEAS!$AI$55*DATOS!$C$67)&lt;0.00005),"*",LINEAS!$D$55&amp;" UNI "&amp;IF(LINEAS!$U$55&lt;=2,"GZ","GX")&amp;" "&amp;TEXT(IF(OR(LINEAS!$U$55=1,LINEAS!$U$55=3),1,-1)*LINEAS!$AI$55*DATOS!$C$67,DATOS!$C$68)))</f>
        <v/>
      </c>
      <c r="E1565" s="51" t="str">
        <f aca="false">IF(LEN($D1565)&gt;79,"MÁS DE 79 CARACTERES","")</f>
        <v/>
      </c>
    </row>
    <row r="1566" customFormat="false" ht="15" hidden="false" customHeight="true" outlineLevel="0" collapsed="false">
      <c r="B1566" s="53" t="str">
        <f aca="false">IF(OR(LINEAS!$D$56="",LINEAS!$U$56=0,ABS(IF(OR(LINEAS!$U$56=1,LINEAS!$U$56=3),1,-1)*LINEAS!$AI$56*DATOS!$C$67)&lt;0.00005),"*",LINEAS!$D$56&amp;" UNI "&amp;IF(LINEAS!$U$56&lt;=2,"GZ","GX")&amp;" "&amp;TEXT(IF(OR(LINEAS!$U$56=1,LINEAS!$U$56=3),1,-1)*LINEAS!$AI$56*DATOS!$C$67,DATOS!$C$68))</f>
        <v>287 UNI GX -0.8427</v>
      </c>
      <c r="C1566" s="51" t="str">
        <f aca="false">IF(LEN($B1566)&gt;79,"MÁS DE 79 CARACTERES","")</f>
        <v/>
      </c>
      <c r="D1566" s="53" t="str">
        <f aca="false">IF(PRESIONES!$C$22="NO","",IF(OR(LINEAS!$D$56="",LINEAS!$U$56=0,ABS(IF(OR(LINEAS!$U$56=1,LINEAS!$U$56=3),1,-1)*LINEAS!$AI$56*DATOS!$C$67)&lt;0.00005),"*",LINEAS!$D$56&amp;" UNI "&amp;IF(LINEAS!$U$56&lt;=2,"GZ","GX")&amp;" "&amp;TEXT(IF(OR(LINEAS!$U$56=1,LINEAS!$U$56=3),1,-1)*LINEAS!$AI$56*DATOS!$C$67,DATOS!$C$68)))</f>
        <v/>
      </c>
      <c r="E1566" s="51" t="str">
        <f aca="false">IF(LEN($D1566)&gt;79,"MÁS DE 79 CARACTERES","")</f>
        <v/>
      </c>
    </row>
    <row r="1567" customFormat="false" ht="15" hidden="false" customHeight="true" outlineLevel="0" collapsed="false">
      <c r="B1567" s="53" t="str">
        <f aca="false">IF(OR(LINEAS!$D$57="",LINEAS!$U$57=0,ABS(IF(OR(LINEAS!$U$57=1,LINEAS!$U$57=3),1,-1)*LINEAS!$AI$57*DATOS!$C$67)&lt;0.00005),"*",LINEAS!$D$57&amp;" UNI "&amp;IF(LINEAS!$U$57&lt;=2,"GZ","GX")&amp;" "&amp;TEXT(IF(OR(LINEAS!$U$57=1,LINEAS!$U$57=3),1,-1)*LINEAS!$AI$57*DATOS!$C$67,DATOS!$C$68))</f>
        <v>297 UNI GX -0.8427</v>
      </c>
      <c r="C1567" s="51" t="str">
        <f aca="false">IF(LEN($B1567)&gt;79,"MÁS DE 79 CARACTERES","")</f>
        <v/>
      </c>
      <c r="D1567" s="53" t="str">
        <f aca="false">IF(PRESIONES!$C$22="NO","",IF(OR(LINEAS!$D$57="",LINEAS!$U$57=0,ABS(IF(OR(LINEAS!$U$57=1,LINEAS!$U$57=3),1,-1)*LINEAS!$AI$57*DATOS!$C$67)&lt;0.00005),"*",LINEAS!$D$57&amp;" UNI "&amp;IF(LINEAS!$U$57&lt;=2,"GZ","GX")&amp;" "&amp;TEXT(IF(OR(LINEAS!$U$57=1,LINEAS!$U$57=3),1,-1)*LINEAS!$AI$57*DATOS!$C$67,DATOS!$C$68)))</f>
        <v/>
      </c>
      <c r="E1567" s="51" t="str">
        <f aca="false">IF(LEN($D1567)&gt;79,"MÁS DE 79 CARACTERES","")</f>
        <v/>
      </c>
    </row>
    <row r="1568" customFormat="false" ht="15" hidden="false" customHeight="true" outlineLevel="0" collapsed="false">
      <c r="B1568" s="53" t="str">
        <f aca="false">IF(OR(LINEAS!$D$58="",LINEAS!$U$58=0,ABS(IF(OR(LINEAS!$U$58=1,LINEAS!$U$58=3),1,-1)*LINEAS!$AI$58*DATOS!$C$67)&lt;0.00005),"*",LINEAS!$D$58&amp;" UNI "&amp;IF(LINEAS!$U$58&lt;=2,"GZ","GX")&amp;" "&amp;TEXT(IF(OR(LINEAS!$U$58=1,LINEAS!$U$58=3),1,-1)*LINEAS!$AI$58*DATOS!$C$67,DATOS!$C$68))</f>
        <v>296 UNI GX -0.8427</v>
      </c>
      <c r="C1568" s="51" t="str">
        <f aca="false">IF(LEN($B1568)&gt;79,"MÁS DE 79 CARACTERES","")</f>
        <v/>
      </c>
      <c r="D1568" s="53" t="str">
        <f aca="false">IF(PRESIONES!$C$22="NO","",IF(OR(LINEAS!$D$58="",LINEAS!$U$58=0,ABS(IF(OR(LINEAS!$U$58=1,LINEAS!$U$58=3),1,-1)*LINEAS!$AI$58*DATOS!$C$67)&lt;0.00005),"*",LINEAS!$D$58&amp;" UNI "&amp;IF(LINEAS!$U$58&lt;=2,"GZ","GX")&amp;" "&amp;TEXT(IF(OR(LINEAS!$U$58=1,LINEAS!$U$58=3),1,-1)*LINEAS!$AI$58*DATOS!$C$67,DATOS!$C$68)))</f>
        <v/>
      </c>
      <c r="E1568" s="51" t="str">
        <f aca="false">IF(LEN($D1568)&gt;79,"MÁS DE 79 CARACTERES","")</f>
        <v/>
      </c>
    </row>
    <row r="1569" customFormat="false" ht="15" hidden="false" customHeight="true" outlineLevel="0" collapsed="false">
      <c r="B1569" s="53" t="str">
        <f aca="false">IF(OR(LINEAS!$D$59="",LINEAS!$U$59=0,ABS(IF(OR(LINEAS!$U$59=1,LINEAS!$U$59=3),1,-1)*LINEAS!$AI$59*DATOS!$C$67)&lt;0.00005),"*",LINEAS!$D$59&amp;" UNI "&amp;IF(LINEAS!$U$59&lt;=2,"GZ","GX")&amp;" "&amp;TEXT(IF(OR(LINEAS!$U$59=1,LINEAS!$U$59=3),1,-1)*LINEAS!$AI$59*DATOS!$C$67,DATOS!$C$68))</f>
        <v>295 UNI GX -0.8427</v>
      </c>
      <c r="C1569" s="51" t="str">
        <f aca="false">IF(LEN($B1569)&gt;79,"MÁS DE 79 CARACTERES","")</f>
        <v/>
      </c>
      <c r="D1569" s="53" t="str">
        <f aca="false">IF(PRESIONES!$C$22="NO","",IF(OR(LINEAS!$D$59="",LINEAS!$U$59=0,ABS(IF(OR(LINEAS!$U$59=1,LINEAS!$U$59=3),1,-1)*LINEAS!$AI$59*DATOS!$C$67)&lt;0.00005),"*",LINEAS!$D$59&amp;" UNI "&amp;IF(LINEAS!$U$59&lt;=2,"GZ","GX")&amp;" "&amp;TEXT(IF(OR(LINEAS!$U$59=1,LINEAS!$U$59=3),1,-1)*LINEAS!$AI$59*DATOS!$C$67,DATOS!$C$68)))</f>
        <v/>
      </c>
      <c r="E1569" s="51" t="str">
        <f aca="false">IF(LEN($D1569)&gt;79,"MÁS DE 79 CARACTERES","")</f>
        <v/>
      </c>
    </row>
    <row r="1570" customFormat="false" ht="15" hidden="false" customHeight="true" outlineLevel="0" collapsed="false">
      <c r="B1570" s="53" t="str">
        <f aca="false">IF(OR(LINEAS!$D$60="",LINEAS!$U$60=0,ABS(IF(OR(LINEAS!$U$60=1,LINEAS!$U$60=3),1,-1)*LINEAS!$AI$60*DATOS!$C$67)&lt;0.00005),"*",LINEAS!$D$60&amp;" UNI "&amp;IF(LINEAS!$U$60&lt;=2,"GZ","GX")&amp;" "&amp;TEXT(IF(OR(LINEAS!$U$60=1,LINEAS!$U$60=3),1,-1)*LINEAS!$AI$60*DATOS!$C$67,DATOS!$C$68))</f>
        <v>305 UNI GX -0.8427</v>
      </c>
      <c r="C1570" s="51" t="str">
        <f aca="false">IF(LEN($B1570)&gt;79,"MÁS DE 79 CARACTERES","")</f>
        <v/>
      </c>
      <c r="D1570" s="53" t="str">
        <f aca="false">IF(PRESIONES!$C$22="NO","",IF(OR(LINEAS!$D$60="",LINEAS!$U$60=0,ABS(IF(OR(LINEAS!$U$60=1,LINEAS!$U$60=3),1,-1)*LINEAS!$AI$60*DATOS!$C$67)&lt;0.00005),"*",LINEAS!$D$60&amp;" UNI "&amp;IF(LINEAS!$U$60&lt;=2,"GZ","GX")&amp;" "&amp;TEXT(IF(OR(LINEAS!$U$60=1,LINEAS!$U$60=3),1,-1)*LINEAS!$AI$60*DATOS!$C$67,DATOS!$C$68)))</f>
        <v/>
      </c>
      <c r="E1570" s="51" t="str">
        <f aca="false">IF(LEN($D1570)&gt;79,"MÁS DE 79 CARACTERES","")</f>
        <v/>
      </c>
    </row>
    <row r="1571" customFormat="false" ht="15" hidden="false" customHeight="true" outlineLevel="0" collapsed="false">
      <c r="B1571" s="53" t="str">
        <f aca="false">IF(OR(LINEAS!$D$61="",LINEAS!$U$61=0,ABS(IF(OR(LINEAS!$U$61=1,LINEAS!$U$61=3),1,-1)*LINEAS!$AI$61*DATOS!$C$67)&lt;0.00005),"*",LINEAS!$D$61&amp;" UNI "&amp;IF(LINEAS!$U$61&lt;=2,"GZ","GX")&amp;" "&amp;TEXT(IF(OR(LINEAS!$U$61=1,LINEAS!$U$61=3),1,-1)*LINEAS!$AI$61*DATOS!$C$67,DATOS!$C$68))</f>
        <v>304 UNI GX -0.8427</v>
      </c>
      <c r="C1571" s="51" t="str">
        <f aca="false">IF(LEN($B1571)&gt;79,"MÁS DE 79 CARACTERES","")</f>
        <v/>
      </c>
      <c r="D1571" s="53" t="str">
        <f aca="false">IF(PRESIONES!$C$22="NO","",IF(OR(LINEAS!$D$61="",LINEAS!$U$61=0,ABS(IF(OR(LINEAS!$U$61=1,LINEAS!$U$61=3),1,-1)*LINEAS!$AI$61*DATOS!$C$67)&lt;0.00005),"*",LINEAS!$D$61&amp;" UNI "&amp;IF(LINEAS!$U$61&lt;=2,"GZ","GX")&amp;" "&amp;TEXT(IF(OR(LINEAS!$U$61=1,LINEAS!$U$61=3),1,-1)*LINEAS!$AI$61*DATOS!$C$67,DATOS!$C$68)))</f>
        <v/>
      </c>
      <c r="E1571" s="51" t="str">
        <f aca="false">IF(LEN($D1571)&gt;79,"MÁS DE 79 CARACTERES","")</f>
        <v/>
      </c>
    </row>
    <row r="1572" customFormat="false" ht="15" hidden="false" customHeight="true" outlineLevel="0" collapsed="false">
      <c r="B1572" s="53" t="str">
        <f aca="false">IF(OR(LINEAS!$D$62="",LINEAS!$U$62=0,ABS(IF(OR(LINEAS!$U$62=1,LINEAS!$U$62=3),1,-1)*LINEAS!$AI$62*DATOS!$C$67)&lt;0.00005),"*",LINEAS!$D$62&amp;" UNI "&amp;IF(LINEAS!$U$62&lt;=2,"GZ","GX")&amp;" "&amp;TEXT(IF(OR(LINEAS!$U$62=1,LINEAS!$U$62=3),1,-1)*LINEAS!$AI$62*DATOS!$C$67,DATOS!$C$68))</f>
        <v>303 UNI GX -0.8427</v>
      </c>
      <c r="C1572" s="51" t="str">
        <f aca="false">IF(LEN($B1572)&gt;79,"MÁS DE 79 CARACTERES","")</f>
        <v/>
      </c>
      <c r="D1572" s="53" t="str">
        <f aca="false">IF(PRESIONES!$C$22="NO","",IF(OR(LINEAS!$D$62="",LINEAS!$U$62=0,ABS(IF(OR(LINEAS!$U$62=1,LINEAS!$U$62=3),1,-1)*LINEAS!$AI$62*DATOS!$C$67)&lt;0.00005),"*",LINEAS!$D$62&amp;" UNI "&amp;IF(LINEAS!$U$62&lt;=2,"GZ","GX")&amp;" "&amp;TEXT(IF(OR(LINEAS!$U$62=1,LINEAS!$U$62=3),1,-1)*LINEAS!$AI$62*DATOS!$C$67,DATOS!$C$68)))</f>
        <v/>
      </c>
      <c r="E1572" s="51" t="str">
        <f aca="false">IF(LEN($D1572)&gt;79,"MÁS DE 79 CARACTERES","")</f>
        <v/>
      </c>
    </row>
    <row r="1573" customFormat="false" ht="15" hidden="false" customHeight="true" outlineLevel="0" collapsed="false">
      <c r="B1573" s="53" t="str">
        <f aca="false">IF(OR(LINEAS!$D$63="",LINEAS!$U$63=0,ABS(IF(OR(LINEAS!$U$63=1,LINEAS!$U$63=3),1,-1)*LINEAS!$AI$63*DATOS!$C$67)&lt;0.00005),"*",LINEAS!$D$63&amp;" UNI "&amp;IF(LINEAS!$U$63&lt;=2,"GZ","GX")&amp;" "&amp;TEXT(IF(OR(LINEAS!$U$63=1,LINEAS!$U$63=3),1,-1)*LINEAS!$AI$63*DATOS!$C$67,DATOS!$C$68))</f>
        <v>314 UNI GX -0.8427</v>
      </c>
      <c r="C1573" s="51" t="str">
        <f aca="false">IF(LEN($B1573)&gt;79,"MÁS DE 79 CARACTERES","")</f>
        <v/>
      </c>
      <c r="D1573" s="53" t="str">
        <f aca="false">IF(PRESIONES!$C$22="NO","",IF(OR(LINEAS!$D$63="",LINEAS!$U$63=0,ABS(IF(OR(LINEAS!$U$63=1,LINEAS!$U$63=3),1,-1)*LINEAS!$AI$63*DATOS!$C$67)&lt;0.00005),"*",LINEAS!$D$63&amp;" UNI "&amp;IF(LINEAS!$U$63&lt;=2,"GZ","GX")&amp;" "&amp;TEXT(IF(OR(LINEAS!$U$63=1,LINEAS!$U$63=3),1,-1)*LINEAS!$AI$63*DATOS!$C$67,DATOS!$C$68)))</f>
        <v/>
      </c>
      <c r="E1573" s="51" t="str">
        <f aca="false">IF(LEN($D1573)&gt;79,"MÁS DE 79 CARACTERES","")</f>
        <v/>
      </c>
    </row>
    <row r="1574" customFormat="false" ht="15" hidden="false" customHeight="true" outlineLevel="0" collapsed="false">
      <c r="B1574" s="53" t="str">
        <f aca="false">IF(OR(LINEAS!$D$64="",LINEAS!$U$64=0,ABS(IF(OR(LINEAS!$U$64=1,LINEAS!$U$64=3),1,-1)*LINEAS!$AI$64*DATOS!$C$67)&lt;0.00005),"*",LINEAS!$D$64&amp;" UNI "&amp;IF(LINEAS!$U$64&lt;=2,"GZ","GX")&amp;" "&amp;TEXT(IF(OR(LINEAS!$U$64=1,LINEAS!$U$64=3),1,-1)*LINEAS!$AI$64*DATOS!$C$67,DATOS!$C$68))</f>
        <v>313 UNI GX -0.8427</v>
      </c>
      <c r="C1574" s="51" t="str">
        <f aca="false">IF(LEN($B1574)&gt;79,"MÁS DE 79 CARACTERES","")</f>
        <v/>
      </c>
      <c r="D1574" s="53" t="str">
        <f aca="false">IF(PRESIONES!$C$22="NO","",IF(OR(LINEAS!$D$64="",LINEAS!$U$64=0,ABS(IF(OR(LINEAS!$U$64=1,LINEAS!$U$64=3),1,-1)*LINEAS!$AI$64*DATOS!$C$67)&lt;0.00005),"*",LINEAS!$D$64&amp;" UNI "&amp;IF(LINEAS!$U$64&lt;=2,"GZ","GX")&amp;" "&amp;TEXT(IF(OR(LINEAS!$U$64=1,LINEAS!$U$64=3),1,-1)*LINEAS!$AI$64*DATOS!$C$67,DATOS!$C$68)))</f>
        <v/>
      </c>
      <c r="E1574" s="51" t="str">
        <f aca="false">IF(LEN($D1574)&gt;79,"MÁS DE 79 CARACTERES","")</f>
        <v/>
      </c>
    </row>
    <row r="1575" customFormat="false" ht="15" hidden="false" customHeight="true" outlineLevel="0" collapsed="false">
      <c r="B1575" s="53" t="str">
        <f aca="false">IF(OR(LINEAS!$D$65="",LINEAS!$U$65=0,ABS(IF(OR(LINEAS!$U$65=1,LINEAS!$U$65=3),1,-1)*LINEAS!$AI$65*DATOS!$C$67)&lt;0.00005),"*",LINEAS!$D$65&amp;" UNI "&amp;IF(LINEAS!$U$65&lt;=2,"GZ","GX")&amp;" "&amp;TEXT(IF(OR(LINEAS!$U$65=1,LINEAS!$U$65=3),1,-1)*LINEAS!$AI$65*DATOS!$C$67,DATOS!$C$68))</f>
        <v>312 UNI GX -0.8427</v>
      </c>
      <c r="C1575" s="51" t="str">
        <f aca="false">IF(LEN($B1575)&gt;79,"MÁS DE 79 CARACTERES","")</f>
        <v/>
      </c>
      <c r="D1575" s="53" t="str">
        <f aca="false">IF(PRESIONES!$C$22="NO","",IF(OR(LINEAS!$D$65="",LINEAS!$U$65=0,ABS(IF(OR(LINEAS!$U$65=1,LINEAS!$U$65=3),1,-1)*LINEAS!$AI$65*DATOS!$C$67)&lt;0.00005),"*",LINEAS!$D$65&amp;" UNI "&amp;IF(LINEAS!$U$65&lt;=2,"GZ","GX")&amp;" "&amp;TEXT(IF(OR(LINEAS!$U$65=1,LINEAS!$U$65=3),1,-1)*LINEAS!$AI$65*DATOS!$C$67,DATOS!$C$68)))</f>
        <v/>
      </c>
      <c r="E1575" s="51" t="str">
        <f aca="false">IF(LEN($D1575)&gt;79,"MÁS DE 79 CARACTERES","")</f>
        <v/>
      </c>
    </row>
    <row r="1576" customFormat="false" ht="15" hidden="false" customHeight="true" outlineLevel="0" collapsed="false">
      <c r="B1576" s="53" t="str">
        <f aca="false">IF(OR(LINEAS!$D$66="",LINEAS!$U$66=0,ABS(IF(OR(LINEAS!$U$66=1,LINEAS!$U$66=3),1,-1)*LINEAS!$AI$66*DATOS!$C$67)&lt;0.00005),"*",LINEAS!$D$66&amp;" UNI "&amp;IF(LINEAS!$U$66&lt;=2,"GZ","GX")&amp;" "&amp;TEXT(IF(OR(LINEAS!$U$66=1,LINEAS!$U$66=3),1,-1)*LINEAS!$AI$66*DATOS!$C$67,DATOS!$C$68))</f>
        <v>317 UNI GX -0.7198</v>
      </c>
      <c r="C1576" s="51" t="str">
        <f aca="false">IF(LEN($B1576)&gt;79,"MÁS DE 79 CARACTERES","")</f>
        <v/>
      </c>
      <c r="D1576" s="53" t="str">
        <f aca="false">IF(PRESIONES!$C$22="NO","",IF(OR(LINEAS!$D$66="",LINEAS!$U$66=0,ABS(IF(OR(LINEAS!$U$66=1,LINEAS!$U$66=3),1,-1)*LINEAS!$AI$66*DATOS!$C$67)&lt;0.00005),"*",LINEAS!$D$66&amp;" UNI "&amp;IF(LINEAS!$U$66&lt;=2,"GZ","GX")&amp;" "&amp;TEXT(IF(OR(LINEAS!$U$66=1,LINEAS!$U$66=3),1,-1)*LINEAS!$AI$66*DATOS!$C$67,DATOS!$C$68)))</f>
        <v/>
      </c>
      <c r="E1576" s="51" t="str">
        <f aca="false">IF(LEN($D1576)&gt;79,"MÁS DE 79 CARACTERES","")</f>
        <v/>
      </c>
    </row>
    <row r="1577" customFormat="false" ht="15" hidden="false" customHeight="true" outlineLevel="0" collapsed="false">
      <c r="B1577" s="53" t="str">
        <f aca="false">IF(OR(LINEAS!$D$67="",LINEAS!$U$67=0,ABS(IF(OR(LINEAS!$U$67=1,LINEAS!$U$67=3),1,-1)*LINEAS!$AI$67*DATOS!$C$67)&lt;0.00005),"*",LINEAS!$D$67&amp;" UNI "&amp;IF(LINEAS!$U$67&lt;=2,"GZ","GX")&amp;" "&amp;TEXT(IF(OR(LINEAS!$U$67=1,LINEAS!$U$67=3),1,-1)*LINEAS!$AI$67*DATOS!$C$67,DATOS!$C$68))</f>
        <v>316 UNI GX -0.6004</v>
      </c>
      <c r="C1577" s="51" t="str">
        <f aca="false">IF(LEN($B1577)&gt;79,"MÁS DE 79 CARACTERES","")</f>
        <v/>
      </c>
      <c r="D1577" s="53" t="str">
        <f aca="false">IF(PRESIONES!$C$22="NO","",IF(OR(LINEAS!$D$67="",LINEAS!$U$67=0,ABS(IF(OR(LINEAS!$U$67=1,LINEAS!$U$67=3),1,-1)*LINEAS!$AI$67*DATOS!$C$67)&lt;0.00005),"*",LINEAS!$D$67&amp;" UNI "&amp;IF(LINEAS!$U$67&lt;=2,"GZ","GX")&amp;" "&amp;TEXT(IF(OR(LINEAS!$U$67=1,LINEAS!$U$67=3),1,-1)*LINEAS!$AI$67*DATOS!$C$67,DATOS!$C$68)))</f>
        <v/>
      </c>
      <c r="E1577" s="51" t="str">
        <f aca="false">IF(LEN($D1577)&gt;79,"MÁS DE 79 CARACTERES","")</f>
        <v/>
      </c>
    </row>
    <row r="1578" customFormat="false" ht="15" hidden="false" customHeight="true" outlineLevel="0" collapsed="false">
      <c r="B1578" s="53" t="str">
        <f aca="false">IF(OR(LINEAS!$D$68="",LINEAS!$U$68=0,ABS(IF(OR(LINEAS!$U$68=1,LINEAS!$U$68=3),1,-1)*LINEAS!$AI$68*DATOS!$C$67)&lt;0.00005),"*",LINEAS!$D$68&amp;" UNI "&amp;IF(LINEAS!$U$68&lt;=2,"GZ","GX")&amp;" "&amp;TEXT(IF(OR(LINEAS!$U$68=1,LINEAS!$U$68=3),1,-1)*LINEAS!$AI$68*DATOS!$C$67,DATOS!$C$68))</f>
        <v>315 UNI GX -0.5197</v>
      </c>
      <c r="C1578" s="51" t="str">
        <f aca="false">IF(LEN($B1578)&gt;79,"MÁS DE 79 CARACTERES","")</f>
        <v/>
      </c>
      <c r="D1578" s="53" t="str">
        <f aca="false">IF(PRESIONES!$C$22="NO","",IF(OR(LINEAS!$D$68="",LINEAS!$U$68=0,ABS(IF(OR(LINEAS!$U$68=1,LINEAS!$U$68=3),1,-1)*LINEAS!$AI$68*DATOS!$C$67)&lt;0.00005),"*",LINEAS!$D$68&amp;" UNI "&amp;IF(LINEAS!$U$68&lt;=2,"GZ","GX")&amp;" "&amp;TEXT(IF(OR(LINEAS!$U$68=1,LINEAS!$U$68=3),1,-1)*LINEAS!$AI$68*DATOS!$C$67,DATOS!$C$68)))</f>
        <v/>
      </c>
      <c r="E1578" s="51" t="str">
        <f aca="false">IF(LEN($D1578)&gt;79,"MÁS DE 79 CARACTERES","")</f>
        <v/>
      </c>
    </row>
    <row r="1579" customFormat="false" ht="15" hidden="false" customHeight="true" outlineLevel="0" collapsed="false">
      <c r="B1579" s="53" t="str">
        <f aca="false">IF(OR(LINEAS!$D$69="",LINEAS!$U$69=0,ABS(IF(OR(LINEAS!$U$69=1,LINEAS!$U$69=3),1,-1)*LINEAS!$AI$69*DATOS!$C$67)&lt;0.00005),"*",LINEAS!$D$69&amp;" UNI "&amp;IF(LINEAS!$U$69&lt;=2,"GZ","GX")&amp;" "&amp;TEXT(IF(OR(LINEAS!$U$69=1,LINEAS!$U$69=3),1,-1)*LINEAS!$AI$69*DATOS!$C$67,DATOS!$C$68))</f>
        <v>265 UNI GX 0.8427</v>
      </c>
      <c r="C1579" s="51" t="str">
        <f aca="false">IF(LEN($B1579)&gt;79,"MÁS DE 79 CARACTERES","")</f>
        <v/>
      </c>
      <c r="D1579" s="53" t="str">
        <f aca="false">IF(PRESIONES!$C$22="NO","",IF(OR(LINEAS!$D$69="",LINEAS!$U$69=0,ABS(IF(OR(LINEAS!$U$69=1,LINEAS!$U$69=3),1,-1)*LINEAS!$AI$69*DATOS!$C$67)&lt;0.00005),"*",LINEAS!$D$69&amp;" UNI "&amp;IF(LINEAS!$U$69&lt;=2,"GZ","GX")&amp;" "&amp;TEXT(IF(OR(LINEAS!$U$69=1,LINEAS!$U$69=3),1,-1)*LINEAS!$AI$69*DATOS!$C$67,DATOS!$C$68)))</f>
        <v/>
      </c>
      <c r="E1579" s="51" t="str">
        <f aca="false">IF(LEN($D1579)&gt;79,"MÁS DE 79 CARACTERES","")</f>
        <v/>
      </c>
    </row>
    <row r="1580" customFormat="false" ht="15" hidden="false" customHeight="true" outlineLevel="0" collapsed="false">
      <c r="B1580" s="53" t="str">
        <f aca="false">IF(OR(LINEAS!$D$70="",LINEAS!$U$70=0,ABS(IF(OR(LINEAS!$U$70=1,LINEAS!$U$70=3),1,-1)*LINEAS!$AI$70*DATOS!$C$67)&lt;0.00005),"*",LINEAS!$D$70&amp;" UNI "&amp;IF(LINEAS!$U$70&lt;=2,"GZ","GX")&amp;" "&amp;TEXT(IF(OR(LINEAS!$U$70=1,LINEAS!$U$70=3),1,-1)*LINEAS!$AI$70*DATOS!$C$67,DATOS!$C$68))</f>
        <v>266 UNI GX 0.8427</v>
      </c>
      <c r="C1580" s="51" t="str">
        <f aca="false">IF(LEN($B1580)&gt;79,"MÁS DE 79 CARACTERES","")</f>
        <v/>
      </c>
      <c r="D1580" s="53" t="str">
        <f aca="false">IF(PRESIONES!$C$22="NO","",IF(OR(LINEAS!$D$70="",LINEAS!$U$70=0,ABS(IF(OR(LINEAS!$U$70=1,LINEAS!$U$70=3),1,-1)*LINEAS!$AI$70*DATOS!$C$67)&lt;0.00005),"*",LINEAS!$D$70&amp;" UNI "&amp;IF(LINEAS!$U$70&lt;=2,"GZ","GX")&amp;" "&amp;TEXT(IF(OR(LINEAS!$U$70=1,LINEAS!$U$70=3),1,-1)*LINEAS!$AI$70*DATOS!$C$67,DATOS!$C$68)))</f>
        <v/>
      </c>
      <c r="E1580" s="51" t="str">
        <f aca="false">IF(LEN($D1580)&gt;79,"MÁS DE 79 CARACTERES","")</f>
        <v/>
      </c>
    </row>
    <row r="1581" customFormat="false" ht="15" hidden="false" customHeight="true" outlineLevel="0" collapsed="false">
      <c r="B1581" s="53" t="str">
        <f aca="false">IF(OR(LINEAS!$D$71="",LINEAS!$U$71=0,ABS(IF(OR(LINEAS!$U$71=1,LINEAS!$U$71=3),1,-1)*LINEAS!$AI$71*DATOS!$C$67)&lt;0.00005),"*",LINEAS!$D$71&amp;" UNI "&amp;IF(LINEAS!$U$71&lt;=2,"GZ","GX")&amp;" "&amp;TEXT(IF(OR(LINEAS!$U$71=1,LINEAS!$U$71=3),1,-1)*LINEAS!$AI$71*DATOS!$C$67,DATOS!$C$68))</f>
        <v>267 UNI GX 0.8427</v>
      </c>
      <c r="C1581" s="51" t="str">
        <f aca="false">IF(LEN($B1581)&gt;79,"MÁS DE 79 CARACTERES","")</f>
        <v/>
      </c>
      <c r="D1581" s="53" t="str">
        <f aca="false">IF(PRESIONES!$C$22="NO","",IF(OR(LINEAS!$D$71="",LINEAS!$U$71=0,ABS(IF(OR(LINEAS!$U$71=1,LINEAS!$U$71=3),1,-1)*LINEAS!$AI$71*DATOS!$C$67)&lt;0.00005),"*",LINEAS!$D$71&amp;" UNI "&amp;IF(LINEAS!$U$71&lt;=2,"GZ","GX")&amp;" "&amp;TEXT(IF(OR(LINEAS!$U$71=1,LINEAS!$U$71=3),1,-1)*LINEAS!$AI$71*DATOS!$C$67,DATOS!$C$68)))</f>
        <v/>
      </c>
      <c r="E1581" s="51" t="str">
        <f aca="false">IF(LEN($D1581)&gt;79,"MÁS DE 79 CARACTERES","")</f>
        <v/>
      </c>
    </row>
    <row r="1582" customFormat="false" ht="15" hidden="false" customHeight="true" outlineLevel="0" collapsed="false">
      <c r="B1582" s="53" t="str">
        <f aca="false">IF(OR(LINEAS!$D$72="",LINEAS!$U$72=0,ABS(IF(OR(LINEAS!$U$72=1,LINEAS!$U$72=3),1,-1)*LINEAS!$AI$72*DATOS!$C$67)&lt;0.00005),"*",LINEAS!$D$72&amp;" UNI "&amp;IF(LINEAS!$U$72&lt;=2,"GZ","GX")&amp;" "&amp;TEXT(IF(OR(LINEAS!$U$72=1,LINEAS!$U$72=3),1,-1)*LINEAS!$AI$72*DATOS!$C$67,DATOS!$C$68))</f>
        <v>274 UNI GX 0.8427</v>
      </c>
      <c r="C1582" s="51" t="str">
        <f aca="false">IF(LEN($B1582)&gt;79,"MÁS DE 79 CARACTERES","")</f>
        <v/>
      </c>
      <c r="D1582" s="53" t="str">
        <f aca="false">IF(PRESIONES!$C$22="NO","",IF(OR(LINEAS!$D$72="",LINEAS!$U$72=0,ABS(IF(OR(LINEAS!$U$72=1,LINEAS!$U$72=3),1,-1)*LINEAS!$AI$72*DATOS!$C$67)&lt;0.00005),"*",LINEAS!$D$72&amp;" UNI "&amp;IF(LINEAS!$U$72&lt;=2,"GZ","GX")&amp;" "&amp;TEXT(IF(OR(LINEAS!$U$72=1,LINEAS!$U$72=3),1,-1)*LINEAS!$AI$72*DATOS!$C$67,DATOS!$C$68)))</f>
        <v/>
      </c>
      <c r="E1582" s="51" t="str">
        <f aca="false">IF(LEN($D1582)&gt;79,"MÁS DE 79 CARACTERES","")</f>
        <v/>
      </c>
    </row>
    <row r="1583" customFormat="false" ht="15" hidden="false" customHeight="true" outlineLevel="0" collapsed="false">
      <c r="B1583" s="53" t="str">
        <f aca="false">IF(OR(LINEAS!$D$73="",LINEAS!$U$73=0,ABS(IF(OR(LINEAS!$U$73=1,LINEAS!$U$73=3),1,-1)*LINEAS!$AI$73*DATOS!$C$67)&lt;0.00005),"*",LINEAS!$D$73&amp;" UNI "&amp;IF(LINEAS!$U$73&lt;=2,"GZ","GX")&amp;" "&amp;TEXT(IF(OR(LINEAS!$U$73=1,LINEAS!$U$73=3),1,-1)*LINEAS!$AI$73*DATOS!$C$67,DATOS!$C$68))</f>
        <v>275 UNI GX 0.8427</v>
      </c>
      <c r="C1583" s="51" t="str">
        <f aca="false">IF(LEN($B1583)&gt;79,"MÁS DE 79 CARACTERES","")</f>
        <v/>
      </c>
      <c r="D1583" s="53" t="str">
        <f aca="false">IF(PRESIONES!$C$22="NO","",IF(OR(LINEAS!$D$73="",LINEAS!$U$73=0,ABS(IF(OR(LINEAS!$U$73=1,LINEAS!$U$73=3),1,-1)*LINEAS!$AI$73*DATOS!$C$67)&lt;0.00005),"*",LINEAS!$D$73&amp;" UNI "&amp;IF(LINEAS!$U$73&lt;=2,"GZ","GX")&amp;" "&amp;TEXT(IF(OR(LINEAS!$U$73=1,LINEAS!$U$73=3),1,-1)*LINEAS!$AI$73*DATOS!$C$67,DATOS!$C$68)))</f>
        <v/>
      </c>
      <c r="E1583" s="51" t="str">
        <f aca="false">IF(LEN($D1583)&gt;79,"MÁS DE 79 CARACTERES","")</f>
        <v/>
      </c>
    </row>
    <row r="1584" customFormat="false" ht="15" hidden="false" customHeight="true" outlineLevel="0" collapsed="false">
      <c r="B1584" s="53" t="str">
        <f aca="false">IF(OR(LINEAS!$D$74="",LINEAS!$U$74=0,ABS(IF(OR(LINEAS!$U$74=1,LINEAS!$U$74=3),1,-1)*LINEAS!$AI$74*DATOS!$C$67)&lt;0.00005),"*",LINEAS!$D$74&amp;" UNI "&amp;IF(LINEAS!$U$74&lt;=2,"GZ","GX")&amp;" "&amp;TEXT(IF(OR(LINEAS!$U$74=1,LINEAS!$U$74=3),1,-1)*LINEAS!$AI$74*DATOS!$C$67,DATOS!$C$68))</f>
        <v>276 UNI GX 0.8427</v>
      </c>
      <c r="C1584" s="51" t="str">
        <f aca="false">IF(LEN($B1584)&gt;79,"MÁS DE 79 CARACTERES","")</f>
        <v/>
      </c>
      <c r="D1584" s="53" t="str">
        <f aca="false">IF(PRESIONES!$C$22="NO","",IF(OR(LINEAS!$D$74="",LINEAS!$U$74=0,ABS(IF(OR(LINEAS!$U$74=1,LINEAS!$U$74=3),1,-1)*LINEAS!$AI$74*DATOS!$C$67)&lt;0.00005),"*",LINEAS!$D$74&amp;" UNI "&amp;IF(LINEAS!$U$74&lt;=2,"GZ","GX")&amp;" "&amp;TEXT(IF(OR(LINEAS!$U$74=1,LINEAS!$U$74=3),1,-1)*LINEAS!$AI$74*DATOS!$C$67,DATOS!$C$68)))</f>
        <v/>
      </c>
      <c r="E1584" s="51" t="str">
        <f aca="false">IF(LEN($D1584)&gt;79,"MÁS DE 79 CARACTERES","")</f>
        <v/>
      </c>
    </row>
    <row r="1585" customFormat="false" ht="15" hidden="false" customHeight="true" outlineLevel="0" collapsed="false">
      <c r="B1585" s="53" t="str">
        <f aca="false">IF(OR(LINEAS!$D$75="",LINEAS!$U$75=0,ABS(IF(OR(LINEAS!$U$75=1,LINEAS!$U$75=3),1,-1)*LINEAS!$AI$75*DATOS!$C$67)&lt;0.00005),"*",LINEAS!$D$75&amp;" UNI "&amp;IF(LINEAS!$U$75&lt;=2,"GZ","GX")&amp;" "&amp;TEXT(IF(OR(LINEAS!$U$75=1,LINEAS!$U$75=3),1,-1)*LINEAS!$AI$75*DATOS!$C$67,DATOS!$C$68))</f>
        <v>283 UNI GX 0.8427</v>
      </c>
      <c r="C1585" s="51" t="str">
        <f aca="false">IF(LEN($B1585)&gt;79,"MÁS DE 79 CARACTERES","")</f>
        <v/>
      </c>
      <c r="D1585" s="53" t="str">
        <f aca="false">IF(PRESIONES!$C$22="NO","",IF(OR(LINEAS!$D$75="",LINEAS!$U$75=0,ABS(IF(OR(LINEAS!$U$75=1,LINEAS!$U$75=3),1,-1)*LINEAS!$AI$75*DATOS!$C$67)&lt;0.00005),"*",LINEAS!$D$75&amp;" UNI "&amp;IF(LINEAS!$U$75&lt;=2,"GZ","GX")&amp;" "&amp;TEXT(IF(OR(LINEAS!$U$75=1,LINEAS!$U$75=3),1,-1)*LINEAS!$AI$75*DATOS!$C$67,DATOS!$C$68)))</f>
        <v/>
      </c>
      <c r="E1585" s="51" t="str">
        <f aca="false">IF(LEN($D1585)&gt;79,"MÁS DE 79 CARACTERES","")</f>
        <v/>
      </c>
    </row>
    <row r="1586" customFormat="false" ht="15" hidden="false" customHeight="true" outlineLevel="0" collapsed="false">
      <c r="B1586" s="53" t="str">
        <f aca="false">IF(OR(LINEAS!$D$76="",LINEAS!$U$76=0,ABS(IF(OR(LINEAS!$U$76=1,LINEAS!$U$76=3),1,-1)*LINEAS!$AI$76*DATOS!$C$67)&lt;0.00005),"*",LINEAS!$D$76&amp;" UNI "&amp;IF(LINEAS!$U$76&lt;=2,"GZ","GX")&amp;" "&amp;TEXT(IF(OR(LINEAS!$U$76=1,LINEAS!$U$76=3),1,-1)*LINEAS!$AI$76*DATOS!$C$67,DATOS!$C$68))</f>
        <v>284 UNI GX 0.8427</v>
      </c>
      <c r="C1586" s="51" t="str">
        <f aca="false">IF(LEN($B1586)&gt;79,"MÁS DE 79 CARACTERES","")</f>
        <v/>
      </c>
      <c r="D1586" s="53" t="str">
        <f aca="false">IF(PRESIONES!$C$22="NO","",IF(OR(LINEAS!$D$76="",LINEAS!$U$76=0,ABS(IF(OR(LINEAS!$U$76=1,LINEAS!$U$76=3),1,-1)*LINEAS!$AI$76*DATOS!$C$67)&lt;0.00005),"*",LINEAS!$D$76&amp;" UNI "&amp;IF(LINEAS!$U$76&lt;=2,"GZ","GX")&amp;" "&amp;TEXT(IF(OR(LINEAS!$U$76=1,LINEAS!$U$76=3),1,-1)*LINEAS!$AI$76*DATOS!$C$67,DATOS!$C$68)))</f>
        <v/>
      </c>
      <c r="E1586" s="51" t="str">
        <f aca="false">IF(LEN($D1586)&gt;79,"MÁS DE 79 CARACTERES","")</f>
        <v/>
      </c>
    </row>
    <row r="1587" customFormat="false" ht="15" hidden="false" customHeight="true" outlineLevel="0" collapsed="false">
      <c r="B1587" s="53" t="str">
        <f aca="false">IF(OR(LINEAS!$D$77="",LINEAS!$U$77=0,ABS(IF(OR(LINEAS!$U$77=1,LINEAS!$U$77=3),1,-1)*LINEAS!$AI$77*DATOS!$C$67)&lt;0.00005),"*",LINEAS!$D$77&amp;" UNI "&amp;IF(LINEAS!$U$77&lt;=2,"GZ","GX")&amp;" "&amp;TEXT(IF(OR(LINEAS!$U$77=1,LINEAS!$U$77=3),1,-1)*LINEAS!$AI$77*DATOS!$C$67,DATOS!$C$68))</f>
        <v>285 UNI GX 0.8427</v>
      </c>
      <c r="C1587" s="51" t="str">
        <f aca="false">IF(LEN($B1587)&gt;79,"MÁS DE 79 CARACTERES","")</f>
        <v/>
      </c>
      <c r="D1587" s="53" t="str">
        <f aca="false">IF(PRESIONES!$C$22="NO","",IF(OR(LINEAS!$D$77="",LINEAS!$U$77=0,ABS(IF(OR(LINEAS!$U$77=1,LINEAS!$U$77=3),1,-1)*LINEAS!$AI$77*DATOS!$C$67)&lt;0.00005),"*",LINEAS!$D$77&amp;" UNI "&amp;IF(LINEAS!$U$77&lt;=2,"GZ","GX")&amp;" "&amp;TEXT(IF(OR(LINEAS!$U$77=1,LINEAS!$U$77=3),1,-1)*LINEAS!$AI$77*DATOS!$C$67,DATOS!$C$68)))</f>
        <v/>
      </c>
      <c r="E1587" s="51" t="str">
        <f aca="false">IF(LEN($D1587)&gt;79,"MÁS DE 79 CARACTERES","")</f>
        <v/>
      </c>
    </row>
    <row r="1588" customFormat="false" ht="15" hidden="false" customHeight="true" outlineLevel="0" collapsed="false">
      <c r="B1588" s="53" t="str">
        <f aca="false">IF(OR(LINEAS!$D$78="",LINEAS!$U$78=0,ABS(IF(OR(LINEAS!$U$78=1,LINEAS!$U$78=3),1,-1)*LINEAS!$AI$78*DATOS!$C$67)&lt;0.00005),"*",LINEAS!$D$78&amp;" UNI "&amp;IF(LINEAS!$U$78&lt;=2,"GZ","GX")&amp;" "&amp;TEXT(IF(OR(LINEAS!$U$78=1,LINEAS!$U$78=3),1,-1)*LINEAS!$AI$78*DATOS!$C$67,DATOS!$C$68))</f>
        <v>292 UNI GX 0.8427</v>
      </c>
      <c r="C1588" s="51" t="str">
        <f aca="false">IF(LEN($B1588)&gt;79,"MÁS DE 79 CARACTERES","")</f>
        <v/>
      </c>
      <c r="D1588" s="53" t="str">
        <f aca="false">IF(PRESIONES!$C$22="NO","",IF(OR(LINEAS!$D$78="",LINEAS!$U$78=0,ABS(IF(OR(LINEAS!$U$78=1,LINEAS!$U$78=3),1,-1)*LINEAS!$AI$78*DATOS!$C$67)&lt;0.00005),"*",LINEAS!$D$78&amp;" UNI "&amp;IF(LINEAS!$U$78&lt;=2,"GZ","GX")&amp;" "&amp;TEXT(IF(OR(LINEAS!$U$78=1,LINEAS!$U$78=3),1,-1)*LINEAS!$AI$78*DATOS!$C$67,DATOS!$C$68)))</f>
        <v/>
      </c>
      <c r="E1588" s="51" t="str">
        <f aca="false">IF(LEN($D1588)&gt;79,"MÁS DE 79 CARACTERES","")</f>
        <v/>
      </c>
    </row>
    <row r="1589" customFormat="false" ht="15" hidden="false" customHeight="true" outlineLevel="0" collapsed="false">
      <c r="B1589" s="53" t="str">
        <f aca="false">IF(OR(LINEAS!$D$79="",LINEAS!$U$79=0,ABS(IF(OR(LINEAS!$U$79=1,LINEAS!$U$79=3),1,-1)*LINEAS!$AI$79*DATOS!$C$67)&lt;0.00005),"*",LINEAS!$D$79&amp;" UNI "&amp;IF(LINEAS!$U$79&lt;=2,"GZ","GX")&amp;" "&amp;TEXT(IF(OR(LINEAS!$U$79=1,LINEAS!$U$79=3),1,-1)*LINEAS!$AI$79*DATOS!$C$67,DATOS!$C$68))</f>
        <v>293 UNI GX 0.8427</v>
      </c>
      <c r="C1589" s="51" t="str">
        <f aca="false">IF(LEN($B1589)&gt;79,"MÁS DE 79 CARACTERES","")</f>
        <v/>
      </c>
      <c r="D1589" s="53" t="str">
        <f aca="false">IF(PRESIONES!$C$22="NO","",IF(OR(LINEAS!$D$79="",LINEAS!$U$79=0,ABS(IF(OR(LINEAS!$U$79=1,LINEAS!$U$79=3),1,-1)*LINEAS!$AI$79*DATOS!$C$67)&lt;0.00005),"*",LINEAS!$D$79&amp;" UNI "&amp;IF(LINEAS!$U$79&lt;=2,"GZ","GX")&amp;" "&amp;TEXT(IF(OR(LINEAS!$U$79=1,LINEAS!$U$79=3),1,-1)*LINEAS!$AI$79*DATOS!$C$67,DATOS!$C$68)))</f>
        <v/>
      </c>
      <c r="E1589" s="51" t="str">
        <f aca="false">IF(LEN($D1589)&gt;79,"MÁS DE 79 CARACTERES","")</f>
        <v/>
      </c>
    </row>
    <row r="1590" customFormat="false" ht="15" hidden="false" customHeight="true" outlineLevel="0" collapsed="false">
      <c r="B1590" s="53" t="str">
        <f aca="false">IF(OR(LINEAS!$D$80="",LINEAS!$U$80=0,ABS(IF(OR(LINEAS!$U$80=1,LINEAS!$U$80=3),1,-1)*LINEAS!$AI$80*DATOS!$C$67)&lt;0.00005),"*",LINEAS!$D$80&amp;" UNI "&amp;IF(LINEAS!$U$80&lt;=2,"GZ","GX")&amp;" "&amp;TEXT(IF(OR(LINEAS!$U$80=1,LINEAS!$U$80=3),1,-1)*LINEAS!$AI$80*DATOS!$C$67,DATOS!$C$68))</f>
        <v>294 UNI GX 0.8427</v>
      </c>
      <c r="C1590" s="51" t="str">
        <f aca="false">IF(LEN($B1590)&gt;79,"MÁS DE 79 CARACTERES","")</f>
        <v/>
      </c>
      <c r="D1590" s="53" t="str">
        <f aca="false">IF(PRESIONES!$C$22="NO","",IF(OR(LINEAS!$D$80="",LINEAS!$U$80=0,ABS(IF(OR(LINEAS!$U$80=1,LINEAS!$U$80=3),1,-1)*LINEAS!$AI$80*DATOS!$C$67)&lt;0.00005),"*",LINEAS!$D$80&amp;" UNI "&amp;IF(LINEAS!$U$80&lt;=2,"GZ","GX")&amp;" "&amp;TEXT(IF(OR(LINEAS!$U$80=1,LINEAS!$U$80=3),1,-1)*LINEAS!$AI$80*DATOS!$C$67,DATOS!$C$68)))</f>
        <v/>
      </c>
      <c r="E1590" s="51" t="str">
        <f aca="false">IF(LEN($D1590)&gt;79,"MÁS DE 79 CARACTERES","")</f>
        <v/>
      </c>
    </row>
    <row r="1591" customFormat="false" ht="15" hidden="false" customHeight="true" outlineLevel="0" collapsed="false">
      <c r="B1591" s="53" t="str">
        <f aca="false">IF(OR(LINEAS!$D$81="",LINEAS!$U$81=0,ABS(IF(OR(LINEAS!$U$81=1,LINEAS!$U$81=3),1,-1)*LINEAS!$AI$81*DATOS!$C$67)&lt;0.00005),"*",LINEAS!$D$81&amp;" UNI "&amp;IF(LINEAS!$U$81&lt;=2,"GZ","GX")&amp;" "&amp;TEXT(IF(OR(LINEAS!$U$81=1,LINEAS!$U$81=3),1,-1)*LINEAS!$AI$81*DATOS!$C$67,DATOS!$C$68))</f>
        <v>300 UNI GX 0.8427</v>
      </c>
      <c r="C1591" s="51" t="str">
        <f aca="false">IF(LEN($B1591)&gt;79,"MÁS DE 79 CARACTERES","")</f>
        <v/>
      </c>
      <c r="D1591" s="53" t="str">
        <f aca="false">IF(PRESIONES!$C$22="NO","",IF(OR(LINEAS!$D$81="",LINEAS!$U$81=0,ABS(IF(OR(LINEAS!$U$81=1,LINEAS!$U$81=3),1,-1)*LINEAS!$AI$81*DATOS!$C$67)&lt;0.00005),"*",LINEAS!$D$81&amp;" UNI "&amp;IF(LINEAS!$U$81&lt;=2,"GZ","GX")&amp;" "&amp;TEXT(IF(OR(LINEAS!$U$81=1,LINEAS!$U$81=3),1,-1)*LINEAS!$AI$81*DATOS!$C$67,DATOS!$C$68)))</f>
        <v/>
      </c>
      <c r="E1591" s="51" t="str">
        <f aca="false">IF(LEN($D1591)&gt;79,"MÁS DE 79 CARACTERES","")</f>
        <v/>
      </c>
    </row>
    <row r="1592" customFormat="false" ht="15" hidden="false" customHeight="true" outlineLevel="0" collapsed="false">
      <c r="B1592" s="53" t="str">
        <f aca="false">IF(OR(LINEAS!$D$82="",LINEAS!$U$82=0,ABS(IF(OR(LINEAS!$U$82=1,LINEAS!$U$82=3),1,-1)*LINEAS!$AI$82*DATOS!$C$67)&lt;0.00005),"*",LINEAS!$D$82&amp;" UNI "&amp;IF(LINEAS!$U$82&lt;=2,"GZ","GX")&amp;" "&amp;TEXT(IF(OR(LINEAS!$U$82=1,LINEAS!$U$82=3),1,-1)*LINEAS!$AI$82*DATOS!$C$67,DATOS!$C$68))</f>
        <v>301 UNI GX 0.8427</v>
      </c>
      <c r="C1592" s="51" t="str">
        <f aca="false">IF(LEN($B1592)&gt;79,"MÁS DE 79 CARACTERES","")</f>
        <v/>
      </c>
      <c r="D1592" s="53" t="str">
        <f aca="false">IF(PRESIONES!$C$22="NO","",IF(OR(LINEAS!$D$82="",LINEAS!$U$82=0,ABS(IF(OR(LINEAS!$U$82=1,LINEAS!$U$82=3),1,-1)*LINEAS!$AI$82*DATOS!$C$67)&lt;0.00005),"*",LINEAS!$D$82&amp;" UNI "&amp;IF(LINEAS!$U$82&lt;=2,"GZ","GX")&amp;" "&amp;TEXT(IF(OR(LINEAS!$U$82=1,LINEAS!$U$82=3),1,-1)*LINEAS!$AI$82*DATOS!$C$67,DATOS!$C$68)))</f>
        <v/>
      </c>
      <c r="E1592" s="51" t="str">
        <f aca="false">IF(LEN($D1592)&gt;79,"MÁS DE 79 CARACTERES","")</f>
        <v/>
      </c>
    </row>
    <row r="1593" customFormat="false" ht="15" hidden="false" customHeight="true" outlineLevel="0" collapsed="false">
      <c r="B1593" s="53" t="str">
        <f aca="false">IF(OR(LINEAS!$D$83="",LINEAS!$U$83=0,ABS(IF(OR(LINEAS!$U$83=1,LINEAS!$U$83=3),1,-1)*LINEAS!$AI$83*DATOS!$C$67)&lt;0.00005),"*",LINEAS!$D$83&amp;" UNI "&amp;IF(LINEAS!$U$83&lt;=2,"GZ","GX")&amp;" "&amp;TEXT(IF(OR(LINEAS!$U$83=1,LINEAS!$U$83=3),1,-1)*LINEAS!$AI$83*DATOS!$C$67,DATOS!$C$68))</f>
        <v>302 UNI GX 0.8427</v>
      </c>
      <c r="C1593" s="51" t="str">
        <f aca="false">IF(LEN($B1593)&gt;79,"MÁS DE 79 CARACTERES","")</f>
        <v/>
      </c>
      <c r="D1593" s="53" t="str">
        <f aca="false">IF(PRESIONES!$C$22="NO","",IF(OR(LINEAS!$D$83="",LINEAS!$U$83=0,ABS(IF(OR(LINEAS!$U$83=1,LINEAS!$U$83=3),1,-1)*LINEAS!$AI$83*DATOS!$C$67)&lt;0.00005),"*",LINEAS!$D$83&amp;" UNI "&amp;IF(LINEAS!$U$83&lt;=2,"GZ","GX")&amp;" "&amp;TEXT(IF(OR(LINEAS!$U$83=1,LINEAS!$U$83=3),1,-1)*LINEAS!$AI$83*DATOS!$C$67,DATOS!$C$68)))</f>
        <v/>
      </c>
      <c r="E1593" s="51" t="str">
        <f aca="false">IF(LEN($D1593)&gt;79,"MÁS DE 79 CARACTERES","")</f>
        <v/>
      </c>
    </row>
    <row r="1594" customFormat="false" ht="15" hidden="false" customHeight="true" outlineLevel="0" collapsed="false">
      <c r="B1594" s="53" t="str">
        <f aca="false">IF(OR(LINEAS!$D$84="",LINEAS!$U$84=0,ABS(IF(OR(LINEAS!$U$84=1,LINEAS!$U$84=3),1,-1)*LINEAS!$AI$84*DATOS!$C$67)&lt;0.00005),"*",LINEAS!$D$84&amp;" UNI "&amp;IF(LINEAS!$U$84&lt;=2,"GZ","GX")&amp;" "&amp;TEXT(IF(OR(LINEAS!$U$84=1,LINEAS!$U$84=3),1,-1)*LINEAS!$AI$84*DATOS!$C$67,DATOS!$C$68))</f>
        <v>307 UNI GX 0.8427</v>
      </c>
      <c r="C1594" s="51" t="str">
        <f aca="false">IF(LEN($B1594)&gt;79,"MÁS DE 79 CARACTERES","")</f>
        <v/>
      </c>
      <c r="D1594" s="53" t="str">
        <f aca="false">IF(PRESIONES!$C$22="NO","",IF(OR(LINEAS!$D$84="",LINEAS!$U$84=0,ABS(IF(OR(LINEAS!$U$84=1,LINEAS!$U$84=3),1,-1)*LINEAS!$AI$84*DATOS!$C$67)&lt;0.00005),"*",LINEAS!$D$84&amp;" UNI "&amp;IF(LINEAS!$U$84&lt;=2,"GZ","GX")&amp;" "&amp;TEXT(IF(OR(LINEAS!$U$84=1,LINEAS!$U$84=3),1,-1)*LINEAS!$AI$84*DATOS!$C$67,DATOS!$C$68)))</f>
        <v/>
      </c>
      <c r="E1594" s="51" t="str">
        <f aca="false">IF(LEN($D1594)&gt;79,"MÁS DE 79 CARACTERES","")</f>
        <v/>
      </c>
    </row>
    <row r="1595" customFormat="false" ht="15" hidden="false" customHeight="true" outlineLevel="0" collapsed="false">
      <c r="B1595" s="53" t="str">
        <f aca="false">IF(OR(LINEAS!$D$85="",LINEAS!$U$85=0,ABS(IF(OR(LINEAS!$U$85=1,LINEAS!$U$85=3),1,-1)*LINEAS!$AI$85*DATOS!$C$67)&lt;0.00005),"*",LINEAS!$D$85&amp;" UNI "&amp;IF(LINEAS!$U$85&lt;=2,"GZ","GX")&amp;" "&amp;TEXT(IF(OR(LINEAS!$U$85=1,LINEAS!$U$85=3),1,-1)*LINEAS!$AI$85*DATOS!$C$67,DATOS!$C$68))</f>
        <v>308 UNI GX 0.8427</v>
      </c>
      <c r="C1595" s="51" t="str">
        <f aca="false">IF(LEN($B1595)&gt;79,"MÁS DE 79 CARACTERES","")</f>
        <v/>
      </c>
      <c r="D1595" s="53" t="str">
        <f aca="false">IF(PRESIONES!$C$22="NO","",IF(OR(LINEAS!$D$85="",LINEAS!$U$85=0,ABS(IF(OR(LINEAS!$U$85=1,LINEAS!$U$85=3),1,-1)*LINEAS!$AI$85*DATOS!$C$67)&lt;0.00005),"*",LINEAS!$D$85&amp;" UNI "&amp;IF(LINEAS!$U$85&lt;=2,"GZ","GX")&amp;" "&amp;TEXT(IF(OR(LINEAS!$U$85=1,LINEAS!$U$85=3),1,-1)*LINEAS!$AI$85*DATOS!$C$67,DATOS!$C$68)))</f>
        <v/>
      </c>
      <c r="E1595" s="51" t="str">
        <f aca="false">IF(LEN($D1595)&gt;79,"MÁS DE 79 CARACTERES","")</f>
        <v/>
      </c>
    </row>
    <row r="1596" customFormat="false" ht="15" hidden="false" customHeight="true" outlineLevel="0" collapsed="false">
      <c r="B1596" s="53" t="str">
        <f aca="false">IF(OR(LINEAS!$D$86="",LINEAS!$U$86=0,ABS(IF(OR(LINEAS!$U$86=1,LINEAS!$U$86=3),1,-1)*LINEAS!$AI$86*DATOS!$C$67)&lt;0.00005),"*",LINEAS!$D$86&amp;" UNI "&amp;IF(LINEAS!$U$86&lt;=2,"GZ","GX")&amp;" "&amp;TEXT(IF(OR(LINEAS!$U$86=1,LINEAS!$U$86=3),1,-1)*LINEAS!$AI$86*DATOS!$C$67,DATOS!$C$68))</f>
        <v>309 UNI GX 0.8427</v>
      </c>
      <c r="C1596" s="51" t="str">
        <f aca="false">IF(LEN($B1596)&gt;79,"MÁS DE 79 CARACTERES","")</f>
        <v/>
      </c>
      <c r="D1596" s="53" t="str">
        <f aca="false">IF(PRESIONES!$C$22="NO","",IF(OR(LINEAS!$D$86="",LINEAS!$U$86=0,ABS(IF(OR(LINEAS!$U$86=1,LINEAS!$U$86=3),1,-1)*LINEAS!$AI$86*DATOS!$C$67)&lt;0.00005),"*",LINEAS!$D$86&amp;" UNI "&amp;IF(LINEAS!$U$86&lt;=2,"GZ","GX")&amp;" "&amp;TEXT(IF(OR(LINEAS!$U$86=1,LINEAS!$U$86=3),1,-1)*LINEAS!$AI$86*DATOS!$C$67,DATOS!$C$68)))</f>
        <v/>
      </c>
      <c r="E1596" s="51" t="str">
        <f aca="false">IF(LEN($D1596)&gt;79,"MÁS DE 79 CARACTERES","")</f>
        <v/>
      </c>
    </row>
    <row r="1597" customFormat="false" ht="15" hidden="false" customHeight="true" outlineLevel="0" collapsed="false">
      <c r="B1597" s="53" t="str">
        <f aca="false">IF(OR(LINEAS!$D$87="",LINEAS!$U$87=0,ABS(IF(OR(LINEAS!$U$87=1,LINEAS!$U$87=3),1,-1)*LINEAS!$AI$87*DATOS!$C$67)&lt;0.00005),"*",LINEAS!$D$87&amp;" UNI "&amp;IF(LINEAS!$U$87&lt;=2,"GZ","GX")&amp;" "&amp;TEXT(IF(OR(LINEAS!$U$87=1,LINEAS!$U$87=3),1,-1)*LINEAS!$AI$87*DATOS!$C$67,DATOS!$C$68))</f>
        <v>318 UNI GX 0.8427</v>
      </c>
      <c r="C1597" s="51" t="str">
        <f aca="false">IF(LEN($B1597)&gt;79,"MÁS DE 79 CARACTERES","")</f>
        <v/>
      </c>
      <c r="D1597" s="53" t="str">
        <f aca="false">IF(PRESIONES!$C$22="NO","",IF(OR(LINEAS!$D$87="",LINEAS!$U$87=0,ABS(IF(OR(LINEAS!$U$87=1,LINEAS!$U$87=3),1,-1)*LINEAS!$AI$87*DATOS!$C$67)&lt;0.00005),"*",LINEAS!$D$87&amp;" UNI "&amp;IF(LINEAS!$U$87&lt;=2,"GZ","GX")&amp;" "&amp;TEXT(IF(OR(LINEAS!$U$87=1,LINEAS!$U$87=3),1,-1)*LINEAS!$AI$87*DATOS!$C$67,DATOS!$C$68)))</f>
        <v/>
      </c>
      <c r="E1597" s="51" t="str">
        <f aca="false">IF(LEN($D1597)&gt;79,"MÁS DE 79 CARACTERES","")</f>
        <v/>
      </c>
    </row>
    <row r="1598" customFormat="false" ht="15" hidden="false" customHeight="true" outlineLevel="0" collapsed="false">
      <c r="B1598" s="53" t="str">
        <f aca="false">IF(OR(LINEAS!$D$88="",LINEAS!$U$88=0,ABS(IF(OR(LINEAS!$U$88=1,LINEAS!$U$88=3),1,-1)*LINEAS!$AI$88*DATOS!$C$67)&lt;0.00005),"*",LINEAS!$D$88&amp;" UNI "&amp;IF(LINEAS!$U$88&lt;=2,"GZ","GX")&amp;" "&amp;TEXT(IF(OR(LINEAS!$U$88=1,LINEAS!$U$88=3),1,-1)*LINEAS!$AI$88*DATOS!$C$67,DATOS!$C$68))</f>
        <v>311 UNI GX 0.8427</v>
      </c>
      <c r="C1598" s="51" t="str">
        <f aca="false">IF(LEN($B1598)&gt;79,"MÁS DE 79 CARACTERES","")</f>
        <v/>
      </c>
      <c r="D1598" s="53" t="str">
        <f aca="false">IF(PRESIONES!$C$22="NO","",IF(OR(LINEAS!$D$88="",LINEAS!$U$88=0,ABS(IF(OR(LINEAS!$U$88=1,LINEAS!$U$88=3),1,-1)*LINEAS!$AI$88*DATOS!$C$67)&lt;0.00005),"*",LINEAS!$D$88&amp;" UNI "&amp;IF(LINEAS!$U$88&lt;=2,"GZ","GX")&amp;" "&amp;TEXT(IF(OR(LINEAS!$U$88=1,LINEAS!$U$88=3),1,-1)*LINEAS!$AI$88*DATOS!$C$67,DATOS!$C$68)))</f>
        <v/>
      </c>
      <c r="E1598" s="51" t="str">
        <f aca="false">IF(LEN($D1598)&gt;79,"MÁS DE 79 CARACTERES","")</f>
        <v/>
      </c>
    </row>
    <row r="1599" customFormat="false" ht="15" hidden="false" customHeight="true" outlineLevel="0" collapsed="false">
      <c r="B1599" s="53" t="str">
        <f aca="false">IF(OR(LINEAS!$D$89="",LINEAS!$U$89=0,ABS(IF(OR(LINEAS!$U$89=1,LINEAS!$U$89=3),1,-1)*LINEAS!$AI$89*DATOS!$C$67)&lt;0.00005),"*",LINEAS!$D$89&amp;" UNI "&amp;IF(LINEAS!$U$89&lt;=2,"GZ","GX")&amp;" "&amp;TEXT(IF(OR(LINEAS!$U$89=1,LINEAS!$U$89=3),1,-1)*LINEAS!$AI$89*DATOS!$C$67,DATOS!$C$68))</f>
        <v>310 UNI GX 0.8427</v>
      </c>
      <c r="C1599" s="51" t="str">
        <f aca="false">IF(LEN($B1599)&gt;79,"MÁS DE 79 CARACTERES","")</f>
        <v/>
      </c>
      <c r="D1599" s="53" t="str">
        <f aca="false">IF(PRESIONES!$C$22="NO","",IF(OR(LINEAS!$D$89="",LINEAS!$U$89=0,ABS(IF(OR(LINEAS!$U$89=1,LINEAS!$U$89=3),1,-1)*LINEAS!$AI$89*DATOS!$C$67)&lt;0.00005),"*",LINEAS!$D$89&amp;" UNI "&amp;IF(LINEAS!$U$89&lt;=2,"GZ","GX")&amp;" "&amp;TEXT(IF(OR(LINEAS!$U$89=1,LINEAS!$U$89=3),1,-1)*LINEAS!$AI$89*DATOS!$C$67,DATOS!$C$68)))</f>
        <v/>
      </c>
      <c r="E1599" s="51" t="str">
        <f aca="false">IF(LEN($D1599)&gt;79,"MÁS DE 79 CARACTERES","")</f>
        <v/>
      </c>
    </row>
    <row r="1600" customFormat="false" ht="15" hidden="false" customHeight="true" outlineLevel="0" collapsed="false">
      <c r="B1600" s="53" t="str">
        <f aca="false">IF(OR(LINEAS!$D$90="",LINEAS!$U$90=0,ABS(IF(OR(LINEAS!$U$90=1,LINEAS!$U$90=3),1,-1)*LINEAS!$AI$90*DATOS!$C$67)&lt;0.00005),"*",LINEAS!$D$90&amp;" UNI "&amp;IF(LINEAS!$U$90&lt;=2,"GZ","GX")&amp;" "&amp;TEXT(IF(OR(LINEAS!$U$90=1,LINEAS!$U$90=3),1,-1)*LINEAS!$AI$90*DATOS!$C$67,DATOS!$C$68))</f>
        <v>321 UNI GX 0.7198</v>
      </c>
      <c r="C1600" s="51" t="str">
        <f aca="false">IF(LEN($B1600)&gt;79,"MÁS DE 79 CARACTERES","")</f>
        <v/>
      </c>
      <c r="D1600" s="53" t="str">
        <f aca="false">IF(PRESIONES!$C$22="NO","",IF(OR(LINEAS!$D$90="",LINEAS!$U$90=0,ABS(IF(OR(LINEAS!$U$90=1,LINEAS!$U$90=3),1,-1)*LINEAS!$AI$90*DATOS!$C$67)&lt;0.00005),"*",LINEAS!$D$90&amp;" UNI "&amp;IF(LINEAS!$U$90&lt;=2,"GZ","GX")&amp;" "&amp;TEXT(IF(OR(LINEAS!$U$90=1,LINEAS!$U$90=3),1,-1)*LINEAS!$AI$90*DATOS!$C$67,DATOS!$C$68)))</f>
        <v/>
      </c>
      <c r="E1600" s="51" t="str">
        <f aca="false">IF(LEN($D1600)&gt;79,"MÁS DE 79 CARACTERES","")</f>
        <v/>
      </c>
    </row>
    <row r="1601" customFormat="false" ht="15" hidden="false" customHeight="true" outlineLevel="0" collapsed="false">
      <c r="B1601" s="53" t="str">
        <f aca="false">IF(OR(LINEAS!$D$91="",LINEAS!$U$91=0,ABS(IF(OR(LINEAS!$U$91=1,LINEAS!$U$91=3),1,-1)*LINEAS!$AI$91*DATOS!$C$67)&lt;0.00005),"*",LINEAS!$D$91&amp;" UNI "&amp;IF(LINEAS!$U$91&lt;=2,"GZ","GX")&amp;" "&amp;TEXT(IF(OR(LINEAS!$U$91=1,LINEAS!$U$91=3),1,-1)*LINEAS!$AI$91*DATOS!$C$67,DATOS!$C$68))</f>
        <v>320 UNI GX 0.6004</v>
      </c>
      <c r="C1601" s="51" t="str">
        <f aca="false">IF(LEN($B1601)&gt;79,"MÁS DE 79 CARACTERES","")</f>
        <v/>
      </c>
      <c r="D1601" s="53" t="str">
        <f aca="false">IF(PRESIONES!$C$22="NO","",IF(OR(LINEAS!$D$91="",LINEAS!$U$91=0,ABS(IF(OR(LINEAS!$U$91=1,LINEAS!$U$91=3),1,-1)*LINEAS!$AI$91*DATOS!$C$67)&lt;0.00005),"*",LINEAS!$D$91&amp;" UNI "&amp;IF(LINEAS!$U$91&lt;=2,"GZ","GX")&amp;" "&amp;TEXT(IF(OR(LINEAS!$U$91=1,LINEAS!$U$91=3),1,-1)*LINEAS!$AI$91*DATOS!$C$67,DATOS!$C$68)))</f>
        <v/>
      </c>
      <c r="E1601" s="51" t="str">
        <f aca="false">IF(LEN($D1601)&gt;79,"MÁS DE 79 CARACTERES","")</f>
        <v/>
      </c>
    </row>
    <row r="1602" customFormat="false" ht="15" hidden="false" customHeight="true" outlineLevel="0" collapsed="false">
      <c r="B1602" s="53" t="str">
        <f aca="false">IF(OR(LINEAS!$D$92="",LINEAS!$U$92=0,ABS(IF(OR(LINEAS!$U$92=1,LINEAS!$U$92=3),1,-1)*LINEAS!$AI$92*DATOS!$C$67)&lt;0.00005),"*",LINEAS!$D$92&amp;" UNI "&amp;IF(LINEAS!$U$92&lt;=2,"GZ","GX")&amp;" "&amp;TEXT(IF(OR(LINEAS!$U$92=1,LINEAS!$U$92=3),1,-1)*LINEAS!$AI$92*DATOS!$C$67,DATOS!$C$68))</f>
        <v>319 UNI GX 0.5197</v>
      </c>
      <c r="C1602" s="51" t="str">
        <f aca="false">IF(LEN($B1602)&gt;79,"MÁS DE 79 CARACTERES","")</f>
        <v/>
      </c>
      <c r="D1602" s="53" t="str">
        <f aca="false">IF(PRESIONES!$C$22="NO","",IF(OR(LINEAS!$D$92="",LINEAS!$U$92=0,ABS(IF(OR(LINEAS!$U$92=1,LINEAS!$U$92=3),1,-1)*LINEAS!$AI$92*DATOS!$C$67)&lt;0.00005),"*",LINEAS!$D$92&amp;" UNI "&amp;IF(LINEAS!$U$92&lt;=2,"GZ","GX")&amp;" "&amp;TEXT(IF(OR(LINEAS!$U$92=1,LINEAS!$U$92=3),1,-1)*LINEAS!$AI$92*DATOS!$C$67,DATOS!$C$68)))</f>
        <v/>
      </c>
      <c r="E1602" s="51" t="str">
        <f aca="false">IF(LEN($D1602)&gt;79,"MÁS DE 79 CARACTERES","")</f>
        <v/>
      </c>
    </row>
    <row r="1603" customFormat="false" ht="15" hidden="false" customHeight="true" outlineLevel="0" collapsed="false">
      <c r="B1603" s="53" t="str">
        <f aca="false">IF(OR(LINEAS!$D$93="",LINEAS!$U$93=0,ABS(IF(OR(LINEAS!$U$93=1,LINEAS!$U$93=3),1,-1)*LINEAS!$AI$93*DATOS!$C$67)&lt;0.00005),"*",LINEAS!$D$93&amp;" UNI "&amp;IF(LINEAS!$U$93&lt;=2,"GZ","GX")&amp;" "&amp;TEXT(IF(OR(LINEAS!$U$93=1,LINEAS!$U$93=3),1,-1)*LINEAS!$AI$93*DATOS!$C$67,DATOS!$C$68))</f>
        <v>60 UNI GX -0.3463</v>
      </c>
      <c r="C1603" s="51" t="str">
        <f aca="false">IF(LEN($B1603)&gt;79,"MÁS DE 79 CARACTERES","")</f>
        <v/>
      </c>
      <c r="D1603" s="53" t="str">
        <f aca="false">IF(PRESIONES!$C$22="NO","",IF(OR(LINEAS!$D$93="",LINEAS!$U$93=0,ABS(IF(OR(LINEAS!$U$93=1,LINEAS!$U$93=3),1,-1)*LINEAS!$AI$93*DATOS!$C$67)&lt;0.00005),"*",LINEAS!$D$93&amp;" UNI "&amp;IF(LINEAS!$U$93&lt;=2,"GZ","GX")&amp;" "&amp;TEXT(IF(OR(LINEAS!$U$93=1,LINEAS!$U$93=3),1,-1)*LINEAS!$AI$93*DATOS!$C$67,DATOS!$C$68)))</f>
        <v/>
      </c>
      <c r="E1603" s="51" t="str">
        <f aca="false">IF(LEN($D1603)&gt;79,"MÁS DE 79 CARACTERES","")</f>
        <v/>
      </c>
    </row>
    <row r="1604" customFormat="false" ht="15" hidden="false" customHeight="true" outlineLevel="0" collapsed="false">
      <c r="B1604" s="53" t="str">
        <f aca="false">IF(OR(LINEAS!$D$94="",LINEAS!$U$94=0,ABS(IF(OR(LINEAS!$U$94=1,LINEAS!$U$94=3),1,-1)*LINEAS!$AI$94*DATOS!$C$67)&lt;0.00005),"*",LINEAS!$D$94&amp;" UNI "&amp;IF(LINEAS!$U$94&lt;=2,"GZ","GX")&amp;" "&amp;TEXT(IF(OR(LINEAS!$U$94=1,LINEAS!$U$94=3),1,-1)*LINEAS!$AI$94*DATOS!$C$67,DATOS!$C$68))</f>
        <v>59 UNI GX -0.3226</v>
      </c>
      <c r="C1604" s="51" t="str">
        <f aca="false">IF(LEN($B1604)&gt;79,"MÁS DE 79 CARACTERES","")</f>
        <v/>
      </c>
      <c r="D1604" s="53" t="str">
        <f aca="false">IF(PRESIONES!$C$22="NO","",IF(OR(LINEAS!$D$94="",LINEAS!$U$94=0,ABS(IF(OR(LINEAS!$U$94=1,LINEAS!$U$94=3),1,-1)*LINEAS!$AI$94*DATOS!$C$67)&lt;0.00005),"*",LINEAS!$D$94&amp;" UNI "&amp;IF(LINEAS!$U$94&lt;=2,"GZ","GX")&amp;" "&amp;TEXT(IF(OR(LINEAS!$U$94=1,LINEAS!$U$94=3),1,-1)*LINEAS!$AI$94*DATOS!$C$67,DATOS!$C$68)))</f>
        <v/>
      </c>
      <c r="E1604" s="51" t="str">
        <f aca="false">IF(LEN($D1604)&gt;79,"MÁS DE 79 CARACTERES","")</f>
        <v/>
      </c>
    </row>
    <row r="1605" customFormat="false" ht="15" hidden="false" customHeight="true" outlineLevel="0" collapsed="false">
      <c r="B1605" s="53" t="str">
        <f aca="false">IF(OR(LINEAS!$D$95="",LINEAS!$U$95=0,ABS(IF(OR(LINEAS!$U$95=1,LINEAS!$U$95=3),1,-1)*LINEAS!$AI$95*DATOS!$C$67)&lt;0.00005),"*",LINEAS!$D$95&amp;" UNI "&amp;IF(LINEAS!$U$95&lt;=2,"GZ","GX")&amp;" "&amp;TEXT(IF(OR(LINEAS!$U$95=1,LINEAS!$U$95=3),1,-1)*LINEAS!$AI$95*DATOS!$C$67,DATOS!$C$68))</f>
        <v>58 UNI GX -0.2989</v>
      </c>
      <c r="C1605" s="51" t="str">
        <f aca="false">IF(LEN($B1605)&gt;79,"MÁS DE 79 CARACTERES","")</f>
        <v/>
      </c>
      <c r="D1605" s="53" t="str">
        <f aca="false">IF(PRESIONES!$C$22="NO","",IF(OR(LINEAS!$D$95="",LINEAS!$U$95=0,ABS(IF(OR(LINEAS!$U$95=1,LINEAS!$U$95=3),1,-1)*LINEAS!$AI$95*DATOS!$C$67)&lt;0.00005),"*",LINEAS!$D$95&amp;" UNI "&amp;IF(LINEAS!$U$95&lt;=2,"GZ","GX")&amp;" "&amp;TEXT(IF(OR(LINEAS!$U$95=1,LINEAS!$U$95=3),1,-1)*LINEAS!$AI$95*DATOS!$C$67,DATOS!$C$68)))</f>
        <v/>
      </c>
      <c r="E1605" s="51" t="str">
        <f aca="false">IF(LEN($D1605)&gt;79,"MÁS DE 79 CARACTERES","")</f>
        <v/>
      </c>
    </row>
    <row r="1606" customFormat="false" ht="15" hidden="false" customHeight="true" outlineLevel="0" collapsed="false">
      <c r="B1606" s="53" t="str">
        <f aca="false">IF(OR(LINEAS!$D$96="",LINEAS!$U$96=0,ABS(IF(OR(LINEAS!$U$96=1,LINEAS!$U$96=3),1,-1)*LINEAS!$AI$96*DATOS!$C$67)&lt;0.00005),"*",LINEAS!$D$96&amp;" UNI "&amp;IF(LINEAS!$U$96&lt;=2,"GZ","GX")&amp;" "&amp;TEXT(IF(OR(LINEAS!$U$96=1,LINEAS!$U$96=3),1,-1)*LINEAS!$AI$96*DATOS!$C$67,DATOS!$C$68))</f>
        <v>57 UNI GX -0.2752</v>
      </c>
      <c r="C1606" s="51" t="str">
        <f aca="false">IF(LEN($B1606)&gt;79,"MÁS DE 79 CARACTERES","")</f>
        <v/>
      </c>
      <c r="D1606" s="53" t="str">
        <f aca="false">IF(PRESIONES!$C$22="NO","",IF(OR(LINEAS!$D$96="",LINEAS!$U$96=0,ABS(IF(OR(LINEAS!$U$96=1,LINEAS!$U$96=3),1,-1)*LINEAS!$AI$96*DATOS!$C$67)&lt;0.00005),"*",LINEAS!$D$96&amp;" UNI "&amp;IF(LINEAS!$U$96&lt;=2,"GZ","GX")&amp;" "&amp;TEXT(IF(OR(LINEAS!$U$96=1,LINEAS!$U$96=3),1,-1)*LINEAS!$AI$96*DATOS!$C$67,DATOS!$C$68)))</f>
        <v/>
      </c>
      <c r="E1606" s="51" t="str">
        <f aca="false">IF(LEN($D1606)&gt;79,"MÁS DE 79 CARACTERES","")</f>
        <v/>
      </c>
    </row>
    <row r="1607" customFormat="false" ht="15" hidden="false" customHeight="true" outlineLevel="0" collapsed="false">
      <c r="B1607" s="53" t="str">
        <f aca="false">IF(OR(LINEAS!$D$97="",LINEAS!$U$97=0,ABS(IF(OR(LINEAS!$U$97=1,LINEAS!$U$97=3),1,-1)*LINEAS!$AI$97*DATOS!$C$67)&lt;0.00005),"*",LINEAS!$D$97&amp;" UNI "&amp;IF(LINEAS!$U$97&lt;=2,"GZ","GX")&amp;" "&amp;TEXT(IF(OR(LINEAS!$U$97=1,LINEAS!$U$97=3),1,-1)*LINEAS!$AI$97*DATOS!$C$67,DATOS!$C$68))</f>
        <v>10 UNI GX -0.2515</v>
      </c>
      <c r="C1607" s="51" t="str">
        <f aca="false">IF(LEN($B1607)&gt;79,"MÁS DE 79 CARACTERES","")</f>
        <v/>
      </c>
      <c r="D1607" s="53" t="str">
        <f aca="false">IF(PRESIONES!$C$22="NO","",IF(OR(LINEAS!$D$97="",LINEAS!$U$97=0,ABS(IF(OR(LINEAS!$U$97=1,LINEAS!$U$97=3),1,-1)*LINEAS!$AI$97*DATOS!$C$67)&lt;0.00005),"*",LINEAS!$D$97&amp;" UNI "&amp;IF(LINEAS!$U$97&lt;=2,"GZ","GX")&amp;" "&amp;TEXT(IF(OR(LINEAS!$U$97=1,LINEAS!$U$97=3),1,-1)*LINEAS!$AI$97*DATOS!$C$67,DATOS!$C$68)))</f>
        <v/>
      </c>
      <c r="E1607" s="51" t="str">
        <f aca="false">IF(LEN($D1607)&gt;79,"MÁS DE 79 CARACTERES","")</f>
        <v/>
      </c>
    </row>
    <row r="1608" customFormat="false" ht="15" hidden="false" customHeight="true" outlineLevel="0" collapsed="false">
      <c r="B1608" s="53" t="str">
        <f aca="false">IF(OR(LINEAS!$D$98="",LINEAS!$U$98=0,ABS(IF(OR(LINEAS!$U$98=1,LINEAS!$U$98=3),1,-1)*LINEAS!$AI$98*DATOS!$C$67)&lt;0.00005),"*",LINEAS!$D$98&amp;" UNI "&amp;IF(LINEAS!$U$98&lt;=2,"GZ","GX")&amp;" "&amp;TEXT(IF(OR(LINEAS!$U$98=1,LINEAS!$U$98=3),1,-1)*LINEAS!$AI$98*DATOS!$C$67,DATOS!$C$68))</f>
        <v>68 UNI GX -0.2278</v>
      </c>
      <c r="C1608" s="51" t="str">
        <f aca="false">IF(LEN($B1608)&gt;79,"MÁS DE 79 CARACTERES","")</f>
        <v/>
      </c>
      <c r="D1608" s="53" t="str">
        <f aca="false">IF(PRESIONES!$C$22="NO","",IF(OR(LINEAS!$D$98="",LINEAS!$U$98=0,ABS(IF(OR(LINEAS!$U$98=1,LINEAS!$U$98=3),1,-1)*LINEAS!$AI$98*DATOS!$C$67)&lt;0.00005),"*",LINEAS!$D$98&amp;" UNI "&amp;IF(LINEAS!$U$98&lt;=2,"GZ","GX")&amp;" "&amp;TEXT(IF(OR(LINEAS!$U$98=1,LINEAS!$U$98=3),1,-1)*LINEAS!$AI$98*DATOS!$C$67,DATOS!$C$68)))</f>
        <v/>
      </c>
      <c r="E1608" s="51" t="str">
        <f aca="false">IF(LEN($D1608)&gt;79,"MÁS DE 79 CARACTERES","")</f>
        <v/>
      </c>
    </row>
    <row r="1609" customFormat="false" ht="15" hidden="false" customHeight="true" outlineLevel="0" collapsed="false">
      <c r="B1609" s="53" t="str">
        <f aca="false">IF(OR(LINEAS!$D$99="",LINEAS!$U$99=0,ABS(IF(OR(LINEAS!$U$99=1,LINEAS!$U$99=3),1,-1)*LINEAS!$AI$99*DATOS!$C$67)&lt;0.00005),"*",LINEAS!$D$99&amp;" UNI "&amp;IF(LINEAS!$U$99&lt;=2,"GZ","GX")&amp;" "&amp;TEXT(IF(OR(LINEAS!$U$99=1,LINEAS!$U$99=3),1,-1)*LINEAS!$AI$99*DATOS!$C$67,DATOS!$C$68))</f>
        <v>67 UNI GX -0.2041</v>
      </c>
      <c r="C1609" s="51" t="str">
        <f aca="false">IF(LEN($B1609)&gt;79,"MÁS DE 79 CARACTERES","")</f>
        <v/>
      </c>
      <c r="D1609" s="53" t="str">
        <f aca="false">IF(PRESIONES!$C$22="NO","",IF(OR(LINEAS!$D$99="",LINEAS!$U$99=0,ABS(IF(OR(LINEAS!$U$99=1,LINEAS!$U$99=3),1,-1)*LINEAS!$AI$99*DATOS!$C$67)&lt;0.00005),"*",LINEAS!$D$99&amp;" UNI "&amp;IF(LINEAS!$U$99&lt;=2,"GZ","GX")&amp;" "&amp;TEXT(IF(OR(LINEAS!$U$99=1,LINEAS!$U$99=3),1,-1)*LINEAS!$AI$99*DATOS!$C$67,DATOS!$C$68)))</f>
        <v/>
      </c>
      <c r="E1609" s="51" t="str">
        <f aca="false">IF(LEN($D1609)&gt;79,"MÁS DE 79 CARACTERES","")</f>
        <v/>
      </c>
    </row>
    <row r="1610" customFormat="false" ht="15" hidden="false" customHeight="true" outlineLevel="0" collapsed="false">
      <c r="B1610" s="53" t="str">
        <f aca="false">IF(OR(LINEAS!$D$100="",LINEAS!$U$100=0,ABS(IF(OR(LINEAS!$U$100=1,LINEAS!$U$100=3),1,-1)*LINEAS!$AI$100*DATOS!$C$67)&lt;0.00005),"*",LINEAS!$D$100&amp;" UNI "&amp;IF(LINEAS!$U$100&lt;=2,"GZ","GX")&amp;" "&amp;TEXT(IF(OR(LINEAS!$U$100=1,LINEAS!$U$100=3),1,-1)*LINEAS!$AI$100*DATOS!$C$67,DATOS!$C$68))</f>
        <v>66 UNI GX -0.1804</v>
      </c>
      <c r="C1610" s="51" t="str">
        <f aca="false">IF(LEN($B1610)&gt;79,"MÁS DE 79 CARACTERES","")</f>
        <v/>
      </c>
      <c r="D1610" s="53" t="str">
        <f aca="false">IF(PRESIONES!$C$22="NO","",IF(OR(LINEAS!$D$100="",LINEAS!$U$100=0,ABS(IF(OR(LINEAS!$U$100=1,LINEAS!$U$100=3),1,-1)*LINEAS!$AI$100*DATOS!$C$67)&lt;0.00005),"*",LINEAS!$D$100&amp;" UNI "&amp;IF(LINEAS!$U$100&lt;=2,"GZ","GX")&amp;" "&amp;TEXT(IF(OR(LINEAS!$U$100=1,LINEAS!$U$100=3),1,-1)*LINEAS!$AI$100*DATOS!$C$67,DATOS!$C$68)))</f>
        <v/>
      </c>
      <c r="E1610" s="51" t="str">
        <f aca="false">IF(LEN($D1610)&gt;79,"MÁS DE 79 CARACTERES","")</f>
        <v/>
      </c>
    </row>
    <row r="1611" customFormat="false" ht="15" hidden="false" customHeight="true" outlineLevel="0" collapsed="false">
      <c r="B1611" s="53" t="str">
        <f aca="false">IF(OR(LINEAS!$D$101="",LINEAS!$U$101=0,ABS(IF(OR(LINEAS!$U$101=1,LINEAS!$U$101=3),1,-1)*LINEAS!$AI$101*DATOS!$C$67)&lt;0.00005),"*",LINEAS!$D$101&amp;" UNI "&amp;IF(LINEAS!$U$101&lt;=2,"GZ","GX")&amp;" "&amp;TEXT(IF(OR(LINEAS!$U$101=1,LINEAS!$U$101=3),1,-1)*LINEAS!$AI$101*DATOS!$C$67,DATOS!$C$68))</f>
        <v>65 UNI GX -0.1567</v>
      </c>
      <c r="C1611" s="51" t="str">
        <f aca="false">IF(LEN($B1611)&gt;79,"MÁS DE 79 CARACTERES","")</f>
        <v/>
      </c>
      <c r="D1611" s="53" t="str">
        <f aca="false">IF(PRESIONES!$C$22="NO","",IF(OR(LINEAS!$D$101="",LINEAS!$U$101=0,ABS(IF(OR(LINEAS!$U$101=1,LINEAS!$U$101=3),1,-1)*LINEAS!$AI$101*DATOS!$C$67)&lt;0.00005),"*",LINEAS!$D$101&amp;" UNI "&amp;IF(LINEAS!$U$101&lt;=2,"GZ","GX")&amp;" "&amp;TEXT(IF(OR(LINEAS!$U$101=1,LINEAS!$U$101=3),1,-1)*LINEAS!$AI$101*DATOS!$C$67,DATOS!$C$68)))</f>
        <v/>
      </c>
      <c r="E1611" s="51" t="str">
        <f aca="false">IF(LEN($D1611)&gt;79,"MÁS DE 79 CARACTERES","")</f>
        <v/>
      </c>
    </row>
    <row r="1612" customFormat="false" ht="15" hidden="false" customHeight="true" outlineLevel="0" collapsed="false">
      <c r="B1612" s="53" t="str">
        <f aca="false">IF(OR(LINEAS!$D$102="",LINEAS!$U$102=0,ABS(IF(OR(LINEAS!$U$102=1,LINEAS!$U$102=3),1,-1)*LINEAS!$AI$102*DATOS!$C$67)&lt;0.00005),"*",LINEAS!$D$102&amp;" UNI "&amp;IF(LINEAS!$U$102&lt;=2,"GZ","GX")&amp;" "&amp;TEXT(IF(OR(LINEAS!$U$102=1,LINEAS!$U$102=3),1,-1)*LINEAS!$AI$102*DATOS!$C$67,DATOS!$C$68))</f>
        <v>43 UNI GX -0.1330</v>
      </c>
      <c r="C1612" s="51" t="str">
        <f aca="false">IF(LEN($B1612)&gt;79,"MÁS DE 79 CARACTERES","")</f>
        <v/>
      </c>
      <c r="D1612" s="53" t="str">
        <f aca="false">IF(PRESIONES!$C$22="NO","",IF(OR(LINEAS!$D$102="",LINEAS!$U$102=0,ABS(IF(OR(LINEAS!$U$102=1,LINEAS!$U$102=3),1,-1)*LINEAS!$AI$102*DATOS!$C$67)&lt;0.00005),"*",LINEAS!$D$102&amp;" UNI "&amp;IF(LINEAS!$U$102&lt;=2,"GZ","GX")&amp;" "&amp;TEXT(IF(OR(LINEAS!$U$102=1,LINEAS!$U$102=3),1,-1)*LINEAS!$AI$102*DATOS!$C$67,DATOS!$C$68)))</f>
        <v/>
      </c>
      <c r="E1612" s="51" t="str">
        <f aca="false">IF(LEN($D1612)&gt;79,"MÁS DE 79 CARACTERES","")</f>
        <v/>
      </c>
    </row>
    <row r="1613" customFormat="false" ht="15" hidden="false" customHeight="true" outlineLevel="0" collapsed="false">
      <c r="B1613" s="53" t="str">
        <f aca="false">IF(OR(LINEAS!$D$103="",LINEAS!$U$103=0,ABS(IF(OR(LINEAS!$U$103=1,LINEAS!$U$103=3),1,-1)*LINEAS!$AI$103*DATOS!$C$67)&lt;0.00005),"*",LINEAS!$D$103&amp;" UNI "&amp;IF(LINEAS!$U$103&lt;=2,"GZ","GX")&amp;" "&amp;TEXT(IF(OR(LINEAS!$U$103=1,LINEAS!$U$103=3),1,-1)*LINEAS!$AI$103*DATOS!$C$67,DATOS!$C$68))</f>
        <v>47 UNI GX -0.1101</v>
      </c>
      <c r="C1613" s="51" t="str">
        <f aca="false">IF(LEN($B1613)&gt;79,"MÁS DE 79 CARACTERES","")</f>
        <v/>
      </c>
      <c r="D1613" s="53" t="str">
        <f aca="false">IF(PRESIONES!$C$22="NO","",IF(OR(LINEAS!$D$103="",LINEAS!$U$103=0,ABS(IF(OR(LINEAS!$U$103=1,LINEAS!$U$103=3),1,-1)*LINEAS!$AI$103*DATOS!$C$67)&lt;0.00005),"*",LINEAS!$D$103&amp;" UNI "&amp;IF(LINEAS!$U$103&lt;=2,"GZ","GX")&amp;" "&amp;TEXT(IF(OR(LINEAS!$U$103=1,LINEAS!$U$103=3),1,-1)*LINEAS!$AI$103*DATOS!$C$67,DATOS!$C$68)))</f>
        <v/>
      </c>
      <c r="E1613" s="51" t="str">
        <f aca="false">IF(LEN($D1613)&gt;79,"MÁS DE 79 CARACTERES","")</f>
        <v/>
      </c>
    </row>
    <row r="1614" customFormat="false" ht="15" hidden="false" customHeight="true" outlineLevel="0" collapsed="false">
      <c r="B1614" s="53" t="str">
        <f aca="false">IF(OR(LINEAS!$D$104="",LINEAS!$U$104=0,ABS(IF(OR(LINEAS!$U$104=1,LINEAS!$U$104=3),1,-1)*LINEAS!$AI$104*DATOS!$C$67)&lt;0.00005),"*",LINEAS!$D$104&amp;" UNI "&amp;IF(LINEAS!$U$104&lt;=2,"GZ","GX")&amp;" "&amp;TEXT(IF(OR(LINEAS!$U$104=1,LINEAS!$U$104=3),1,-1)*LINEAS!$AI$104*DATOS!$C$67,DATOS!$C$68))</f>
        <v>54 UNI GX -0.0882</v>
      </c>
      <c r="C1614" s="51" t="str">
        <f aca="false">IF(LEN($B1614)&gt;79,"MÁS DE 79 CARACTERES","")</f>
        <v/>
      </c>
      <c r="D1614" s="53" t="str">
        <f aca="false">IF(PRESIONES!$C$22="NO","",IF(OR(LINEAS!$D$104="",LINEAS!$U$104=0,ABS(IF(OR(LINEAS!$U$104=1,LINEAS!$U$104=3),1,-1)*LINEAS!$AI$104*DATOS!$C$67)&lt;0.00005),"*",LINEAS!$D$104&amp;" UNI "&amp;IF(LINEAS!$U$104&lt;=2,"GZ","GX")&amp;" "&amp;TEXT(IF(OR(LINEAS!$U$104=1,LINEAS!$U$104=3),1,-1)*LINEAS!$AI$104*DATOS!$C$67,DATOS!$C$68)))</f>
        <v/>
      </c>
      <c r="E1614" s="51" t="str">
        <f aca="false">IF(LEN($D1614)&gt;79,"MÁS DE 79 CARACTERES","")</f>
        <v/>
      </c>
    </row>
    <row r="1615" customFormat="false" ht="15" hidden="false" customHeight="true" outlineLevel="0" collapsed="false">
      <c r="B1615" s="53" t="str">
        <f aca="false">IF(OR(LINEAS!$D$105="",LINEAS!$U$105=0,ABS(IF(OR(LINEAS!$U$105=1,LINEAS!$U$105=3),1,-1)*LINEAS!$AI$105*DATOS!$C$67)&lt;0.00005),"*",LINEAS!$D$105&amp;" UNI "&amp;IF(LINEAS!$U$105&lt;=2,"GZ","GX")&amp;" "&amp;TEXT(IF(OR(LINEAS!$U$105=1,LINEAS!$U$105=3),1,-1)*LINEAS!$AI$105*DATOS!$C$67,DATOS!$C$68))</f>
        <v>64 UNI GX 0.3463</v>
      </c>
      <c r="C1615" s="51" t="str">
        <f aca="false">IF(LEN($B1615)&gt;79,"MÁS DE 79 CARACTERES","")</f>
        <v/>
      </c>
      <c r="D1615" s="53" t="str">
        <f aca="false">IF(PRESIONES!$C$22="NO","",IF(OR(LINEAS!$D$105="",LINEAS!$U$105=0,ABS(IF(OR(LINEAS!$U$105=1,LINEAS!$U$105=3),1,-1)*LINEAS!$AI$105*DATOS!$C$67)&lt;0.00005),"*",LINEAS!$D$105&amp;" UNI "&amp;IF(LINEAS!$U$105&lt;=2,"GZ","GX")&amp;" "&amp;TEXT(IF(OR(LINEAS!$U$105=1,LINEAS!$U$105=3),1,-1)*LINEAS!$AI$105*DATOS!$C$67,DATOS!$C$68)))</f>
        <v/>
      </c>
      <c r="E1615" s="51" t="str">
        <f aca="false">IF(LEN($D1615)&gt;79,"MÁS DE 79 CARACTERES","")</f>
        <v/>
      </c>
    </row>
    <row r="1616" customFormat="false" ht="15" hidden="false" customHeight="true" outlineLevel="0" collapsed="false">
      <c r="B1616" s="53" t="str">
        <f aca="false">IF(OR(LINEAS!$D$106="",LINEAS!$U$106=0,ABS(IF(OR(LINEAS!$U$106=1,LINEAS!$U$106=3),1,-1)*LINEAS!$AI$106*DATOS!$C$67)&lt;0.00005),"*",LINEAS!$D$106&amp;" UNI "&amp;IF(LINEAS!$U$106&lt;=2,"GZ","GX")&amp;" "&amp;TEXT(IF(OR(LINEAS!$U$106=1,LINEAS!$U$106=3),1,-1)*LINEAS!$AI$106*DATOS!$C$67,DATOS!$C$68))</f>
        <v>63 UNI GX 0.3226</v>
      </c>
      <c r="C1616" s="51" t="str">
        <f aca="false">IF(LEN($B1616)&gt;79,"MÁS DE 79 CARACTERES","")</f>
        <v/>
      </c>
      <c r="D1616" s="53" t="str">
        <f aca="false">IF(PRESIONES!$C$22="NO","",IF(OR(LINEAS!$D$106="",LINEAS!$U$106=0,ABS(IF(OR(LINEAS!$U$106=1,LINEAS!$U$106=3),1,-1)*LINEAS!$AI$106*DATOS!$C$67)&lt;0.00005),"*",LINEAS!$D$106&amp;" UNI "&amp;IF(LINEAS!$U$106&lt;=2,"GZ","GX")&amp;" "&amp;TEXT(IF(OR(LINEAS!$U$106=1,LINEAS!$U$106=3),1,-1)*LINEAS!$AI$106*DATOS!$C$67,DATOS!$C$68)))</f>
        <v/>
      </c>
      <c r="E1616" s="51" t="str">
        <f aca="false">IF(LEN($D1616)&gt;79,"MÁS DE 79 CARACTERES","")</f>
        <v/>
      </c>
    </row>
    <row r="1617" customFormat="false" ht="15" hidden="false" customHeight="true" outlineLevel="0" collapsed="false">
      <c r="B1617" s="53" t="str">
        <f aca="false">IF(OR(LINEAS!$D$107="",LINEAS!$U$107=0,ABS(IF(OR(LINEAS!$U$107=1,LINEAS!$U$107=3),1,-1)*LINEAS!$AI$107*DATOS!$C$67)&lt;0.00005),"*",LINEAS!$D$107&amp;" UNI "&amp;IF(LINEAS!$U$107&lt;=2,"GZ","GX")&amp;" "&amp;TEXT(IF(OR(LINEAS!$U$107=1,LINEAS!$U$107=3),1,-1)*LINEAS!$AI$107*DATOS!$C$67,DATOS!$C$68))</f>
        <v>62 UNI GX 0.2989</v>
      </c>
      <c r="C1617" s="51" t="str">
        <f aca="false">IF(LEN($B1617)&gt;79,"MÁS DE 79 CARACTERES","")</f>
        <v/>
      </c>
      <c r="D1617" s="53" t="str">
        <f aca="false">IF(PRESIONES!$C$22="NO","",IF(OR(LINEAS!$D$107="",LINEAS!$U$107=0,ABS(IF(OR(LINEAS!$U$107=1,LINEAS!$U$107=3),1,-1)*LINEAS!$AI$107*DATOS!$C$67)&lt;0.00005),"*",LINEAS!$D$107&amp;" UNI "&amp;IF(LINEAS!$U$107&lt;=2,"GZ","GX")&amp;" "&amp;TEXT(IF(OR(LINEAS!$U$107=1,LINEAS!$U$107=3),1,-1)*LINEAS!$AI$107*DATOS!$C$67,DATOS!$C$68)))</f>
        <v/>
      </c>
      <c r="E1617" s="51" t="str">
        <f aca="false">IF(LEN($D1617)&gt;79,"MÁS DE 79 CARACTERES","")</f>
        <v/>
      </c>
    </row>
    <row r="1618" customFormat="false" ht="15" hidden="false" customHeight="true" outlineLevel="0" collapsed="false">
      <c r="B1618" s="53" t="str">
        <f aca="false">IF(OR(LINEAS!$D$108="",LINEAS!$U$108=0,ABS(IF(OR(LINEAS!$U$108=1,LINEAS!$U$108=3),1,-1)*LINEAS!$AI$108*DATOS!$C$67)&lt;0.00005),"*",LINEAS!$D$108&amp;" UNI "&amp;IF(LINEAS!$U$108&lt;=2,"GZ","GX")&amp;" "&amp;TEXT(IF(OR(LINEAS!$U$108=1,LINEAS!$U$108=3),1,-1)*LINEAS!$AI$108*DATOS!$C$67,DATOS!$C$68))</f>
        <v>61 UNI GX 0.2752</v>
      </c>
      <c r="C1618" s="51" t="str">
        <f aca="false">IF(LEN($B1618)&gt;79,"MÁS DE 79 CARACTERES","")</f>
        <v/>
      </c>
      <c r="D1618" s="53" t="str">
        <f aca="false">IF(PRESIONES!$C$22="NO","",IF(OR(LINEAS!$D$108="",LINEAS!$U$108=0,ABS(IF(OR(LINEAS!$U$108=1,LINEAS!$U$108=3),1,-1)*LINEAS!$AI$108*DATOS!$C$67)&lt;0.00005),"*",LINEAS!$D$108&amp;" UNI "&amp;IF(LINEAS!$U$108&lt;=2,"GZ","GX")&amp;" "&amp;TEXT(IF(OR(LINEAS!$U$108=1,LINEAS!$U$108=3),1,-1)*LINEAS!$AI$108*DATOS!$C$67,DATOS!$C$68)))</f>
        <v/>
      </c>
      <c r="E1618" s="51" t="str">
        <f aca="false">IF(LEN($D1618)&gt;79,"MÁS DE 79 CARACTERES","")</f>
        <v/>
      </c>
    </row>
    <row r="1619" customFormat="false" ht="15" hidden="false" customHeight="true" outlineLevel="0" collapsed="false">
      <c r="B1619" s="53" t="str">
        <f aca="false">IF(OR(LINEAS!$D$109="",LINEAS!$U$109=0,ABS(IF(OR(LINEAS!$U$109=1,LINEAS!$U$109=3),1,-1)*LINEAS!$AI$109*DATOS!$C$67)&lt;0.00005),"*",LINEAS!$D$109&amp;" UNI "&amp;IF(LINEAS!$U$109&lt;=2,"GZ","GX")&amp;" "&amp;TEXT(IF(OR(LINEAS!$U$109=1,LINEAS!$U$109=3),1,-1)*LINEAS!$AI$109*DATOS!$C$67,DATOS!$C$68))</f>
        <v>12 UNI GX 0.2515</v>
      </c>
      <c r="C1619" s="51" t="str">
        <f aca="false">IF(LEN($B1619)&gt;79,"MÁS DE 79 CARACTERES","")</f>
        <v/>
      </c>
      <c r="D1619" s="53" t="str">
        <f aca="false">IF(PRESIONES!$C$22="NO","",IF(OR(LINEAS!$D$109="",LINEAS!$U$109=0,ABS(IF(OR(LINEAS!$U$109=1,LINEAS!$U$109=3),1,-1)*LINEAS!$AI$109*DATOS!$C$67)&lt;0.00005),"*",LINEAS!$D$109&amp;" UNI "&amp;IF(LINEAS!$U$109&lt;=2,"GZ","GX")&amp;" "&amp;TEXT(IF(OR(LINEAS!$U$109=1,LINEAS!$U$109=3),1,-1)*LINEAS!$AI$109*DATOS!$C$67,DATOS!$C$68)))</f>
        <v/>
      </c>
      <c r="E1619" s="51" t="str">
        <f aca="false">IF(LEN($D1619)&gt;79,"MÁS DE 79 CARACTERES","")</f>
        <v/>
      </c>
    </row>
    <row r="1620" customFormat="false" ht="15" hidden="false" customHeight="true" outlineLevel="0" collapsed="false">
      <c r="B1620" s="53" t="str">
        <f aca="false">IF(OR(LINEAS!$D$110="",LINEAS!$U$110=0,ABS(IF(OR(LINEAS!$U$110=1,LINEAS!$U$110=3),1,-1)*LINEAS!$AI$110*DATOS!$C$67)&lt;0.00005),"*",LINEAS!$D$110&amp;" UNI "&amp;IF(LINEAS!$U$110&lt;=2,"GZ","GX")&amp;" "&amp;TEXT(IF(OR(LINEAS!$U$110=1,LINEAS!$U$110=3),1,-1)*LINEAS!$AI$110*DATOS!$C$67,DATOS!$C$68))</f>
        <v>72 UNI GX 0.2278</v>
      </c>
      <c r="C1620" s="51" t="str">
        <f aca="false">IF(LEN($B1620)&gt;79,"MÁS DE 79 CARACTERES","")</f>
        <v/>
      </c>
      <c r="D1620" s="53" t="str">
        <f aca="false">IF(PRESIONES!$C$22="NO","",IF(OR(LINEAS!$D$110="",LINEAS!$U$110=0,ABS(IF(OR(LINEAS!$U$110=1,LINEAS!$U$110=3),1,-1)*LINEAS!$AI$110*DATOS!$C$67)&lt;0.00005),"*",LINEAS!$D$110&amp;" UNI "&amp;IF(LINEAS!$U$110&lt;=2,"GZ","GX")&amp;" "&amp;TEXT(IF(OR(LINEAS!$U$110=1,LINEAS!$U$110=3),1,-1)*LINEAS!$AI$110*DATOS!$C$67,DATOS!$C$68)))</f>
        <v/>
      </c>
      <c r="E1620" s="51" t="str">
        <f aca="false">IF(LEN($D1620)&gt;79,"MÁS DE 79 CARACTERES","")</f>
        <v/>
      </c>
    </row>
    <row r="1621" customFormat="false" ht="15" hidden="false" customHeight="true" outlineLevel="0" collapsed="false">
      <c r="B1621" s="53" t="str">
        <f aca="false">IF(OR(LINEAS!$D$111="",LINEAS!$U$111=0,ABS(IF(OR(LINEAS!$U$111=1,LINEAS!$U$111=3),1,-1)*LINEAS!$AI$111*DATOS!$C$67)&lt;0.00005),"*",LINEAS!$D$111&amp;" UNI "&amp;IF(LINEAS!$U$111&lt;=2,"GZ","GX")&amp;" "&amp;TEXT(IF(OR(LINEAS!$U$111=1,LINEAS!$U$111=3),1,-1)*LINEAS!$AI$111*DATOS!$C$67,DATOS!$C$68))</f>
        <v>71 UNI GX 0.2041</v>
      </c>
      <c r="C1621" s="51" t="str">
        <f aca="false">IF(LEN($B1621)&gt;79,"MÁS DE 79 CARACTERES","")</f>
        <v/>
      </c>
      <c r="D1621" s="53" t="str">
        <f aca="false">IF(PRESIONES!$C$22="NO","",IF(OR(LINEAS!$D$111="",LINEAS!$U$111=0,ABS(IF(OR(LINEAS!$U$111=1,LINEAS!$U$111=3),1,-1)*LINEAS!$AI$111*DATOS!$C$67)&lt;0.00005),"*",LINEAS!$D$111&amp;" UNI "&amp;IF(LINEAS!$U$111&lt;=2,"GZ","GX")&amp;" "&amp;TEXT(IF(OR(LINEAS!$U$111=1,LINEAS!$U$111=3),1,-1)*LINEAS!$AI$111*DATOS!$C$67,DATOS!$C$68)))</f>
        <v/>
      </c>
      <c r="E1621" s="51" t="str">
        <f aca="false">IF(LEN($D1621)&gt;79,"MÁS DE 79 CARACTERES","")</f>
        <v/>
      </c>
    </row>
    <row r="1622" customFormat="false" ht="15" hidden="false" customHeight="true" outlineLevel="0" collapsed="false">
      <c r="B1622" s="53" t="str">
        <f aca="false">IF(OR(LINEAS!$D$112="",LINEAS!$U$112=0,ABS(IF(OR(LINEAS!$U$112=1,LINEAS!$U$112=3),1,-1)*LINEAS!$AI$112*DATOS!$C$67)&lt;0.00005),"*",LINEAS!$D$112&amp;" UNI "&amp;IF(LINEAS!$U$112&lt;=2,"GZ","GX")&amp;" "&amp;TEXT(IF(OR(LINEAS!$U$112=1,LINEAS!$U$112=3),1,-1)*LINEAS!$AI$112*DATOS!$C$67,DATOS!$C$68))</f>
        <v>70 UNI GX 0.1804</v>
      </c>
      <c r="C1622" s="51" t="str">
        <f aca="false">IF(LEN($B1622)&gt;79,"MÁS DE 79 CARACTERES","")</f>
        <v/>
      </c>
      <c r="D1622" s="53" t="str">
        <f aca="false">IF(PRESIONES!$C$22="NO","",IF(OR(LINEAS!$D$112="",LINEAS!$U$112=0,ABS(IF(OR(LINEAS!$U$112=1,LINEAS!$U$112=3),1,-1)*LINEAS!$AI$112*DATOS!$C$67)&lt;0.00005),"*",LINEAS!$D$112&amp;" UNI "&amp;IF(LINEAS!$U$112&lt;=2,"GZ","GX")&amp;" "&amp;TEXT(IF(OR(LINEAS!$U$112=1,LINEAS!$U$112=3),1,-1)*LINEAS!$AI$112*DATOS!$C$67,DATOS!$C$68)))</f>
        <v/>
      </c>
      <c r="E1622" s="51" t="str">
        <f aca="false">IF(LEN($D1622)&gt;79,"MÁS DE 79 CARACTERES","")</f>
        <v/>
      </c>
    </row>
    <row r="1623" customFormat="false" ht="15" hidden="false" customHeight="true" outlineLevel="0" collapsed="false">
      <c r="B1623" s="53" t="str">
        <f aca="false">IF(OR(LINEAS!$D$113="",LINEAS!$U$113=0,ABS(IF(OR(LINEAS!$U$113=1,LINEAS!$U$113=3),1,-1)*LINEAS!$AI$113*DATOS!$C$67)&lt;0.00005),"*",LINEAS!$D$113&amp;" UNI "&amp;IF(LINEAS!$U$113&lt;=2,"GZ","GX")&amp;" "&amp;TEXT(IF(OR(LINEAS!$U$113=1,LINEAS!$U$113=3),1,-1)*LINEAS!$AI$113*DATOS!$C$67,DATOS!$C$68))</f>
        <v>69 UNI GX 0.1567</v>
      </c>
      <c r="C1623" s="51" t="str">
        <f aca="false">IF(LEN($B1623)&gt;79,"MÁS DE 79 CARACTERES","")</f>
        <v/>
      </c>
      <c r="D1623" s="53" t="str">
        <f aca="false">IF(PRESIONES!$C$22="NO","",IF(OR(LINEAS!$D$113="",LINEAS!$U$113=0,ABS(IF(OR(LINEAS!$U$113=1,LINEAS!$U$113=3),1,-1)*LINEAS!$AI$113*DATOS!$C$67)&lt;0.00005),"*",LINEAS!$D$113&amp;" UNI "&amp;IF(LINEAS!$U$113&lt;=2,"GZ","GX")&amp;" "&amp;TEXT(IF(OR(LINEAS!$U$113=1,LINEAS!$U$113=3),1,-1)*LINEAS!$AI$113*DATOS!$C$67,DATOS!$C$68)))</f>
        <v/>
      </c>
      <c r="E1623" s="51" t="str">
        <f aca="false">IF(LEN($D1623)&gt;79,"MÁS DE 79 CARACTERES","")</f>
        <v/>
      </c>
    </row>
    <row r="1624" customFormat="false" ht="15" hidden="false" customHeight="true" outlineLevel="0" collapsed="false">
      <c r="B1624" s="53" t="str">
        <f aca="false">IF(OR(LINEAS!$D$114="",LINEAS!$U$114=0,ABS(IF(OR(LINEAS!$U$114=1,LINEAS!$U$114=3),1,-1)*LINEAS!$AI$114*DATOS!$C$67)&lt;0.00005),"*",LINEAS!$D$114&amp;" UNI "&amp;IF(LINEAS!$U$114&lt;=2,"GZ","GX")&amp;" "&amp;TEXT(IF(OR(LINEAS!$U$114=1,LINEAS!$U$114=3),1,-1)*LINEAS!$AI$114*DATOS!$C$67,DATOS!$C$68))</f>
        <v>50 UNI GX 0.1330</v>
      </c>
      <c r="C1624" s="51" t="str">
        <f aca="false">IF(LEN($B1624)&gt;79,"MÁS DE 79 CARACTERES","")</f>
        <v/>
      </c>
      <c r="D1624" s="53" t="str">
        <f aca="false">IF(PRESIONES!$C$22="NO","",IF(OR(LINEAS!$D$114="",LINEAS!$U$114=0,ABS(IF(OR(LINEAS!$U$114=1,LINEAS!$U$114=3),1,-1)*LINEAS!$AI$114*DATOS!$C$67)&lt;0.00005),"*",LINEAS!$D$114&amp;" UNI "&amp;IF(LINEAS!$U$114&lt;=2,"GZ","GX")&amp;" "&amp;TEXT(IF(OR(LINEAS!$U$114=1,LINEAS!$U$114=3),1,-1)*LINEAS!$AI$114*DATOS!$C$67,DATOS!$C$68)))</f>
        <v/>
      </c>
      <c r="E1624" s="51" t="str">
        <f aca="false">IF(LEN($D1624)&gt;79,"MÁS DE 79 CARACTERES","")</f>
        <v/>
      </c>
    </row>
    <row r="1625" customFormat="false" ht="15" hidden="false" customHeight="true" outlineLevel="0" collapsed="false">
      <c r="B1625" s="53" t="str">
        <f aca="false">IF(OR(LINEAS!$D$115="",LINEAS!$U$115=0,ABS(IF(OR(LINEAS!$U$115=1,LINEAS!$U$115=3),1,-1)*LINEAS!$AI$115*DATOS!$C$67)&lt;0.00005),"*",LINEAS!$D$115&amp;" UNI "&amp;IF(LINEAS!$U$115&lt;=2,"GZ","GX")&amp;" "&amp;TEXT(IF(OR(LINEAS!$U$115=1,LINEAS!$U$115=3),1,-1)*LINEAS!$AI$115*DATOS!$C$67,DATOS!$C$68))</f>
        <v>53 UNI GX 0.1101</v>
      </c>
      <c r="C1625" s="51" t="str">
        <f aca="false">IF(LEN($B1625)&gt;79,"MÁS DE 79 CARACTERES","")</f>
        <v/>
      </c>
      <c r="D1625" s="53" t="str">
        <f aca="false">IF(PRESIONES!$C$22="NO","",IF(OR(LINEAS!$D$115="",LINEAS!$U$115=0,ABS(IF(OR(LINEAS!$U$115=1,LINEAS!$U$115=3),1,-1)*LINEAS!$AI$115*DATOS!$C$67)&lt;0.00005),"*",LINEAS!$D$115&amp;" UNI "&amp;IF(LINEAS!$U$115&lt;=2,"GZ","GX")&amp;" "&amp;TEXT(IF(OR(LINEAS!$U$115=1,LINEAS!$U$115=3),1,-1)*LINEAS!$AI$115*DATOS!$C$67,DATOS!$C$68)))</f>
        <v/>
      </c>
      <c r="E1625" s="51" t="str">
        <f aca="false">IF(LEN($D1625)&gt;79,"MÁS DE 79 CARACTERES","")</f>
        <v/>
      </c>
    </row>
    <row r="1626" customFormat="false" ht="15" hidden="false" customHeight="true" outlineLevel="0" collapsed="false">
      <c r="B1626" s="53" t="str">
        <f aca="false">IF(OR(LINEAS!$D$116="",LINEAS!$U$116=0,ABS(IF(OR(LINEAS!$U$116=1,LINEAS!$U$116=3),1,-1)*LINEAS!$AI$116*DATOS!$C$67)&lt;0.00005),"*",LINEAS!$D$116&amp;" UNI "&amp;IF(LINEAS!$U$116&lt;=2,"GZ","GX")&amp;" "&amp;TEXT(IF(OR(LINEAS!$U$116=1,LINEAS!$U$116=3),1,-1)*LINEAS!$AI$116*DATOS!$C$67,DATOS!$C$68))</f>
        <v>55 UNI GX 0.0882</v>
      </c>
      <c r="C1626" s="51" t="str">
        <f aca="false">IF(LEN($B1626)&gt;79,"MÁS DE 79 CARACTERES","")</f>
        <v/>
      </c>
      <c r="D1626" s="53" t="str">
        <f aca="false">IF(PRESIONES!$C$22="NO","",IF(OR(LINEAS!$D$116="",LINEAS!$U$116=0,ABS(IF(OR(LINEAS!$U$116=1,LINEAS!$U$116=3),1,-1)*LINEAS!$AI$116*DATOS!$C$67)&lt;0.00005),"*",LINEAS!$D$116&amp;" UNI "&amp;IF(LINEAS!$U$116&lt;=2,"GZ","GX")&amp;" "&amp;TEXT(IF(OR(LINEAS!$U$116=1,LINEAS!$U$116=3),1,-1)*LINEAS!$AI$116*DATOS!$C$67,DATOS!$C$68)))</f>
        <v/>
      </c>
      <c r="E1626" s="51" t="str">
        <f aca="false">IF(LEN($D1626)&gt;79,"MÁS DE 79 CARACTERES","")</f>
        <v/>
      </c>
    </row>
    <row r="1627" customFormat="false" ht="15" hidden="false" customHeight="true" outlineLevel="0" collapsed="false">
      <c r="B1627" s="53" t="str">
        <f aca="false">IF(OR(LINEAS!$D$117="",LINEAS!$U$117=0,ABS(IF(OR(LINEAS!$U$117=1,LINEAS!$U$117=3),1,-1)*LINEAS!$AI$117*DATOS!$C$67)&lt;0.00005),"*",LINEAS!$D$117&amp;" UNI "&amp;IF(LINEAS!$U$117&lt;=2,"GZ","GX")&amp;" "&amp;TEXT(IF(OR(LINEAS!$U$117=1,LINEAS!$U$117=3),1,-1)*LINEAS!$AI$117*DATOS!$C$67,DATOS!$C$68))</f>
        <v>262 UNI GZ -0.7275</v>
      </c>
      <c r="C1627" s="51" t="str">
        <f aca="false">IF(LEN($B1627)&gt;79,"MÁS DE 79 CARACTERES","")</f>
        <v/>
      </c>
      <c r="D1627" s="53" t="str">
        <f aca="false">IF(PRESIONES!$C$22="NO","",IF(OR(LINEAS!$D$117="",LINEAS!$U$117=0,ABS(IF(OR(LINEAS!$U$117=1,LINEAS!$U$117=3),1,-1)*LINEAS!$AI$117*DATOS!$C$67)&lt;0.00005),"*",LINEAS!$D$117&amp;" UNI "&amp;IF(LINEAS!$U$117&lt;=2,"GZ","GX")&amp;" "&amp;TEXT(IF(OR(LINEAS!$U$117=1,LINEAS!$U$117=3),1,-1)*LINEAS!$AI$117*DATOS!$C$67,DATOS!$C$68)))</f>
        <v/>
      </c>
      <c r="E1627" s="51" t="str">
        <f aca="false">IF(LEN($D1627)&gt;79,"MÁS DE 79 CARACTERES","")</f>
        <v/>
      </c>
    </row>
    <row r="1628" customFormat="false" ht="15" hidden="false" customHeight="true" outlineLevel="0" collapsed="false">
      <c r="B1628" s="53" t="str">
        <f aca="false">IF(OR(LINEAS!$D$118="",LINEAS!$U$118=0,ABS(IF(OR(LINEAS!$U$118=1,LINEAS!$U$118=3),1,-1)*LINEAS!$AI$118*DATOS!$C$67)&lt;0.00005),"*",LINEAS!$D$118&amp;" UNI "&amp;IF(LINEAS!$U$118&lt;=2,"GZ","GX")&amp;" "&amp;TEXT(IF(OR(LINEAS!$U$118=1,LINEAS!$U$118=3),1,-1)*LINEAS!$AI$118*DATOS!$C$67,DATOS!$C$68))</f>
        <v>263 UNI GZ -0.7275</v>
      </c>
      <c r="C1628" s="51" t="str">
        <f aca="false">IF(LEN($B1628)&gt;79,"MÁS DE 79 CARACTERES","")</f>
        <v/>
      </c>
      <c r="D1628" s="53" t="str">
        <f aca="false">IF(PRESIONES!$C$22="NO","",IF(OR(LINEAS!$D$118="",LINEAS!$U$118=0,ABS(IF(OR(LINEAS!$U$118=1,LINEAS!$U$118=3),1,-1)*LINEAS!$AI$118*DATOS!$C$67)&lt;0.00005),"*",LINEAS!$D$118&amp;" UNI "&amp;IF(LINEAS!$U$118&lt;=2,"GZ","GX")&amp;" "&amp;TEXT(IF(OR(LINEAS!$U$118=1,LINEAS!$U$118=3),1,-1)*LINEAS!$AI$118*DATOS!$C$67,DATOS!$C$68)))</f>
        <v/>
      </c>
      <c r="E1628" s="51" t="str">
        <f aca="false">IF(LEN($D1628)&gt;79,"MÁS DE 79 CARACTERES","")</f>
        <v/>
      </c>
    </row>
    <row r="1629" customFormat="false" ht="15" hidden="false" customHeight="true" outlineLevel="0" collapsed="false">
      <c r="B1629" s="53" t="str">
        <f aca="false">IF(OR(LINEAS!$D$119="",LINEAS!$U$119=0,ABS(IF(OR(LINEAS!$U$119=1,LINEAS!$U$119=3),1,-1)*LINEAS!$AI$119*DATOS!$C$67)&lt;0.00005),"*",LINEAS!$D$119&amp;" UNI "&amp;IF(LINEAS!$U$119&lt;=2,"GZ","GX")&amp;" "&amp;TEXT(IF(OR(LINEAS!$U$119=1,LINEAS!$U$119=3),1,-1)*LINEAS!$AI$119*DATOS!$C$67,DATOS!$C$68))</f>
        <v>264 UNI GZ -0.7275</v>
      </c>
      <c r="C1629" s="51" t="str">
        <f aca="false">IF(LEN($B1629)&gt;79,"MÁS DE 79 CARACTERES","")</f>
        <v/>
      </c>
      <c r="D1629" s="53" t="str">
        <f aca="false">IF(PRESIONES!$C$22="NO","",IF(OR(LINEAS!$D$119="",LINEAS!$U$119=0,ABS(IF(OR(LINEAS!$U$119=1,LINEAS!$U$119=3),1,-1)*LINEAS!$AI$119*DATOS!$C$67)&lt;0.00005),"*",LINEAS!$D$119&amp;" UNI "&amp;IF(LINEAS!$U$119&lt;=2,"GZ","GX")&amp;" "&amp;TEXT(IF(OR(LINEAS!$U$119=1,LINEAS!$U$119=3),1,-1)*LINEAS!$AI$119*DATOS!$C$67,DATOS!$C$68)))</f>
        <v/>
      </c>
      <c r="E1629" s="51" t="str">
        <f aca="false">IF(LEN($D1629)&gt;79,"MÁS DE 79 CARACTERES","")</f>
        <v/>
      </c>
    </row>
    <row r="1630" customFormat="false" ht="15" hidden="false" customHeight="true" outlineLevel="0" collapsed="false">
      <c r="B1630" s="53" t="str">
        <f aca="false">IF(OR(LINEAS!$D$120="",LINEAS!$U$120=0,ABS(IF(OR(LINEAS!$U$120=1,LINEAS!$U$120=3),1,-1)*LINEAS!$AI$120*DATOS!$C$67)&lt;0.00005),"*",LINEAS!$D$120&amp;" UNI "&amp;IF(LINEAS!$U$120&lt;=2,"GZ","GX")&amp;" "&amp;TEXT(IF(OR(LINEAS!$U$120=1,LINEAS!$U$120=3),1,-1)*LINEAS!$AI$120*DATOS!$C$67,DATOS!$C$68))</f>
        <v>271 UNI GZ -0.7275</v>
      </c>
      <c r="C1630" s="51" t="str">
        <f aca="false">IF(LEN($B1630)&gt;79,"MÁS DE 79 CARACTERES","")</f>
        <v/>
      </c>
      <c r="D1630" s="53" t="str">
        <f aca="false">IF(PRESIONES!$C$22="NO","",IF(OR(LINEAS!$D$120="",LINEAS!$U$120=0,ABS(IF(OR(LINEAS!$U$120=1,LINEAS!$U$120=3),1,-1)*LINEAS!$AI$120*DATOS!$C$67)&lt;0.00005),"*",LINEAS!$D$120&amp;" UNI "&amp;IF(LINEAS!$U$120&lt;=2,"GZ","GX")&amp;" "&amp;TEXT(IF(OR(LINEAS!$U$120=1,LINEAS!$U$120=3),1,-1)*LINEAS!$AI$120*DATOS!$C$67,DATOS!$C$68)))</f>
        <v/>
      </c>
      <c r="E1630" s="51" t="str">
        <f aca="false">IF(LEN($D1630)&gt;79,"MÁS DE 79 CARACTERES","")</f>
        <v/>
      </c>
    </row>
    <row r="1631" customFormat="false" ht="15" hidden="false" customHeight="true" outlineLevel="0" collapsed="false">
      <c r="B1631" s="53" t="str">
        <f aca="false">IF(OR(LINEAS!$D$121="",LINEAS!$U$121=0,ABS(IF(OR(LINEAS!$U$121=1,LINEAS!$U$121=3),1,-1)*LINEAS!$AI$121*DATOS!$C$67)&lt;0.00005),"*",LINEAS!$D$121&amp;" UNI "&amp;IF(LINEAS!$U$121&lt;=2,"GZ","GX")&amp;" "&amp;TEXT(IF(OR(LINEAS!$U$121=1,LINEAS!$U$121=3),1,-1)*LINEAS!$AI$121*DATOS!$C$67,DATOS!$C$68))</f>
        <v>286 UNI GZ -0.3637</v>
      </c>
      <c r="C1631" s="51" t="str">
        <f aca="false">IF(LEN($B1631)&gt;79,"MÁS DE 79 CARACTERES","")</f>
        <v/>
      </c>
      <c r="D1631" s="53" t="str">
        <f aca="false">IF(PRESIONES!$C$22="NO","",IF(OR(LINEAS!$D$121="",LINEAS!$U$121=0,ABS(IF(OR(LINEAS!$U$121=1,LINEAS!$U$121=3),1,-1)*LINEAS!$AI$121*DATOS!$C$67)&lt;0.00005),"*",LINEAS!$D$121&amp;" UNI "&amp;IF(LINEAS!$U$121&lt;=2,"GZ","GX")&amp;" "&amp;TEXT(IF(OR(LINEAS!$U$121=1,LINEAS!$U$121=3),1,-1)*LINEAS!$AI$121*DATOS!$C$67,DATOS!$C$68)))</f>
        <v/>
      </c>
      <c r="E1631" s="51" t="str">
        <f aca="false">IF(LEN($D1631)&gt;79,"MÁS DE 79 CARACTERES","")</f>
        <v/>
      </c>
    </row>
    <row r="1632" customFormat="false" ht="15" hidden="false" customHeight="true" outlineLevel="0" collapsed="false">
      <c r="B1632" s="53" t="str">
        <f aca="false">IF(OR(LINEAS!$D$122="",LINEAS!$U$122=0,ABS(IF(OR(LINEAS!$U$122=1,LINEAS!$U$122=3),1,-1)*LINEAS!$AI$122*DATOS!$C$67)&lt;0.00005),"*",LINEAS!$D$122&amp;" UNI "&amp;IF(LINEAS!$U$122&lt;=2,"GZ","GX")&amp;" "&amp;TEXT(IF(OR(LINEAS!$U$122=1,LINEAS!$U$122=3),1,-1)*LINEAS!$AI$122*DATOS!$C$67,DATOS!$C$68))</f>
        <v>272 UNI GZ -0.7275</v>
      </c>
      <c r="C1632" s="51" t="str">
        <f aca="false">IF(LEN($B1632)&gt;79,"MÁS DE 79 CARACTERES","")</f>
        <v/>
      </c>
      <c r="D1632" s="53" t="str">
        <f aca="false">IF(PRESIONES!$C$22="NO","",IF(OR(LINEAS!$D$122="",LINEAS!$U$122=0,ABS(IF(OR(LINEAS!$U$122=1,LINEAS!$U$122=3),1,-1)*LINEAS!$AI$122*DATOS!$C$67)&lt;0.00005),"*",LINEAS!$D$122&amp;" UNI "&amp;IF(LINEAS!$U$122&lt;=2,"GZ","GX")&amp;" "&amp;TEXT(IF(OR(LINEAS!$U$122=1,LINEAS!$U$122=3),1,-1)*LINEAS!$AI$122*DATOS!$C$67,DATOS!$C$68)))</f>
        <v/>
      </c>
      <c r="E1632" s="51" t="str">
        <f aca="false">IF(LEN($D1632)&gt;79,"MÁS DE 79 CARACTERES","")</f>
        <v/>
      </c>
    </row>
    <row r="1633" customFormat="false" ht="15" hidden="false" customHeight="true" outlineLevel="0" collapsed="false">
      <c r="B1633" s="53" t="str">
        <f aca="false">IF(OR(LINEAS!$D$123="",LINEAS!$U$123=0,ABS(IF(OR(LINEAS!$U$123=1,LINEAS!$U$123=3),1,-1)*LINEAS!$AI$123*DATOS!$C$67)&lt;0.00005),"*",LINEAS!$D$123&amp;" UNI "&amp;IF(LINEAS!$U$123&lt;=2,"GZ","GX")&amp;" "&amp;TEXT(IF(OR(LINEAS!$U$123=1,LINEAS!$U$123=3),1,-1)*LINEAS!$AI$123*DATOS!$C$67,DATOS!$C$68))</f>
        <v>273 UNI GZ -0.7275</v>
      </c>
      <c r="C1633" s="51" t="str">
        <f aca="false">IF(LEN($B1633)&gt;79,"MÁS DE 79 CARACTERES","")</f>
        <v/>
      </c>
      <c r="D1633" s="53" t="str">
        <f aca="false">IF(PRESIONES!$C$22="NO","",IF(OR(LINEAS!$D$123="",LINEAS!$U$123=0,ABS(IF(OR(LINEAS!$U$123=1,LINEAS!$U$123=3),1,-1)*LINEAS!$AI$123*DATOS!$C$67)&lt;0.00005),"*",LINEAS!$D$123&amp;" UNI "&amp;IF(LINEAS!$U$123&lt;=2,"GZ","GX")&amp;" "&amp;TEXT(IF(OR(LINEAS!$U$123=1,LINEAS!$U$123=3),1,-1)*LINEAS!$AI$123*DATOS!$C$67,DATOS!$C$68)))</f>
        <v/>
      </c>
      <c r="E1633" s="51" t="str">
        <f aca="false">IF(LEN($D1633)&gt;79,"MÁS DE 79 CARACTERES","")</f>
        <v/>
      </c>
    </row>
    <row r="1634" customFormat="false" ht="15" hidden="false" customHeight="true" outlineLevel="0" collapsed="false">
      <c r="B1634" s="53" t="str">
        <f aca="false">IF(OR(LINEAS!$D$124="",LINEAS!$U$124=0,ABS(IF(OR(LINEAS!$U$124=1,LINEAS!$U$124=3),1,-1)*LINEAS!$AI$124*DATOS!$C$67)&lt;0.00005),"*",LINEAS!$D$124&amp;" UNI "&amp;IF(LINEAS!$U$124&lt;=2,"GZ","GX")&amp;" "&amp;TEXT(IF(OR(LINEAS!$U$124=1,LINEAS!$U$124=3),1,-1)*LINEAS!$AI$124*DATOS!$C$67,DATOS!$C$68))</f>
        <v>280 UNI GZ -0.7275</v>
      </c>
      <c r="C1634" s="51" t="str">
        <f aca="false">IF(LEN($B1634)&gt;79,"MÁS DE 79 CARACTERES","")</f>
        <v/>
      </c>
      <c r="D1634" s="53" t="str">
        <f aca="false">IF(PRESIONES!$C$22="NO","",IF(OR(LINEAS!$D$124="",LINEAS!$U$124=0,ABS(IF(OR(LINEAS!$U$124=1,LINEAS!$U$124=3),1,-1)*LINEAS!$AI$124*DATOS!$C$67)&lt;0.00005),"*",LINEAS!$D$124&amp;" UNI "&amp;IF(LINEAS!$U$124&lt;=2,"GZ","GX")&amp;" "&amp;TEXT(IF(OR(LINEAS!$U$124=1,LINEAS!$U$124=3),1,-1)*LINEAS!$AI$124*DATOS!$C$67,DATOS!$C$68)))</f>
        <v/>
      </c>
      <c r="E1634" s="51" t="str">
        <f aca="false">IF(LEN($D1634)&gt;79,"MÁS DE 79 CARACTERES","")</f>
        <v/>
      </c>
    </row>
    <row r="1635" customFormat="false" ht="15" hidden="false" customHeight="true" outlineLevel="0" collapsed="false">
      <c r="B1635" s="53" t="str">
        <f aca="false">IF(OR(LINEAS!$D$125="",LINEAS!$U$125=0,ABS(IF(OR(LINEAS!$U$125=1,LINEAS!$U$125=3),1,-1)*LINEAS!$AI$125*DATOS!$C$67)&lt;0.00005),"*",LINEAS!$D$125&amp;" UNI "&amp;IF(LINEAS!$U$125&lt;=2,"GZ","GX")&amp;" "&amp;TEXT(IF(OR(LINEAS!$U$125=1,LINEAS!$U$125=3),1,-1)*LINEAS!$AI$125*DATOS!$C$67,DATOS!$C$68))</f>
        <v>282 UNI GZ -0.7275</v>
      </c>
      <c r="C1635" s="51" t="str">
        <f aca="false">IF(LEN($B1635)&gt;79,"MÁS DE 79 CARACTERES","")</f>
        <v/>
      </c>
      <c r="D1635" s="53" t="str">
        <f aca="false">IF(PRESIONES!$C$22="NO","",IF(OR(LINEAS!$D$125="",LINEAS!$U$125=0,ABS(IF(OR(LINEAS!$U$125=1,LINEAS!$U$125=3),1,-1)*LINEAS!$AI$125*DATOS!$C$67)&lt;0.00005),"*",LINEAS!$D$125&amp;" UNI "&amp;IF(LINEAS!$U$125&lt;=2,"GZ","GX")&amp;" "&amp;TEXT(IF(OR(LINEAS!$U$125=1,LINEAS!$U$125=3),1,-1)*LINEAS!$AI$125*DATOS!$C$67,DATOS!$C$68)))</f>
        <v/>
      </c>
      <c r="E1635" s="51" t="str">
        <f aca="false">IF(LEN($D1635)&gt;79,"MÁS DE 79 CARACTERES","")</f>
        <v/>
      </c>
    </row>
    <row r="1636" customFormat="false" ht="15" hidden="false" customHeight="true" outlineLevel="0" collapsed="false">
      <c r="B1636" s="53" t="str">
        <f aca="false">IF(OR(LINEAS!$D$126="",LINEAS!$U$126=0,ABS(IF(OR(LINEAS!$U$126=1,LINEAS!$U$126=3),1,-1)*LINEAS!$AI$126*DATOS!$C$67)&lt;0.00005),"*",LINEAS!$D$126&amp;" UNI "&amp;IF(LINEAS!$U$126&lt;=2,"GZ","GX")&amp;" "&amp;TEXT(IF(OR(LINEAS!$U$126=1,LINEAS!$U$126=3),1,-1)*LINEAS!$AI$126*DATOS!$C$67,DATOS!$C$68))</f>
        <v>290 UNI GZ -0.7275</v>
      </c>
      <c r="C1636" s="51" t="str">
        <f aca="false">IF(LEN($B1636)&gt;79,"MÁS DE 79 CARACTERES","")</f>
        <v/>
      </c>
      <c r="D1636" s="53" t="str">
        <f aca="false">IF(PRESIONES!$C$22="NO","",IF(OR(LINEAS!$D$126="",LINEAS!$U$126=0,ABS(IF(OR(LINEAS!$U$126=1,LINEAS!$U$126=3),1,-1)*LINEAS!$AI$126*DATOS!$C$67)&lt;0.00005),"*",LINEAS!$D$126&amp;" UNI "&amp;IF(LINEAS!$U$126&lt;=2,"GZ","GX")&amp;" "&amp;TEXT(IF(OR(LINEAS!$U$126=1,LINEAS!$U$126=3),1,-1)*LINEAS!$AI$126*DATOS!$C$67,DATOS!$C$68)))</f>
        <v/>
      </c>
      <c r="E1636" s="51" t="str">
        <f aca="false">IF(LEN($D1636)&gt;79,"MÁS DE 79 CARACTERES","")</f>
        <v/>
      </c>
    </row>
    <row r="1637" customFormat="false" ht="15" hidden="false" customHeight="true" outlineLevel="0" collapsed="false">
      <c r="B1637" s="53" t="str">
        <f aca="false">IF(OR(LINEAS!$D$127="",LINEAS!$U$127=0,ABS(IF(OR(LINEAS!$U$127=1,LINEAS!$U$127=3),1,-1)*LINEAS!$AI$127*DATOS!$C$67)&lt;0.00005),"*",LINEAS!$D$127&amp;" UNI "&amp;IF(LINEAS!$U$127&lt;=2,"GZ","GX")&amp;" "&amp;TEXT(IF(OR(LINEAS!$U$127=1,LINEAS!$U$127=3),1,-1)*LINEAS!$AI$127*DATOS!$C$67,DATOS!$C$68))</f>
        <v>291 UNI GZ -0.7275</v>
      </c>
      <c r="C1637" s="51" t="str">
        <f aca="false">IF(LEN($B1637)&gt;79,"MÁS DE 79 CARACTERES","")</f>
        <v/>
      </c>
      <c r="D1637" s="53" t="str">
        <f aca="false">IF(PRESIONES!$C$22="NO","",IF(OR(LINEAS!$D$127="",LINEAS!$U$127=0,ABS(IF(OR(LINEAS!$U$127=1,LINEAS!$U$127=3),1,-1)*LINEAS!$AI$127*DATOS!$C$67)&lt;0.00005),"*",LINEAS!$D$127&amp;" UNI "&amp;IF(LINEAS!$U$127&lt;=2,"GZ","GX")&amp;" "&amp;TEXT(IF(OR(LINEAS!$U$127=1,LINEAS!$U$127=3),1,-1)*LINEAS!$AI$127*DATOS!$C$67,DATOS!$C$68)))</f>
        <v/>
      </c>
      <c r="E1637" s="51" t="str">
        <f aca="false">IF(LEN($D1637)&gt;79,"MÁS DE 79 CARACTERES","")</f>
        <v/>
      </c>
    </row>
    <row r="1638" customFormat="false" ht="15" hidden="false" customHeight="true" outlineLevel="0" collapsed="false">
      <c r="B1638" s="53" t="str">
        <f aca="false">IF(OR(LINEAS!$D$128="",LINEAS!$U$128=0,ABS(IF(OR(LINEAS!$U$128=1,LINEAS!$U$128=3),1,-1)*LINEAS!$AI$128*DATOS!$C$67)&lt;0.00005),"*",LINEAS!$D$128&amp;" UNI "&amp;IF(LINEAS!$U$128&lt;=2,"GZ","GX")&amp;" "&amp;TEXT(IF(OR(LINEAS!$U$128=1,LINEAS!$U$128=3),1,-1)*LINEAS!$AI$128*DATOS!$C$67,DATOS!$C$68))</f>
        <v>298 UNI GZ -0.4638</v>
      </c>
      <c r="C1638" s="51" t="str">
        <f aca="false">IF(LEN($B1638)&gt;79,"MÁS DE 79 CARACTERES","")</f>
        <v/>
      </c>
      <c r="D1638" s="53" t="str">
        <f aca="false">IF(PRESIONES!$C$22="NO","",IF(OR(LINEAS!$D$128="",LINEAS!$U$128=0,ABS(IF(OR(LINEAS!$U$128=1,LINEAS!$U$128=3),1,-1)*LINEAS!$AI$128*DATOS!$C$67)&lt;0.00005),"*",LINEAS!$D$128&amp;" UNI "&amp;IF(LINEAS!$U$128&lt;=2,"GZ","GX")&amp;" "&amp;TEXT(IF(OR(LINEAS!$U$128=1,LINEAS!$U$128=3),1,-1)*LINEAS!$AI$128*DATOS!$C$67,DATOS!$C$68)))</f>
        <v/>
      </c>
      <c r="E1638" s="51" t="str">
        <f aca="false">IF(LEN($D1638)&gt;79,"MÁS DE 79 CARACTERES","")</f>
        <v/>
      </c>
    </row>
    <row r="1639" customFormat="false" ht="15" hidden="false" customHeight="true" outlineLevel="0" collapsed="false">
      <c r="B1639" s="53" t="str">
        <f aca="false">IF(OR(LINEAS!$D$129="",LINEAS!$U$129=0,ABS(IF(OR(LINEAS!$U$129=1,LINEAS!$U$129=3),1,-1)*LINEAS!$AI$129*DATOS!$C$67)&lt;0.00005),"*",LINEAS!$D$129&amp;" UNI "&amp;IF(LINEAS!$U$129&lt;=2,"GZ","GX")&amp;" "&amp;TEXT(IF(OR(LINEAS!$U$129=1,LINEAS!$U$129=3),1,-1)*LINEAS!$AI$129*DATOS!$C$67,DATOS!$C$68))</f>
        <v>299 UNI GZ -0.4638</v>
      </c>
      <c r="C1639" s="51" t="str">
        <f aca="false">IF(LEN($B1639)&gt;79,"MÁS DE 79 CARACTERES","")</f>
        <v/>
      </c>
      <c r="D1639" s="53" t="str">
        <f aca="false">IF(PRESIONES!$C$22="NO","",IF(OR(LINEAS!$D$129="",LINEAS!$U$129=0,ABS(IF(OR(LINEAS!$U$129=1,LINEAS!$U$129=3),1,-1)*LINEAS!$AI$129*DATOS!$C$67)&lt;0.00005),"*",LINEAS!$D$129&amp;" UNI "&amp;IF(LINEAS!$U$129&lt;=2,"GZ","GX")&amp;" "&amp;TEXT(IF(OR(LINEAS!$U$129=1,LINEAS!$U$129=3),1,-1)*LINEAS!$AI$129*DATOS!$C$67,DATOS!$C$68)))</f>
        <v/>
      </c>
      <c r="E1639" s="51" t="str">
        <f aca="false">IF(LEN($D1639)&gt;79,"MÁS DE 79 CARACTERES","")</f>
        <v/>
      </c>
    </row>
    <row r="1640" customFormat="false" ht="15" hidden="false" customHeight="true" outlineLevel="0" collapsed="false">
      <c r="B1640" s="53" t="str">
        <f aca="false">IF(OR(LINEAS!$D$130="",LINEAS!$U$130=0,ABS(IF(OR(LINEAS!$U$130=1,LINEAS!$U$130=3),1,-1)*LINEAS!$AI$130*DATOS!$C$67)&lt;0.00005),"*",LINEAS!$D$130&amp;" UNI "&amp;IF(LINEAS!$U$130&lt;=2,"GZ","GX")&amp;" "&amp;TEXT(IF(OR(LINEAS!$U$130=1,LINEAS!$U$130=3),1,-1)*LINEAS!$AI$130*DATOS!$C$67,DATOS!$C$68))</f>
        <v>326 UNI GZ -0.3637</v>
      </c>
      <c r="C1640" s="51" t="str">
        <f aca="false">IF(LEN($B1640)&gt;79,"MÁS DE 79 CARACTERES","")</f>
        <v/>
      </c>
      <c r="D1640" s="53" t="str">
        <f aca="false">IF(PRESIONES!$C$22="NO","",IF(OR(LINEAS!$D$130="",LINEAS!$U$130=0,ABS(IF(OR(LINEAS!$U$130=1,LINEAS!$U$130=3),1,-1)*LINEAS!$AI$130*DATOS!$C$67)&lt;0.00005),"*",LINEAS!$D$130&amp;" UNI "&amp;IF(LINEAS!$U$130&lt;=2,"GZ","GX")&amp;" "&amp;TEXT(IF(OR(LINEAS!$U$130=1,LINEAS!$U$130=3),1,-1)*LINEAS!$AI$130*DATOS!$C$67,DATOS!$C$68)))</f>
        <v/>
      </c>
      <c r="E1640" s="51" t="str">
        <f aca="false">IF(LEN($D1640)&gt;79,"MÁS DE 79 CARACTERES","")</f>
        <v/>
      </c>
    </row>
    <row r="1641" customFormat="false" ht="15" hidden="false" customHeight="true" outlineLevel="0" collapsed="false">
      <c r="B1641" s="53" t="str">
        <f aca="false">IF(OR(LINEAS!$D$131="",LINEAS!$U$131=0,ABS(IF(OR(LINEAS!$U$131=1,LINEAS!$U$131=3),1,-1)*LINEAS!$AI$131*DATOS!$C$67)&lt;0.00005),"*",LINEAS!$D$131&amp;" UNI "&amp;IF(LINEAS!$U$131&lt;=2,"GZ","GX")&amp;" "&amp;TEXT(IF(OR(LINEAS!$U$131=1,LINEAS!$U$131=3),1,-1)*LINEAS!$AI$131*DATOS!$C$67,DATOS!$C$68))</f>
        <v>25 UNI GZ -0.2637</v>
      </c>
      <c r="C1641" s="51" t="str">
        <f aca="false">IF(LEN($B1641)&gt;79,"MÁS DE 79 CARACTERES","")</f>
        <v/>
      </c>
      <c r="D1641" s="53" t="str">
        <f aca="false">IF(PRESIONES!$C$22="NO","",IF(OR(LINEAS!$D$131="",LINEAS!$U$131=0,ABS(IF(OR(LINEAS!$U$131=1,LINEAS!$U$131=3),1,-1)*LINEAS!$AI$131*DATOS!$C$67)&lt;0.00005),"*",LINEAS!$D$131&amp;" UNI "&amp;IF(LINEAS!$U$131&lt;=2,"GZ","GX")&amp;" "&amp;TEXT(IF(OR(LINEAS!$U$131=1,LINEAS!$U$131=3),1,-1)*LINEAS!$AI$131*DATOS!$C$67,DATOS!$C$68)))</f>
        <v/>
      </c>
      <c r="E1641" s="51" t="str">
        <f aca="false">IF(LEN($D1641)&gt;79,"MÁS DE 79 CARACTERES","")</f>
        <v/>
      </c>
    </row>
    <row r="1642" customFormat="false" ht="15" hidden="false" customHeight="true" outlineLevel="0" collapsed="false">
      <c r="B1642" s="53" t="str">
        <f aca="false">IF(OR(LINEAS!$D$132="",LINEAS!$U$132=0,ABS(IF(OR(LINEAS!$U$132=1,LINEAS!$U$132=3),1,-1)*LINEAS!$AI$132*DATOS!$C$67)&lt;0.00005),"*",LINEAS!$D$132&amp;" UNI "&amp;IF(LINEAS!$U$132&lt;=2,"GZ","GX")&amp;" "&amp;TEXT(IF(OR(LINEAS!$U$132=1,LINEAS!$U$132=3),1,-1)*LINEAS!$AI$132*DATOS!$C$67,DATOS!$C$68))</f>
        <v>327 UNI GZ -0.3637</v>
      </c>
      <c r="C1642" s="51" t="str">
        <f aca="false">IF(LEN($B1642)&gt;79,"MÁS DE 79 CARACTERES","")</f>
        <v/>
      </c>
      <c r="D1642" s="53" t="str">
        <f aca="false">IF(PRESIONES!$C$22="NO","",IF(OR(LINEAS!$D$132="",LINEAS!$U$132=0,ABS(IF(OR(LINEAS!$U$132=1,LINEAS!$U$132=3),1,-1)*LINEAS!$AI$132*DATOS!$C$67)&lt;0.00005),"*",LINEAS!$D$132&amp;" UNI "&amp;IF(LINEAS!$U$132&lt;=2,"GZ","GX")&amp;" "&amp;TEXT(IF(OR(LINEAS!$U$132=1,LINEAS!$U$132=3),1,-1)*LINEAS!$AI$132*DATOS!$C$67,DATOS!$C$68)))</f>
        <v/>
      </c>
      <c r="E1642" s="51" t="str">
        <f aca="false">IF(LEN($D1642)&gt;79,"MÁS DE 79 CARACTERES","")</f>
        <v/>
      </c>
    </row>
    <row r="1643" customFormat="false" ht="15" hidden="false" customHeight="true" outlineLevel="0" collapsed="false">
      <c r="B1643" s="53" t="str">
        <f aca="false">IF(OR(LINEAS!$D$133="",LINEAS!$U$133=0,ABS(IF(OR(LINEAS!$U$133=1,LINEAS!$U$133=3),1,-1)*LINEAS!$AI$133*DATOS!$C$67)&lt;0.00005),"*",LINEAS!$D$133&amp;" UNI "&amp;IF(LINEAS!$U$133&lt;=2,"GZ","GX")&amp;" "&amp;TEXT(IF(OR(LINEAS!$U$133=1,LINEAS!$U$133=3),1,-1)*LINEAS!$AI$133*DATOS!$C$67,DATOS!$C$68))</f>
        <v>306 UNI GZ -0.6275</v>
      </c>
      <c r="C1643" s="51" t="str">
        <f aca="false">IF(LEN($B1643)&gt;79,"MÁS DE 79 CARACTERES","")</f>
        <v/>
      </c>
      <c r="D1643" s="53" t="str">
        <f aca="false">IF(PRESIONES!$C$22="NO","",IF(OR(LINEAS!$D$133="",LINEAS!$U$133=0,ABS(IF(OR(LINEAS!$U$133=1,LINEAS!$U$133=3),1,-1)*LINEAS!$AI$133*DATOS!$C$67)&lt;0.00005),"*",LINEAS!$D$133&amp;" UNI "&amp;IF(LINEAS!$U$133&lt;=2,"GZ","GX")&amp;" "&amp;TEXT(IF(OR(LINEAS!$U$133=1,LINEAS!$U$133=3),1,-1)*LINEAS!$AI$133*DATOS!$C$67,DATOS!$C$68)))</f>
        <v/>
      </c>
      <c r="E1643" s="51" t="str">
        <f aca="false">IF(LEN($D1643)&gt;79,"MÁS DE 79 CARACTERES","")</f>
        <v/>
      </c>
    </row>
    <row r="1644" customFormat="false" ht="15" hidden="false" customHeight="true" outlineLevel="0" collapsed="false">
      <c r="B1644" s="53" t="str">
        <f aca="false">IF(OR(LINEAS!$D$134="",LINEAS!$U$134=0,ABS(IF(OR(LINEAS!$U$134=1,LINEAS!$U$134=3),1,-1)*LINEAS!$AI$134*DATOS!$C$67)&lt;0.00005),"*",LINEAS!$D$134&amp;" UNI "&amp;IF(LINEAS!$U$134&lt;=2,"GZ","GX")&amp;" "&amp;TEXT(IF(OR(LINEAS!$U$134=1,LINEAS!$U$134=3),1,-1)*LINEAS!$AI$134*DATOS!$C$67,DATOS!$C$68))</f>
        <v>322 UNI GZ -0.7275</v>
      </c>
      <c r="C1644" s="51" t="str">
        <f aca="false">IF(LEN($B1644)&gt;79,"MÁS DE 79 CARACTERES","")</f>
        <v/>
      </c>
      <c r="D1644" s="53" t="str">
        <f aca="false">IF(PRESIONES!$C$22="NO","",IF(OR(LINEAS!$D$134="",LINEAS!$U$134=0,ABS(IF(OR(LINEAS!$U$134=1,LINEAS!$U$134=3),1,-1)*LINEAS!$AI$134*DATOS!$C$67)&lt;0.00005),"*",LINEAS!$D$134&amp;" UNI "&amp;IF(LINEAS!$U$134&lt;=2,"GZ","GX")&amp;" "&amp;TEXT(IF(OR(LINEAS!$U$134=1,LINEAS!$U$134=3),1,-1)*LINEAS!$AI$134*DATOS!$C$67,DATOS!$C$68)))</f>
        <v/>
      </c>
      <c r="E1644" s="51" t="str">
        <f aca="false">IF(LEN($D1644)&gt;79,"MÁS DE 79 CARACTERES","")</f>
        <v/>
      </c>
    </row>
    <row r="1645" customFormat="false" ht="15" hidden="false" customHeight="true" outlineLevel="0" collapsed="false">
      <c r="B1645" s="53" t="str">
        <f aca="false">IF(OR(LINEAS!$D$135="",LINEAS!$U$135=0,ABS(IF(OR(LINEAS!$U$135=1,LINEAS!$U$135=3),1,-1)*LINEAS!$AI$135*DATOS!$C$67)&lt;0.00005),"*",LINEAS!$D$135&amp;" UNI "&amp;IF(LINEAS!$U$135&lt;=2,"GZ","GX")&amp;" "&amp;TEXT(IF(OR(LINEAS!$U$135=1,LINEAS!$U$135=3),1,-1)*LINEAS!$AI$135*DATOS!$C$67,DATOS!$C$68))</f>
        <v>323 UNI GZ -0.6729</v>
      </c>
      <c r="C1645" s="51" t="str">
        <f aca="false">IF(LEN($B1645)&gt;79,"MÁS DE 79 CARACTERES","")</f>
        <v/>
      </c>
      <c r="D1645" s="53" t="str">
        <f aca="false">IF(PRESIONES!$C$22="NO","",IF(OR(LINEAS!$D$135="",LINEAS!$U$135=0,ABS(IF(OR(LINEAS!$U$135=1,LINEAS!$U$135=3),1,-1)*LINEAS!$AI$135*DATOS!$C$67)&lt;0.00005),"*",LINEAS!$D$135&amp;" UNI "&amp;IF(LINEAS!$U$135&lt;=2,"GZ","GX")&amp;" "&amp;TEXT(IF(OR(LINEAS!$U$135=1,LINEAS!$U$135=3),1,-1)*LINEAS!$AI$135*DATOS!$C$67,DATOS!$C$68)))</f>
        <v/>
      </c>
      <c r="E1645" s="51" t="str">
        <f aca="false">IF(LEN($D1645)&gt;79,"MÁS DE 79 CARACTERES","")</f>
        <v/>
      </c>
    </row>
    <row r="1646" customFormat="false" ht="15" hidden="false" customHeight="true" outlineLevel="0" collapsed="false">
      <c r="B1646" s="53" t="str">
        <f aca="false">IF(OR(LINEAS!$D$136="",LINEAS!$U$136=0,ABS(IF(OR(LINEAS!$U$136=1,LINEAS!$U$136=3),1,-1)*LINEAS!$AI$136*DATOS!$C$67)&lt;0.00005),"*",LINEAS!$D$136&amp;" UNI "&amp;IF(LINEAS!$U$136&lt;=2,"GZ","GX")&amp;" "&amp;TEXT(IF(OR(LINEAS!$U$136=1,LINEAS!$U$136=3),1,-1)*LINEAS!$AI$136*DATOS!$C$67,DATOS!$C$68))</f>
        <v>22 85 TO 88 UNI GZ -0.3092</v>
      </c>
      <c r="C1646" s="51" t="str">
        <f aca="false">IF(LEN($B1646)&gt;79,"MÁS DE 79 CARACTERES","")</f>
        <v/>
      </c>
      <c r="D1646" s="53" t="str">
        <f aca="false">IF(PRESIONES!$C$22="NO","",IF(OR(LINEAS!$D$136="",LINEAS!$U$136=0,ABS(IF(OR(LINEAS!$U$136=1,LINEAS!$U$136=3),1,-1)*LINEAS!$AI$136*DATOS!$C$67)&lt;0.00005),"*",LINEAS!$D$136&amp;" UNI "&amp;IF(LINEAS!$U$136&lt;=2,"GZ","GX")&amp;" "&amp;TEXT(IF(OR(LINEAS!$U$136=1,LINEAS!$U$136=3),1,-1)*LINEAS!$AI$136*DATOS!$C$67,DATOS!$C$68)))</f>
        <v/>
      </c>
      <c r="E1646" s="51" t="str">
        <f aca="false">IF(LEN($D1646)&gt;79,"MÁS DE 79 CARACTERES","")</f>
        <v/>
      </c>
    </row>
    <row r="1647" customFormat="false" ht="15" hidden="false" customHeight="true" outlineLevel="0" collapsed="false">
      <c r="B1647" s="53" t="str">
        <f aca="false">IF(OR(LINEAS!$D$137="",LINEAS!$U$137=0,ABS(IF(OR(LINEAS!$U$137=1,LINEAS!$U$137=3),1,-1)*LINEAS!$AI$137*DATOS!$C$67)&lt;0.00005),"*",LINEAS!$D$137&amp;" UNI "&amp;IF(LINEAS!$U$137&lt;=2,"GZ","GX")&amp;" "&amp;TEXT(IF(OR(LINEAS!$U$137=1,LINEAS!$U$137=3),1,-1)*LINEAS!$AI$137*DATOS!$C$67,DATOS!$C$68))</f>
        <v>*</v>
      </c>
      <c r="C1647" s="51" t="str">
        <f aca="false">IF(LEN($B1647)&gt;79,"MÁS DE 79 CARACTERES","")</f>
        <v/>
      </c>
      <c r="D1647" s="53" t="str">
        <f aca="false">IF(PRESIONES!$C$22="NO","",IF(OR(LINEAS!$D$137="",LINEAS!$U$137=0,ABS(IF(OR(LINEAS!$U$137=1,LINEAS!$U$137=3),1,-1)*LINEAS!$AI$137*DATOS!$C$67)&lt;0.00005),"*",LINEAS!$D$137&amp;" UNI "&amp;IF(LINEAS!$U$137&lt;=2,"GZ","GX")&amp;" "&amp;TEXT(IF(OR(LINEAS!$U$137=1,LINEAS!$U$137=3),1,-1)*LINEAS!$AI$137*DATOS!$C$67,DATOS!$C$68)))</f>
        <v/>
      </c>
      <c r="E1647" s="51" t="str">
        <f aca="false">IF(LEN($D1647)&gt;79,"MÁS DE 79 CARACTERES","")</f>
        <v/>
      </c>
    </row>
    <row r="1648" customFormat="false" ht="15" hidden="false" customHeight="true" outlineLevel="0" collapsed="false">
      <c r="B1648" s="53" t="str">
        <f aca="false">IF(OR(LINEAS!$D$138="",LINEAS!$U$138=0,ABS(IF(OR(LINEAS!$U$138=1,LINEAS!$U$138=3),1,-1)*LINEAS!$AI$138*DATOS!$C$67)&lt;0.00005),"*",LINEAS!$D$138&amp;" UNI "&amp;IF(LINEAS!$U$138&lt;=2,"GZ","GX")&amp;" "&amp;TEXT(IF(OR(LINEAS!$U$138=1,LINEAS!$U$138=3),1,-1)*LINEAS!$AI$138*DATOS!$C$67,DATOS!$C$68))</f>
        <v>*</v>
      </c>
      <c r="C1648" s="51" t="str">
        <f aca="false">IF(LEN($B1648)&gt;79,"MÁS DE 79 CARACTERES","")</f>
        <v/>
      </c>
      <c r="D1648" s="53" t="str">
        <f aca="false">IF(PRESIONES!$C$22="NO","",IF(OR(LINEAS!$D$138="",LINEAS!$U$138=0,ABS(IF(OR(LINEAS!$U$138=1,LINEAS!$U$138=3),1,-1)*LINEAS!$AI$138*DATOS!$C$67)&lt;0.00005),"*",LINEAS!$D$138&amp;" UNI "&amp;IF(LINEAS!$U$138&lt;=2,"GZ","GX")&amp;" "&amp;TEXT(IF(OR(LINEAS!$U$138=1,LINEAS!$U$138=3),1,-1)*LINEAS!$AI$138*DATOS!$C$67,DATOS!$C$68)))</f>
        <v/>
      </c>
      <c r="E1648" s="51" t="str">
        <f aca="false">IF(LEN($D1648)&gt;79,"MÁS DE 79 CARACTERES","")</f>
        <v/>
      </c>
    </row>
    <row r="1649" customFormat="false" ht="15" hidden="false" customHeight="true" outlineLevel="0" collapsed="false">
      <c r="B1649" s="53" t="str">
        <f aca="false">IF(OR(LINEAS!$D$139="",LINEAS!$U$139=0,ABS(IF(OR(LINEAS!$U$139=1,LINEAS!$U$139=3),1,-1)*LINEAS!$AI$139*DATOS!$C$67)&lt;0.00005),"*",LINEAS!$D$139&amp;" UNI "&amp;IF(LINEAS!$U$139&lt;=2,"GZ","GX")&amp;" "&amp;TEXT(IF(OR(LINEAS!$U$139=1,LINEAS!$U$139=3),1,-1)*LINEAS!$AI$139*DATOS!$C$67,DATOS!$C$68))</f>
        <v>*</v>
      </c>
      <c r="C1649" s="51" t="str">
        <f aca="false">IF(LEN($B1649)&gt;79,"MÁS DE 79 CARACTERES","")</f>
        <v/>
      </c>
      <c r="D1649" s="53" t="str">
        <f aca="false">IF(PRESIONES!$C$22="NO","",IF(OR(LINEAS!$D$139="",LINEAS!$U$139=0,ABS(IF(OR(LINEAS!$U$139=1,LINEAS!$U$139=3),1,-1)*LINEAS!$AI$139*DATOS!$C$67)&lt;0.00005),"*",LINEAS!$D$139&amp;" UNI "&amp;IF(LINEAS!$U$139&lt;=2,"GZ","GX")&amp;" "&amp;TEXT(IF(OR(LINEAS!$U$139=1,LINEAS!$U$139=3),1,-1)*LINEAS!$AI$139*DATOS!$C$67,DATOS!$C$68)))</f>
        <v/>
      </c>
      <c r="E1649" s="51" t="str">
        <f aca="false">IF(LEN($D1649)&gt;79,"MÁS DE 79 CARACTERES","")</f>
        <v/>
      </c>
    </row>
    <row r="1650" customFormat="false" ht="15" hidden="false" customHeight="true" outlineLevel="0" collapsed="false">
      <c r="B1650" s="53" t="str">
        <f aca="false">IF(OR(LINEAS!$D$140="",LINEAS!$U$140=0,ABS(IF(OR(LINEAS!$U$140=1,LINEAS!$U$140=3),1,-1)*LINEAS!$AI$140*DATOS!$C$67)&lt;0.00005),"*",LINEAS!$D$140&amp;" UNI "&amp;IF(LINEAS!$U$140&lt;=2,"GZ","GX")&amp;" "&amp;TEXT(IF(OR(LINEAS!$U$140=1,LINEAS!$U$140=3),1,-1)*LINEAS!$AI$140*DATOS!$C$67,DATOS!$C$68))</f>
        <v>*</v>
      </c>
      <c r="C1650" s="51" t="str">
        <f aca="false">IF(LEN($B1650)&gt;79,"MÁS DE 79 CARACTERES","")</f>
        <v/>
      </c>
      <c r="D1650" s="53" t="str">
        <f aca="false">IF(PRESIONES!$C$22="NO","",IF(OR(LINEAS!$D$140="",LINEAS!$U$140=0,ABS(IF(OR(LINEAS!$U$140=1,LINEAS!$U$140=3),1,-1)*LINEAS!$AI$140*DATOS!$C$67)&lt;0.00005),"*",LINEAS!$D$140&amp;" UNI "&amp;IF(LINEAS!$U$140&lt;=2,"GZ","GX")&amp;" "&amp;TEXT(IF(OR(LINEAS!$U$140=1,LINEAS!$U$140=3),1,-1)*LINEAS!$AI$140*DATOS!$C$67,DATOS!$C$68)))</f>
        <v/>
      </c>
      <c r="E1650" s="51" t="str">
        <f aca="false">IF(LEN($D1650)&gt;79,"MÁS DE 79 CARACTERES","")</f>
        <v/>
      </c>
    </row>
    <row r="1651" customFormat="false" ht="15" hidden="false" customHeight="true" outlineLevel="0" collapsed="false">
      <c r="B1651" s="53" t="str">
        <f aca="false">IF(OR(LINEAS!$D$141="",LINEAS!$U$141=0,ABS(IF(OR(LINEAS!$U$141=1,LINEAS!$U$141=3),1,-1)*LINEAS!$AI$141*DATOS!$C$67)&lt;0.00005),"*",LINEAS!$D$141&amp;" UNI "&amp;IF(LINEAS!$U$141&lt;=2,"GZ","GX")&amp;" "&amp;TEXT(IF(OR(LINEAS!$U$141=1,LINEAS!$U$141=3),1,-1)*LINEAS!$AI$141*DATOS!$C$67,DATOS!$C$68))</f>
        <v>*</v>
      </c>
      <c r="C1651" s="51" t="str">
        <f aca="false">IF(LEN($B1651)&gt;79,"MÁS DE 79 CARACTERES","")</f>
        <v/>
      </c>
      <c r="D1651" s="53" t="str">
        <f aca="false">IF(PRESIONES!$C$22="NO","",IF(OR(LINEAS!$D$141="",LINEAS!$U$141=0,ABS(IF(OR(LINEAS!$U$141=1,LINEAS!$U$141=3),1,-1)*LINEAS!$AI$141*DATOS!$C$67)&lt;0.00005),"*",LINEAS!$D$141&amp;" UNI "&amp;IF(LINEAS!$U$141&lt;=2,"GZ","GX")&amp;" "&amp;TEXT(IF(OR(LINEAS!$U$141=1,LINEAS!$U$141=3),1,-1)*LINEAS!$AI$141*DATOS!$C$67,DATOS!$C$68)))</f>
        <v/>
      </c>
      <c r="E1651" s="51" t="str">
        <f aca="false">IF(LEN($D1651)&gt;79,"MÁS DE 79 CARACTERES","")</f>
        <v/>
      </c>
    </row>
    <row r="1652" customFormat="false" ht="15" hidden="false" customHeight="true" outlineLevel="0" collapsed="false">
      <c r="B1652" s="53" t="str">
        <f aca="false">IF(OR(LINEAS!$D$142="",LINEAS!$U$142=0,ABS(IF(OR(LINEAS!$U$142=1,LINEAS!$U$142=3),1,-1)*LINEAS!$AI$142*DATOS!$C$67)&lt;0.00005),"*",LINEAS!$D$142&amp;" UNI "&amp;IF(LINEAS!$U$142&lt;=2,"GZ","GX")&amp;" "&amp;TEXT(IF(OR(LINEAS!$U$142=1,LINEAS!$U$142=3),1,-1)*LINEAS!$AI$142*DATOS!$C$67,DATOS!$C$68))</f>
        <v>*</v>
      </c>
      <c r="C1652" s="51" t="str">
        <f aca="false">IF(LEN($B1652)&gt;79,"MÁS DE 79 CARACTERES","")</f>
        <v/>
      </c>
      <c r="D1652" s="53" t="str">
        <f aca="false">IF(PRESIONES!$C$22="NO","",IF(OR(LINEAS!$D$142="",LINEAS!$U$142=0,ABS(IF(OR(LINEAS!$U$142=1,LINEAS!$U$142=3),1,-1)*LINEAS!$AI$142*DATOS!$C$67)&lt;0.00005),"*",LINEAS!$D$142&amp;" UNI "&amp;IF(LINEAS!$U$142&lt;=2,"GZ","GX")&amp;" "&amp;TEXT(IF(OR(LINEAS!$U$142=1,LINEAS!$U$142=3),1,-1)*LINEAS!$AI$142*DATOS!$C$67,DATOS!$C$68)))</f>
        <v/>
      </c>
      <c r="E1652" s="51" t="str">
        <f aca="false">IF(LEN($D1652)&gt;79,"MÁS DE 79 CARACTERES","")</f>
        <v/>
      </c>
    </row>
    <row r="1653" customFormat="false" ht="15" hidden="false" customHeight="true" outlineLevel="0" collapsed="false">
      <c r="B1653" s="53" t="str">
        <f aca="false">IF(OR(LINEAS!$D$143="",LINEAS!$U$143=0,ABS(IF(OR(LINEAS!$U$143=1,LINEAS!$U$143=3),1,-1)*LINEAS!$AI$143*DATOS!$C$67)&lt;0.00005),"*",LINEAS!$D$143&amp;" UNI "&amp;IF(LINEAS!$U$143&lt;=2,"GZ","GX")&amp;" "&amp;TEXT(IF(OR(LINEAS!$U$143=1,LINEAS!$U$143=3),1,-1)*LINEAS!$AI$143*DATOS!$C$67,DATOS!$C$68))</f>
        <v>*</v>
      </c>
      <c r="C1653" s="51" t="str">
        <f aca="false">IF(LEN($B1653)&gt;79,"MÁS DE 79 CARACTERES","")</f>
        <v/>
      </c>
      <c r="D1653" s="53" t="str">
        <f aca="false">IF(PRESIONES!$C$22="NO","",IF(OR(LINEAS!$D$143="",LINEAS!$U$143=0,ABS(IF(OR(LINEAS!$U$143=1,LINEAS!$U$143=3),1,-1)*LINEAS!$AI$143*DATOS!$C$67)&lt;0.00005),"*",LINEAS!$D$143&amp;" UNI "&amp;IF(LINEAS!$U$143&lt;=2,"GZ","GX")&amp;" "&amp;TEXT(IF(OR(LINEAS!$U$143=1,LINEAS!$U$143=3),1,-1)*LINEAS!$AI$143*DATOS!$C$67,DATOS!$C$68)))</f>
        <v/>
      </c>
      <c r="E1653" s="51" t="str">
        <f aca="false">IF(LEN($D1653)&gt;79,"MÁS DE 79 CARACTERES","")</f>
        <v/>
      </c>
    </row>
    <row r="1654" customFormat="false" ht="15" hidden="false" customHeight="true" outlineLevel="0" collapsed="false">
      <c r="B1654" s="53" t="str">
        <f aca="false">IF(OR(LINEAS!$D$144="",LINEAS!$U$144=0,ABS(IF(OR(LINEAS!$U$144=1,LINEAS!$U$144=3),1,-1)*LINEAS!$AI$144*DATOS!$C$67)&lt;0.00005),"*",LINEAS!$D$144&amp;" UNI "&amp;IF(LINEAS!$U$144&lt;=2,"GZ","GX")&amp;" "&amp;TEXT(IF(OR(LINEAS!$U$144=1,LINEAS!$U$144=3),1,-1)*LINEAS!$AI$144*DATOS!$C$67,DATOS!$C$68))</f>
        <v>*</v>
      </c>
      <c r="C1654" s="51" t="str">
        <f aca="false">IF(LEN($B1654)&gt;79,"MÁS DE 79 CARACTERES","")</f>
        <v/>
      </c>
      <c r="D1654" s="53" t="str">
        <f aca="false">IF(PRESIONES!$C$22="NO","",IF(OR(LINEAS!$D$144="",LINEAS!$U$144=0,ABS(IF(OR(LINEAS!$U$144=1,LINEAS!$U$144=3),1,-1)*LINEAS!$AI$144*DATOS!$C$67)&lt;0.00005),"*",LINEAS!$D$144&amp;" UNI "&amp;IF(LINEAS!$U$144&lt;=2,"GZ","GX")&amp;" "&amp;TEXT(IF(OR(LINEAS!$U$144=1,LINEAS!$U$144=3),1,-1)*LINEAS!$AI$144*DATOS!$C$67,DATOS!$C$68)))</f>
        <v/>
      </c>
      <c r="E1654" s="51" t="str">
        <f aca="false">IF(LEN($D1654)&gt;79,"MÁS DE 79 CARACTERES","")</f>
        <v/>
      </c>
    </row>
    <row r="1655" customFormat="false" ht="15" hidden="false" customHeight="true" outlineLevel="0" collapsed="false">
      <c r="B1655" s="53" t="str">
        <f aca="false">IF(OR(LINEAS!$D$145="",LINEAS!$U$145=0,ABS(IF(OR(LINEAS!$U$145=1,LINEAS!$U$145=3),1,-1)*LINEAS!$AI$145*DATOS!$C$67)&lt;0.00005),"*",LINEAS!$D$145&amp;" UNI "&amp;IF(LINEAS!$U$145&lt;=2,"GZ","GX")&amp;" "&amp;TEXT(IF(OR(LINEAS!$U$145=1,LINEAS!$U$145=3),1,-1)*LINEAS!$AI$145*DATOS!$C$67,DATOS!$C$68))</f>
        <v>*</v>
      </c>
      <c r="C1655" s="51" t="str">
        <f aca="false">IF(LEN($B1655)&gt;79,"MÁS DE 79 CARACTERES","")</f>
        <v/>
      </c>
      <c r="D1655" s="53" t="str">
        <f aca="false">IF(PRESIONES!$C$22="NO","",IF(OR(LINEAS!$D$145="",LINEAS!$U$145=0,ABS(IF(OR(LINEAS!$U$145=1,LINEAS!$U$145=3),1,-1)*LINEAS!$AI$145*DATOS!$C$67)&lt;0.00005),"*",LINEAS!$D$145&amp;" UNI "&amp;IF(LINEAS!$U$145&lt;=2,"GZ","GX")&amp;" "&amp;TEXT(IF(OR(LINEAS!$U$145=1,LINEAS!$U$145=3),1,-1)*LINEAS!$AI$145*DATOS!$C$67,DATOS!$C$68)))</f>
        <v/>
      </c>
      <c r="E1655" s="51" t="str">
        <f aca="false">IF(LEN($D1655)&gt;79,"MÁS DE 79 CARACTERES","")</f>
        <v/>
      </c>
    </row>
    <row r="1656" customFormat="false" ht="15" hidden="false" customHeight="true" outlineLevel="0" collapsed="false">
      <c r="B1656" s="53" t="str">
        <f aca="false">IF(OR(LINEAS!$D$146="",LINEAS!$U$146=0,ABS(IF(OR(LINEAS!$U$146=1,LINEAS!$U$146=3),1,-1)*LINEAS!$AI$146*DATOS!$C$67)&lt;0.00005),"*",LINEAS!$D$146&amp;" UNI "&amp;IF(LINEAS!$U$146&lt;=2,"GZ","GX")&amp;" "&amp;TEXT(IF(OR(LINEAS!$U$146=1,LINEAS!$U$146=3),1,-1)*LINEAS!$AI$146*DATOS!$C$67,DATOS!$C$68))</f>
        <v>*</v>
      </c>
      <c r="C1656" s="51" t="str">
        <f aca="false">IF(LEN($B1656)&gt;79,"MÁS DE 79 CARACTERES","")</f>
        <v/>
      </c>
      <c r="D1656" s="53" t="str">
        <f aca="false">IF(PRESIONES!$C$22="NO","",IF(OR(LINEAS!$D$146="",LINEAS!$U$146=0,ABS(IF(OR(LINEAS!$U$146=1,LINEAS!$U$146=3),1,-1)*LINEAS!$AI$146*DATOS!$C$67)&lt;0.00005),"*",LINEAS!$D$146&amp;" UNI "&amp;IF(LINEAS!$U$146&lt;=2,"GZ","GX")&amp;" "&amp;TEXT(IF(OR(LINEAS!$U$146=1,LINEAS!$U$146=3),1,-1)*LINEAS!$AI$146*DATOS!$C$67,DATOS!$C$68)))</f>
        <v/>
      </c>
      <c r="E1656" s="51" t="str">
        <f aca="false">IF(LEN($D1656)&gt;79,"MÁS DE 79 CARACTERES","")</f>
        <v/>
      </c>
    </row>
    <row r="1657" customFormat="false" ht="15" hidden="false" customHeight="true" outlineLevel="0" collapsed="false">
      <c r="B1657" s="53" t="str">
        <f aca="false">IF(OR(LINEAS!$D$147="",LINEAS!$U$147=0,ABS(IF(OR(LINEAS!$U$147=1,LINEAS!$U$147=3),1,-1)*LINEAS!$AI$147*DATOS!$C$67)&lt;0.00005),"*",LINEAS!$D$147&amp;" UNI "&amp;IF(LINEAS!$U$147&lt;=2,"GZ","GX")&amp;" "&amp;TEXT(IF(OR(LINEAS!$U$147=1,LINEAS!$U$147=3),1,-1)*LINEAS!$AI$147*DATOS!$C$67,DATOS!$C$68))</f>
        <v>*</v>
      </c>
      <c r="C1657" s="51" t="str">
        <f aca="false">IF(LEN($B1657)&gt;79,"MÁS DE 79 CARACTERES","")</f>
        <v/>
      </c>
      <c r="D1657" s="53" t="str">
        <f aca="false">IF(PRESIONES!$C$22="NO","",IF(OR(LINEAS!$D$147="",LINEAS!$U$147=0,ABS(IF(OR(LINEAS!$U$147=1,LINEAS!$U$147=3),1,-1)*LINEAS!$AI$147*DATOS!$C$67)&lt;0.00005),"*",LINEAS!$D$147&amp;" UNI "&amp;IF(LINEAS!$U$147&lt;=2,"GZ","GX")&amp;" "&amp;TEXT(IF(OR(LINEAS!$U$147=1,LINEAS!$U$147=3),1,-1)*LINEAS!$AI$147*DATOS!$C$67,DATOS!$C$68)))</f>
        <v/>
      </c>
      <c r="E1657" s="51" t="str">
        <f aca="false">IF(LEN($D1657)&gt;79,"MÁS DE 79 CARACTERES","")</f>
        <v/>
      </c>
    </row>
    <row r="1658" customFormat="false" ht="15" hidden="false" customHeight="true" outlineLevel="0" collapsed="false">
      <c r="B1658" s="53" t="str">
        <f aca="false">IF(OR(LINEAS!$D$148="",LINEAS!$U$148=0,ABS(IF(OR(LINEAS!$U$148=1,LINEAS!$U$148=3),1,-1)*LINEAS!$AI$148*DATOS!$C$67)&lt;0.00005),"*",LINEAS!$D$148&amp;" UNI "&amp;IF(LINEAS!$U$148&lt;=2,"GZ","GX")&amp;" "&amp;TEXT(IF(OR(LINEAS!$U$148=1,LINEAS!$U$148=3),1,-1)*LINEAS!$AI$148*DATOS!$C$67,DATOS!$C$68))</f>
        <v>*</v>
      </c>
      <c r="C1658" s="51" t="str">
        <f aca="false">IF(LEN($B1658)&gt;79,"MÁS DE 79 CARACTERES","")</f>
        <v/>
      </c>
      <c r="D1658" s="53" t="str">
        <f aca="false">IF(PRESIONES!$C$22="NO","",IF(OR(LINEAS!$D$148="",LINEAS!$U$148=0,ABS(IF(OR(LINEAS!$U$148=1,LINEAS!$U$148=3),1,-1)*LINEAS!$AI$148*DATOS!$C$67)&lt;0.00005),"*",LINEAS!$D$148&amp;" UNI "&amp;IF(LINEAS!$U$148&lt;=2,"GZ","GX")&amp;" "&amp;TEXT(IF(OR(LINEAS!$U$148=1,LINEAS!$U$148=3),1,-1)*LINEAS!$AI$148*DATOS!$C$67,DATOS!$C$68)))</f>
        <v/>
      </c>
      <c r="E1658" s="51" t="str">
        <f aca="false">IF(LEN($D1658)&gt;79,"MÁS DE 79 CARACTERES","")</f>
        <v/>
      </c>
    </row>
    <row r="1659" customFormat="false" ht="15" hidden="false" customHeight="true" outlineLevel="0" collapsed="false">
      <c r="B1659" s="53" t="str">
        <f aca="false">IF(OR(LINEAS!$D$149="",LINEAS!$U$149=0,ABS(IF(OR(LINEAS!$U$149=1,LINEAS!$U$149=3),1,-1)*LINEAS!$AI$149*DATOS!$C$67)&lt;0.00005),"*",LINEAS!$D$149&amp;" UNI "&amp;IF(LINEAS!$U$149&lt;=2,"GZ","GX")&amp;" "&amp;TEXT(IF(OR(LINEAS!$U$149=1,LINEAS!$U$149=3),1,-1)*LINEAS!$AI$149*DATOS!$C$67,DATOS!$C$68))</f>
        <v>*</v>
      </c>
      <c r="C1659" s="51" t="str">
        <f aca="false">IF(LEN($B1659)&gt;79,"MÁS DE 79 CARACTERES","")</f>
        <v/>
      </c>
      <c r="D1659" s="53" t="str">
        <f aca="false">IF(PRESIONES!$C$22="NO","",IF(OR(LINEAS!$D$149="",LINEAS!$U$149=0,ABS(IF(OR(LINEAS!$U$149=1,LINEAS!$U$149=3),1,-1)*LINEAS!$AI$149*DATOS!$C$67)&lt;0.00005),"*",LINEAS!$D$149&amp;" UNI "&amp;IF(LINEAS!$U$149&lt;=2,"GZ","GX")&amp;" "&amp;TEXT(IF(OR(LINEAS!$U$149=1,LINEAS!$U$149=3),1,-1)*LINEAS!$AI$149*DATOS!$C$67,DATOS!$C$68)))</f>
        <v/>
      </c>
      <c r="E1659" s="51" t="str">
        <f aca="false">IF(LEN($D1659)&gt;79,"MÁS DE 79 CARACTERES","")</f>
        <v/>
      </c>
    </row>
    <row r="1660" customFormat="false" ht="15" hidden="false" customHeight="true" outlineLevel="0" collapsed="false">
      <c r="B1660" s="53" t="str">
        <f aca="false">IF(OR(LINEAS!$D$150="",LINEAS!$U$150=0,ABS(IF(OR(LINEAS!$U$150=1,LINEAS!$U$150=3),1,-1)*LINEAS!$AI$150*DATOS!$C$67)&lt;0.00005),"*",LINEAS!$D$150&amp;" UNI "&amp;IF(LINEAS!$U$150&lt;=2,"GZ","GX")&amp;" "&amp;TEXT(IF(OR(LINEAS!$U$150=1,LINEAS!$U$150=3),1,-1)*LINEAS!$AI$150*DATOS!$C$67,DATOS!$C$68))</f>
        <v>*</v>
      </c>
      <c r="C1660" s="51" t="str">
        <f aca="false">IF(LEN($B1660)&gt;79,"MÁS DE 79 CARACTERES","")</f>
        <v/>
      </c>
      <c r="D1660" s="53" t="str">
        <f aca="false">IF(PRESIONES!$C$22="NO","",IF(OR(LINEAS!$D$150="",LINEAS!$U$150=0,ABS(IF(OR(LINEAS!$U$150=1,LINEAS!$U$150=3),1,-1)*LINEAS!$AI$150*DATOS!$C$67)&lt;0.00005),"*",LINEAS!$D$150&amp;" UNI "&amp;IF(LINEAS!$U$150&lt;=2,"GZ","GX")&amp;" "&amp;TEXT(IF(OR(LINEAS!$U$150=1,LINEAS!$U$150=3),1,-1)*LINEAS!$AI$150*DATOS!$C$67,DATOS!$C$68)))</f>
        <v/>
      </c>
      <c r="E1660" s="51" t="str">
        <f aca="false">IF(LEN($D1660)&gt;79,"MÁS DE 79 CARACTERES","")</f>
        <v/>
      </c>
    </row>
    <row r="1661" customFormat="false" ht="15" hidden="false" customHeight="true" outlineLevel="0" collapsed="false">
      <c r="B1661" s="53" t="str">
        <f aca="false">IF(OR(LINEAS!$D$151="",LINEAS!$U$151=0,ABS(IF(OR(LINEAS!$U$151=1,LINEAS!$U$151=3),1,-1)*LINEAS!$AI$151*DATOS!$C$67)&lt;0.00005),"*",LINEAS!$D$151&amp;" UNI "&amp;IF(LINEAS!$U$151&lt;=2,"GZ","GX")&amp;" "&amp;TEXT(IF(OR(LINEAS!$U$151=1,LINEAS!$U$151=3),1,-1)*LINEAS!$AI$151*DATOS!$C$67,DATOS!$C$68))</f>
        <v>*</v>
      </c>
      <c r="C1661" s="51" t="str">
        <f aca="false">IF(LEN($B1661)&gt;79,"MÁS DE 79 CARACTERES","")</f>
        <v/>
      </c>
      <c r="D1661" s="53" t="str">
        <f aca="false">IF(PRESIONES!$C$22="NO","",IF(OR(LINEAS!$D$151="",LINEAS!$U$151=0,ABS(IF(OR(LINEAS!$U$151=1,LINEAS!$U$151=3),1,-1)*LINEAS!$AI$151*DATOS!$C$67)&lt;0.00005),"*",LINEAS!$D$151&amp;" UNI "&amp;IF(LINEAS!$U$151&lt;=2,"GZ","GX")&amp;" "&amp;TEXT(IF(OR(LINEAS!$U$151=1,LINEAS!$U$151=3),1,-1)*LINEAS!$AI$151*DATOS!$C$67,DATOS!$C$68)))</f>
        <v/>
      </c>
      <c r="E1661" s="51" t="str">
        <f aca="false">IF(LEN($D1661)&gt;79,"MÁS DE 79 CARACTERES","")</f>
        <v/>
      </c>
    </row>
    <row r="1662" customFormat="false" ht="15" hidden="false" customHeight="true" outlineLevel="0" collapsed="false">
      <c r="B1662" s="53" t="str">
        <f aca="false">IF(OR(LINEAS!$D$152="",LINEAS!$U$152=0,ABS(IF(OR(LINEAS!$U$152=1,LINEAS!$U$152=3),1,-1)*LINEAS!$AI$152*DATOS!$C$67)&lt;0.00005),"*",LINEAS!$D$152&amp;" UNI "&amp;IF(LINEAS!$U$152&lt;=2,"GZ","GX")&amp;" "&amp;TEXT(IF(OR(LINEAS!$U$152=1,LINEAS!$U$152=3),1,-1)*LINEAS!$AI$152*DATOS!$C$67,DATOS!$C$68))</f>
        <v>*</v>
      </c>
      <c r="C1662" s="51" t="str">
        <f aca="false">IF(LEN($B1662)&gt;79,"MÁS DE 79 CARACTERES","")</f>
        <v/>
      </c>
      <c r="D1662" s="53" t="str">
        <f aca="false">IF(PRESIONES!$C$22="NO","",IF(OR(LINEAS!$D$152="",LINEAS!$U$152=0,ABS(IF(OR(LINEAS!$U$152=1,LINEAS!$U$152=3),1,-1)*LINEAS!$AI$152*DATOS!$C$67)&lt;0.00005),"*",LINEAS!$D$152&amp;" UNI "&amp;IF(LINEAS!$U$152&lt;=2,"GZ","GX")&amp;" "&amp;TEXT(IF(OR(LINEAS!$U$152=1,LINEAS!$U$152=3),1,-1)*LINEAS!$AI$152*DATOS!$C$67,DATOS!$C$68)))</f>
        <v/>
      </c>
      <c r="E1662" s="51" t="str">
        <f aca="false">IF(LEN($D1662)&gt;79,"MÁS DE 79 CARACTERES","")</f>
        <v/>
      </c>
    </row>
    <row r="1663" customFormat="false" ht="15" hidden="false" customHeight="true" outlineLevel="0" collapsed="false">
      <c r="B1663" s="53" t="str">
        <f aca="false">IF(OR(LINEAS!$D$153="",LINEAS!$U$153=0,ABS(IF(OR(LINEAS!$U$153=1,LINEAS!$U$153=3),1,-1)*LINEAS!$AI$153*DATOS!$C$67)&lt;0.00005),"*",LINEAS!$D$153&amp;" UNI "&amp;IF(LINEAS!$U$153&lt;=2,"GZ","GX")&amp;" "&amp;TEXT(IF(OR(LINEAS!$U$153=1,LINEAS!$U$153=3),1,-1)*LINEAS!$AI$153*DATOS!$C$67,DATOS!$C$68))</f>
        <v>*</v>
      </c>
      <c r="C1663" s="51" t="str">
        <f aca="false">IF(LEN($B1663)&gt;79,"MÁS DE 79 CARACTERES","")</f>
        <v/>
      </c>
      <c r="D1663" s="53" t="str">
        <f aca="false">IF(PRESIONES!$C$22="NO","",IF(OR(LINEAS!$D$153="",LINEAS!$U$153=0,ABS(IF(OR(LINEAS!$U$153=1,LINEAS!$U$153=3),1,-1)*LINEAS!$AI$153*DATOS!$C$67)&lt;0.00005),"*",LINEAS!$D$153&amp;" UNI "&amp;IF(LINEAS!$U$153&lt;=2,"GZ","GX")&amp;" "&amp;TEXT(IF(OR(LINEAS!$U$153=1,LINEAS!$U$153=3),1,-1)*LINEAS!$AI$153*DATOS!$C$67,DATOS!$C$68)))</f>
        <v/>
      </c>
      <c r="E1663" s="51" t="str">
        <f aca="false">IF(LEN($D1663)&gt;79,"MÁS DE 79 CARACTERES","")</f>
        <v/>
      </c>
    </row>
    <row r="1664" customFormat="false" ht="15" hidden="false" customHeight="true" outlineLevel="0" collapsed="false">
      <c r="B1664" s="53" t="str">
        <f aca="false">IF(OR(LINEAS!$D$154="",LINEAS!$U$154=0,ABS(IF(OR(LINEAS!$U$154=1,LINEAS!$U$154=3),1,-1)*LINEAS!$AI$154*DATOS!$C$67)&lt;0.00005),"*",LINEAS!$D$154&amp;" UNI "&amp;IF(LINEAS!$U$154&lt;=2,"GZ","GX")&amp;" "&amp;TEXT(IF(OR(LINEAS!$U$154=1,LINEAS!$U$154=3),1,-1)*LINEAS!$AI$154*DATOS!$C$67,DATOS!$C$68))</f>
        <v>*</v>
      </c>
      <c r="C1664" s="51" t="str">
        <f aca="false">IF(LEN($B1664)&gt;79,"MÁS DE 79 CARACTERES","")</f>
        <v/>
      </c>
      <c r="D1664" s="53" t="str">
        <f aca="false">IF(PRESIONES!$C$22="NO","",IF(OR(LINEAS!$D$154="",LINEAS!$U$154=0,ABS(IF(OR(LINEAS!$U$154=1,LINEAS!$U$154=3),1,-1)*LINEAS!$AI$154*DATOS!$C$67)&lt;0.00005),"*",LINEAS!$D$154&amp;" UNI "&amp;IF(LINEAS!$U$154&lt;=2,"GZ","GX")&amp;" "&amp;TEXT(IF(OR(LINEAS!$U$154=1,LINEAS!$U$154=3),1,-1)*LINEAS!$AI$154*DATOS!$C$67,DATOS!$C$68)))</f>
        <v/>
      </c>
      <c r="E1664" s="51" t="str">
        <f aca="false">IF(LEN($D1664)&gt;79,"MÁS DE 79 CARACTERES","")</f>
        <v/>
      </c>
    </row>
    <row r="1665" customFormat="false" ht="15" hidden="false" customHeight="true" outlineLevel="0" collapsed="false">
      <c r="B1665" s="53" t="str">
        <f aca="false">IF(OR(LINEAS!$D$155="",LINEAS!$U$155=0,ABS(IF(OR(LINEAS!$U$155=1,LINEAS!$U$155=3),1,-1)*LINEAS!$AI$155*DATOS!$C$67)&lt;0.00005),"*",LINEAS!$D$155&amp;" UNI "&amp;IF(LINEAS!$U$155&lt;=2,"GZ","GX")&amp;" "&amp;TEXT(IF(OR(LINEAS!$U$155=1,LINEAS!$U$155=3),1,-1)*LINEAS!$AI$155*DATOS!$C$67,DATOS!$C$68))</f>
        <v>*</v>
      </c>
      <c r="C1665" s="51" t="str">
        <f aca="false">IF(LEN($B1665)&gt;79,"MÁS DE 79 CARACTERES","")</f>
        <v/>
      </c>
      <c r="D1665" s="53" t="str">
        <f aca="false">IF(PRESIONES!$C$22="NO","",IF(OR(LINEAS!$D$155="",LINEAS!$U$155=0,ABS(IF(OR(LINEAS!$U$155=1,LINEAS!$U$155=3),1,-1)*LINEAS!$AI$155*DATOS!$C$67)&lt;0.00005),"*",LINEAS!$D$155&amp;" UNI "&amp;IF(LINEAS!$U$155&lt;=2,"GZ","GX")&amp;" "&amp;TEXT(IF(OR(LINEAS!$U$155=1,LINEAS!$U$155=3),1,-1)*LINEAS!$AI$155*DATOS!$C$67,DATOS!$C$68)))</f>
        <v/>
      </c>
      <c r="E1665" s="51" t="str">
        <f aca="false">IF(LEN($D1665)&gt;79,"MÁS DE 79 CARACTERES","")</f>
        <v/>
      </c>
    </row>
    <row r="1666" customFormat="false" ht="15" hidden="false" customHeight="true" outlineLevel="0" collapsed="false">
      <c r="B1666" s="53" t="str">
        <f aca="false">IF(OR(LINEAS!$D$156="",LINEAS!$U$156=0,ABS(IF(OR(LINEAS!$U$156=1,LINEAS!$U$156=3),1,-1)*LINEAS!$AI$156*DATOS!$C$67)&lt;0.00005),"*",LINEAS!$D$156&amp;" UNI "&amp;IF(LINEAS!$U$156&lt;=2,"GZ","GX")&amp;" "&amp;TEXT(IF(OR(LINEAS!$U$156=1,LINEAS!$U$156=3),1,-1)*LINEAS!$AI$156*DATOS!$C$67,DATOS!$C$68))</f>
        <v>*</v>
      </c>
      <c r="C1666" s="51" t="str">
        <f aca="false">IF(LEN($B1666)&gt;79,"MÁS DE 79 CARACTERES","")</f>
        <v/>
      </c>
      <c r="D1666" s="53" t="str">
        <f aca="false">IF(PRESIONES!$C$22="NO","",IF(OR(LINEAS!$D$156="",LINEAS!$U$156=0,ABS(IF(OR(LINEAS!$U$156=1,LINEAS!$U$156=3),1,-1)*LINEAS!$AI$156*DATOS!$C$67)&lt;0.00005),"*",LINEAS!$D$156&amp;" UNI "&amp;IF(LINEAS!$U$156&lt;=2,"GZ","GX")&amp;" "&amp;TEXT(IF(OR(LINEAS!$U$156=1,LINEAS!$U$156=3),1,-1)*LINEAS!$AI$156*DATOS!$C$67,DATOS!$C$68)))</f>
        <v/>
      </c>
      <c r="E1666" s="51" t="str">
        <f aca="false">IF(LEN($D1666)&gt;79,"MÁS DE 79 CARACTERES","")</f>
        <v/>
      </c>
    </row>
    <row r="1667" customFormat="false" ht="15" hidden="false" customHeight="true" outlineLevel="0" collapsed="false">
      <c r="B1667" s="53" t="str">
        <f aca="false">IF(OR(LINEAS!$D$157="",LINEAS!$U$157=0,ABS(IF(OR(LINEAS!$U$157=1,LINEAS!$U$157=3),1,-1)*LINEAS!$AI$157*DATOS!$C$67)&lt;0.00005),"*",LINEAS!$D$157&amp;" UNI "&amp;IF(LINEAS!$U$157&lt;=2,"GZ","GX")&amp;" "&amp;TEXT(IF(OR(LINEAS!$U$157=1,LINEAS!$U$157=3),1,-1)*LINEAS!$AI$157*DATOS!$C$67,DATOS!$C$68))</f>
        <v>*</v>
      </c>
      <c r="C1667" s="51" t="str">
        <f aca="false">IF(LEN($B1667)&gt;79,"MÁS DE 79 CARACTERES","")</f>
        <v/>
      </c>
      <c r="D1667" s="53" t="str">
        <f aca="false">IF(PRESIONES!$C$22="NO","",IF(OR(LINEAS!$D$157="",LINEAS!$U$157=0,ABS(IF(OR(LINEAS!$U$157=1,LINEAS!$U$157=3),1,-1)*LINEAS!$AI$157*DATOS!$C$67)&lt;0.00005),"*",LINEAS!$D$157&amp;" UNI "&amp;IF(LINEAS!$U$157&lt;=2,"GZ","GX")&amp;" "&amp;TEXT(IF(OR(LINEAS!$U$157=1,LINEAS!$U$157=3),1,-1)*LINEAS!$AI$157*DATOS!$C$67,DATOS!$C$68)))</f>
        <v/>
      </c>
      <c r="E1667" s="51" t="str">
        <f aca="false">IF(LEN($D1667)&gt;79,"MÁS DE 79 CARACTERES","")</f>
        <v/>
      </c>
    </row>
    <row r="1668" customFormat="false" ht="15" hidden="false" customHeight="true" outlineLevel="0" collapsed="false">
      <c r="B1668" s="53" t="str">
        <f aca="false">IF(OR(LINEAS!$D$158="",LINEAS!$U$158=0,ABS(IF(OR(LINEAS!$U$158=1,LINEAS!$U$158=3),1,-1)*LINEAS!$AI$158*DATOS!$C$67)&lt;0.00005),"*",LINEAS!$D$158&amp;" UNI "&amp;IF(LINEAS!$U$158&lt;=2,"GZ","GX")&amp;" "&amp;TEXT(IF(OR(LINEAS!$U$158=1,LINEAS!$U$158=3),1,-1)*LINEAS!$AI$158*DATOS!$C$67,DATOS!$C$68))</f>
        <v>*</v>
      </c>
      <c r="C1668" s="51" t="str">
        <f aca="false">IF(LEN($B1668)&gt;79,"MÁS DE 79 CARACTERES","")</f>
        <v/>
      </c>
      <c r="D1668" s="53" t="str">
        <f aca="false">IF(PRESIONES!$C$22="NO","",IF(OR(LINEAS!$D$158="",LINEAS!$U$158=0,ABS(IF(OR(LINEAS!$U$158=1,LINEAS!$U$158=3),1,-1)*LINEAS!$AI$158*DATOS!$C$67)&lt;0.00005),"*",LINEAS!$D$158&amp;" UNI "&amp;IF(LINEAS!$U$158&lt;=2,"GZ","GX")&amp;" "&amp;TEXT(IF(OR(LINEAS!$U$158=1,LINEAS!$U$158=3),1,-1)*LINEAS!$AI$158*DATOS!$C$67,DATOS!$C$68)))</f>
        <v/>
      </c>
      <c r="E1668" s="51" t="str">
        <f aca="false">IF(LEN($D1668)&gt;79,"MÁS DE 79 CARACTERES","")</f>
        <v/>
      </c>
    </row>
    <row r="1669" customFormat="false" ht="15" hidden="false" customHeight="true" outlineLevel="0" collapsed="false">
      <c r="B1669" s="53" t="str">
        <f aca="false">IF(OR(LINEAS!$D$159="",LINEAS!$U$159=0,ABS(IF(OR(LINEAS!$U$159=1,LINEAS!$U$159=3),1,-1)*LINEAS!$AI$159*DATOS!$C$67)&lt;0.00005),"*",LINEAS!$D$159&amp;" UNI "&amp;IF(LINEAS!$U$159&lt;=2,"GZ","GX")&amp;" "&amp;TEXT(IF(OR(LINEAS!$U$159=1,LINEAS!$U$159=3),1,-1)*LINEAS!$AI$159*DATOS!$C$67,DATOS!$C$68))</f>
        <v>*</v>
      </c>
      <c r="C1669" s="51" t="str">
        <f aca="false">IF(LEN($B1669)&gt;79,"MÁS DE 79 CARACTERES","")</f>
        <v/>
      </c>
      <c r="D1669" s="53" t="str">
        <f aca="false">IF(PRESIONES!$C$22="NO","",IF(OR(LINEAS!$D$159="",LINEAS!$U$159=0,ABS(IF(OR(LINEAS!$U$159=1,LINEAS!$U$159=3),1,-1)*LINEAS!$AI$159*DATOS!$C$67)&lt;0.00005),"*",LINEAS!$D$159&amp;" UNI "&amp;IF(LINEAS!$U$159&lt;=2,"GZ","GX")&amp;" "&amp;TEXT(IF(OR(LINEAS!$U$159=1,LINEAS!$U$159=3),1,-1)*LINEAS!$AI$159*DATOS!$C$67,DATOS!$C$68)))</f>
        <v/>
      </c>
      <c r="E1669" s="51" t="str">
        <f aca="false">IF(LEN($D1669)&gt;79,"MÁS DE 79 CARACTERES","")</f>
        <v/>
      </c>
    </row>
    <row r="1670" customFormat="false" ht="15" hidden="false" customHeight="true" outlineLevel="0" collapsed="false">
      <c r="B1670" s="53" t="str">
        <f aca="false">IF(OR(LINEAS!$D$160="",LINEAS!$U$160=0,ABS(IF(OR(LINEAS!$U$160=1,LINEAS!$U$160=3),1,-1)*LINEAS!$AI$160*DATOS!$C$67)&lt;0.00005),"*",LINEAS!$D$160&amp;" UNI "&amp;IF(LINEAS!$U$160&lt;=2,"GZ","GX")&amp;" "&amp;TEXT(IF(OR(LINEAS!$U$160=1,LINEAS!$U$160=3),1,-1)*LINEAS!$AI$160*DATOS!$C$67,DATOS!$C$68))</f>
        <v>*</v>
      </c>
      <c r="C1670" s="51" t="str">
        <f aca="false">IF(LEN($B1670)&gt;79,"MÁS DE 79 CARACTERES","")</f>
        <v/>
      </c>
      <c r="D1670" s="53" t="str">
        <f aca="false">IF(PRESIONES!$C$22="NO","",IF(OR(LINEAS!$D$160="",LINEAS!$U$160=0,ABS(IF(OR(LINEAS!$U$160=1,LINEAS!$U$160=3),1,-1)*LINEAS!$AI$160*DATOS!$C$67)&lt;0.00005),"*",LINEAS!$D$160&amp;" UNI "&amp;IF(LINEAS!$U$160&lt;=2,"GZ","GX")&amp;" "&amp;TEXT(IF(OR(LINEAS!$U$160=1,LINEAS!$U$160=3),1,-1)*LINEAS!$AI$160*DATOS!$C$67,DATOS!$C$68)))</f>
        <v/>
      </c>
      <c r="E1670" s="51" t="str">
        <f aca="false">IF(LEN($D1670)&gt;79,"MÁS DE 79 CARACTERES","")</f>
        <v/>
      </c>
    </row>
    <row r="1671" customFormat="false" ht="15" hidden="false" customHeight="true" outlineLevel="0" collapsed="false">
      <c r="B1671" s="53" t="str">
        <f aca="false">IF(OR(LINEAS!$D$161="",LINEAS!$U$161=0,ABS(IF(OR(LINEAS!$U$161=1,LINEAS!$U$161=3),1,-1)*LINEAS!$AI$161*DATOS!$C$67)&lt;0.00005),"*",LINEAS!$D$161&amp;" UNI "&amp;IF(LINEAS!$U$161&lt;=2,"GZ","GX")&amp;" "&amp;TEXT(IF(OR(LINEAS!$U$161=1,LINEAS!$U$161=3),1,-1)*LINEAS!$AI$161*DATOS!$C$67,DATOS!$C$68))</f>
        <v>*</v>
      </c>
      <c r="C1671" s="51" t="str">
        <f aca="false">IF(LEN($B1671)&gt;79,"MÁS DE 79 CARACTERES","")</f>
        <v/>
      </c>
      <c r="D1671" s="53" t="str">
        <f aca="false">IF(PRESIONES!$C$22="NO","",IF(OR(LINEAS!$D$161="",LINEAS!$U$161=0,ABS(IF(OR(LINEAS!$U$161=1,LINEAS!$U$161=3),1,-1)*LINEAS!$AI$161*DATOS!$C$67)&lt;0.00005),"*",LINEAS!$D$161&amp;" UNI "&amp;IF(LINEAS!$U$161&lt;=2,"GZ","GX")&amp;" "&amp;TEXT(IF(OR(LINEAS!$U$161=1,LINEAS!$U$161=3),1,-1)*LINEAS!$AI$161*DATOS!$C$67,DATOS!$C$68)))</f>
        <v/>
      </c>
      <c r="E1671" s="51" t="str">
        <f aca="false">IF(LEN($D1671)&gt;79,"MÁS DE 79 CARACTERES","")</f>
        <v/>
      </c>
    </row>
    <row r="1672" customFormat="false" ht="15" hidden="false" customHeight="true" outlineLevel="0" collapsed="false">
      <c r="B1672" s="53" t="str">
        <f aca="false">IF(OR(LINEAS!$D$162="",LINEAS!$U$162=0,ABS(IF(OR(LINEAS!$U$162=1,LINEAS!$U$162=3),1,-1)*LINEAS!$AI$162*DATOS!$C$67)&lt;0.00005),"*",LINEAS!$D$162&amp;" UNI "&amp;IF(LINEAS!$U$162&lt;=2,"GZ","GX")&amp;" "&amp;TEXT(IF(OR(LINEAS!$U$162=1,LINEAS!$U$162=3),1,-1)*LINEAS!$AI$162*DATOS!$C$67,DATOS!$C$68))</f>
        <v>*</v>
      </c>
      <c r="C1672" s="51" t="str">
        <f aca="false">IF(LEN($B1672)&gt;79,"MÁS DE 79 CARACTERES","")</f>
        <v/>
      </c>
      <c r="D1672" s="53" t="str">
        <f aca="false">IF(PRESIONES!$C$22="NO","",IF(OR(LINEAS!$D$162="",LINEAS!$U$162=0,ABS(IF(OR(LINEAS!$U$162=1,LINEAS!$U$162=3),1,-1)*LINEAS!$AI$162*DATOS!$C$67)&lt;0.00005),"*",LINEAS!$D$162&amp;" UNI "&amp;IF(LINEAS!$U$162&lt;=2,"GZ","GX")&amp;" "&amp;TEXT(IF(OR(LINEAS!$U$162=1,LINEAS!$U$162=3),1,-1)*LINEAS!$AI$162*DATOS!$C$67,DATOS!$C$68)))</f>
        <v/>
      </c>
      <c r="E1672" s="51" t="str">
        <f aca="false">IF(LEN($D1672)&gt;79,"MÁS DE 79 CARACTERES","")</f>
        <v/>
      </c>
    </row>
    <row r="1673" customFormat="false" ht="15" hidden="false" customHeight="true" outlineLevel="0" collapsed="false">
      <c r="B1673" s="53" t="str">
        <f aca="false">IF(OR(LINEAS!$D$163="",LINEAS!$U$163=0,ABS(IF(OR(LINEAS!$U$163=1,LINEAS!$U$163=3),1,-1)*LINEAS!$AI$163*DATOS!$C$67)&lt;0.00005),"*",LINEAS!$D$163&amp;" UNI "&amp;IF(LINEAS!$U$163&lt;=2,"GZ","GX")&amp;" "&amp;TEXT(IF(OR(LINEAS!$U$163=1,LINEAS!$U$163=3),1,-1)*LINEAS!$AI$163*DATOS!$C$67,DATOS!$C$68))</f>
        <v>*</v>
      </c>
      <c r="C1673" s="51" t="str">
        <f aca="false">IF(LEN($B1673)&gt;79,"MÁS DE 79 CARACTERES","")</f>
        <v/>
      </c>
      <c r="D1673" s="53" t="str">
        <f aca="false">IF(PRESIONES!$C$22="NO","",IF(OR(LINEAS!$D$163="",LINEAS!$U$163=0,ABS(IF(OR(LINEAS!$U$163=1,LINEAS!$U$163=3),1,-1)*LINEAS!$AI$163*DATOS!$C$67)&lt;0.00005),"*",LINEAS!$D$163&amp;" UNI "&amp;IF(LINEAS!$U$163&lt;=2,"GZ","GX")&amp;" "&amp;TEXT(IF(OR(LINEAS!$U$163=1,LINEAS!$U$163=3),1,-1)*LINEAS!$AI$163*DATOS!$C$67,DATOS!$C$68)))</f>
        <v/>
      </c>
      <c r="E1673" s="51" t="str">
        <f aca="false">IF(LEN($D1673)&gt;79,"MÁS DE 79 CARACTERES","")</f>
        <v/>
      </c>
    </row>
    <row r="1674" customFormat="false" ht="15" hidden="false" customHeight="true" outlineLevel="0" collapsed="false">
      <c r="B1674" s="53" t="str">
        <f aca="false">IF(OR(LINEAS!$D$164="",LINEAS!$U$164=0,ABS(IF(OR(LINEAS!$U$164=1,LINEAS!$U$164=3),1,-1)*LINEAS!$AI$164*DATOS!$C$67)&lt;0.00005),"*",LINEAS!$D$164&amp;" UNI "&amp;IF(LINEAS!$U$164&lt;=2,"GZ","GX")&amp;" "&amp;TEXT(IF(OR(LINEAS!$U$164=1,LINEAS!$U$164=3),1,-1)*LINEAS!$AI$164*DATOS!$C$67,DATOS!$C$68))</f>
        <v>*</v>
      </c>
      <c r="C1674" s="51" t="str">
        <f aca="false">IF(LEN($B1674)&gt;79,"MÁS DE 79 CARACTERES","")</f>
        <v/>
      </c>
      <c r="D1674" s="53" t="str">
        <f aca="false">IF(PRESIONES!$C$22="NO","",IF(OR(LINEAS!$D$164="",LINEAS!$U$164=0,ABS(IF(OR(LINEAS!$U$164=1,LINEAS!$U$164=3),1,-1)*LINEAS!$AI$164*DATOS!$C$67)&lt;0.00005),"*",LINEAS!$D$164&amp;" UNI "&amp;IF(LINEAS!$U$164&lt;=2,"GZ","GX")&amp;" "&amp;TEXT(IF(OR(LINEAS!$U$164=1,LINEAS!$U$164=3),1,-1)*LINEAS!$AI$164*DATOS!$C$67,DATOS!$C$68)))</f>
        <v/>
      </c>
      <c r="E1674" s="51" t="str">
        <f aca="false">IF(LEN($D1674)&gt;79,"MÁS DE 79 CARACTERES","")</f>
        <v/>
      </c>
    </row>
    <row r="1675" customFormat="false" ht="15" hidden="false" customHeight="true" outlineLevel="0" collapsed="false">
      <c r="B1675" s="53" t="str">
        <f aca="false">IF(OR(LINEAS!$D$165="",LINEAS!$U$165=0,ABS(IF(OR(LINEAS!$U$165=1,LINEAS!$U$165=3),1,-1)*LINEAS!$AI$165*DATOS!$C$67)&lt;0.00005),"*",LINEAS!$D$165&amp;" UNI "&amp;IF(LINEAS!$U$165&lt;=2,"GZ","GX")&amp;" "&amp;TEXT(IF(OR(LINEAS!$U$165=1,LINEAS!$U$165=3),1,-1)*LINEAS!$AI$165*DATOS!$C$67,DATOS!$C$68))</f>
        <v>*</v>
      </c>
      <c r="C1675" s="51" t="str">
        <f aca="false">IF(LEN($B1675)&gt;79,"MÁS DE 79 CARACTERES","")</f>
        <v/>
      </c>
      <c r="D1675" s="53" t="str">
        <f aca="false">IF(PRESIONES!$C$22="NO","",IF(OR(LINEAS!$D$165="",LINEAS!$U$165=0,ABS(IF(OR(LINEAS!$U$165=1,LINEAS!$U$165=3),1,-1)*LINEAS!$AI$165*DATOS!$C$67)&lt;0.00005),"*",LINEAS!$D$165&amp;" UNI "&amp;IF(LINEAS!$U$165&lt;=2,"GZ","GX")&amp;" "&amp;TEXT(IF(OR(LINEAS!$U$165=1,LINEAS!$U$165=3),1,-1)*LINEAS!$AI$165*DATOS!$C$67,DATOS!$C$68)))</f>
        <v/>
      </c>
      <c r="E1675" s="51" t="str">
        <f aca="false">IF(LEN($D1675)&gt;79,"MÁS DE 79 CARACTERES","")</f>
        <v/>
      </c>
    </row>
    <row r="1676" customFormat="false" ht="15" hidden="false" customHeight="true" outlineLevel="0" collapsed="false">
      <c r="B1676" s="53" t="str">
        <f aca="false">IF(OR(LINEAS!$D$166="",LINEAS!$U$166=0,ABS(IF(OR(LINEAS!$U$166=1,LINEAS!$U$166=3),1,-1)*LINEAS!$AI$166*DATOS!$C$67)&lt;0.00005),"*",LINEAS!$D$166&amp;" UNI "&amp;IF(LINEAS!$U$166&lt;=2,"GZ","GX")&amp;" "&amp;TEXT(IF(OR(LINEAS!$U$166=1,LINEAS!$U$166=3),1,-1)*LINEAS!$AI$166*DATOS!$C$67,DATOS!$C$68))</f>
        <v>*</v>
      </c>
      <c r="C1676" s="51" t="str">
        <f aca="false">IF(LEN($B1676)&gt;79,"MÁS DE 79 CARACTERES","")</f>
        <v/>
      </c>
      <c r="D1676" s="53" t="str">
        <f aca="false">IF(PRESIONES!$C$22="NO","",IF(OR(LINEAS!$D$166="",LINEAS!$U$166=0,ABS(IF(OR(LINEAS!$U$166=1,LINEAS!$U$166=3),1,-1)*LINEAS!$AI$166*DATOS!$C$67)&lt;0.00005),"*",LINEAS!$D$166&amp;" UNI "&amp;IF(LINEAS!$U$166&lt;=2,"GZ","GX")&amp;" "&amp;TEXT(IF(OR(LINEAS!$U$166=1,LINEAS!$U$166=3),1,-1)*LINEAS!$AI$166*DATOS!$C$67,DATOS!$C$68)))</f>
        <v/>
      </c>
      <c r="E1676" s="51" t="str">
        <f aca="false">IF(LEN($D1676)&gt;79,"MÁS DE 79 CARACTERES","")</f>
        <v/>
      </c>
    </row>
    <row r="1677" customFormat="false" ht="15" hidden="false" customHeight="true" outlineLevel="0" collapsed="false">
      <c r="B1677" s="53" t="str">
        <f aca="false">IF(OR(LINEAS!$D$167="",LINEAS!$U$167=0,ABS(IF(OR(LINEAS!$U$167=1,LINEAS!$U$167=3),1,-1)*LINEAS!$AI$167*DATOS!$C$67)&lt;0.00005),"*",LINEAS!$D$167&amp;" UNI "&amp;IF(LINEAS!$U$167&lt;=2,"GZ","GX")&amp;" "&amp;TEXT(IF(OR(LINEAS!$U$167=1,LINEAS!$U$167=3),1,-1)*LINEAS!$AI$167*DATOS!$C$67,DATOS!$C$68))</f>
        <v>*</v>
      </c>
      <c r="C1677" s="51" t="str">
        <f aca="false">IF(LEN($B1677)&gt;79,"MÁS DE 79 CARACTERES","")</f>
        <v/>
      </c>
      <c r="D1677" s="53" t="str">
        <f aca="false">IF(PRESIONES!$C$22="NO","",IF(OR(LINEAS!$D$167="",LINEAS!$U$167=0,ABS(IF(OR(LINEAS!$U$167=1,LINEAS!$U$167=3),1,-1)*LINEAS!$AI$167*DATOS!$C$67)&lt;0.00005),"*",LINEAS!$D$167&amp;" UNI "&amp;IF(LINEAS!$U$167&lt;=2,"GZ","GX")&amp;" "&amp;TEXT(IF(OR(LINEAS!$U$167=1,LINEAS!$U$167=3),1,-1)*LINEAS!$AI$167*DATOS!$C$67,DATOS!$C$68)))</f>
        <v/>
      </c>
      <c r="E1677" s="51" t="str">
        <f aca="false">IF(LEN($D1677)&gt;79,"MÁS DE 79 CARACTERES","")</f>
        <v/>
      </c>
    </row>
    <row r="1678" customFormat="false" ht="15" hidden="false" customHeight="true" outlineLevel="0" collapsed="false">
      <c r="B1678" s="53" t="str">
        <f aca="false">IF(OR(LINEAS!$D$168="",LINEAS!$U$168=0,ABS(IF(OR(LINEAS!$U$168=1,LINEAS!$U$168=3),1,-1)*LINEAS!$AI$168*DATOS!$C$67)&lt;0.00005),"*",LINEAS!$D$168&amp;" UNI "&amp;IF(LINEAS!$U$168&lt;=2,"GZ","GX")&amp;" "&amp;TEXT(IF(OR(LINEAS!$U$168=1,LINEAS!$U$168=3),1,-1)*LINEAS!$AI$168*DATOS!$C$67,DATOS!$C$68))</f>
        <v>*</v>
      </c>
      <c r="C1678" s="51" t="str">
        <f aca="false">IF(LEN($B1678)&gt;79,"MÁS DE 79 CARACTERES","")</f>
        <v/>
      </c>
      <c r="D1678" s="53" t="str">
        <f aca="false">IF(PRESIONES!$C$22="NO","",IF(OR(LINEAS!$D$168="",LINEAS!$U$168=0,ABS(IF(OR(LINEAS!$U$168=1,LINEAS!$U$168=3),1,-1)*LINEAS!$AI$168*DATOS!$C$67)&lt;0.00005),"*",LINEAS!$D$168&amp;" UNI "&amp;IF(LINEAS!$U$168&lt;=2,"GZ","GX")&amp;" "&amp;TEXT(IF(OR(LINEAS!$U$168=1,LINEAS!$U$168=3),1,-1)*LINEAS!$AI$168*DATOS!$C$67,DATOS!$C$68)))</f>
        <v/>
      </c>
      <c r="E1678" s="51" t="str">
        <f aca="false">IF(LEN($D1678)&gt;79,"MÁS DE 79 CARACTERES","")</f>
        <v/>
      </c>
    </row>
    <row r="1679" customFormat="false" ht="15" hidden="false" customHeight="true" outlineLevel="0" collapsed="false">
      <c r="B1679" s="53" t="str">
        <f aca="false">IF(OR(LINEAS!$D$169="",LINEAS!$U$169=0,ABS(IF(OR(LINEAS!$U$169=1,LINEAS!$U$169=3),1,-1)*LINEAS!$AI$169*DATOS!$C$67)&lt;0.00005),"*",LINEAS!$D$169&amp;" UNI "&amp;IF(LINEAS!$U$169&lt;=2,"GZ","GX")&amp;" "&amp;TEXT(IF(OR(LINEAS!$U$169=1,LINEAS!$U$169=3),1,-1)*LINEAS!$AI$169*DATOS!$C$67,DATOS!$C$68))</f>
        <v>*</v>
      </c>
      <c r="C1679" s="51" t="str">
        <f aca="false">IF(LEN($B1679)&gt;79,"MÁS DE 79 CARACTERES","")</f>
        <v/>
      </c>
      <c r="D1679" s="53" t="str">
        <f aca="false">IF(PRESIONES!$C$22="NO","",IF(OR(LINEAS!$D$169="",LINEAS!$U$169=0,ABS(IF(OR(LINEAS!$U$169=1,LINEAS!$U$169=3),1,-1)*LINEAS!$AI$169*DATOS!$C$67)&lt;0.00005),"*",LINEAS!$D$169&amp;" UNI "&amp;IF(LINEAS!$U$169&lt;=2,"GZ","GX")&amp;" "&amp;TEXT(IF(OR(LINEAS!$U$169=1,LINEAS!$U$169=3),1,-1)*LINEAS!$AI$169*DATOS!$C$67,DATOS!$C$68)))</f>
        <v/>
      </c>
      <c r="E1679" s="51" t="str">
        <f aca="false">IF(LEN($D1679)&gt;79,"MÁS DE 79 CARACTERES","")</f>
        <v/>
      </c>
    </row>
    <row r="1680" customFormat="false" ht="15" hidden="false" customHeight="true" outlineLevel="0" collapsed="false">
      <c r="B1680" s="53" t="str">
        <f aca="false">IF(OR(LINEAS!$D$170="",LINEAS!$U$170=0,ABS(IF(OR(LINEAS!$U$170=1,LINEAS!$U$170=3),1,-1)*LINEAS!$AI$170*DATOS!$C$67)&lt;0.00005),"*",LINEAS!$D$170&amp;" UNI "&amp;IF(LINEAS!$U$170&lt;=2,"GZ","GX")&amp;" "&amp;TEXT(IF(OR(LINEAS!$U$170=1,LINEAS!$U$170=3),1,-1)*LINEAS!$AI$170*DATOS!$C$67,DATOS!$C$68))</f>
        <v>*</v>
      </c>
      <c r="C1680" s="51" t="str">
        <f aca="false">IF(LEN($B1680)&gt;79,"MÁS DE 79 CARACTERES","")</f>
        <v/>
      </c>
      <c r="D1680" s="53" t="str">
        <f aca="false">IF(PRESIONES!$C$22="NO","",IF(OR(LINEAS!$D$170="",LINEAS!$U$170=0,ABS(IF(OR(LINEAS!$U$170=1,LINEAS!$U$170=3),1,-1)*LINEAS!$AI$170*DATOS!$C$67)&lt;0.00005),"*",LINEAS!$D$170&amp;" UNI "&amp;IF(LINEAS!$U$170&lt;=2,"GZ","GX")&amp;" "&amp;TEXT(IF(OR(LINEAS!$U$170=1,LINEAS!$U$170=3),1,-1)*LINEAS!$AI$170*DATOS!$C$67,DATOS!$C$68)))</f>
        <v/>
      </c>
      <c r="E1680" s="51" t="str">
        <f aca="false">IF(LEN($D1680)&gt;79,"MÁS DE 79 CARACTERES","")</f>
        <v/>
      </c>
    </row>
    <row r="1681" customFormat="false" ht="15" hidden="false" customHeight="true" outlineLevel="0" collapsed="false">
      <c r="B1681" s="53" t="str">
        <f aca="false">IF(OR(LINEAS!$D$171="",LINEAS!$U$171=0,ABS(IF(OR(LINEAS!$U$171=1,LINEAS!$U$171=3),1,-1)*LINEAS!$AI$171*DATOS!$C$67)&lt;0.00005),"*",LINEAS!$D$171&amp;" UNI "&amp;IF(LINEAS!$U$171&lt;=2,"GZ","GX")&amp;" "&amp;TEXT(IF(OR(LINEAS!$U$171=1,LINEAS!$U$171=3),1,-1)*LINEAS!$AI$171*DATOS!$C$67,DATOS!$C$68))</f>
        <v>*</v>
      </c>
      <c r="C1681" s="51" t="str">
        <f aca="false">IF(LEN($B1681)&gt;79,"MÁS DE 79 CARACTERES","")</f>
        <v/>
      </c>
      <c r="D1681" s="53" t="str">
        <f aca="false">IF(PRESIONES!$C$22="NO","",IF(OR(LINEAS!$D$171="",LINEAS!$U$171=0,ABS(IF(OR(LINEAS!$U$171=1,LINEAS!$U$171=3),1,-1)*LINEAS!$AI$171*DATOS!$C$67)&lt;0.00005),"*",LINEAS!$D$171&amp;" UNI "&amp;IF(LINEAS!$U$171&lt;=2,"GZ","GX")&amp;" "&amp;TEXT(IF(OR(LINEAS!$U$171=1,LINEAS!$U$171=3),1,-1)*LINEAS!$AI$171*DATOS!$C$67,DATOS!$C$68)))</f>
        <v/>
      </c>
      <c r="E1681" s="51" t="str">
        <f aca="false">IF(LEN($D1681)&gt;79,"MÁS DE 79 CARACTERES","")</f>
        <v/>
      </c>
    </row>
    <row r="1682" customFormat="false" ht="15" hidden="false" customHeight="true" outlineLevel="0" collapsed="false">
      <c r="B1682" s="53" t="str">
        <f aca="false">IF(OR(LINEAS!$D$172="",LINEAS!$U$172=0,ABS(IF(OR(LINEAS!$U$172=1,LINEAS!$U$172=3),1,-1)*LINEAS!$AI$172*DATOS!$C$67)&lt;0.00005),"*",LINEAS!$D$172&amp;" UNI "&amp;IF(LINEAS!$U$172&lt;=2,"GZ","GX")&amp;" "&amp;TEXT(IF(OR(LINEAS!$U$172=1,LINEAS!$U$172=3),1,-1)*LINEAS!$AI$172*DATOS!$C$67,DATOS!$C$68))</f>
        <v>*</v>
      </c>
      <c r="C1682" s="51" t="str">
        <f aca="false">IF(LEN($B1682)&gt;79,"MÁS DE 79 CARACTERES","")</f>
        <v/>
      </c>
      <c r="D1682" s="53" t="str">
        <f aca="false">IF(PRESIONES!$C$22="NO","",IF(OR(LINEAS!$D$172="",LINEAS!$U$172=0,ABS(IF(OR(LINEAS!$U$172=1,LINEAS!$U$172=3),1,-1)*LINEAS!$AI$172*DATOS!$C$67)&lt;0.00005),"*",LINEAS!$D$172&amp;" UNI "&amp;IF(LINEAS!$U$172&lt;=2,"GZ","GX")&amp;" "&amp;TEXT(IF(OR(LINEAS!$U$172=1,LINEAS!$U$172=3),1,-1)*LINEAS!$AI$172*DATOS!$C$67,DATOS!$C$68)))</f>
        <v/>
      </c>
      <c r="E1682" s="51" t="str">
        <f aca="false">IF(LEN($D1682)&gt;79,"MÁS DE 79 CARACTERES","")</f>
        <v/>
      </c>
    </row>
    <row r="1683" customFormat="false" ht="15" hidden="false" customHeight="true" outlineLevel="0" collapsed="false">
      <c r="B1683" s="53" t="str">
        <f aca="false">IF(OR(LINEAS!$D$173="",LINEAS!$U$173=0,ABS(IF(OR(LINEAS!$U$173=1,LINEAS!$U$173=3),1,-1)*LINEAS!$AI$173*DATOS!$C$67)&lt;0.00005),"*",LINEAS!$D$173&amp;" UNI "&amp;IF(LINEAS!$U$173&lt;=2,"GZ","GX")&amp;" "&amp;TEXT(IF(OR(LINEAS!$U$173=1,LINEAS!$U$173=3),1,-1)*LINEAS!$AI$173*DATOS!$C$67,DATOS!$C$68))</f>
        <v>*</v>
      </c>
      <c r="C1683" s="51" t="str">
        <f aca="false">IF(LEN($B1683)&gt;79,"MÁS DE 79 CARACTERES","")</f>
        <v/>
      </c>
      <c r="D1683" s="53" t="str">
        <f aca="false">IF(PRESIONES!$C$22="NO","",IF(OR(LINEAS!$D$173="",LINEAS!$U$173=0,ABS(IF(OR(LINEAS!$U$173=1,LINEAS!$U$173=3),1,-1)*LINEAS!$AI$173*DATOS!$C$67)&lt;0.00005),"*",LINEAS!$D$173&amp;" UNI "&amp;IF(LINEAS!$U$173&lt;=2,"GZ","GX")&amp;" "&amp;TEXT(IF(OR(LINEAS!$U$173=1,LINEAS!$U$173=3),1,-1)*LINEAS!$AI$173*DATOS!$C$67,DATOS!$C$68)))</f>
        <v/>
      </c>
      <c r="E1683" s="51" t="str">
        <f aca="false">IF(LEN($D1683)&gt;79,"MÁS DE 79 CARACTERES","")</f>
        <v/>
      </c>
    </row>
    <row r="1684" customFormat="false" ht="15" hidden="false" customHeight="true" outlineLevel="0" collapsed="false">
      <c r="B1684" s="53" t="str">
        <f aca="false">IF(OR(LINEAS!$D$174="",LINEAS!$U$174=0,ABS(IF(OR(LINEAS!$U$174=1,LINEAS!$U$174=3),1,-1)*LINEAS!$AI$174*DATOS!$C$67)&lt;0.00005),"*",LINEAS!$D$174&amp;" UNI "&amp;IF(LINEAS!$U$174&lt;=2,"GZ","GX")&amp;" "&amp;TEXT(IF(OR(LINEAS!$U$174=1,LINEAS!$U$174=3),1,-1)*LINEAS!$AI$174*DATOS!$C$67,DATOS!$C$68))</f>
        <v>*</v>
      </c>
      <c r="C1684" s="51" t="str">
        <f aca="false">IF(LEN($B1684)&gt;79,"MÁS DE 79 CARACTERES","")</f>
        <v/>
      </c>
      <c r="D1684" s="53" t="str">
        <f aca="false">IF(PRESIONES!$C$22="NO","",IF(OR(LINEAS!$D$174="",LINEAS!$U$174=0,ABS(IF(OR(LINEAS!$U$174=1,LINEAS!$U$174=3),1,-1)*LINEAS!$AI$174*DATOS!$C$67)&lt;0.00005),"*",LINEAS!$D$174&amp;" UNI "&amp;IF(LINEAS!$U$174&lt;=2,"GZ","GX")&amp;" "&amp;TEXT(IF(OR(LINEAS!$U$174=1,LINEAS!$U$174=3),1,-1)*LINEAS!$AI$174*DATOS!$C$67,DATOS!$C$68)))</f>
        <v/>
      </c>
      <c r="E1684" s="51" t="str">
        <f aca="false">IF(LEN($D1684)&gt;79,"MÁS DE 79 CARACTERES","")</f>
        <v/>
      </c>
    </row>
    <row r="1685" customFormat="false" ht="15" hidden="false" customHeight="true" outlineLevel="0" collapsed="false">
      <c r="B1685" s="53" t="str">
        <f aca="false">IF(OR(LINEAS!$D$175="",LINEAS!$U$175=0,ABS(IF(OR(LINEAS!$U$175=1,LINEAS!$U$175=3),1,-1)*LINEAS!$AI$175*DATOS!$C$67)&lt;0.00005),"*",LINEAS!$D$175&amp;" UNI "&amp;IF(LINEAS!$U$175&lt;=2,"GZ","GX")&amp;" "&amp;TEXT(IF(OR(LINEAS!$U$175=1,LINEAS!$U$175=3),1,-1)*LINEAS!$AI$175*DATOS!$C$67,DATOS!$C$68))</f>
        <v>*</v>
      </c>
      <c r="C1685" s="51" t="str">
        <f aca="false">IF(LEN($B1685)&gt;79,"MÁS DE 79 CARACTERES","")</f>
        <v/>
      </c>
      <c r="D1685" s="53" t="str">
        <f aca="false">IF(PRESIONES!$C$22="NO","",IF(OR(LINEAS!$D$175="",LINEAS!$U$175=0,ABS(IF(OR(LINEAS!$U$175=1,LINEAS!$U$175=3),1,-1)*LINEAS!$AI$175*DATOS!$C$67)&lt;0.00005),"*",LINEAS!$D$175&amp;" UNI "&amp;IF(LINEAS!$U$175&lt;=2,"GZ","GX")&amp;" "&amp;TEXT(IF(OR(LINEAS!$U$175=1,LINEAS!$U$175=3),1,-1)*LINEAS!$AI$175*DATOS!$C$67,DATOS!$C$68)))</f>
        <v/>
      </c>
      <c r="E1685" s="51" t="str">
        <f aca="false">IF(LEN($D1685)&gt;79,"MÁS DE 79 CARACTERES","")</f>
        <v/>
      </c>
    </row>
    <row r="1686" customFormat="false" ht="15" hidden="false" customHeight="true" outlineLevel="0" collapsed="false">
      <c r="B1686" s="53" t="str">
        <f aca="false">IF(OR(LINEAS!$D$176="",LINEAS!$U$176=0,ABS(IF(OR(LINEAS!$U$176=1,LINEAS!$U$176=3),1,-1)*LINEAS!$AI$176*DATOS!$C$67)&lt;0.00005),"*",LINEAS!$D$176&amp;" UNI "&amp;IF(LINEAS!$U$176&lt;=2,"GZ","GX")&amp;" "&amp;TEXT(IF(OR(LINEAS!$U$176=1,LINEAS!$U$176=3),1,-1)*LINEAS!$AI$176*DATOS!$C$67,DATOS!$C$68))</f>
        <v>*</v>
      </c>
      <c r="C1686" s="51" t="str">
        <f aca="false">IF(LEN($B1686)&gt;79,"MÁS DE 79 CARACTERES","")</f>
        <v/>
      </c>
      <c r="D1686" s="53" t="str">
        <f aca="false">IF(PRESIONES!$C$22="NO","",IF(OR(LINEAS!$D$176="",LINEAS!$U$176=0,ABS(IF(OR(LINEAS!$U$176=1,LINEAS!$U$176=3),1,-1)*LINEAS!$AI$176*DATOS!$C$67)&lt;0.00005),"*",LINEAS!$D$176&amp;" UNI "&amp;IF(LINEAS!$U$176&lt;=2,"GZ","GX")&amp;" "&amp;TEXT(IF(OR(LINEAS!$U$176=1,LINEAS!$U$176=3),1,-1)*LINEAS!$AI$176*DATOS!$C$67,DATOS!$C$68)))</f>
        <v/>
      </c>
      <c r="E1686" s="51" t="str">
        <f aca="false">IF(LEN($D1686)&gt;79,"MÁS DE 79 CARACTERES","")</f>
        <v/>
      </c>
    </row>
    <row r="1687" customFormat="false" ht="15" hidden="false" customHeight="true" outlineLevel="0" collapsed="false">
      <c r="B1687" s="53" t="str">
        <f aca="false">IF(OR(LINEAS!$D$177="",LINEAS!$U$177=0,ABS(IF(OR(LINEAS!$U$177=1,LINEAS!$U$177=3),1,-1)*LINEAS!$AI$177*DATOS!$C$67)&lt;0.00005),"*",LINEAS!$D$177&amp;" UNI "&amp;IF(LINEAS!$U$177&lt;=2,"GZ","GX")&amp;" "&amp;TEXT(IF(OR(LINEAS!$U$177=1,LINEAS!$U$177=3),1,-1)*LINEAS!$AI$177*DATOS!$C$67,DATOS!$C$68))</f>
        <v>*</v>
      </c>
      <c r="C1687" s="51" t="str">
        <f aca="false">IF(LEN($B1687)&gt;79,"MÁS DE 79 CARACTERES","")</f>
        <v/>
      </c>
      <c r="D1687" s="53" t="str">
        <f aca="false">IF(PRESIONES!$C$22="NO","",IF(OR(LINEAS!$D$177="",LINEAS!$U$177=0,ABS(IF(OR(LINEAS!$U$177=1,LINEAS!$U$177=3),1,-1)*LINEAS!$AI$177*DATOS!$C$67)&lt;0.00005),"*",LINEAS!$D$177&amp;" UNI "&amp;IF(LINEAS!$U$177&lt;=2,"GZ","GX")&amp;" "&amp;TEXT(IF(OR(LINEAS!$U$177=1,LINEAS!$U$177=3),1,-1)*LINEAS!$AI$177*DATOS!$C$67,DATOS!$C$68)))</f>
        <v/>
      </c>
      <c r="E1687" s="51" t="str">
        <f aca="false">IF(LEN($D1687)&gt;79,"MÁS DE 79 CARACTERES","")</f>
        <v/>
      </c>
    </row>
    <row r="1688" customFormat="false" ht="15" hidden="false" customHeight="true" outlineLevel="0" collapsed="false">
      <c r="B1688" s="53" t="str">
        <f aca="false">IF(OR(LINEAS!$D$178="",LINEAS!$U$178=0,ABS(IF(OR(LINEAS!$U$178=1,LINEAS!$U$178=3),1,-1)*LINEAS!$AI$178*DATOS!$C$67)&lt;0.00005),"*",LINEAS!$D$178&amp;" UNI "&amp;IF(LINEAS!$U$178&lt;=2,"GZ","GX")&amp;" "&amp;TEXT(IF(OR(LINEAS!$U$178=1,LINEAS!$U$178=3),1,-1)*LINEAS!$AI$178*DATOS!$C$67,DATOS!$C$68))</f>
        <v>*</v>
      </c>
      <c r="C1688" s="51" t="str">
        <f aca="false">IF(LEN($B1688)&gt;79,"MÁS DE 79 CARACTERES","")</f>
        <v/>
      </c>
      <c r="D1688" s="53" t="str">
        <f aca="false">IF(PRESIONES!$C$22="NO","",IF(OR(LINEAS!$D$178="",LINEAS!$U$178=0,ABS(IF(OR(LINEAS!$U$178=1,LINEAS!$U$178=3),1,-1)*LINEAS!$AI$178*DATOS!$C$67)&lt;0.00005),"*",LINEAS!$D$178&amp;" UNI "&amp;IF(LINEAS!$U$178&lt;=2,"GZ","GX")&amp;" "&amp;TEXT(IF(OR(LINEAS!$U$178=1,LINEAS!$U$178=3),1,-1)*LINEAS!$AI$178*DATOS!$C$67,DATOS!$C$68)))</f>
        <v/>
      </c>
      <c r="E1688" s="51" t="str">
        <f aca="false">IF(LEN($D1688)&gt;79,"MÁS DE 79 CARACTERES","")</f>
        <v/>
      </c>
    </row>
    <row r="1689" customFormat="false" ht="15" hidden="false" customHeight="true" outlineLevel="0" collapsed="false">
      <c r="B1689" s="53" t="str">
        <f aca="false">IF(OR(LINEAS!$D$179="",LINEAS!$U$179=0,ABS(IF(OR(LINEAS!$U$179=1,LINEAS!$U$179=3),1,-1)*LINEAS!$AI$179*DATOS!$C$67)&lt;0.00005),"*",LINEAS!$D$179&amp;" UNI "&amp;IF(LINEAS!$U$179&lt;=2,"GZ","GX")&amp;" "&amp;TEXT(IF(OR(LINEAS!$U$179=1,LINEAS!$U$179=3),1,-1)*LINEAS!$AI$179*DATOS!$C$67,DATOS!$C$68))</f>
        <v>*</v>
      </c>
      <c r="C1689" s="51" t="str">
        <f aca="false">IF(LEN($B1689)&gt;79,"MÁS DE 79 CARACTERES","")</f>
        <v/>
      </c>
      <c r="D1689" s="53" t="str">
        <f aca="false">IF(PRESIONES!$C$22="NO","",IF(OR(LINEAS!$D$179="",LINEAS!$U$179=0,ABS(IF(OR(LINEAS!$U$179=1,LINEAS!$U$179=3),1,-1)*LINEAS!$AI$179*DATOS!$C$67)&lt;0.00005),"*",LINEAS!$D$179&amp;" UNI "&amp;IF(LINEAS!$U$179&lt;=2,"GZ","GX")&amp;" "&amp;TEXT(IF(OR(LINEAS!$U$179=1,LINEAS!$U$179=3),1,-1)*LINEAS!$AI$179*DATOS!$C$67,DATOS!$C$68)))</f>
        <v/>
      </c>
      <c r="E1689" s="51" t="str">
        <f aca="false">IF(LEN($D1689)&gt;79,"MÁS DE 79 CARACTERES","")</f>
        <v/>
      </c>
    </row>
    <row r="1690" customFormat="false" ht="15" hidden="false" customHeight="true" outlineLevel="0" collapsed="false">
      <c r="B1690" s="53" t="str">
        <f aca="false">IF(OR(LINEAS!$D$180="",LINEAS!$U$180=0,ABS(IF(OR(LINEAS!$U$180=1,LINEAS!$U$180=3),1,-1)*LINEAS!$AI$180*DATOS!$C$67)&lt;0.00005),"*",LINEAS!$D$180&amp;" UNI "&amp;IF(LINEAS!$U$180&lt;=2,"GZ","GX")&amp;" "&amp;TEXT(IF(OR(LINEAS!$U$180=1,LINEAS!$U$180=3),1,-1)*LINEAS!$AI$180*DATOS!$C$67,DATOS!$C$68))</f>
        <v>*</v>
      </c>
      <c r="C1690" s="51" t="str">
        <f aca="false">IF(LEN($B1690)&gt;79,"MÁS DE 79 CARACTERES","")</f>
        <v/>
      </c>
      <c r="D1690" s="53" t="str">
        <f aca="false">IF(PRESIONES!$C$22="NO","",IF(OR(LINEAS!$D$180="",LINEAS!$U$180=0,ABS(IF(OR(LINEAS!$U$180=1,LINEAS!$U$180=3),1,-1)*LINEAS!$AI$180*DATOS!$C$67)&lt;0.00005),"*",LINEAS!$D$180&amp;" UNI "&amp;IF(LINEAS!$U$180&lt;=2,"GZ","GX")&amp;" "&amp;TEXT(IF(OR(LINEAS!$U$180=1,LINEAS!$U$180=3),1,-1)*LINEAS!$AI$180*DATOS!$C$67,DATOS!$C$68)))</f>
        <v/>
      </c>
      <c r="E1690" s="51" t="str">
        <f aca="false">IF(LEN($D1690)&gt;79,"MÁS DE 79 CARACTERES","")</f>
        <v/>
      </c>
    </row>
    <row r="1691" customFormat="false" ht="15" hidden="false" customHeight="true" outlineLevel="0" collapsed="false">
      <c r="B1691" s="53" t="str">
        <f aca="false">IF(OR(LINEAS!$D$181="",LINEAS!$U$181=0,ABS(IF(OR(LINEAS!$U$181=1,LINEAS!$U$181=3),1,-1)*LINEAS!$AI$181*DATOS!$C$67)&lt;0.00005),"*",LINEAS!$D$181&amp;" UNI "&amp;IF(LINEAS!$U$181&lt;=2,"GZ","GX")&amp;" "&amp;TEXT(IF(OR(LINEAS!$U$181=1,LINEAS!$U$181=3),1,-1)*LINEAS!$AI$181*DATOS!$C$67,DATOS!$C$68))</f>
        <v>*</v>
      </c>
      <c r="C1691" s="51" t="str">
        <f aca="false">IF(LEN($B1691)&gt;79,"MÁS DE 79 CARACTERES","")</f>
        <v/>
      </c>
      <c r="D1691" s="53" t="str">
        <f aca="false">IF(PRESIONES!$C$22="NO","",IF(OR(LINEAS!$D$181="",LINEAS!$U$181=0,ABS(IF(OR(LINEAS!$U$181=1,LINEAS!$U$181=3),1,-1)*LINEAS!$AI$181*DATOS!$C$67)&lt;0.00005),"*",LINEAS!$D$181&amp;" UNI "&amp;IF(LINEAS!$U$181&lt;=2,"GZ","GX")&amp;" "&amp;TEXT(IF(OR(LINEAS!$U$181=1,LINEAS!$U$181=3),1,-1)*LINEAS!$AI$181*DATOS!$C$67,DATOS!$C$68)))</f>
        <v/>
      </c>
      <c r="E1691" s="51" t="str">
        <f aca="false">IF(LEN($D1691)&gt;79,"MÁS DE 79 CARACTERES","")</f>
        <v/>
      </c>
    </row>
    <row r="1692" customFormat="false" ht="15" hidden="false" customHeight="true" outlineLevel="0" collapsed="false">
      <c r="B1692" s="53" t="str">
        <f aca="false">IF(OR(LINEAS!$D$182="",LINEAS!$U$182=0,ABS(IF(OR(LINEAS!$U$182=1,LINEAS!$U$182=3),1,-1)*LINEAS!$AI$182*DATOS!$C$67)&lt;0.00005),"*",LINEAS!$D$182&amp;" UNI "&amp;IF(LINEAS!$U$182&lt;=2,"GZ","GX")&amp;" "&amp;TEXT(IF(OR(LINEAS!$U$182=1,LINEAS!$U$182=3),1,-1)*LINEAS!$AI$182*DATOS!$C$67,DATOS!$C$68))</f>
        <v>*</v>
      </c>
      <c r="C1692" s="51" t="str">
        <f aca="false">IF(LEN($B1692)&gt;79,"MÁS DE 79 CARACTERES","")</f>
        <v/>
      </c>
      <c r="D1692" s="53" t="str">
        <f aca="false">IF(PRESIONES!$C$22="NO","",IF(OR(LINEAS!$D$182="",LINEAS!$U$182=0,ABS(IF(OR(LINEAS!$U$182=1,LINEAS!$U$182=3),1,-1)*LINEAS!$AI$182*DATOS!$C$67)&lt;0.00005),"*",LINEAS!$D$182&amp;" UNI "&amp;IF(LINEAS!$U$182&lt;=2,"GZ","GX")&amp;" "&amp;TEXT(IF(OR(LINEAS!$U$182=1,LINEAS!$U$182=3),1,-1)*LINEAS!$AI$182*DATOS!$C$67,DATOS!$C$68)))</f>
        <v/>
      </c>
      <c r="E1692" s="51" t="str">
        <f aca="false">IF(LEN($D1692)&gt;79,"MÁS DE 79 CARACTERES","")</f>
        <v/>
      </c>
    </row>
    <row r="1693" customFormat="false" ht="15" hidden="false" customHeight="true" outlineLevel="0" collapsed="false">
      <c r="B1693" s="53" t="str">
        <f aca="false">IF(OR(LINEAS!$D$183="",LINEAS!$U$183=0,ABS(IF(OR(LINEAS!$U$183=1,LINEAS!$U$183=3),1,-1)*LINEAS!$AI$183*DATOS!$C$67)&lt;0.00005),"*",LINEAS!$D$183&amp;" UNI "&amp;IF(LINEAS!$U$183&lt;=2,"GZ","GX")&amp;" "&amp;TEXT(IF(OR(LINEAS!$U$183=1,LINEAS!$U$183=3),1,-1)*LINEAS!$AI$183*DATOS!$C$67,DATOS!$C$68))</f>
        <v>*</v>
      </c>
      <c r="C1693" s="51" t="str">
        <f aca="false">IF(LEN($B1693)&gt;79,"MÁS DE 79 CARACTERES","")</f>
        <v/>
      </c>
      <c r="D1693" s="53" t="str">
        <f aca="false">IF(PRESIONES!$C$22="NO","",IF(OR(LINEAS!$D$183="",LINEAS!$U$183=0,ABS(IF(OR(LINEAS!$U$183=1,LINEAS!$U$183=3),1,-1)*LINEAS!$AI$183*DATOS!$C$67)&lt;0.00005),"*",LINEAS!$D$183&amp;" UNI "&amp;IF(LINEAS!$U$183&lt;=2,"GZ","GX")&amp;" "&amp;TEXT(IF(OR(LINEAS!$U$183=1,LINEAS!$U$183=3),1,-1)*LINEAS!$AI$183*DATOS!$C$67,DATOS!$C$68)))</f>
        <v/>
      </c>
      <c r="E1693" s="51" t="str">
        <f aca="false">IF(LEN($D1693)&gt;79,"MÁS DE 79 CARACTERES","")</f>
        <v/>
      </c>
    </row>
    <row r="1694" customFormat="false" ht="15" hidden="false" customHeight="true" outlineLevel="0" collapsed="false">
      <c r="B1694" s="53" t="str">
        <f aca="false">IF(OR(LINEAS!$D$184="",LINEAS!$U$184=0,ABS(IF(OR(LINEAS!$U$184=1,LINEAS!$U$184=3),1,-1)*LINEAS!$AI$184*DATOS!$C$67)&lt;0.00005),"*",LINEAS!$D$184&amp;" UNI "&amp;IF(LINEAS!$U$184&lt;=2,"GZ","GX")&amp;" "&amp;TEXT(IF(OR(LINEAS!$U$184=1,LINEAS!$U$184=3),1,-1)*LINEAS!$AI$184*DATOS!$C$67,DATOS!$C$68))</f>
        <v>*</v>
      </c>
      <c r="C1694" s="51" t="str">
        <f aca="false">IF(LEN($B1694)&gt;79,"MÁS DE 79 CARACTERES","")</f>
        <v/>
      </c>
      <c r="D1694" s="53" t="str">
        <f aca="false">IF(PRESIONES!$C$22="NO","",IF(OR(LINEAS!$D$184="",LINEAS!$U$184=0,ABS(IF(OR(LINEAS!$U$184=1,LINEAS!$U$184=3),1,-1)*LINEAS!$AI$184*DATOS!$C$67)&lt;0.00005),"*",LINEAS!$D$184&amp;" UNI "&amp;IF(LINEAS!$U$184&lt;=2,"GZ","GX")&amp;" "&amp;TEXT(IF(OR(LINEAS!$U$184=1,LINEAS!$U$184=3),1,-1)*LINEAS!$AI$184*DATOS!$C$67,DATOS!$C$68)))</f>
        <v/>
      </c>
      <c r="E1694" s="51" t="str">
        <f aca="false">IF(LEN($D1694)&gt;79,"MÁS DE 79 CARACTERES","")</f>
        <v/>
      </c>
    </row>
    <row r="1695" customFormat="false" ht="15" hidden="false" customHeight="true" outlineLevel="0" collapsed="false">
      <c r="B1695" s="53" t="str">
        <f aca="false">IF(OR(LINEAS!$D$185="",LINEAS!$U$185=0,ABS(IF(OR(LINEAS!$U$185=1,LINEAS!$U$185=3),1,-1)*LINEAS!$AI$185*DATOS!$C$67)&lt;0.00005),"*",LINEAS!$D$185&amp;" UNI "&amp;IF(LINEAS!$U$185&lt;=2,"GZ","GX")&amp;" "&amp;TEXT(IF(OR(LINEAS!$U$185=1,LINEAS!$U$185=3),1,-1)*LINEAS!$AI$185*DATOS!$C$67,DATOS!$C$68))</f>
        <v>*</v>
      </c>
      <c r="C1695" s="51" t="str">
        <f aca="false">IF(LEN($B1695)&gt;79,"MÁS DE 79 CARACTERES","")</f>
        <v/>
      </c>
      <c r="D1695" s="53" t="str">
        <f aca="false">IF(PRESIONES!$C$22="NO","",IF(OR(LINEAS!$D$185="",LINEAS!$U$185=0,ABS(IF(OR(LINEAS!$U$185=1,LINEAS!$U$185=3),1,-1)*LINEAS!$AI$185*DATOS!$C$67)&lt;0.00005),"*",LINEAS!$D$185&amp;" UNI "&amp;IF(LINEAS!$U$185&lt;=2,"GZ","GX")&amp;" "&amp;TEXT(IF(OR(LINEAS!$U$185=1,LINEAS!$U$185=3),1,-1)*LINEAS!$AI$185*DATOS!$C$67,DATOS!$C$68)))</f>
        <v/>
      </c>
      <c r="E1695" s="51" t="str">
        <f aca="false">IF(LEN($D1695)&gt;79,"MÁS DE 79 CARACTERES","")</f>
        <v/>
      </c>
    </row>
    <row r="1696" customFormat="false" ht="15" hidden="false" customHeight="true" outlineLevel="0" collapsed="false">
      <c r="B1696" s="53" t="str">
        <f aca="false">IF(OR(LINEAS!$D$186="",LINEAS!$U$186=0,ABS(IF(OR(LINEAS!$U$186=1,LINEAS!$U$186=3),1,-1)*LINEAS!$AI$186*DATOS!$C$67)&lt;0.00005),"*",LINEAS!$D$186&amp;" UNI "&amp;IF(LINEAS!$U$186&lt;=2,"GZ","GX")&amp;" "&amp;TEXT(IF(OR(LINEAS!$U$186=1,LINEAS!$U$186=3),1,-1)*LINEAS!$AI$186*DATOS!$C$67,DATOS!$C$68))</f>
        <v>*</v>
      </c>
      <c r="C1696" s="51" t="str">
        <f aca="false">IF(LEN($B1696)&gt;79,"MÁS DE 79 CARACTERES","")</f>
        <v/>
      </c>
      <c r="D1696" s="53" t="str">
        <f aca="false">IF(PRESIONES!$C$22="NO","",IF(OR(LINEAS!$D$186="",LINEAS!$U$186=0,ABS(IF(OR(LINEAS!$U$186=1,LINEAS!$U$186=3),1,-1)*LINEAS!$AI$186*DATOS!$C$67)&lt;0.00005),"*",LINEAS!$D$186&amp;" UNI "&amp;IF(LINEAS!$U$186&lt;=2,"GZ","GX")&amp;" "&amp;TEXT(IF(OR(LINEAS!$U$186=1,LINEAS!$U$186=3),1,-1)*LINEAS!$AI$186*DATOS!$C$67,DATOS!$C$68)))</f>
        <v/>
      </c>
      <c r="E1696" s="51" t="str">
        <f aca="false">IF(LEN($D1696)&gt;79,"MÁS DE 79 CARACTERES","")</f>
        <v/>
      </c>
    </row>
    <row r="1697" customFormat="false" ht="15" hidden="false" customHeight="true" outlineLevel="0" collapsed="false">
      <c r="B1697" s="53" t="str">
        <f aca="false">IF(OR(LINEAS!$D$187="",LINEAS!$U$187=0,ABS(IF(OR(LINEAS!$U$187=1,LINEAS!$U$187=3),1,-1)*LINEAS!$AI$187*DATOS!$C$67)&lt;0.00005),"*",LINEAS!$D$187&amp;" UNI "&amp;IF(LINEAS!$U$187&lt;=2,"GZ","GX")&amp;" "&amp;TEXT(IF(OR(LINEAS!$U$187=1,LINEAS!$U$187=3),1,-1)*LINEAS!$AI$187*DATOS!$C$67,DATOS!$C$68))</f>
        <v>*</v>
      </c>
      <c r="C1697" s="51" t="str">
        <f aca="false">IF(LEN($B1697)&gt;79,"MÁS DE 79 CARACTERES","")</f>
        <v/>
      </c>
      <c r="D1697" s="53" t="str">
        <f aca="false">IF(PRESIONES!$C$22="NO","",IF(OR(LINEAS!$D$187="",LINEAS!$U$187=0,ABS(IF(OR(LINEAS!$U$187=1,LINEAS!$U$187=3),1,-1)*LINEAS!$AI$187*DATOS!$C$67)&lt;0.00005),"*",LINEAS!$D$187&amp;" UNI "&amp;IF(LINEAS!$U$187&lt;=2,"GZ","GX")&amp;" "&amp;TEXT(IF(OR(LINEAS!$U$187=1,LINEAS!$U$187=3),1,-1)*LINEAS!$AI$187*DATOS!$C$67,DATOS!$C$68)))</f>
        <v/>
      </c>
      <c r="E1697" s="51" t="str">
        <f aca="false">IF(LEN($D1697)&gt;79,"MÁS DE 79 CARACTERES","")</f>
        <v/>
      </c>
    </row>
    <row r="1698" customFormat="false" ht="15" hidden="false" customHeight="true" outlineLevel="0" collapsed="false">
      <c r="B1698" s="53" t="str">
        <f aca="false">IF(OR(LINEAS!$D$188="",LINEAS!$U$188=0,ABS(IF(OR(LINEAS!$U$188=1,LINEAS!$U$188=3),1,-1)*LINEAS!$AI$188*DATOS!$C$67)&lt;0.00005),"*",LINEAS!$D$188&amp;" UNI "&amp;IF(LINEAS!$U$188&lt;=2,"GZ","GX")&amp;" "&amp;TEXT(IF(OR(LINEAS!$U$188=1,LINEAS!$U$188=3),1,-1)*LINEAS!$AI$188*DATOS!$C$67,DATOS!$C$68))</f>
        <v>*</v>
      </c>
      <c r="C1698" s="51" t="str">
        <f aca="false">IF(LEN($B1698)&gt;79,"MÁS DE 79 CARACTERES","")</f>
        <v/>
      </c>
      <c r="D1698" s="53" t="str">
        <f aca="false">IF(PRESIONES!$C$22="NO","",IF(OR(LINEAS!$D$188="",LINEAS!$U$188=0,ABS(IF(OR(LINEAS!$U$188=1,LINEAS!$U$188=3),1,-1)*LINEAS!$AI$188*DATOS!$C$67)&lt;0.00005),"*",LINEAS!$D$188&amp;" UNI "&amp;IF(LINEAS!$U$188&lt;=2,"GZ","GX")&amp;" "&amp;TEXT(IF(OR(LINEAS!$U$188=1,LINEAS!$U$188=3),1,-1)*LINEAS!$AI$188*DATOS!$C$67,DATOS!$C$68)))</f>
        <v/>
      </c>
      <c r="E1698" s="51" t="str">
        <f aca="false">IF(LEN($D1698)&gt;79,"MÁS DE 79 CARACTERES","")</f>
        <v/>
      </c>
    </row>
    <row r="1699" customFormat="false" ht="15" hidden="false" customHeight="true" outlineLevel="0" collapsed="false">
      <c r="B1699" s="53" t="str">
        <f aca="false">IF(OR(LINEAS!$D$189="",LINEAS!$U$189=0,ABS(IF(OR(LINEAS!$U$189=1,LINEAS!$U$189=3),1,-1)*LINEAS!$AI$189*DATOS!$C$67)&lt;0.00005),"*",LINEAS!$D$189&amp;" UNI "&amp;IF(LINEAS!$U$189&lt;=2,"GZ","GX")&amp;" "&amp;TEXT(IF(OR(LINEAS!$U$189=1,LINEAS!$U$189=3),1,-1)*LINEAS!$AI$189*DATOS!$C$67,DATOS!$C$68))</f>
        <v>*</v>
      </c>
      <c r="C1699" s="51" t="str">
        <f aca="false">IF(LEN($B1699)&gt;79,"MÁS DE 79 CARACTERES","")</f>
        <v/>
      </c>
      <c r="D1699" s="53" t="str">
        <f aca="false">IF(PRESIONES!$C$22="NO","",IF(OR(LINEAS!$D$189="",LINEAS!$U$189=0,ABS(IF(OR(LINEAS!$U$189=1,LINEAS!$U$189=3),1,-1)*LINEAS!$AI$189*DATOS!$C$67)&lt;0.00005),"*",LINEAS!$D$189&amp;" UNI "&amp;IF(LINEAS!$U$189&lt;=2,"GZ","GX")&amp;" "&amp;TEXT(IF(OR(LINEAS!$U$189=1,LINEAS!$U$189=3),1,-1)*LINEAS!$AI$189*DATOS!$C$67,DATOS!$C$68)))</f>
        <v/>
      </c>
      <c r="E1699" s="51" t="str">
        <f aca="false">IF(LEN($D1699)&gt;79,"MÁS DE 79 CARACTERES","")</f>
        <v/>
      </c>
    </row>
    <row r="1700" customFormat="false" ht="15" hidden="false" customHeight="true" outlineLevel="0" collapsed="false">
      <c r="B1700" s="53" t="str">
        <f aca="false">IF(OR(LINEAS!$D$190="",LINEAS!$U$190=0,ABS(IF(OR(LINEAS!$U$190=1,LINEAS!$U$190=3),1,-1)*LINEAS!$AI$190*DATOS!$C$67)&lt;0.00005),"*",LINEAS!$D$190&amp;" UNI "&amp;IF(LINEAS!$U$190&lt;=2,"GZ","GX")&amp;" "&amp;TEXT(IF(OR(LINEAS!$U$190=1,LINEAS!$U$190=3),1,-1)*LINEAS!$AI$190*DATOS!$C$67,DATOS!$C$68))</f>
        <v>*</v>
      </c>
      <c r="C1700" s="51" t="str">
        <f aca="false">IF(LEN($B1700)&gt;79,"MÁS DE 79 CARACTERES","")</f>
        <v/>
      </c>
      <c r="D1700" s="53" t="str">
        <f aca="false">IF(PRESIONES!$C$22="NO","",IF(OR(LINEAS!$D$190="",LINEAS!$U$190=0,ABS(IF(OR(LINEAS!$U$190=1,LINEAS!$U$190=3),1,-1)*LINEAS!$AI$190*DATOS!$C$67)&lt;0.00005),"*",LINEAS!$D$190&amp;" UNI "&amp;IF(LINEAS!$U$190&lt;=2,"GZ","GX")&amp;" "&amp;TEXT(IF(OR(LINEAS!$U$190=1,LINEAS!$U$190=3),1,-1)*LINEAS!$AI$190*DATOS!$C$67,DATOS!$C$68)))</f>
        <v/>
      </c>
      <c r="E1700" s="51" t="str">
        <f aca="false">IF(LEN($D1700)&gt;79,"MÁS DE 79 CARACTERES","")</f>
        <v/>
      </c>
    </row>
    <row r="1701" customFormat="false" ht="15" hidden="false" customHeight="true" outlineLevel="0" collapsed="false">
      <c r="B1701" s="53" t="str">
        <f aca="false">IF(OR(LINEAS!$D$191="",LINEAS!$U$191=0,ABS(IF(OR(LINEAS!$U$191=1,LINEAS!$U$191=3),1,-1)*LINEAS!$AI$191*DATOS!$C$67)&lt;0.00005),"*",LINEAS!$D$191&amp;" UNI "&amp;IF(LINEAS!$U$191&lt;=2,"GZ","GX")&amp;" "&amp;TEXT(IF(OR(LINEAS!$U$191=1,LINEAS!$U$191=3),1,-1)*LINEAS!$AI$191*DATOS!$C$67,DATOS!$C$68))</f>
        <v>*</v>
      </c>
      <c r="C1701" s="51" t="str">
        <f aca="false">IF(LEN($B1701)&gt;79,"MÁS DE 79 CARACTERES","")</f>
        <v/>
      </c>
      <c r="D1701" s="53" t="str">
        <f aca="false">IF(PRESIONES!$C$22="NO","",IF(OR(LINEAS!$D$191="",LINEAS!$U$191=0,ABS(IF(OR(LINEAS!$U$191=1,LINEAS!$U$191=3),1,-1)*LINEAS!$AI$191*DATOS!$C$67)&lt;0.00005),"*",LINEAS!$D$191&amp;" UNI "&amp;IF(LINEAS!$U$191&lt;=2,"GZ","GX")&amp;" "&amp;TEXT(IF(OR(LINEAS!$U$191=1,LINEAS!$U$191=3),1,-1)*LINEAS!$AI$191*DATOS!$C$67,DATOS!$C$68)))</f>
        <v/>
      </c>
      <c r="E1701" s="51" t="str">
        <f aca="false">IF(LEN($D1701)&gt;79,"MÁS DE 79 CARACTERES","")</f>
        <v/>
      </c>
    </row>
    <row r="1702" customFormat="false" ht="15" hidden="false" customHeight="true" outlineLevel="0" collapsed="false">
      <c r="B1702" s="53" t="str">
        <f aca="false">IF(OR(LINEAS!$D$192="",LINEAS!$U$192=0,ABS(IF(OR(LINEAS!$U$192=1,LINEAS!$U$192=3),1,-1)*LINEAS!$AI$192*DATOS!$C$67)&lt;0.00005),"*",LINEAS!$D$192&amp;" UNI "&amp;IF(LINEAS!$U$192&lt;=2,"GZ","GX")&amp;" "&amp;TEXT(IF(OR(LINEAS!$U$192=1,LINEAS!$U$192=3),1,-1)*LINEAS!$AI$192*DATOS!$C$67,DATOS!$C$68))</f>
        <v>*</v>
      </c>
      <c r="C1702" s="51" t="str">
        <f aca="false">IF(LEN($B1702)&gt;79,"MÁS DE 79 CARACTERES","")</f>
        <v/>
      </c>
      <c r="D1702" s="53" t="str">
        <f aca="false">IF(PRESIONES!$C$22="NO","",IF(OR(LINEAS!$D$192="",LINEAS!$U$192=0,ABS(IF(OR(LINEAS!$U$192=1,LINEAS!$U$192=3),1,-1)*LINEAS!$AI$192*DATOS!$C$67)&lt;0.00005),"*",LINEAS!$D$192&amp;" UNI "&amp;IF(LINEAS!$U$192&lt;=2,"GZ","GX")&amp;" "&amp;TEXT(IF(OR(LINEAS!$U$192=1,LINEAS!$U$192=3),1,-1)*LINEAS!$AI$192*DATOS!$C$67,DATOS!$C$68)))</f>
        <v/>
      </c>
      <c r="E1702" s="51" t="str">
        <f aca="false">IF(LEN($D1702)&gt;79,"MÁS DE 79 CARACTERES","")</f>
        <v/>
      </c>
    </row>
    <row r="1703" customFormat="false" ht="15" hidden="false" customHeight="true" outlineLevel="0" collapsed="false">
      <c r="B1703" s="53" t="str">
        <f aca="false">IF(OR(LINEAS!$D$193="",LINEAS!$U$193=0,ABS(IF(OR(LINEAS!$U$193=1,LINEAS!$U$193=3),1,-1)*LINEAS!$AI$193*DATOS!$C$67)&lt;0.00005),"*",LINEAS!$D$193&amp;" UNI "&amp;IF(LINEAS!$U$193&lt;=2,"GZ","GX")&amp;" "&amp;TEXT(IF(OR(LINEAS!$U$193=1,LINEAS!$U$193=3),1,-1)*LINEAS!$AI$193*DATOS!$C$67,DATOS!$C$68))</f>
        <v>*</v>
      </c>
      <c r="C1703" s="51" t="str">
        <f aca="false">IF(LEN($B1703)&gt;79,"MÁS DE 79 CARACTERES","")</f>
        <v/>
      </c>
      <c r="D1703" s="53" t="str">
        <f aca="false">IF(PRESIONES!$C$22="NO","",IF(OR(LINEAS!$D$193="",LINEAS!$U$193=0,ABS(IF(OR(LINEAS!$U$193=1,LINEAS!$U$193=3),1,-1)*LINEAS!$AI$193*DATOS!$C$67)&lt;0.00005),"*",LINEAS!$D$193&amp;" UNI "&amp;IF(LINEAS!$U$193&lt;=2,"GZ","GX")&amp;" "&amp;TEXT(IF(OR(LINEAS!$U$193=1,LINEAS!$U$193=3),1,-1)*LINEAS!$AI$193*DATOS!$C$67,DATOS!$C$68)))</f>
        <v/>
      </c>
      <c r="E1703" s="51" t="str">
        <f aca="false">IF(LEN($D1703)&gt;79,"MÁS DE 79 CARACTERES","")</f>
        <v/>
      </c>
    </row>
    <row r="1704" customFormat="false" ht="15" hidden="false" customHeight="true" outlineLevel="0" collapsed="false">
      <c r="B1704" s="53" t="str">
        <f aca="false">IF(OR(LINEAS!$D$194="",LINEAS!$U$194=0,ABS(IF(OR(LINEAS!$U$194=1,LINEAS!$U$194=3),1,-1)*LINEAS!$AI$194*DATOS!$C$67)&lt;0.00005),"*",LINEAS!$D$194&amp;" UNI "&amp;IF(LINEAS!$U$194&lt;=2,"GZ","GX")&amp;" "&amp;TEXT(IF(OR(LINEAS!$U$194=1,LINEAS!$U$194=3),1,-1)*LINEAS!$AI$194*DATOS!$C$67,DATOS!$C$68))</f>
        <v>*</v>
      </c>
      <c r="C1704" s="51" t="str">
        <f aca="false">IF(LEN($B1704)&gt;79,"MÁS DE 79 CARACTERES","")</f>
        <v/>
      </c>
      <c r="D1704" s="53" t="str">
        <f aca="false">IF(PRESIONES!$C$22="NO","",IF(OR(LINEAS!$D$194="",LINEAS!$U$194=0,ABS(IF(OR(LINEAS!$U$194=1,LINEAS!$U$194=3),1,-1)*LINEAS!$AI$194*DATOS!$C$67)&lt;0.00005),"*",LINEAS!$D$194&amp;" UNI "&amp;IF(LINEAS!$U$194&lt;=2,"GZ","GX")&amp;" "&amp;TEXT(IF(OR(LINEAS!$U$194=1,LINEAS!$U$194=3),1,-1)*LINEAS!$AI$194*DATOS!$C$67,DATOS!$C$68)))</f>
        <v/>
      </c>
      <c r="E1704" s="51" t="str">
        <f aca="false">IF(LEN($D1704)&gt;79,"MÁS DE 79 CARACTERES","")</f>
        <v/>
      </c>
    </row>
    <row r="1705" customFormat="false" ht="21.75" hidden="false" customHeight="true" outlineLevel="0" collapsed="false">
      <c r="B1705" s="53" t="s">
        <v>659</v>
      </c>
      <c r="C1705" s="51" t="str">
        <f aca="false">IF(LEN($B1705)&gt;79,"MÁS DE 79 CARACTERES","")</f>
        <v>MÁS DE 79 CARACTERES</v>
      </c>
      <c r="E1705" s="51" t="str">
        <f aca="false">IF(LEN($D1705)&gt;79,"MÁS DE 79 CARACTERES","")</f>
        <v/>
      </c>
    </row>
  </sheetData>
  <mergeCells count="15">
    <mergeCell ref="B1:P1"/>
    <mergeCell ref="B2:P2"/>
    <mergeCell ref="B3:P3"/>
    <mergeCell ref="B5:E5"/>
    <mergeCell ref="G5:P5"/>
    <mergeCell ref="B6:E6"/>
    <mergeCell ref="G16:P16"/>
    <mergeCell ref="G17:P17"/>
    <mergeCell ref="G31:P31"/>
    <mergeCell ref="G33:P33"/>
    <mergeCell ref="G34:P34"/>
    <mergeCell ref="G35:P35"/>
    <mergeCell ref="G36:P36"/>
    <mergeCell ref="G37:P37"/>
    <mergeCell ref="G38:P38"/>
  </mergeCells>
  <conditionalFormatting sqref="C9:C1705">
    <cfRule type="expression" priority="2" aboveAverage="0" equalAverage="0" bottom="0" percent="0" rank="0" text="" dxfId="2">
      <formula>$C9&lt;&gt;""</formula>
    </cfRule>
  </conditionalFormatting>
  <conditionalFormatting sqref="E9:E1705">
    <cfRule type="expression" priority="3" aboveAverage="0" equalAverage="0" bottom="0" percent="0" rank="0" text="" dxfId="2">
      <formula>$E9&lt;&gt;""</formula>
    </cfRule>
  </conditionalFormatting>
  <conditionalFormatting sqref="P7:P14">
    <cfRule type="expression" priority="4" aboveAverage="0" equalAverage="0" bottom="0" percent="0" rank="0" text="" dxfId="1">
      <formula>$P7="OK"</formula>
    </cfRule>
    <cfRule type="expression" priority="5" aboveAverage="0" equalAverage="0" bottom="0" percent="0" rank="0" text="" dxfId="3">
      <formula>$P7&lt;&gt;"OK"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1F"/>
    <pageSetUpPr fitToPage="false"/>
  </sheetPr>
  <dimension ref="B1:D6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78"/>
    <col collapsed="false" customWidth="true" hidden="false" outlineLevel="0" max="2" min="2" style="0" width="70"/>
    <col collapsed="false" customWidth="true" hidden="false" outlineLevel="0" max="3" min="3" style="0" width="16"/>
    <col collapsed="false" customWidth="true" hidden="false" outlineLevel="0" max="4" min="4" style="0" width="64"/>
  </cols>
  <sheetData>
    <row r="1" customFormat="false" ht="16.15" hidden="false" customHeight="false" outlineLevel="0" collapsed="false">
      <c r="B1" s="2" t="s">
        <v>660</v>
      </c>
      <c r="C1" s="2"/>
      <c r="D1" s="2"/>
    </row>
    <row r="2" customFormat="false" ht="75" hidden="false" customHeight="true" outlineLevel="0" collapsed="false">
      <c r="B2" s="6" t="s">
        <v>661</v>
      </c>
      <c r="C2" s="6"/>
      <c r="D2" s="6"/>
    </row>
    <row r="3" customFormat="false" ht="30" hidden="false" customHeight="true" outlineLevel="0" collapsed="false">
      <c r="B3" s="6" t="s">
        <v>662</v>
      </c>
      <c r="C3" s="6"/>
      <c r="D3" s="6"/>
    </row>
    <row r="5" customFormat="false" ht="15" hidden="false" customHeight="false" outlineLevel="0" collapsed="false">
      <c r="B5" s="10" t="s">
        <v>663</v>
      </c>
      <c r="C5" s="10" t="s">
        <v>632</v>
      </c>
      <c r="D5" s="10" t="s">
        <v>664</v>
      </c>
    </row>
    <row r="6" customFormat="false" ht="15" hidden="false" customHeight="false" outlineLevel="0" collapsed="false">
      <c r="B6" s="53" t="str">
        <f aca="false">STAAD!B9</f>
        <v>LOAD 8 LOADTYPE Wind  TITLE VIENTO X</v>
      </c>
      <c r="C6" s="51" t="str">
        <f aca="false">IF(LEN($B6)&gt;79,"MÁS DE 79 CARACTERES","")</f>
        <v/>
      </c>
      <c r="D6" s="51" t="s">
        <v>665</v>
      </c>
    </row>
    <row r="7" customFormat="false" ht="15" hidden="false" customHeight="false" outlineLevel="0" collapsed="false">
      <c r="B7" s="53" t="s">
        <v>666</v>
      </c>
      <c r="C7" s="51" t="str">
        <f aca="false">IF(LEN($B7)&gt;79,"MÁS DE 79 CARACTERES","")</f>
        <v/>
      </c>
      <c r="D7" s="51"/>
    </row>
    <row r="8" customFormat="false" ht="15" hidden="false" customHeight="false" outlineLevel="0" collapsed="false">
      <c r="B8" s="53" t="s">
        <v>667</v>
      </c>
      <c r="C8" s="51" t="str">
        <f aca="false">IF(LEN($B8)&gt;79,"MÁS DE 79 CARACTERES","")</f>
        <v/>
      </c>
      <c r="D8" s="51"/>
    </row>
    <row r="9" customFormat="false" ht="15" hidden="false" customHeight="false" outlineLevel="0" collapsed="false">
      <c r="B9" s="53" t="s">
        <v>668</v>
      </c>
      <c r="C9" s="51" t="str">
        <f aca="false">IF(LEN($B9)&gt;79,"MÁS DE 79 CARACTERES","")</f>
        <v/>
      </c>
      <c r="D9" s="51"/>
    </row>
    <row r="10" customFormat="false" ht="15" hidden="false" customHeight="false" outlineLevel="0" collapsed="false">
      <c r="B10" s="53" t="str">
        <f aca="false">"_MURO3 ONE "&amp;TEXT(PRESIONES!C$45*IF(DATOS!$C$65="CM KG",0.0001,IF(DATOS!$C$65="METER KG",1,0.00980665)),"0.000000")&amp;" GX"</f>
        <v>_MURO3 ONE 0.006282 GX</v>
      </c>
      <c r="C10" s="51" t="str">
        <f aca="false">IF(LEN($B10)&gt;79,"MÁS DE 79 CARACTERES","")</f>
        <v/>
      </c>
      <c r="D10" s="51" t="s">
        <v>669</v>
      </c>
    </row>
    <row r="11" customFormat="false" ht="15" hidden="false" customHeight="false" outlineLevel="0" collapsed="false">
      <c r="B11" s="53" t="str">
        <f aca="false">"_MURO4 ONE "&amp;TEXT(-PRESIONES!C$46*IF(DATOS!$C$65="CM KG",0.0001,IF(DATOS!$C$65="METER KG",1,0.00980665)),"0.000000")&amp;" GX"</f>
        <v>_MURO4 ONE -0.000042 GX</v>
      </c>
      <c r="C11" s="51" t="str">
        <f aca="false">IF(LEN($B11)&gt;79,"MÁS DE 79 CARACTERES","")</f>
        <v/>
      </c>
      <c r="D11" s="51" t="s">
        <v>670</v>
      </c>
    </row>
    <row r="12" customFormat="false" ht="15" hidden="false" customHeight="false" outlineLevel="0" collapsed="false">
      <c r="B12" s="53" t="str">
        <f aca="false">"_MURO1 ONE "&amp;TEXT(PRESIONES!C$43*IF(DATOS!$C$65="CM KG",0.0001,IF(DATOS!$C$65="METER KG",1,0.00980665)),"0.000000")&amp;" GZ"</f>
        <v>_MURO1 ONE -0.000918 GZ</v>
      </c>
      <c r="C12" s="51" t="str">
        <f aca="false">IF(LEN($B12)&gt;79,"MÁS DE 79 CARACTERES","")</f>
        <v/>
      </c>
      <c r="D12" s="51" t="s">
        <v>671</v>
      </c>
    </row>
    <row r="13" customFormat="false" ht="15" hidden="false" customHeight="false" outlineLevel="0" collapsed="false">
      <c r="B13" s="53" t="s">
        <v>634</v>
      </c>
      <c r="C13" s="51" t="str">
        <f aca="false">IF(LEN($B13)&gt;79,"MÁS DE 79 CARACTERES","")</f>
        <v/>
      </c>
      <c r="D13" s="51"/>
    </row>
    <row r="14" customFormat="false" ht="15" hidden="false" customHeight="false" outlineLevel="0" collapsed="false">
      <c r="B14" s="53" t="s">
        <v>672</v>
      </c>
      <c r="C14" s="51" t="str">
        <f aca="false">IF(LEN($B14)&gt;79,"MÁS DE 79 CARACTERES","")</f>
        <v/>
      </c>
      <c r="D14" s="51"/>
    </row>
    <row r="15" customFormat="false" ht="15" hidden="false" customHeight="false" outlineLevel="0" collapsed="false">
      <c r="B15" s="53" t="str">
        <f aca="false">STAAD!B11</f>
        <v>22 85 TO 88 UNI GY 0.0659</v>
      </c>
      <c r="C15" s="51" t="str">
        <f aca="false">IF(LEN($B15)&gt;79,"MÁS DE 79 CARACTERES","")</f>
        <v/>
      </c>
      <c r="D15" s="51" t="s">
        <v>673</v>
      </c>
    </row>
    <row r="16" customFormat="false" ht="15" hidden="false" customHeight="false" outlineLevel="0" collapsed="false">
      <c r="B16" s="53" t="str">
        <f aca="false">STAAD!B12</f>
        <v>22 85 TO 88 UNI GZ 0.0033</v>
      </c>
      <c r="C16" s="51" t="str">
        <f aca="false">IF(LEN($B16)&gt;79,"MÁS DE 79 CARACTERES","")</f>
        <v/>
      </c>
      <c r="D16" s="51" t="s">
        <v>673</v>
      </c>
    </row>
    <row r="17" customFormat="false" ht="15" hidden="false" customHeight="false" outlineLevel="0" collapsed="false">
      <c r="B17" s="53" t="str">
        <f aca="false">STAAD!B13</f>
        <v>80 129 TO 132 UNI GY 0.1318</v>
      </c>
      <c r="C17" s="51" t="str">
        <f aca="false">IF(LEN($B17)&gt;79,"MÁS DE 79 CARACTERES","")</f>
        <v/>
      </c>
      <c r="D17" s="51" t="s">
        <v>673</v>
      </c>
    </row>
    <row r="18" customFormat="false" ht="15" hidden="false" customHeight="false" outlineLevel="0" collapsed="false">
      <c r="B18" s="53" t="str">
        <f aca="false">STAAD!B14</f>
        <v>80 129 TO 132 UNI GZ 0.0066</v>
      </c>
      <c r="C18" s="51" t="str">
        <f aca="false">IF(LEN($B18)&gt;79,"MÁS DE 79 CARACTERES","")</f>
        <v/>
      </c>
      <c r="D18" s="51" t="s">
        <v>673</v>
      </c>
    </row>
    <row r="19" customFormat="false" ht="15" hidden="false" customHeight="false" outlineLevel="0" collapsed="false">
      <c r="B19" s="53" t="str">
        <f aca="false">STAAD!B15</f>
        <v>79 125 TO 128 UNI GY 0.1318</v>
      </c>
      <c r="C19" s="51" t="str">
        <f aca="false">IF(LEN($B19)&gt;79,"MÁS DE 79 CARACTERES","")</f>
        <v/>
      </c>
      <c r="D19" s="51" t="s">
        <v>673</v>
      </c>
    </row>
    <row r="20" customFormat="false" ht="15" hidden="false" customHeight="false" outlineLevel="0" collapsed="false">
      <c r="B20" s="53" t="str">
        <f aca="false">STAAD!B16</f>
        <v>79 125 TO 128 UNI GZ 0.0066</v>
      </c>
      <c r="C20" s="51" t="str">
        <f aca="false">IF(LEN($B20)&gt;79,"MÁS DE 79 CARACTERES","")</f>
        <v/>
      </c>
      <c r="D20" s="51" t="s">
        <v>673</v>
      </c>
    </row>
    <row r="21" customFormat="false" ht="15" hidden="false" customHeight="false" outlineLevel="0" collapsed="false">
      <c r="B21" s="53" t="str">
        <f aca="false">STAAD!B17</f>
        <v>78 121 TO 124 UNI GY 0.1318</v>
      </c>
      <c r="C21" s="51" t="str">
        <f aca="false">IF(LEN($B21)&gt;79,"MÁS DE 79 CARACTERES","")</f>
        <v/>
      </c>
      <c r="D21" s="51" t="s">
        <v>673</v>
      </c>
    </row>
    <row r="22" customFormat="false" ht="15" hidden="false" customHeight="false" outlineLevel="0" collapsed="false">
      <c r="B22" s="53" t="str">
        <f aca="false">STAAD!B18</f>
        <v>78 121 TO 124 UNI GZ 0.0066</v>
      </c>
      <c r="C22" s="51" t="str">
        <f aca="false">IF(LEN($B22)&gt;79,"MÁS DE 79 CARACTERES","")</f>
        <v/>
      </c>
      <c r="D22" s="51" t="s">
        <v>673</v>
      </c>
    </row>
    <row r="23" customFormat="false" ht="15" hidden="false" customHeight="false" outlineLevel="0" collapsed="false">
      <c r="B23" s="53" t="str">
        <f aca="false">STAAD!B19</f>
        <v>77 117 TO 120 UNI GY 0.1318</v>
      </c>
      <c r="C23" s="51" t="str">
        <f aca="false">IF(LEN($B23)&gt;79,"MÁS DE 79 CARACTERES","")</f>
        <v/>
      </c>
      <c r="D23" s="51" t="s">
        <v>673</v>
      </c>
    </row>
    <row r="24" customFormat="false" ht="15" hidden="false" customHeight="false" outlineLevel="0" collapsed="false">
      <c r="B24" s="53" t="str">
        <f aca="false">STAAD!B20</f>
        <v>77 117 TO 120 UNI GZ 0.0066</v>
      </c>
      <c r="C24" s="51" t="str">
        <f aca="false">IF(LEN($B24)&gt;79,"MÁS DE 79 CARACTERES","")</f>
        <v/>
      </c>
      <c r="D24" s="51" t="s">
        <v>673</v>
      </c>
    </row>
    <row r="25" customFormat="false" ht="15" hidden="false" customHeight="false" outlineLevel="0" collapsed="false">
      <c r="B25" s="53" t="str">
        <f aca="false">STAAD!B21</f>
        <v>9 93 TO 96 UNI GY 0.1318</v>
      </c>
      <c r="C25" s="51" t="str">
        <f aca="false">IF(LEN($B25)&gt;79,"MÁS DE 79 CARACTERES","")</f>
        <v/>
      </c>
      <c r="D25" s="51" t="s">
        <v>673</v>
      </c>
    </row>
    <row r="26" customFormat="false" ht="15" hidden="false" customHeight="false" outlineLevel="0" collapsed="false">
      <c r="B26" s="53" t="str">
        <f aca="false">STAAD!B22</f>
        <v>9 93 TO 96 UNI GZ 0.0066</v>
      </c>
      <c r="C26" s="51" t="str">
        <f aca="false">IF(LEN($B26)&gt;79,"MÁS DE 79 CARACTERES","")</f>
        <v/>
      </c>
      <c r="D26" s="51" t="s">
        <v>673</v>
      </c>
    </row>
    <row r="27" customFormat="false" ht="15" hidden="false" customHeight="false" outlineLevel="0" collapsed="false">
      <c r="B27" s="53" t="str">
        <f aca="false">STAAD!B23</f>
        <v>76 113 TO 116 UNI GY 0.1318</v>
      </c>
      <c r="C27" s="51" t="str">
        <f aca="false">IF(LEN($B27)&gt;79,"MÁS DE 79 CARACTERES","")</f>
        <v/>
      </c>
      <c r="D27" s="51" t="s">
        <v>673</v>
      </c>
    </row>
    <row r="28" customFormat="false" ht="15" hidden="false" customHeight="false" outlineLevel="0" collapsed="false">
      <c r="B28" s="53" t="str">
        <f aca="false">STAAD!B24</f>
        <v>76 113 TO 116 UNI GZ 0.0066</v>
      </c>
      <c r="C28" s="51" t="str">
        <f aca="false">IF(LEN($B28)&gt;79,"MÁS DE 79 CARACTERES","")</f>
        <v/>
      </c>
      <c r="D28" s="51" t="s">
        <v>673</v>
      </c>
    </row>
    <row r="29" customFormat="false" ht="15" hidden="false" customHeight="false" outlineLevel="0" collapsed="false">
      <c r="B29" s="53" t="str">
        <f aca="false">STAAD!B25</f>
        <v>75 109 TO 112 UNI GY 0.1318</v>
      </c>
      <c r="C29" s="51" t="str">
        <f aca="false">IF(LEN($B29)&gt;79,"MÁS DE 79 CARACTERES","")</f>
        <v/>
      </c>
      <c r="D29" s="51" t="s">
        <v>673</v>
      </c>
    </row>
    <row r="30" customFormat="false" ht="15" hidden="false" customHeight="false" outlineLevel="0" collapsed="false">
      <c r="B30" s="53" t="str">
        <f aca="false">STAAD!B26</f>
        <v>75 109 TO 112 UNI GZ 0.0066</v>
      </c>
      <c r="C30" s="51" t="str">
        <f aca="false">IF(LEN($B30)&gt;79,"MÁS DE 79 CARACTERES","")</f>
        <v/>
      </c>
      <c r="D30" s="51" t="s">
        <v>673</v>
      </c>
    </row>
    <row r="31" customFormat="false" ht="15" hidden="false" customHeight="false" outlineLevel="0" collapsed="false">
      <c r="B31" s="53" t="str">
        <f aca="false">STAAD!B27</f>
        <v>74 105 TO 108 UNI GY 0.1318</v>
      </c>
      <c r="C31" s="51" t="str">
        <f aca="false">IF(LEN($B31)&gt;79,"MÁS DE 79 CARACTERES","")</f>
        <v/>
      </c>
      <c r="D31" s="51" t="s">
        <v>673</v>
      </c>
    </row>
    <row r="32" customFormat="false" ht="15" hidden="false" customHeight="false" outlineLevel="0" collapsed="false">
      <c r="B32" s="53" t="str">
        <f aca="false">STAAD!B28</f>
        <v>74 105 TO 108 UNI GZ 0.0066</v>
      </c>
      <c r="C32" s="51" t="str">
        <f aca="false">IF(LEN($B32)&gt;79,"MÁS DE 79 CARACTERES","")</f>
        <v/>
      </c>
      <c r="D32" s="51" t="s">
        <v>673</v>
      </c>
    </row>
    <row r="33" customFormat="false" ht="15" hidden="false" customHeight="false" outlineLevel="0" collapsed="false">
      <c r="B33" s="53" t="str">
        <f aca="false">STAAD!B29</f>
        <v>73 101 TO 104 UNI GY 0.1318</v>
      </c>
      <c r="C33" s="51" t="str">
        <f aca="false">IF(LEN($B33)&gt;79,"MÁS DE 79 CARACTERES","")</f>
        <v/>
      </c>
      <c r="D33" s="51" t="s">
        <v>673</v>
      </c>
    </row>
    <row r="34" customFormat="false" ht="15" hidden="false" customHeight="false" outlineLevel="0" collapsed="false">
      <c r="B34" s="53" t="str">
        <f aca="false">STAAD!B30</f>
        <v>73 101 TO 104 UNI GZ 0.0066</v>
      </c>
      <c r="C34" s="51" t="str">
        <f aca="false">IF(LEN($B34)&gt;79,"MÁS DE 79 CARACTERES","")</f>
        <v/>
      </c>
      <c r="D34" s="51" t="s">
        <v>673</v>
      </c>
    </row>
    <row r="35" customFormat="false" ht="15" hidden="false" customHeight="false" outlineLevel="0" collapsed="false">
      <c r="B35" s="53" t="str">
        <f aca="false">STAAD!B31</f>
        <v>8 89 TO 92 UNI GY 0.1270</v>
      </c>
      <c r="C35" s="51" t="str">
        <f aca="false">IF(LEN($B35)&gt;79,"MÁS DE 79 CARACTERES","")</f>
        <v/>
      </c>
      <c r="D35" s="51" t="s">
        <v>673</v>
      </c>
    </row>
    <row r="36" customFormat="false" ht="15" hidden="false" customHeight="false" outlineLevel="0" collapsed="false">
      <c r="B36" s="53" t="str">
        <f aca="false">STAAD!B32</f>
        <v>8 89 TO 92 UNI GZ 0.0063</v>
      </c>
      <c r="C36" s="51" t="str">
        <f aca="false">IF(LEN($B36)&gt;79,"MÁS DE 79 CARACTERES","")</f>
        <v/>
      </c>
      <c r="D36" s="51" t="s">
        <v>673</v>
      </c>
    </row>
    <row r="37" customFormat="false" ht="15" hidden="false" customHeight="false" outlineLevel="0" collapsed="false">
      <c r="B37" s="53" t="str">
        <f aca="false">STAAD!B33</f>
        <v>56 97 TO 100 UNI GY 0.1221</v>
      </c>
      <c r="C37" s="51" t="str">
        <f aca="false">IF(LEN($B37)&gt;79,"MÁS DE 79 CARACTERES","")</f>
        <v/>
      </c>
      <c r="D37" s="51" t="s">
        <v>673</v>
      </c>
    </row>
    <row r="38" customFormat="false" ht="15" hidden="false" customHeight="false" outlineLevel="0" collapsed="false">
      <c r="B38" s="53" t="str">
        <f aca="false">STAAD!B34</f>
        <v>56 97 TO 100 UNI GZ 0.0061</v>
      </c>
      <c r="C38" s="51" t="str">
        <f aca="false">IF(LEN($B38)&gt;79,"MÁS DE 79 CARACTERES","")</f>
        <v/>
      </c>
      <c r="D38" s="51" t="s">
        <v>673</v>
      </c>
    </row>
    <row r="39" customFormat="false" ht="15" hidden="false" customHeight="false" outlineLevel="0" collapsed="false">
      <c r="B39" s="53" t="str">
        <f aca="false">STAAD!B35</f>
        <v>7 81 TO 84 UNI GY 0.0610</v>
      </c>
      <c r="C39" s="51" t="str">
        <f aca="false">IF(LEN($B39)&gt;79,"MÁS DE 79 CARACTERES","")</f>
        <v/>
      </c>
      <c r="D39" s="51" t="s">
        <v>673</v>
      </c>
    </row>
    <row r="40" customFormat="false" ht="15" hidden="false" customHeight="false" outlineLevel="0" collapsed="false">
      <c r="B40" s="53" t="str">
        <f aca="false">STAAD!B36</f>
        <v>7 81 TO 84 UNI GZ 0.0031</v>
      </c>
      <c r="C40" s="51" t="str">
        <f aca="false">IF(LEN($B40)&gt;79,"MÁS DE 79 CARACTERES","")</f>
        <v/>
      </c>
      <c r="D40" s="51" t="s">
        <v>673</v>
      </c>
    </row>
    <row r="41" customFormat="false" ht="15" hidden="false" customHeight="false" outlineLevel="0" collapsed="false">
      <c r="B41" s="53" t="str">
        <f aca="false">STAAD!B37</f>
        <v>*</v>
      </c>
      <c r="C41" s="51" t="str">
        <f aca="false">IF(LEN($B41)&gt;79,"MÁS DE 79 CARACTERES","")</f>
        <v/>
      </c>
      <c r="D41" s="51" t="s">
        <v>673</v>
      </c>
    </row>
    <row r="42" customFormat="false" ht="15" hidden="false" customHeight="false" outlineLevel="0" collapsed="false">
      <c r="B42" s="53" t="str">
        <f aca="false">STAAD!B38</f>
        <v>*</v>
      </c>
      <c r="C42" s="51" t="str">
        <f aca="false">IF(LEN($B42)&gt;79,"MÁS DE 79 CARACTERES","")</f>
        <v/>
      </c>
      <c r="D42" s="51" t="s">
        <v>673</v>
      </c>
    </row>
    <row r="43" customFormat="false" ht="15" hidden="false" customHeight="false" outlineLevel="0" collapsed="false">
      <c r="B43" s="53" t="str">
        <f aca="false">STAAD!B39</f>
        <v>*</v>
      </c>
      <c r="C43" s="51" t="str">
        <f aca="false">IF(LEN($B43)&gt;79,"MÁS DE 79 CARACTERES","")</f>
        <v/>
      </c>
      <c r="D43" s="51" t="s">
        <v>673</v>
      </c>
    </row>
    <row r="44" customFormat="false" ht="15" hidden="false" customHeight="false" outlineLevel="0" collapsed="false">
      <c r="B44" s="53" t="str">
        <f aca="false">STAAD!B40</f>
        <v>*</v>
      </c>
      <c r="C44" s="51" t="str">
        <f aca="false">IF(LEN($B44)&gt;79,"MÁS DE 79 CARACTERES","")</f>
        <v/>
      </c>
      <c r="D44" s="51" t="s">
        <v>673</v>
      </c>
    </row>
    <row r="45" customFormat="false" ht="15" hidden="false" customHeight="false" outlineLevel="0" collapsed="false">
      <c r="B45" s="53" t="str">
        <f aca="false">STAAD!B41</f>
        <v>*</v>
      </c>
      <c r="C45" s="51" t="str">
        <f aca="false">IF(LEN($B45)&gt;79,"MÁS DE 79 CARACTERES","")</f>
        <v/>
      </c>
      <c r="D45" s="51" t="s">
        <v>673</v>
      </c>
    </row>
    <row r="46" customFormat="false" ht="15" hidden="false" customHeight="false" outlineLevel="0" collapsed="false">
      <c r="B46" s="53" t="str">
        <f aca="false">STAAD!B42</f>
        <v>*</v>
      </c>
      <c r="C46" s="51" t="str">
        <f aca="false">IF(LEN($B46)&gt;79,"MÁS DE 79 CARACTERES","")</f>
        <v/>
      </c>
      <c r="D46" s="51" t="s">
        <v>673</v>
      </c>
    </row>
    <row r="47" customFormat="false" ht="15" hidden="false" customHeight="false" outlineLevel="0" collapsed="false">
      <c r="B47" s="53" t="str">
        <f aca="false">STAAD!B43</f>
        <v>*</v>
      </c>
      <c r="C47" s="51" t="str">
        <f aca="false">IF(LEN($B47)&gt;79,"MÁS DE 79 CARACTERES","")</f>
        <v/>
      </c>
      <c r="D47" s="51" t="s">
        <v>673</v>
      </c>
    </row>
    <row r="48" customFormat="false" ht="15" hidden="false" customHeight="false" outlineLevel="0" collapsed="false">
      <c r="B48" s="53" t="str">
        <f aca="false">STAAD!B44</f>
        <v>*</v>
      </c>
      <c r="C48" s="51" t="str">
        <f aca="false">IF(LEN($B48)&gt;79,"MÁS DE 79 CARACTERES","")</f>
        <v/>
      </c>
      <c r="D48" s="51" t="s">
        <v>673</v>
      </c>
    </row>
    <row r="49" customFormat="false" ht="15" hidden="false" customHeight="false" outlineLevel="0" collapsed="false">
      <c r="B49" s="53" t="str">
        <f aca="false">STAAD!B45</f>
        <v>*</v>
      </c>
      <c r="C49" s="51" t="str">
        <f aca="false">IF(LEN($B49)&gt;79,"MÁS DE 79 CARACTERES","")</f>
        <v/>
      </c>
      <c r="D49" s="51" t="s">
        <v>673</v>
      </c>
    </row>
    <row r="50" customFormat="false" ht="15" hidden="false" customHeight="false" outlineLevel="0" collapsed="false">
      <c r="B50" s="53" t="str">
        <f aca="false">STAAD!B46</f>
        <v>*</v>
      </c>
      <c r="C50" s="51" t="str">
        <f aca="false">IF(LEN($B50)&gt;79,"MÁS DE 79 CARACTERES","")</f>
        <v/>
      </c>
      <c r="D50" s="51" t="s">
        <v>673</v>
      </c>
    </row>
    <row r="51" customFormat="false" ht="15" hidden="false" customHeight="false" outlineLevel="0" collapsed="false">
      <c r="B51" s="53" t="str">
        <f aca="false">STAAD!B47</f>
        <v>*</v>
      </c>
      <c r="C51" s="51" t="str">
        <f aca="false">IF(LEN($B51)&gt;79,"MÁS DE 79 CARACTERES","")</f>
        <v/>
      </c>
      <c r="D51" s="51" t="s">
        <v>673</v>
      </c>
    </row>
    <row r="52" customFormat="false" ht="15" hidden="false" customHeight="false" outlineLevel="0" collapsed="false">
      <c r="B52" s="53" t="str">
        <f aca="false">STAAD!B48</f>
        <v>*</v>
      </c>
      <c r="C52" s="51" t="str">
        <f aca="false">IF(LEN($B52)&gt;79,"MÁS DE 79 CARACTERES","")</f>
        <v/>
      </c>
      <c r="D52" s="51" t="s">
        <v>673</v>
      </c>
    </row>
    <row r="53" customFormat="false" ht="15" hidden="false" customHeight="false" outlineLevel="0" collapsed="false">
      <c r="B53" s="53" t="str">
        <f aca="false">STAAD!B49</f>
        <v>*</v>
      </c>
      <c r="C53" s="51" t="str">
        <f aca="false">IF(LEN($B53)&gt;79,"MÁS DE 79 CARACTERES","")</f>
        <v/>
      </c>
      <c r="D53" s="51" t="s">
        <v>673</v>
      </c>
    </row>
    <row r="54" customFormat="false" ht="15" hidden="false" customHeight="false" outlineLevel="0" collapsed="false">
      <c r="B54" s="53" t="str">
        <f aca="false">STAAD!B50</f>
        <v>*</v>
      </c>
      <c r="C54" s="51" t="str">
        <f aca="false">IF(LEN($B54)&gt;79,"MÁS DE 79 CARACTERES","")</f>
        <v/>
      </c>
      <c r="D54" s="51" t="s">
        <v>673</v>
      </c>
    </row>
    <row r="55" customFormat="false" ht="15" hidden="false" customHeight="false" outlineLevel="0" collapsed="false">
      <c r="B55" s="53" t="str">
        <f aca="false">STAAD!B51</f>
        <v>*</v>
      </c>
      <c r="C55" s="51" t="str">
        <f aca="false">IF(LEN($B55)&gt;79,"MÁS DE 79 CARACTERES","")</f>
        <v/>
      </c>
      <c r="D55" s="51" t="s">
        <v>673</v>
      </c>
    </row>
    <row r="56" customFormat="false" ht="15" hidden="false" customHeight="false" outlineLevel="0" collapsed="false">
      <c r="B56" s="53" t="str">
        <f aca="false">STAAD!B52</f>
        <v>*</v>
      </c>
      <c r="C56" s="51" t="str">
        <f aca="false">IF(LEN($B56)&gt;79,"MÁS DE 79 CARACTERES","")</f>
        <v/>
      </c>
      <c r="D56" s="51" t="s">
        <v>673</v>
      </c>
    </row>
    <row r="57" customFormat="false" ht="15" hidden="false" customHeight="false" outlineLevel="0" collapsed="false">
      <c r="B57" s="53" t="str">
        <f aca="false">STAAD!B53</f>
        <v>*</v>
      </c>
      <c r="C57" s="51" t="str">
        <f aca="false">IF(LEN($B57)&gt;79,"MÁS DE 79 CARACTERES","")</f>
        <v/>
      </c>
      <c r="D57" s="51" t="s">
        <v>673</v>
      </c>
    </row>
    <row r="58" customFormat="false" ht="15" hidden="false" customHeight="false" outlineLevel="0" collapsed="false">
      <c r="B58" s="53" t="str">
        <f aca="false">STAAD!B54</f>
        <v>*</v>
      </c>
      <c r="C58" s="51" t="str">
        <f aca="false">IF(LEN($B58)&gt;79,"MÁS DE 79 CARACTERES","")</f>
        <v/>
      </c>
      <c r="D58" s="51" t="s">
        <v>673</v>
      </c>
    </row>
    <row r="59" customFormat="false" ht="15" hidden="false" customHeight="false" outlineLevel="0" collapsed="false">
      <c r="B59" s="53" t="str">
        <f aca="false">STAAD!B55</f>
        <v>*</v>
      </c>
      <c r="C59" s="51" t="str">
        <f aca="false">IF(LEN($B59)&gt;79,"MÁS DE 79 CARACTERES","")</f>
        <v/>
      </c>
      <c r="D59" s="51" t="s">
        <v>673</v>
      </c>
    </row>
    <row r="60" customFormat="false" ht="15" hidden="false" customHeight="false" outlineLevel="0" collapsed="false">
      <c r="B60" s="53" t="str">
        <f aca="false">STAAD!B56</f>
        <v>*</v>
      </c>
      <c r="C60" s="51" t="str">
        <f aca="false">IF(LEN($B60)&gt;79,"MÁS DE 79 CARACTERES","")</f>
        <v/>
      </c>
      <c r="D60" s="51" t="s">
        <v>673</v>
      </c>
    </row>
    <row r="61" customFormat="false" ht="15" hidden="false" customHeight="false" outlineLevel="0" collapsed="false">
      <c r="B61" s="53" t="str">
        <f aca="false">STAAD!B57</f>
        <v>*</v>
      </c>
      <c r="C61" s="51" t="str">
        <f aca="false">IF(LEN($B61)&gt;79,"MÁS DE 79 CARACTERES","")</f>
        <v/>
      </c>
      <c r="D61" s="51" t="s">
        <v>673</v>
      </c>
    </row>
    <row r="62" customFormat="false" ht="15" hidden="false" customHeight="false" outlineLevel="0" collapsed="false">
      <c r="B62" s="53" t="str">
        <f aca="false">STAAD!B58</f>
        <v>*</v>
      </c>
      <c r="C62" s="51" t="str">
        <f aca="false">IF(LEN($B62)&gt;79,"MÁS DE 79 CARACTERES","")</f>
        <v/>
      </c>
      <c r="D62" s="51" t="s">
        <v>673</v>
      </c>
    </row>
    <row r="63" customFormat="false" ht="15" hidden="false" customHeight="false" outlineLevel="0" collapsed="false">
      <c r="B63" s="53" t="str">
        <f aca="false">STAAD!B59</f>
        <v>*</v>
      </c>
      <c r="C63" s="51" t="str">
        <f aca="false">IF(LEN($B63)&gt;79,"MÁS DE 79 CARACTERES","")</f>
        <v/>
      </c>
      <c r="D63" s="51" t="s">
        <v>673</v>
      </c>
    </row>
    <row r="64" customFormat="false" ht="15" hidden="false" customHeight="false" outlineLevel="0" collapsed="false">
      <c r="B64" s="53" t="str">
        <f aca="false">STAAD!B60</f>
        <v>*</v>
      </c>
      <c r="C64" s="51" t="str">
        <f aca="false">IF(LEN($B64)&gt;79,"MÁS DE 79 CARACTERES","")</f>
        <v/>
      </c>
      <c r="D64" s="51" t="s">
        <v>673</v>
      </c>
    </row>
    <row r="65" customFormat="false" ht="15" hidden="false" customHeight="false" outlineLevel="0" collapsed="false">
      <c r="B65" s="53" t="str">
        <f aca="false">STAAD!B61</f>
        <v>*</v>
      </c>
      <c r="C65" s="51" t="str">
        <f aca="false">IF(LEN($B65)&gt;79,"MÁS DE 79 CARACTERES","")</f>
        <v/>
      </c>
      <c r="D65" s="51" t="s">
        <v>673</v>
      </c>
    </row>
    <row r="66" customFormat="false" ht="15" hidden="false" customHeight="false" outlineLevel="0" collapsed="false">
      <c r="B66" s="53" t="str">
        <f aca="false">STAAD!B62</f>
        <v>*</v>
      </c>
      <c r="C66" s="51" t="str">
        <f aca="false">IF(LEN($B66)&gt;79,"MÁS DE 79 CARACTERES","")</f>
        <v/>
      </c>
      <c r="D66" s="51" t="s">
        <v>673</v>
      </c>
    </row>
    <row r="67" customFormat="false" ht="15" hidden="false" customHeight="false" outlineLevel="0" collapsed="false">
      <c r="B67" s="53" t="str">
        <f aca="false">STAAD!B63</f>
        <v>*</v>
      </c>
      <c r="C67" s="51" t="str">
        <f aca="false">IF(LEN($B67)&gt;79,"MÁS DE 79 CARACTERES","")</f>
        <v/>
      </c>
      <c r="D67" s="51" t="s">
        <v>673</v>
      </c>
    </row>
    <row r="68" customFormat="false" ht="15" hidden="false" customHeight="false" outlineLevel="0" collapsed="false">
      <c r="B68" s="53" t="str">
        <f aca="false">STAAD!B64</f>
        <v>*</v>
      </c>
      <c r="C68" s="51" t="str">
        <f aca="false">IF(LEN($B68)&gt;79,"MÁS DE 79 CARACTERES","")</f>
        <v/>
      </c>
      <c r="D68" s="51" t="s">
        <v>673</v>
      </c>
    </row>
    <row r="69" customFormat="false" ht="15" hidden="false" customHeight="false" outlineLevel="0" collapsed="false">
      <c r="B69" s="53" t="str">
        <f aca="false">STAAD!B65</f>
        <v>*</v>
      </c>
      <c r="C69" s="51" t="str">
        <f aca="false">IF(LEN($B69)&gt;79,"MÁS DE 79 CARACTERES","")</f>
        <v/>
      </c>
      <c r="D69" s="51" t="s">
        <v>673</v>
      </c>
    </row>
    <row r="70" customFormat="false" ht="15" hidden="false" customHeight="false" outlineLevel="0" collapsed="false">
      <c r="B70" s="53" t="str">
        <f aca="false">STAAD!B66</f>
        <v>*</v>
      </c>
      <c r="C70" s="51" t="str">
        <f aca="false">IF(LEN($B70)&gt;79,"MÁS DE 79 CARACTERES","")</f>
        <v/>
      </c>
      <c r="D70" s="51" t="s">
        <v>673</v>
      </c>
    </row>
    <row r="71" customFormat="false" ht="15" hidden="false" customHeight="false" outlineLevel="0" collapsed="false">
      <c r="B71" s="53" t="str">
        <f aca="false">STAAD!B67</f>
        <v>*</v>
      </c>
      <c r="C71" s="51" t="str">
        <f aca="false">IF(LEN($B71)&gt;79,"MÁS DE 79 CARACTERES","")</f>
        <v/>
      </c>
      <c r="D71" s="51" t="s">
        <v>673</v>
      </c>
    </row>
    <row r="72" customFormat="false" ht="15" hidden="false" customHeight="false" outlineLevel="0" collapsed="false">
      <c r="B72" s="53" t="str">
        <f aca="false">STAAD!B68</f>
        <v>*</v>
      </c>
      <c r="C72" s="51" t="str">
        <f aca="false">IF(LEN($B72)&gt;79,"MÁS DE 79 CARACTERES","")</f>
        <v/>
      </c>
      <c r="D72" s="51" t="s">
        <v>673</v>
      </c>
    </row>
    <row r="73" customFormat="false" ht="15" hidden="false" customHeight="false" outlineLevel="0" collapsed="false">
      <c r="B73" s="53" t="str">
        <f aca="false">STAAD!B69</f>
        <v>*</v>
      </c>
      <c r="C73" s="51" t="str">
        <f aca="false">IF(LEN($B73)&gt;79,"MÁS DE 79 CARACTERES","")</f>
        <v/>
      </c>
      <c r="D73" s="51" t="s">
        <v>673</v>
      </c>
    </row>
    <row r="74" customFormat="false" ht="15" hidden="false" customHeight="false" outlineLevel="0" collapsed="false">
      <c r="B74" s="53" t="str">
        <f aca="false">STAAD!B70</f>
        <v>*</v>
      </c>
      <c r="C74" s="51" t="str">
        <f aca="false">IF(LEN($B74)&gt;79,"MÁS DE 79 CARACTERES","")</f>
        <v/>
      </c>
      <c r="D74" s="51" t="s">
        <v>673</v>
      </c>
    </row>
    <row r="75" customFormat="false" ht="15" hidden="false" customHeight="false" outlineLevel="0" collapsed="false">
      <c r="B75" s="53" t="s">
        <v>674</v>
      </c>
      <c r="C75" s="51" t="str">
        <f aca="false">IF(LEN($B75)&gt;79,"MÁS DE 79 CARACTERES","")</f>
        <v/>
      </c>
      <c r="D75" s="51"/>
    </row>
    <row r="76" customFormat="false" ht="15" hidden="false" customHeight="false" outlineLevel="0" collapsed="false">
      <c r="B76" s="53" t="s">
        <v>675</v>
      </c>
      <c r="C76" s="51" t="str">
        <f aca="false">IF(LEN($B76)&gt;79,"MÁS DE 79 CARACTERES","")</f>
        <v/>
      </c>
      <c r="D76" s="51"/>
    </row>
    <row r="77" customFormat="false" ht="15" hidden="false" customHeight="false" outlineLevel="0" collapsed="false">
      <c r="B77" s="53" t="str">
        <f aca="false">"259 260 261 UNI GX "&amp;TEXT(PRESIONES!C$45*0.6*DATOS!$C$67,DATOS!$C$68)</f>
        <v>259 260 261 UNI GX 0.3769</v>
      </c>
      <c r="C77" s="51" t="str">
        <f aca="false">IF(LEN($B77)&gt;79,"MÁS DE 79 CARACTERES","")</f>
        <v/>
      </c>
      <c r="D77" s="51" t="s">
        <v>676</v>
      </c>
    </row>
    <row r="78" customFormat="false" ht="15" hidden="false" customHeight="false" outlineLevel="0" collapsed="false">
      <c r="B78" s="53" t="str">
        <f aca="false">"265 266 267 UNI GX "&amp;TEXT(-PRESIONES!C$46*0.6*DATOS!$C$67,DATOS!$C$68)</f>
        <v>265 266 267 UNI GX -0.0025</v>
      </c>
      <c r="C78" s="51" t="str">
        <f aca="false">IF(LEN($B78)&gt;79,"MÁS DE 79 CARACTERES","")</f>
        <v/>
      </c>
      <c r="D78" s="51" t="s">
        <v>677</v>
      </c>
    </row>
    <row r="79" customFormat="false" ht="15" hidden="false" customHeight="false" outlineLevel="0" collapsed="false">
      <c r="B79" s="53" t="str">
        <f aca="false">"262 263 264 UNI GZ "&amp;TEXT(PRESIONES!C$43*0.6*DATOS!$C$67,DATOS!$C$68)</f>
        <v>262 263 264 UNI GZ -0.0551</v>
      </c>
      <c r="C79" s="51" t="str">
        <f aca="false">IF(LEN($B79)&gt;79,"MÁS DE 79 CARACTERES","")</f>
        <v/>
      </c>
      <c r="D79" s="51" t="s">
        <v>678</v>
      </c>
    </row>
    <row r="80" customFormat="false" ht="15" hidden="false" customHeight="false" outlineLevel="0" collapsed="false">
      <c r="B80" s="53" t="s">
        <v>679</v>
      </c>
      <c r="C80" s="51" t="str">
        <f aca="false">IF(LEN($B80)&gt;79,"MÁS DE 79 CARACTERES","")</f>
        <v/>
      </c>
      <c r="D80" s="51"/>
    </row>
    <row r="81" customFormat="false" ht="15" hidden="false" customHeight="false" outlineLevel="0" collapsed="false">
      <c r="B81" s="53" t="str">
        <f aca="false">STAAD!B163</f>
        <v>17 191 203 213 223 233 UNI GZ -0.2343</v>
      </c>
      <c r="C81" s="51" t="str">
        <f aca="false">IF(LEN($B81)&gt;79,"MÁS DE 79 CARACTERES","")</f>
        <v/>
      </c>
      <c r="D81" s="51" t="s">
        <v>680</v>
      </c>
    </row>
    <row r="82" customFormat="false" ht="15" hidden="false" customHeight="false" outlineLevel="0" collapsed="false">
      <c r="B82" s="53" t="str">
        <f aca="false">STAAD!B164</f>
        <v>18 192 204 214 224 234 UNI GZ -0.2343</v>
      </c>
      <c r="C82" s="51" t="str">
        <f aca="false">IF(LEN($B82)&gt;79,"MÁS DE 79 CARACTERES","")</f>
        <v/>
      </c>
      <c r="D82" s="51" t="s">
        <v>680</v>
      </c>
    </row>
    <row r="83" customFormat="false" ht="15" hidden="false" customHeight="false" outlineLevel="0" collapsed="false">
      <c r="B83" s="53" t="s">
        <v>681</v>
      </c>
      <c r="C83" s="51" t="str">
        <f aca="false">IF(LEN($B83)&gt;79,"MÁS DE 79 CARACTERES","")</f>
        <v/>
      </c>
      <c r="D83" s="51"/>
    </row>
    <row r="84" customFormat="false" ht="15" hidden="false" customHeight="false" outlineLevel="0" collapsed="false">
      <c r="B84" s="53" t="str">
        <f aca="false">"15 189 UNI GZ "&amp;TEXT(PRESIONES!C$43*0.65*DATOS!$C$67,DATOS!$C$68)</f>
        <v>15 189 UNI GZ -0.0597</v>
      </c>
      <c r="C84" s="51" t="str">
        <f aca="false">IF(LEN($B84)&gt;79,"MÁS DE 79 CARACTERES","")</f>
        <v/>
      </c>
      <c r="D84" s="51" t="s">
        <v>682</v>
      </c>
    </row>
    <row r="85" customFormat="false" ht="15" hidden="false" customHeight="false" outlineLevel="0" collapsed="false">
      <c r="B85" s="53" t="str">
        <f aca="false">"16 190 UNI GZ "&amp;TEXT(PRESIONES!C$43*0.65*DATOS!$C$67,DATOS!$C$68)</f>
        <v>16 190 UNI GZ -0.0597</v>
      </c>
      <c r="C85" s="51" t="str">
        <f aca="false">IF(LEN($B85)&gt;79,"MÁS DE 79 CARACTERES","")</f>
        <v/>
      </c>
      <c r="D85" s="51" t="s">
        <v>683</v>
      </c>
    </row>
    <row r="86" customFormat="false" ht="15" hidden="false" customHeight="false" outlineLevel="0" collapsed="false">
      <c r="B86" s="53" t="s">
        <v>684</v>
      </c>
      <c r="C86" s="51" t="str">
        <f aca="false">IF(LEN($B86)&gt;79,"MÁS DE 79 CARACTERES","")</f>
        <v/>
      </c>
      <c r="D86" s="51"/>
    </row>
    <row r="87" customFormat="false" ht="15" hidden="false" customHeight="false" outlineLevel="0" collapsed="false">
      <c r="B87" s="53" t="str">
        <f aca="false">STAAD!B221</f>
        <v>LOAD 9 LOADTYPE Wind  TITLE VIENTO -X</v>
      </c>
      <c r="C87" s="51" t="str">
        <f aca="false">IF(LEN($B87)&gt;79,"MÁS DE 79 CARACTERES","")</f>
        <v/>
      </c>
      <c r="D87" s="51" t="s">
        <v>665</v>
      </c>
    </row>
    <row r="88" customFormat="false" ht="15" hidden="false" customHeight="false" outlineLevel="0" collapsed="false">
      <c r="B88" s="53" t="s">
        <v>666</v>
      </c>
      <c r="C88" s="51" t="str">
        <f aca="false">IF(LEN($B88)&gt;79,"MÁS DE 79 CARACTERES","")</f>
        <v/>
      </c>
      <c r="D88" s="51"/>
    </row>
    <row r="89" customFormat="false" ht="15" hidden="false" customHeight="false" outlineLevel="0" collapsed="false">
      <c r="B89" s="53" t="s">
        <v>667</v>
      </c>
      <c r="C89" s="51" t="str">
        <f aca="false">IF(LEN($B89)&gt;79,"MÁS DE 79 CARACTERES","")</f>
        <v/>
      </c>
      <c r="D89" s="51"/>
    </row>
    <row r="90" customFormat="false" ht="15" hidden="false" customHeight="false" outlineLevel="0" collapsed="false">
      <c r="B90" s="53" t="s">
        <v>668</v>
      </c>
      <c r="C90" s="51" t="str">
        <f aca="false">IF(LEN($B90)&gt;79,"MÁS DE 79 CARACTERES","")</f>
        <v/>
      </c>
      <c r="D90" s="51"/>
    </row>
    <row r="91" customFormat="false" ht="15" hidden="false" customHeight="false" outlineLevel="0" collapsed="false">
      <c r="B91" s="53" t="str">
        <f aca="false">"_MURO3 ONE "&amp;TEXT(PRESIONES!D$45*IF(DATOS!$C$65="CM KG",0.0001,IF(DATOS!$C$65="METER KG",1,0.00980665)),"0.000000")&amp;" GX"</f>
        <v>_MURO3 ONE 0.000042 GX</v>
      </c>
      <c r="C91" s="51" t="str">
        <f aca="false">IF(LEN($B91)&gt;79,"MÁS DE 79 CARACTERES","")</f>
        <v/>
      </c>
      <c r="D91" s="51" t="s">
        <v>669</v>
      </c>
    </row>
    <row r="92" customFormat="false" ht="15" hidden="false" customHeight="false" outlineLevel="0" collapsed="false">
      <c r="B92" s="53" t="str">
        <f aca="false">"_MURO4 ONE "&amp;TEXT(-PRESIONES!D$46*IF(DATOS!$C$65="CM KG",0.0001,IF(DATOS!$C$65="METER KG",1,0.00980665)),"0.000000")&amp;" GX"</f>
        <v>_MURO4 ONE -0.006282 GX</v>
      </c>
      <c r="C92" s="51" t="str">
        <f aca="false">IF(LEN($B92)&gt;79,"MÁS DE 79 CARACTERES","")</f>
        <v/>
      </c>
      <c r="D92" s="51" t="s">
        <v>670</v>
      </c>
    </row>
    <row r="93" customFormat="false" ht="15" hidden="false" customHeight="false" outlineLevel="0" collapsed="false">
      <c r="B93" s="53" t="str">
        <f aca="false">"_MURO1 ONE "&amp;TEXT(PRESIONES!D$43*IF(DATOS!$C$65="CM KG",0.0001,IF(DATOS!$C$65="METER KG",1,0.00980665)),"0.000000")&amp;" GZ"</f>
        <v>_MURO1 ONE -0.000918 GZ</v>
      </c>
      <c r="C93" s="51" t="str">
        <f aca="false">IF(LEN($B93)&gt;79,"MÁS DE 79 CARACTERES","")</f>
        <v/>
      </c>
      <c r="D93" s="51" t="s">
        <v>671</v>
      </c>
    </row>
    <row r="94" customFormat="false" ht="15" hidden="false" customHeight="false" outlineLevel="0" collapsed="false">
      <c r="B94" s="53" t="s">
        <v>634</v>
      </c>
      <c r="C94" s="51" t="str">
        <f aca="false">IF(LEN($B94)&gt;79,"MÁS DE 79 CARACTERES","")</f>
        <v/>
      </c>
      <c r="D94" s="51"/>
    </row>
    <row r="95" customFormat="false" ht="15" hidden="false" customHeight="false" outlineLevel="0" collapsed="false">
      <c r="B95" s="53" t="s">
        <v>672</v>
      </c>
      <c r="C95" s="51" t="str">
        <f aca="false">IF(LEN($B95)&gt;79,"MÁS DE 79 CARACTERES","")</f>
        <v/>
      </c>
      <c r="D95" s="51"/>
    </row>
    <row r="96" customFormat="false" ht="15" hidden="false" customHeight="false" outlineLevel="0" collapsed="false">
      <c r="B96" s="53" t="str">
        <f aca="false">STAAD!B223</f>
        <v>22 85 TO 88 UNI GY 0.0659</v>
      </c>
      <c r="C96" s="51" t="str">
        <f aca="false">IF(LEN($B96)&gt;79,"MÁS DE 79 CARACTERES","")</f>
        <v/>
      </c>
      <c r="D96" s="51" t="s">
        <v>673</v>
      </c>
    </row>
    <row r="97" customFormat="false" ht="15" hidden="false" customHeight="false" outlineLevel="0" collapsed="false">
      <c r="B97" s="53" t="str">
        <f aca="false">STAAD!B224</f>
        <v>22 85 TO 88 UNI GZ 0.0033</v>
      </c>
      <c r="C97" s="51" t="str">
        <f aca="false">IF(LEN($B97)&gt;79,"MÁS DE 79 CARACTERES","")</f>
        <v/>
      </c>
      <c r="D97" s="51" t="s">
        <v>673</v>
      </c>
    </row>
    <row r="98" customFormat="false" ht="15" hidden="false" customHeight="false" outlineLevel="0" collapsed="false">
      <c r="B98" s="53" t="str">
        <f aca="false">STAAD!B225</f>
        <v>80 129 TO 132 UNI GY 0.1318</v>
      </c>
      <c r="C98" s="51" t="str">
        <f aca="false">IF(LEN($B98)&gt;79,"MÁS DE 79 CARACTERES","")</f>
        <v/>
      </c>
      <c r="D98" s="51" t="s">
        <v>673</v>
      </c>
    </row>
    <row r="99" customFormat="false" ht="15" hidden="false" customHeight="false" outlineLevel="0" collapsed="false">
      <c r="B99" s="53" t="str">
        <f aca="false">STAAD!B226</f>
        <v>80 129 TO 132 UNI GZ 0.0066</v>
      </c>
      <c r="C99" s="51" t="str">
        <f aca="false">IF(LEN($B99)&gt;79,"MÁS DE 79 CARACTERES","")</f>
        <v/>
      </c>
      <c r="D99" s="51" t="s">
        <v>673</v>
      </c>
    </row>
    <row r="100" customFormat="false" ht="15" hidden="false" customHeight="false" outlineLevel="0" collapsed="false">
      <c r="B100" s="53" t="str">
        <f aca="false">STAAD!B227</f>
        <v>79 125 TO 128 UNI GY 0.1318</v>
      </c>
      <c r="C100" s="51" t="str">
        <f aca="false">IF(LEN($B100)&gt;79,"MÁS DE 79 CARACTERES","")</f>
        <v/>
      </c>
      <c r="D100" s="51" t="s">
        <v>673</v>
      </c>
    </row>
    <row r="101" customFormat="false" ht="15" hidden="false" customHeight="false" outlineLevel="0" collapsed="false">
      <c r="B101" s="53" t="str">
        <f aca="false">STAAD!B228</f>
        <v>79 125 TO 128 UNI GZ 0.0066</v>
      </c>
      <c r="C101" s="51" t="str">
        <f aca="false">IF(LEN($B101)&gt;79,"MÁS DE 79 CARACTERES","")</f>
        <v/>
      </c>
      <c r="D101" s="51" t="s">
        <v>673</v>
      </c>
    </row>
    <row r="102" customFormat="false" ht="15" hidden="false" customHeight="false" outlineLevel="0" collapsed="false">
      <c r="B102" s="53" t="str">
        <f aca="false">STAAD!B229</f>
        <v>78 121 TO 124 UNI GY 0.1318</v>
      </c>
      <c r="C102" s="51" t="str">
        <f aca="false">IF(LEN($B102)&gt;79,"MÁS DE 79 CARACTERES","")</f>
        <v/>
      </c>
      <c r="D102" s="51" t="s">
        <v>673</v>
      </c>
    </row>
    <row r="103" customFormat="false" ht="15" hidden="false" customHeight="false" outlineLevel="0" collapsed="false">
      <c r="B103" s="53" t="str">
        <f aca="false">STAAD!B230</f>
        <v>78 121 TO 124 UNI GZ 0.0066</v>
      </c>
      <c r="C103" s="51" t="str">
        <f aca="false">IF(LEN($B103)&gt;79,"MÁS DE 79 CARACTERES","")</f>
        <v/>
      </c>
      <c r="D103" s="51" t="s">
        <v>673</v>
      </c>
    </row>
    <row r="104" customFormat="false" ht="15" hidden="false" customHeight="false" outlineLevel="0" collapsed="false">
      <c r="B104" s="53" t="str">
        <f aca="false">STAAD!B231</f>
        <v>77 117 TO 120 UNI GY 0.1318</v>
      </c>
      <c r="C104" s="51" t="str">
        <f aca="false">IF(LEN($B104)&gt;79,"MÁS DE 79 CARACTERES","")</f>
        <v/>
      </c>
      <c r="D104" s="51" t="s">
        <v>673</v>
      </c>
    </row>
    <row r="105" customFormat="false" ht="15" hidden="false" customHeight="false" outlineLevel="0" collapsed="false">
      <c r="B105" s="53" t="str">
        <f aca="false">STAAD!B232</f>
        <v>77 117 TO 120 UNI GZ 0.0066</v>
      </c>
      <c r="C105" s="51" t="str">
        <f aca="false">IF(LEN($B105)&gt;79,"MÁS DE 79 CARACTERES","")</f>
        <v/>
      </c>
      <c r="D105" s="51" t="s">
        <v>673</v>
      </c>
    </row>
    <row r="106" customFormat="false" ht="15" hidden="false" customHeight="false" outlineLevel="0" collapsed="false">
      <c r="B106" s="53" t="str">
        <f aca="false">STAAD!B233</f>
        <v>9 93 TO 96 UNI GY 0.1318</v>
      </c>
      <c r="C106" s="51" t="str">
        <f aca="false">IF(LEN($B106)&gt;79,"MÁS DE 79 CARACTERES","")</f>
        <v/>
      </c>
      <c r="D106" s="51" t="s">
        <v>673</v>
      </c>
    </row>
    <row r="107" customFormat="false" ht="15" hidden="false" customHeight="false" outlineLevel="0" collapsed="false">
      <c r="B107" s="53" t="str">
        <f aca="false">STAAD!B234</f>
        <v>9 93 TO 96 UNI GZ 0.0066</v>
      </c>
      <c r="C107" s="51" t="str">
        <f aca="false">IF(LEN($B107)&gt;79,"MÁS DE 79 CARACTERES","")</f>
        <v/>
      </c>
      <c r="D107" s="51" t="s">
        <v>673</v>
      </c>
    </row>
    <row r="108" customFormat="false" ht="15" hidden="false" customHeight="false" outlineLevel="0" collapsed="false">
      <c r="B108" s="53" t="str">
        <f aca="false">STAAD!B235</f>
        <v>76 113 TO 116 UNI GY 0.1318</v>
      </c>
      <c r="C108" s="51" t="str">
        <f aca="false">IF(LEN($B108)&gt;79,"MÁS DE 79 CARACTERES","")</f>
        <v/>
      </c>
      <c r="D108" s="51" t="s">
        <v>673</v>
      </c>
    </row>
    <row r="109" customFormat="false" ht="15" hidden="false" customHeight="false" outlineLevel="0" collapsed="false">
      <c r="B109" s="53" t="str">
        <f aca="false">STAAD!B236</f>
        <v>76 113 TO 116 UNI GZ 0.0066</v>
      </c>
      <c r="C109" s="51" t="str">
        <f aca="false">IF(LEN($B109)&gt;79,"MÁS DE 79 CARACTERES","")</f>
        <v/>
      </c>
      <c r="D109" s="51" t="s">
        <v>673</v>
      </c>
    </row>
    <row r="110" customFormat="false" ht="15" hidden="false" customHeight="false" outlineLevel="0" collapsed="false">
      <c r="B110" s="53" t="str">
        <f aca="false">STAAD!B237</f>
        <v>75 109 TO 112 UNI GY 0.1318</v>
      </c>
      <c r="C110" s="51" t="str">
        <f aca="false">IF(LEN($B110)&gt;79,"MÁS DE 79 CARACTERES","")</f>
        <v/>
      </c>
      <c r="D110" s="51" t="s">
        <v>673</v>
      </c>
    </row>
    <row r="111" customFormat="false" ht="15" hidden="false" customHeight="false" outlineLevel="0" collapsed="false">
      <c r="B111" s="53" t="str">
        <f aca="false">STAAD!B238</f>
        <v>75 109 TO 112 UNI GZ 0.0066</v>
      </c>
      <c r="C111" s="51" t="str">
        <f aca="false">IF(LEN($B111)&gt;79,"MÁS DE 79 CARACTERES","")</f>
        <v/>
      </c>
      <c r="D111" s="51" t="s">
        <v>673</v>
      </c>
    </row>
    <row r="112" customFormat="false" ht="15" hidden="false" customHeight="false" outlineLevel="0" collapsed="false">
      <c r="B112" s="53" t="str">
        <f aca="false">STAAD!B239</f>
        <v>74 105 TO 108 UNI GY 0.1318</v>
      </c>
      <c r="C112" s="51" t="str">
        <f aca="false">IF(LEN($B112)&gt;79,"MÁS DE 79 CARACTERES","")</f>
        <v/>
      </c>
      <c r="D112" s="51" t="s">
        <v>673</v>
      </c>
    </row>
    <row r="113" customFormat="false" ht="15" hidden="false" customHeight="false" outlineLevel="0" collapsed="false">
      <c r="B113" s="53" t="str">
        <f aca="false">STAAD!B240</f>
        <v>74 105 TO 108 UNI GZ 0.0066</v>
      </c>
      <c r="C113" s="51" t="str">
        <f aca="false">IF(LEN($B113)&gt;79,"MÁS DE 79 CARACTERES","")</f>
        <v/>
      </c>
      <c r="D113" s="51" t="s">
        <v>673</v>
      </c>
    </row>
    <row r="114" customFormat="false" ht="15" hidden="false" customHeight="false" outlineLevel="0" collapsed="false">
      <c r="B114" s="53" t="str">
        <f aca="false">STAAD!B241</f>
        <v>73 101 TO 104 UNI GY 0.1318</v>
      </c>
      <c r="C114" s="51" t="str">
        <f aca="false">IF(LEN($B114)&gt;79,"MÁS DE 79 CARACTERES","")</f>
        <v/>
      </c>
      <c r="D114" s="51" t="s">
        <v>673</v>
      </c>
    </row>
    <row r="115" customFormat="false" ht="15" hidden="false" customHeight="false" outlineLevel="0" collapsed="false">
      <c r="B115" s="53" t="str">
        <f aca="false">STAAD!B242</f>
        <v>73 101 TO 104 UNI GZ 0.0066</v>
      </c>
      <c r="C115" s="51" t="str">
        <f aca="false">IF(LEN($B115)&gt;79,"MÁS DE 79 CARACTERES","")</f>
        <v/>
      </c>
      <c r="D115" s="51" t="s">
        <v>673</v>
      </c>
    </row>
    <row r="116" customFormat="false" ht="15" hidden="false" customHeight="false" outlineLevel="0" collapsed="false">
      <c r="B116" s="53" t="str">
        <f aca="false">STAAD!B243</f>
        <v>8 89 TO 92 UNI GY 0.1270</v>
      </c>
      <c r="C116" s="51" t="str">
        <f aca="false">IF(LEN($B116)&gt;79,"MÁS DE 79 CARACTERES","")</f>
        <v/>
      </c>
      <c r="D116" s="51" t="s">
        <v>673</v>
      </c>
    </row>
    <row r="117" customFormat="false" ht="15" hidden="false" customHeight="false" outlineLevel="0" collapsed="false">
      <c r="B117" s="53" t="str">
        <f aca="false">STAAD!B244</f>
        <v>8 89 TO 92 UNI GZ 0.0063</v>
      </c>
      <c r="C117" s="51" t="str">
        <f aca="false">IF(LEN($B117)&gt;79,"MÁS DE 79 CARACTERES","")</f>
        <v/>
      </c>
      <c r="D117" s="51" t="s">
        <v>673</v>
      </c>
    </row>
    <row r="118" customFormat="false" ht="15" hidden="false" customHeight="false" outlineLevel="0" collapsed="false">
      <c r="B118" s="53" t="str">
        <f aca="false">STAAD!B245</f>
        <v>56 97 TO 100 UNI GY 0.1221</v>
      </c>
      <c r="C118" s="51" t="str">
        <f aca="false">IF(LEN($B118)&gt;79,"MÁS DE 79 CARACTERES","")</f>
        <v/>
      </c>
      <c r="D118" s="51" t="s">
        <v>673</v>
      </c>
    </row>
    <row r="119" customFormat="false" ht="15" hidden="false" customHeight="false" outlineLevel="0" collapsed="false">
      <c r="B119" s="53" t="str">
        <f aca="false">STAAD!B246</f>
        <v>56 97 TO 100 UNI GZ 0.0061</v>
      </c>
      <c r="C119" s="51" t="str">
        <f aca="false">IF(LEN($B119)&gt;79,"MÁS DE 79 CARACTERES","")</f>
        <v/>
      </c>
      <c r="D119" s="51" t="s">
        <v>673</v>
      </c>
    </row>
    <row r="120" customFormat="false" ht="15" hidden="false" customHeight="false" outlineLevel="0" collapsed="false">
      <c r="B120" s="53" t="str">
        <f aca="false">STAAD!B247</f>
        <v>7 81 TO 84 UNI GY 0.0610</v>
      </c>
      <c r="C120" s="51" t="str">
        <f aca="false">IF(LEN($B120)&gt;79,"MÁS DE 79 CARACTERES","")</f>
        <v/>
      </c>
      <c r="D120" s="51" t="s">
        <v>673</v>
      </c>
    </row>
    <row r="121" customFormat="false" ht="15" hidden="false" customHeight="false" outlineLevel="0" collapsed="false">
      <c r="B121" s="53" t="str">
        <f aca="false">STAAD!B248</f>
        <v>7 81 TO 84 UNI GZ 0.0031</v>
      </c>
      <c r="C121" s="51" t="str">
        <f aca="false">IF(LEN($B121)&gt;79,"MÁS DE 79 CARACTERES","")</f>
        <v/>
      </c>
      <c r="D121" s="51" t="s">
        <v>673</v>
      </c>
    </row>
    <row r="122" customFormat="false" ht="15" hidden="false" customHeight="false" outlineLevel="0" collapsed="false">
      <c r="B122" s="53" t="str">
        <f aca="false">STAAD!B249</f>
        <v>*</v>
      </c>
      <c r="C122" s="51" t="str">
        <f aca="false">IF(LEN($B122)&gt;79,"MÁS DE 79 CARACTERES","")</f>
        <v/>
      </c>
      <c r="D122" s="51" t="s">
        <v>673</v>
      </c>
    </row>
    <row r="123" customFormat="false" ht="15" hidden="false" customHeight="false" outlineLevel="0" collapsed="false">
      <c r="B123" s="53" t="str">
        <f aca="false">STAAD!B250</f>
        <v>*</v>
      </c>
      <c r="C123" s="51" t="str">
        <f aca="false">IF(LEN($B123)&gt;79,"MÁS DE 79 CARACTERES","")</f>
        <v/>
      </c>
      <c r="D123" s="51" t="s">
        <v>673</v>
      </c>
    </row>
    <row r="124" customFormat="false" ht="15" hidden="false" customHeight="false" outlineLevel="0" collapsed="false">
      <c r="B124" s="53" t="str">
        <f aca="false">STAAD!B251</f>
        <v>*</v>
      </c>
      <c r="C124" s="51" t="str">
        <f aca="false">IF(LEN($B124)&gt;79,"MÁS DE 79 CARACTERES","")</f>
        <v/>
      </c>
      <c r="D124" s="51" t="s">
        <v>673</v>
      </c>
    </row>
    <row r="125" customFormat="false" ht="15" hidden="false" customHeight="false" outlineLevel="0" collapsed="false">
      <c r="B125" s="53" t="str">
        <f aca="false">STAAD!B252</f>
        <v>*</v>
      </c>
      <c r="C125" s="51" t="str">
        <f aca="false">IF(LEN($B125)&gt;79,"MÁS DE 79 CARACTERES","")</f>
        <v/>
      </c>
      <c r="D125" s="51" t="s">
        <v>673</v>
      </c>
    </row>
    <row r="126" customFormat="false" ht="15" hidden="false" customHeight="false" outlineLevel="0" collapsed="false">
      <c r="B126" s="53" t="str">
        <f aca="false">STAAD!B253</f>
        <v>*</v>
      </c>
      <c r="C126" s="51" t="str">
        <f aca="false">IF(LEN($B126)&gt;79,"MÁS DE 79 CARACTERES","")</f>
        <v/>
      </c>
      <c r="D126" s="51" t="s">
        <v>673</v>
      </c>
    </row>
    <row r="127" customFormat="false" ht="15" hidden="false" customHeight="false" outlineLevel="0" collapsed="false">
      <c r="B127" s="53" t="str">
        <f aca="false">STAAD!B254</f>
        <v>*</v>
      </c>
      <c r="C127" s="51" t="str">
        <f aca="false">IF(LEN($B127)&gt;79,"MÁS DE 79 CARACTERES","")</f>
        <v/>
      </c>
      <c r="D127" s="51" t="s">
        <v>673</v>
      </c>
    </row>
    <row r="128" customFormat="false" ht="15" hidden="false" customHeight="false" outlineLevel="0" collapsed="false">
      <c r="B128" s="53" t="str">
        <f aca="false">STAAD!B255</f>
        <v>*</v>
      </c>
      <c r="C128" s="51" t="str">
        <f aca="false">IF(LEN($B128)&gt;79,"MÁS DE 79 CARACTERES","")</f>
        <v/>
      </c>
      <c r="D128" s="51" t="s">
        <v>673</v>
      </c>
    </row>
    <row r="129" customFormat="false" ht="15" hidden="false" customHeight="false" outlineLevel="0" collapsed="false">
      <c r="B129" s="53" t="str">
        <f aca="false">STAAD!B256</f>
        <v>*</v>
      </c>
      <c r="C129" s="51" t="str">
        <f aca="false">IF(LEN($B129)&gt;79,"MÁS DE 79 CARACTERES","")</f>
        <v/>
      </c>
      <c r="D129" s="51" t="s">
        <v>673</v>
      </c>
    </row>
    <row r="130" customFormat="false" ht="15" hidden="false" customHeight="false" outlineLevel="0" collapsed="false">
      <c r="B130" s="53" t="str">
        <f aca="false">STAAD!B257</f>
        <v>*</v>
      </c>
      <c r="C130" s="51" t="str">
        <f aca="false">IF(LEN($B130)&gt;79,"MÁS DE 79 CARACTERES","")</f>
        <v/>
      </c>
      <c r="D130" s="51" t="s">
        <v>673</v>
      </c>
    </row>
    <row r="131" customFormat="false" ht="15" hidden="false" customHeight="false" outlineLevel="0" collapsed="false">
      <c r="B131" s="53" t="str">
        <f aca="false">STAAD!B258</f>
        <v>*</v>
      </c>
      <c r="C131" s="51" t="str">
        <f aca="false">IF(LEN($B131)&gt;79,"MÁS DE 79 CARACTERES","")</f>
        <v/>
      </c>
      <c r="D131" s="51" t="s">
        <v>673</v>
      </c>
    </row>
    <row r="132" customFormat="false" ht="15" hidden="false" customHeight="false" outlineLevel="0" collapsed="false">
      <c r="B132" s="53" t="str">
        <f aca="false">STAAD!B259</f>
        <v>*</v>
      </c>
      <c r="C132" s="51" t="str">
        <f aca="false">IF(LEN($B132)&gt;79,"MÁS DE 79 CARACTERES","")</f>
        <v/>
      </c>
      <c r="D132" s="51" t="s">
        <v>673</v>
      </c>
    </row>
    <row r="133" customFormat="false" ht="15" hidden="false" customHeight="false" outlineLevel="0" collapsed="false">
      <c r="B133" s="53" t="str">
        <f aca="false">STAAD!B260</f>
        <v>*</v>
      </c>
      <c r="C133" s="51" t="str">
        <f aca="false">IF(LEN($B133)&gt;79,"MÁS DE 79 CARACTERES","")</f>
        <v/>
      </c>
      <c r="D133" s="51" t="s">
        <v>673</v>
      </c>
    </row>
    <row r="134" customFormat="false" ht="15" hidden="false" customHeight="false" outlineLevel="0" collapsed="false">
      <c r="B134" s="53" t="str">
        <f aca="false">STAAD!B261</f>
        <v>*</v>
      </c>
      <c r="C134" s="51" t="str">
        <f aca="false">IF(LEN($B134)&gt;79,"MÁS DE 79 CARACTERES","")</f>
        <v/>
      </c>
      <c r="D134" s="51" t="s">
        <v>673</v>
      </c>
    </row>
    <row r="135" customFormat="false" ht="15" hidden="false" customHeight="false" outlineLevel="0" collapsed="false">
      <c r="B135" s="53" t="str">
        <f aca="false">STAAD!B262</f>
        <v>*</v>
      </c>
      <c r="C135" s="51" t="str">
        <f aca="false">IF(LEN($B135)&gt;79,"MÁS DE 79 CARACTERES","")</f>
        <v/>
      </c>
      <c r="D135" s="51" t="s">
        <v>673</v>
      </c>
    </row>
    <row r="136" customFormat="false" ht="15" hidden="false" customHeight="false" outlineLevel="0" collapsed="false">
      <c r="B136" s="53" t="str">
        <f aca="false">STAAD!B263</f>
        <v>*</v>
      </c>
      <c r="C136" s="51" t="str">
        <f aca="false">IF(LEN($B136)&gt;79,"MÁS DE 79 CARACTERES","")</f>
        <v/>
      </c>
      <c r="D136" s="51" t="s">
        <v>673</v>
      </c>
    </row>
    <row r="137" customFormat="false" ht="15" hidden="false" customHeight="false" outlineLevel="0" collapsed="false">
      <c r="B137" s="53" t="str">
        <f aca="false">STAAD!B264</f>
        <v>*</v>
      </c>
      <c r="C137" s="51" t="str">
        <f aca="false">IF(LEN($B137)&gt;79,"MÁS DE 79 CARACTERES","")</f>
        <v/>
      </c>
      <c r="D137" s="51" t="s">
        <v>673</v>
      </c>
    </row>
    <row r="138" customFormat="false" ht="15" hidden="false" customHeight="false" outlineLevel="0" collapsed="false">
      <c r="B138" s="53" t="str">
        <f aca="false">STAAD!B265</f>
        <v>*</v>
      </c>
      <c r="C138" s="51" t="str">
        <f aca="false">IF(LEN($B138)&gt;79,"MÁS DE 79 CARACTERES","")</f>
        <v/>
      </c>
      <c r="D138" s="51" t="s">
        <v>673</v>
      </c>
    </row>
    <row r="139" customFormat="false" ht="15" hidden="false" customHeight="false" outlineLevel="0" collapsed="false">
      <c r="B139" s="53" t="str">
        <f aca="false">STAAD!B266</f>
        <v>*</v>
      </c>
      <c r="C139" s="51" t="str">
        <f aca="false">IF(LEN($B139)&gt;79,"MÁS DE 79 CARACTERES","")</f>
        <v/>
      </c>
      <c r="D139" s="51" t="s">
        <v>673</v>
      </c>
    </row>
    <row r="140" customFormat="false" ht="15" hidden="false" customHeight="false" outlineLevel="0" collapsed="false">
      <c r="B140" s="53" t="str">
        <f aca="false">STAAD!B267</f>
        <v>*</v>
      </c>
      <c r="C140" s="51" t="str">
        <f aca="false">IF(LEN($B140)&gt;79,"MÁS DE 79 CARACTERES","")</f>
        <v/>
      </c>
      <c r="D140" s="51" t="s">
        <v>673</v>
      </c>
    </row>
    <row r="141" customFormat="false" ht="15" hidden="false" customHeight="false" outlineLevel="0" collapsed="false">
      <c r="B141" s="53" t="str">
        <f aca="false">STAAD!B268</f>
        <v>*</v>
      </c>
      <c r="C141" s="51" t="str">
        <f aca="false">IF(LEN($B141)&gt;79,"MÁS DE 79 CARACTERES","")</f>
        <v/>
      </c>
      <c r="D141" s="51" t="s">
        <v>673</v>
      </c>
    </row>
    <row r="142" customFormat="false" ht="15" hidden="false" customHeight="false" outlineLevel="0" collapsed="false">
      <c r="B142" s="53" t="str">
        <f aca="false">STAAD!B269</f>
        <v>*</v>
      </c>
      <c r="C142" s="51" t="str">
        <f aca="false">IF(LEN($B142)&gt;79,"MÁS DE 79 CARACTERES","")</f>
        <v/>
      </c>
      <c r="D142" s="51" t="s">
        <v>673</v>
      </c>
    </row>
    <row r="143" customFormat="false" ht="15" hidden="false" customHeight="false" outlineLevel="0" collapsed="false">
      <c r="B143" s="53" t="str">
        <f aca="false">STAAD!B270</f>
        <v>*</v>
      </c>
      <c r="C143" s="51" t="str">
        <f aca="false">IF(LEN($B143)&gt;79,"MÁS DE 79 CARACTERES","")</f>
        <v/>
      </c>
      <c r="D143" s="51" t="s">
        <v>673</v>
      </c>
    </row>
    <row r="144" customFormat="false" ht="15" hidden="false" customHeight="false" outlineLevel="0" collapsed="false">
      <c r="B144" s="53" t="str">
        <f aca="false">STAAD!B271</f>
        <v>*</v>
      </c>
      <c r="C144" s="51" t="str">
        <f aca="false">IF(LEN($B144)&gt;79,"MÁS DE 79 CARACTERES","")</f>
        <v/>
      </c>
      <c r="D144" s="51" t="s">
        <v>673</v>
      </c>
    </row>
    <row r="145" customFormat="false" ht="15" hidden="false" customHeight="false" outlineLevel="0" collapsed="false">
      <c r="B145" s="53" t="str">
        <f aca="false">STAAD!B272</f>
        <v>*</v>
      </c>
      <c r="C145" s="51" t="str">
        <f aca="false">IF(LEN($B145)&gt;79,"MÁS DE 79 CARACTERES","")</f>
        <v/>
      </c>
      <c r="D145" s="51" t="s">
        <v>673</v>
      </c>
    </row>
    <row r="146" customFormat="false" ht="15" hidden="false" customHeight="false" outlineLevel="0" collapsed="false">
      <c r="B146" s="53" t="str">
        <f aca="false">STAAD!B273</f>
        <v>*</v>
      </c>
      <c r="C146" s="51" t="str">
        <f aca="false">IF(LEN($B146)&gt;79,"MÁS DE 79 CARACTERES","")</f>
        <v/>
      </c>
      <c r="D146" s="51" t="s">
        <v>673</v>
      </c>
    </row>
    <row r="147" customFormat="false" ht="15" hidden="false" customHeight="false" outlineLevel="0" collapsed="false">
      <c r="B147" s="53" t="str">
        <f aca="false">STAAD!B274</f>
        <v>*</v>
      </c>
      <c r="C147" s="51" t="str">
        <f aca="false">IF(LEN($B147)&gt;79,"MÁS DE 79 CARACTERES","")</f>
        <v/>
      </c>
      <c r="D147" s="51" t="s">
        <v>673</v>
      </c>
    </row>
    <row r="148" customFormat="false" ht="15" hidden="false" customHeight="false" outlineLevel="0" collapsed="false">
      <c r="B148" s="53" t="str">
        <f aca="false">STAAD!B275</f>
        <v>*</v>
      </c>
      <c r="C148" s="51" t="str">
        <f aca="false">IF(LEN($B148)&gt;79,"MÁS DE 79 CARACTERES","")</f>
        <v/>
      </c>
      <c r="D148" s="51" t="s">
        <v>673</v>
      </c>
    </row>
    <row r="149" customFormat="false" ht="15" hidden="false" customHeight="false" outlineLevel="0" collapsed="false">
      <c r="B149" s="53" t="str">
        <f aca="false">STAAD!B276</f>
        <v>*</v>
      </c>
      <c r="C149" s="51" t="str">
        <f aca="false">IF(LEN($B149)&gt;79,"MÁS DE 79 CARACTERES","")</f>
        <v/>
      </c>
      <c r="D149" s="51" t="s">
        <v>673</v>
      </c>
    </row>
    <row r="150" customFormat="false" ht="15" hidden="false" customHeight="false" outlineLevel="0" collapsed="false">
      <c r="B150" s="53" t="str">
        <f aca="false">STAAD!B277</f>
        <v>*</v>
      </c>
      <c r="C150" s="51" t="str">
        <f aca="false">IF(LEN($B150)&gt;79,"MÁS DE 79 CARACTERES","")</f>
        <v/>
      </c>
      <c r="D150" s="51" t="s">
        <v>673</v>
      </c>
    </row>
    <row r="151" customFormat="false" ht="15" hidden="false" customHeight="false" outlineLevel="0" collapsed="false">
      <c r="B151" s="53" t="str">
        <f aca="false">STAAD!B278</f>
        <v>*</v>
      </c>
      <c r="C151" s="51" t="str">
        <f aca="false">IF(LEN($B151)&gt;79,"MÁS DE 79 CARACTERES","")</f>
        <v/>
      </c>
      <c r="D151" s="51" t="s">
        <v>673</v>
      </c>
    </row>
    <row r="152" customFormat="false" ht="15" hidden="false" customHeight="false" outlineLevel="0" collapsed="false">
      <c r="B152" s="53" t="str">
        <f aca="false">STAAD!B279</f>
        <v>*</v>
      </c>
      <c r="C152" s="51" t="str">
        <f aca="false">IF(LEN($B152)&gt;79,"MÁS DE 79 CARACTERES","")</f>
        <v/>
      </c>
      <c r="D152" s="51" t="s">
        <v>673</v>
      </c>
    </row>
    <row r="153" customFormat="false" ht="15" hidden="false" customHeight="false" outlineLevel="0" collapsed="false">
      <c r="B153" s="53" t="str">
        <f aca="false">STAAD!B280</f>
        <v>*</v>
      </c>
      <c r="C153" s="51" t="str">
        <f aca="false">IF(LEN($B153)&gt;79,"MÁS DE 79 CARACTERES","")</f>
        <v/>
      </c>
      <c r="D153" s="51" t="s">
        <v>673</v>
      </c>
    </row>
    <row r="154" customFormat="false" ht="15" hidden="false" customHeight="false" outlineLevel="0" collapsed="false">
      <c r="B154" s="53" t="str">
        <f aca="false">STAAD!B281</f>
        <v>*</v>
      </c>
      <c r="C154" s="51" t="str">
        <f aca="false">IF(LEN($B154)&gt;79,"MÁS DE 79 CARACTERES","")</f>
        <v/>
      </c>
      <c r="D154" s="51" t="s">
        <v>673</v>
      </c>
    </row>
    <row r="155" customFormat="false" ht="15" hidden="false" customHeight="false" outlineLevel="0" collapsed="false">
      <c r="B155" s="53" t="str">
        <f aca="false">STAAD!B282</f>
        <v>*</v>
      </c>
      <c r="C155" s="51" t="str">
        <f aca="false">IF(LEN($B155)&gt;79,"MÁS DE 79 CARACTERES","")</f>
        <v/>
      </c>
      <c r="D155" s="51" t="s">
        <v>673</v>
      </c>
    </row>
    <row r="156" customFormat="false" ht="15" hidden="false" customHeight="false" outlineLevel="0" collapsed="false">
      <c r="B156" s="53" t="s">
        <v>674</v>
      </c>
      <c r="C156" s="51" t="str">
        <f aca="false">IF(LEN($B156)&gt;79,"MÁS DE 79 CARACTERES","")</f>
        <v/>
      </c>
      <c r="D156" s="51"/>
    </row>
    <row r="157" customFormat="false" ht="15" hidden="false" customHeight="false" outlineLevel="0" collapsed="false">
      <c r="B157" s="53" t="s">
        <v>675</v>
      </c>
      <c r="C157" s="51" t="str">
        <f aca="false">IF(LEN($B157)&gt;79,"MÁS DE 79 CARACTERES","")</f>
        <v/>
      </c>
      <c r="D157" s="51"/>
    </row>
    <row r="158" customFormat="false" ht="15" hidden="false" customHeight="false" outlineLevel="0" collapsed="false">
      <c r="B158" s="53" t="str">
        <f aca="false">"259 260 261 UNI GX "&amp;TEXT(PRESIONES!D$45*0.6*DATOS!$C$67,DATOS!$C$68)</f>
        <v>259 260 261 UNI GX 0.0025</v>
      </c>
      <c r="C158" s="51" t="str">
        <f aca="false">IF(LEN($B158)&gt;79,"MÁS DE 79 CARACTERES","")</f>
        <v/>
      </c>
      <c r="D158" s="51" t="s">
        <v>676</v>
      </c>
    </row>
    <row r="159" customFormat="false" ht="15" hidden="false" customHeight="false" outlineLevel="0" collapsed="false">
      <c r="B159" s="53" t="str">
        <f aca="false">"265 266 267 UNI GX "&amp;TEXT(-PRESIONES!D$46*0.6*DATOS!$C$67,DATOS!$C$68)</f>
        <v>265 266 267 UNI GX -0.3769</v>
      </c>
      <c r="C159" s="51" t="str">
        <f aca="false">IF(LEN($B159)&gt;79,"MÁS DE 79 CARACTERES","")</f>
        <v/>
      </c>
      <c r="D159" s="51" t="s">
        <v>677</v>
      </c>
    </row>
    <row r="160" customFormat="false" ht="15" hidden="false" customHeight="false" outlineLevel="0" collapsed="false">
      <c r="B160" s="53" t="str">
        <f aca="false">"262 263 264 UNI GZ "&amp;TEXT(PRESIONES!D$43*0.6*DATOS!$C$67,DATOS!$C$68)</f>
        <v>262 263 264 UNI GZ -0.0551</v>
      </c>
      <c r="C160" s="51" t="str">
        <f aca="false">IF(LEN($B160)&gt;79,"MÁS DE 79 CARACTERES","")</f>
        <v/>
      </c>
      <c r="D160" s="51" t="s">
        <v>678</v>
      </c>
    </row>
    <row r="161" customFormat="false" ht="15" hidden="false" customHeight="false" outlineLevel="0" collapsed="false">
      <c r="B161" s="53" t="s">
        <v>679</v>
      </c>
      <c r="C161" s="51" t="str">
        <f aca="false">IF(LEN($B161)&gt;79,"MÁS DE 79 CARACTERES","")</f>
        <v/>
      </c>
      <c r="D161" s="51"/>
    </row>
    <row r="162" customFormat="false" ht="15" hidden="false" customHeight="false" outlineLevel="0" collapsed="false">
      <c r="B162" s="53" t="str">
        <f aca="false">STAAD!B375</f>
        <v>17 191 203 213 223 233 UNI GZ -0.2343</v>
      </c>
      <c r="C162" s="51" t="str">
        <f aca="false">IF(LEN($B162)&gt;79,"MÁS DE 79 CARACTERES","")</f>
        <v/>
      </c>
      <c r="D162" s="51" t="s">
        <v>680</v>
      </c>
    </row>
    <row r="163" customFormat="false" ht="15" hidden="false" customHeight="false" outlineLevel="0" collapsed="false">
      <c r="B163" s="53" t="str">
        <f aca="false">STAAD!B376</f>
        <v>18 192 204 214 224 234 UNI GZ -0.2343</v>
      </c>
      <c r="C163" s="51" t="str">
        <f aca="false">IF(LEN($B163)&gt;79,"MÁS DE 79 CARACTERES","")</f>
        <v/>
      </c>
      <c r="D163" s="51" t="s">
        <v>680</v>
      </c>
    </row>
    <row r="164" customFormat="false" ht="15" hidden="false" customHeight="false" outlineLevel="0" collapsed="false">
      <c r="B164" s="53" t="s">
        <v>681</v>
      </c>
      <c r="C164" s="51" t="str">
        <f aca="false">IF(LEN($B164)&gt;79,"MÁS DE 79 CARACTERES","")</f>
        <v/>
      </c>
      <c r="D164" s="51"/>
    </row>
    <row r="165" customFormat="false" ht="15" hidden="false" customHeight="false" outlineLevel="0" collapsed="false">
      <c r="B165" s="53" t="str">
        <f aca="false">"15 189 UNI GZ "&amp;TEXT(PRESIONES!D$43*0.65*DATOS!$C$67,DATOS!$C$68)</f>
        <v>15 189 UNI GZ -0.0597</v>
      </c>
      <c r="C165" s="51" t="str">
        <f aca="false">IF(LEN($B165)&gt;79,"MÁS DE 79 CARACTERES","")</f>
        <v/>
      </c>
      <c r="D165" s="51" t="s">
        <v>682</v>
      </c>
    </row>
    <row r="166" customFormat="false" ht="15" hidden="false" customHeight="false" outlineLevel="0" collapsed="false">
      <c r="B166" s="53" t="str">
        <f aca="false">"16 190 UNI GZ "&amp;TEXT(PRESIONES!D$43*0.65*DATOS!$C$67,DATOS!$C$68)</f>
        <v>16 190 UNI GZ -0.0597</v>
      </c>
      <c r="C166" s="51" t="str">
        <f aca="false">IF(LEN($B166)&gt;79,"MÁS DE 79 CARACTERES","")</f>
        <v/>
      </c>
      <c r="D166" s="51" t="s">
        <v>683</v>
      </c>
    </row>
    <row r="167" customFormat="false" ht="15" hidden="false" customHeight="false" outlineLevel="0" collapsed="false">
      <c r="B167" s="53" t="s">
        <v>684</v>
      </c>
      <c r="C167" s="51" t="str">
        <f aca="false">IF(LEN($B167)&gt;79,"MÁS DE 79 CARACTERES","")</f>
        <v/>
      </c>
      <c r="D167" s="51"/>
    </row>
    <row r="168" customFormat="false" ht="15" hidden="false" customHeight="false" outlineLevel="0" collapsed="false">
      <c r="B168" s="53" t="str">
        <f aca="false">STAAD!B433</f>
        <v>LOAD 10 LOADTYPE Wind  TITLE VIENTO Z</v>
      </c>
      <c r="C168" s="51" t="str">
        <f aca="false">IF(LEN($B168)&gt;79,"MÁS DE 79 CARACTERES","")</f>
        <v/>
      </c>
      <c r="D168" s="51" t="s">
        <v>665</v>
      </c>
    </row>
    <row r="169" customFormat="false" ht="15" hidden="false" customHeight="false" outlineLevel="0" collapsed="false">
      <c r="B169" s="53" t="s">
        <v>666</v>
      </c>
      <c r="C169" s="51" t="str">
        <f aca="false">IF(LEN($B169)&gt;79,"MÁS DE 79 CARACTERES","")</f>
        <v/>
      </c>
      <c r="D169" s="51"/>
    </row>
    <row r="170" customFormat="false" ht="15" hidden="false" customHeight="false" outlineLevel="0" collapsed="false">
      <c r="B170" s="53" t="s">
        <v>667</v>
      </c>
      <c r="C170" s="51" t="str">
        <f aca="false">IF(LEN($B170)&gt;79,"MÁS DE 79 CARACTERES","")</f>
        <v/>
      </c>
      <c r="D170" s="51"/>
    </row>
    <row r="171" customFormat="false" ht="15" hidden="false" customHeight="false" outlineLevel="0" collapsed="false">
      <c r="B171" s="53" t="s">
        <v>668</v>
      </c>
      <c r="C171" s="51" t="str">
        <f aca="false">IF(LEN($B171)&gt;79,"MÁS DE 79 CARACTERES","")</f>
        <v/>
      </c>
      <c r="D171" s="51"/>
    </row>
    <row r="172" customFormat="false" ht="15" hidden="false" customHeight="false" outlineLevel="0" collapsed="false">
      <c r="B172" s="53" t="str">
        <f aca="false">"_MURO3 ONE "&amp;TEXT(PRESIONES!E$45*IF(DATOS!$C$65="CM KG",0.0001,IF(DATOS!$C$65="METER KG",1,0.00980665)),"0.000000")&amp;" GX"</f>
        <v>_MURO3 ONE -0.000430 GX</v>
      </c>
      <c r="C172" s="51" t="str">
        <f aca="false">IF(LEN($B172)&gt;79,"MÁS DE 79 CARACTERES","")</f>
        <v/>
      </c>
      <c r="D172" s="51" t="s">
        <v>669</v>
      </c>
    </row>
    <row r="173" customFormat="false" ht="15" hidden="false" customHeight="false" outlineLevel="0" collapsed="false">
      <c r="B173" s="53" t="str">
        <f aca="false">"_MURO4 ONE "&amp;TEXT(-PRESIONES!E$46*IF(DATOS!$C$65="CM KG",0.0001,IF(DATOS!$C$65="METER KG",1,0.00980665)),"0.000000")&amp;" GX"</f>
        <v>_MURO4 ONE 0.000430 GX</v>
      </c>
      <c r="C173" s="51" t="str">
        <f aca="false">IF(LEN($B173)&gt;79,"MÁS DE 79 CARACTERES","")</f>
        <v/>
      </c>
      <c r="D173" s="51" t="s">
        <v>670</v>
      </c>
    </row>
    <row r="174" customFormat="false" ht="15" hidden="false" customHeight="false" outlineLevel="0" collapsed="false">
      <c r="B174" s="53" t="str">
        <f aca="false">"_MURO1 ONE "&amp;TEXT(PRESIONES!E$43*IF(DATOS!$C$65="CM KG",0.0001,IF(DATOS!$C$65="METER KG",1,0.00980665)),"0.000000")&amp;" GZ"</f>
        <v>_MURO1 ONE 0.006770 GZ</v>
      </c>
      <c r="C174" s="51" t="str">
        <f aca="false">IF(LEN($B174)&gt;79,"MÁS DE 79 CARACTERES","")</f>
        <v/>
      </c>
      <c r="D174" s="51" t="s">
        <v>671</v>
      </c>
    </row>
    <row r="175" customFormat="false" ht="15" hidden="false" customHeight="false" outlineLevel="0" collapsed="false">
      <c r="B175" s="53" t="s">
        <v>634</v>
      </c>
      <c r="C175" s="51" t="str">
        <f aca="false">IF(LEN($B175)&gt;79,"MÁS DE 79 CARACTERES","")</f>
        <v/>
      </c>
      <c r="D175" s="51"/>
    </row>
    <row r="176" customFormat="false" ht="15" hidden="false" customHeight="false" outlineLevel="0" collapsed="false">
      <c r="B176" s="53" t="s">
        <v>672</v>
      </c>
      <c r="C176" s="51" t="str">
        <f aca="false">IF(LEN($B176)&gt;79,"MÁS DE 79 CARACTERES","")</f>
        <v/>
      </c>
      <c r="D176" s="51"/>
    </row>
    <row r="177" customFormat="false" ht="15" hidden="false" customHeight="false" outlineLevel="0" collapsed="false">
      <c r="B177" s="53" t="str">
        <f aca="false">STAAD!B435</f>
        <v>22 85 TO 88 UNI GY 0.0330</v>
      </c>
      <c r="C177" s="51" t="str">
        <f aca="false">IF(LEN($B177)&gt;79,"MÁS DE 79 CARACTERES","")</f>
        <v/>
      </c>
      <c r="D177" s="51" t="s">
        <v>673</v>
      </c>
    </row>
    <row r="178" customFormat="false" ht="15" hidden="false" customHeight="false" outlineLevel="0" collapsed="false">
      <c r="B178" s="53" t="str">
        <f aca="false">STAAD!B436</f>
        <v>22 85 TO 88 UNI GZ 0.0016</v>
      </c>
      <c r="C178" s="51" t="str">
        <f aca="false">IF(LEN($B178)&gt;79,"MÁS DE 79 CARACTERES","")</f>
        <v/>
      </c>
      <c r="D178" s="51" t="s">
        <v>673</v>
      </c>
    </row>
    <row r="179" customFormat="false" ht="15" hidden="false" customHeight="false" outlineLevel="0" collapsed="false">
      <c r="B179" s="53" t="str">
        <f aca="false">STAAD!B437</f>
        <v>80 129 TO 132 UNI GY 0.0659</v>
      </c>
      <c r="C179" s="51" t="str">
        <f aca="false">IF(LEN($B179)&gt;79,"MÁS DE 79 CARACTERES","")</f>
        <v/>
      </c>
      <c r="D179" s="51" t="s">
        <v>673</v>
      </c>
    </row>
    <row r="180" customFormat="false" ht="15" hidden="false" customHeight="false" outlineLevel="0" collapsed="false">
      <c r="B180" s="53" t="str">
        <f aca="false">STAAD!B438</f>
        <v>80 129 TO 132 UNI GZ 0.0033</v>
      </c>
      <c r="C180" s="51" t="str">
        <f aca="false">IF(LEN($B180)&gt;79,"MÁS DE 79 CARACTERES","")</f>
        <v/>
      </c>
      <c r="D180" s="51" t="s">
        <v>673</v>
      </c>
    </row>
    <row r="181" customFormat="false" ht="15" hidden="false" customHeight="false" outlineLevel="0" collapsed="false">
      <c r="B181" s="53" t="str">
        <f aca="false">STAAD!B439</f>
        <v>79 125 TO 128 UNI GY 0.0659</v>
      </c>
      <c r="C181" s="51" t="str">
        <f aca="false">IF(LEN($B181)&gt;79,"MÁS DE 79 CARACTERES","")</f>
        <v/>
      </c>
      <c r="D181" s="51" t="s">
        <v>673</v>
      </c>
    </row>
    <row r="182" customFormat="false" ht="15" hidden="false" customHeight="false" outlineLevel="0" collapsed="false">
      <c r="B182" s="53" t="str">
        <f aca="false">STAAD!B440</f>
        <v>79 125 TO 128 UNI GZ 0.0033</v>
      </c>
      <c r="C182" s="51" t="str">
        <f aca="false">IF(LEN($B182)&gt;79,"MÁS DE 79 CARACTERES","")</f>
        <v/>
      </c>
      <c r="D182" s="51" t="s">
        <v>673</v>
      </c>
    </row>
    <row r="183" customFormat="false" ht="15" hidden="false" customHeight="false" outlineLevel="0" collapsed="false">
      <c r="B183" s="53" t="str">
        <f aca="false">STAAD!B441</f>
        <v>78 121 TO 124 UNI GY 0.0659</v>
      </c>
      <c r="C183" s="51" t="str">
        <f aca="false">IF(LEN($B183)&gt;79,"MÁS DE 79 CARACTERES","")</f>
        <v/>
      </c>
      <c r="D183" s="51" t="s">
        <v>673</v>
      </c>
    </row>
    <row r="184" customFormat="false" ht="15" hidden="false" customHeight="false" outlineLevel="0" collapsed="false">
      <c r="B184" s="53" t="str">
        <f aca="false">STAAD!B442</f>
        <v>78 121 TO 124 UNI GZ 0.0033</v>
      </c>
      <c r="C184" s="51" t="str">
        <f aca="false">IF(LEN($B184)&gt;79,"MÁS DE 79 CARACTERES","")</f>
        <v/>
      </c>
      <c r="D184" s="51" t="s">
        <v>673</v>
      </c>
    </row>
    <row r="185" customFormat="false" ht="15" hidden="false" customHeight="false" outlineLevel="0" collapsed="false">
      <c r="B185" s="53" t="str">
        <f aca="false">STAAD!B443</f>
        <v>77 117 TO 120 UNI GY 0.0659</v>
      </c>
      <c r="C185" s="51" t="str">
        <f aca="false">IF(LEN($B185)&gt;79,"MÁS DE 79 CARACTERES","")</f>
        <v/>
      </c>
      <c r="D185" s="51" t="s">
        <v>673</v>
      </c>
    </row>
    <row r="186" customFormat="false" ht="15" hidden="false" customHeight="false" outlineLevel="0" collapsed="false">
      <c r="B186" s="53" t="str">
        <f aca="false">STAAD!B444</f>
        <v>77 117 TO 120 UNI GZ 0.0033</v>
      </c>
      <c r="C186" s="51" t="str">
        <f aca="false">IF(LEN($B186)&gt;79,"MÁS DE 79 CARACTERES","")</f>
        <v/>
      </c>
      <c r="D186" s="51" t="s">
        <v>673</v>
      </c>
    </row>
    <row r="187" customFormat="false" ht="15" hidden="false" customHeight="false" outlineLevel="0" collapsed="false">
      <c r="B187" s="53" t="str">
        <f aca="false">STAAD!B445</f>
        <v>9 93 TO 96 UNI GY 0.0659</v>
      </c>
      <c r="C187" s="51" t="str">
        <f aca="false">IF(LEN($B187)&gt;79,"MÁS DE 79 CARACTERES","")</f>
        <v/>
      </c>
      <c r="D187" s="51" t="s">
        <v>673</v>
      </c>
    </row>
    <row r="188" customFormat="false" ht="15" hidden="false" customHeight="false" outlineLevel="0" collapsed="false">
      <c r="B188" s="53" t="str">
        <f aca="false">STAAD!B446</f>
        <v>9 93 TO 96 UNI GZ 0.0033</v>
      </c>
      <c r="C188" s="51" t="str">
        <f aca="false">IF(LEN($B188)&gt;79,"MÁS DE 79 CARACTERES","")</f>
        <v/>
      </c>
      <c r="D188" s="51" t="s">
        <v>673</v>
      </c>
    </row>
    <row r="189" customFormat="false" ht="15" hidden="false" customHeight="false" outlineLevel="0" collapsed="false">
      <c r="B189" s="53" t="str">
        <f aca="false">STAAD!B447</f>
        <v>76 113 TO 116 UNI GY 0.0659</v>
      </c>
      <c r="C189" s="51" t="str">
        <f aca="false">IF(LEN($B189)&gt;79,"MÁS DE 79 CARACTERES","")</f>
        <v/>
      </c>
      <c r="D189" s="51" t="s">
        <v>673</v>
      </c>
    </row>
    <row r="190" customFormat="false" ht="15" hidden="false" customHeight="false" outlineLevel="0" collapsed="false">
      <c r="B190" s="53" t="str">
        <f aca="false">STAAD!B448</f>
        <v>76 113 TO 116 UNI GZ 0.0033</v>
      </c>
      <c r="C190" s="51" t="str">
        <f aca="false">IF(LEN($B190)&gt;79,"MÁS DE 79 CARACTERES","")</f>
        <v/>
      </c>
      <c r="D190" s="51" t="s">
        <v>673</v>
      </c>
    </row>
    <row r="191" customFormat="false" ht="15" hidden="false" customHeight="false" outlineLevel="0" collapsed="false">
      <c r="B191" s="53" t="str">
        <f aca="false">STAAD!B449</f>
        <v>75 109 TO 112 UNI GY 0.0659</v>
      </c>
      <c r="C191" s="51" t="str">
        <f aca="false">IF(LEN($B191)&gt;79,"MÁS DE 79 CARACTERES","")</f>
        <v/>
      </c>
      <c r="D191" s="51" t="s">
        <v>673</v>
      </c>
    </row>
    <row r="192" customFormat="false" ht="15" hidden="false" customHeight="false" outlineLevel="0" collapsed="false">
      <c r="B192" s="53" t="str">
        <f aca="false">STAAD!B450</f>
        <v>75 109 TO 112 UNI GZ 0.0033</v>
      </c>
      <c r="C192" s="51" t="str">
        <f aca="false">IF(LEN($B192)&gt;79,"MÁS DE 79 CARACTERES","")</f>
        <v/>
      </c>
      <c r="D192" s="51" t="s">
        <v>673</v>
      </c>
    </row>
    <row r="193" customFormat="false" ht="15" hidden="false" customHeight="false" outlineLevel="0" collapsed="false">
      <c r="B193" s="53" t="str">
        <f aca="false">STAAD!B451</f>
        <v>74 105 TO 108 UNI GY 0.0659</v>
      </c>
      <c r="C193" s="51" t="str">
        <f aca="false">IF(LEN($B193)&gt;79,"MÁS DE 79 CARACTERES","")</f>
        <v/>
      </c>
      <c r="D193" s="51" t="s">
        <v>673</v>
      </c>
    </row>
    <row r="194" customFormat="false" ht="15" hidden="false" customHeight="false" outlineLevel="0" collapsed="false">
      <c r="B194" s="53" t="str">
        <f aca="false">STAAD!B452</f>
        <v>74 105 TO 108 UNI GZ 0.0033</v>
      </c>
      <c r="C194" s="51" t="str">
        <f aca="false">IF(LEN($B194)&gt;79,"MÁS DE 79 CARACTERES","")</f>
        <v/>
      </c>
      <c r="D194" s="51" t="s">
        <v>673</v>
      </c>
    </row>
    <row r="195" customFormat="false" ht="15" hidden="false" customHeight="false" outlineLevel="0" collapsed="false">
      <c r="B195" s="53" t="str">
        <f aca="false">STAAD!B453</f>
        <v>73 101 TO 104 UNI GY 0.0659</v>
      </c>
      <c r="C195" s="51" t="str">
        <f aca="false">IF(LEN($B195)&gt;79,"MÁS DE 79 CARACTERES","")</f>
        <v/>
      </c>
      <c r="D195" s="51" t="s">
        <v>673</v>
      </c>
    </row>
    <row r="196" customFormat="false" ht="15" hidden="false" customHeight="false" outlineLevel="0" collapsed="false">
      <c r="B196" s="53" t="str">
        <f aca="false">STAAD!B454</f>
        <v>73 101 TO 104 UNI GZ 0.0033</v>
      </c>
      <c r="C196" s="51" t="str">
        <f aca="false">IF(LEN($B196)&gt;79,"MÁS DE 79 CARACTERES","")</f>
        <v/>
      </c>
      <c r="D196" s="51" t="s">
        <v>673</v>
      </c>
    </row>
    <row r="197" customFormat="false" ht="15" hidden="false" customHeight="false" outlineLevel="0" collapsed="false">
      <c r="B197" s="53" t="str">
        <f aca="false">STAAD!B455</f>
        <v>8 89 TO 92 UNI GY 0.0635</v>
      </c>
      <c r="C197" s="51" t="str">
        <f aca="false">IF(LEN($B197)&gt;79,"MÁS DE 79 CARACTERES","")</f>
        <v/>
      </c>
      <c r="D197" s="51" t="s">
        <v>673</v>
      </c>
    </row>
    <row r="198" customFormat="false" ht="15" hidden="false" customHeight="false" outlineLevel="0" collapsed="false">
      <c r="B198" s="53" t="str">
        <f aca="false">STAAD!B456</f>
        <v>8 89 TO 92 UNI GZ 0.0032</v>
      </c>
      <c r="C198" s="51" t="str">
        <f aca="false">IF(LEN($B198)&gt;79,"MÁS DE 79 CARACTERES","")</f>
        <v/>
      </c>
      <c r="D198" s="51" t="s">
        <v>673</v>
      </c>
    </row>
    <row r="199" customFormat="false" ht="15" hidden="false" customHeight="false" outlineLevel="0" collapsed="false">
      <c r="B199" s="53" t="str">
        <f aca="false">STAAD!B457</f>
        <v>56 97 TO 100 UNI GY 0.0610</v>
      </c>
      <c r="C199" s="51" t="str">
        <f aca="false">IF(LEN($B199)&gt;79,"MÁS DE 79 CARACTERES","")</f>
        <v/>
      </c>
      <c r="D199" s="51" t="s">
        <v>673</v>
      </c>
    </row>
    <row r="200" customFormat="false" ht="15" hidden="false" customHeight="false" outlineLevel="0" collapsed="false">
      <c r="B200" s="53" t="str">
        <f aca="false">STAAD!B458</f>
        <v>56 97 TO 100 UNI GZ 0.0031</v>
      </c>
      <c r="C200" s="51" t="str">
        <f aca="false">IF(LEN($B200)&gt;79,"MÁS DE 79 CARACTERES","")</f>
        <v/>
      </c>
      <c r="D200" s="51" t="s">
        <v>673</v>
      </c>
    </row>
    <row r="201" customFormat="false" ht="15" hidden="false" customHeight="false" outlineLevel="0" collapsed="false">
      <c r="B201" s="53" t="str">
        <f aca="false">STAAD!B459</f>
        <v>7 81 TO 84 UNI GY 0.0305</v>
      </c>
      <c r="C201" s="51" t="str">
        <f aca="false">IF(LEN($B201)&gt;79,"MÁS DE 79 CARACTERES","")</f>
        <v/>
      </c>
      <c r="D201" s="51" t="s">
        <v>673</v>
      </c>
    </row>
    <row r="202" customFormat="false" ht="15" hidden="false" customHeight="false" outlineLevel="0" collapsed="false">
      <c r="B202" s="53" t="str">
        <f aca="false">STAAD!B460</f>
        <v>7 81 TO 84 UNI GZ 0.0015</v>
      </c>
      <c r="C202" s="51" t="str">
        <f aca="false">IF(LEN($B202)&gt;79,"MÁS DE 79 CARACTERES","")</f>
        <v/>
      </c>
      <c r="D202" s="51" t="s">
        <v>673</v>
      </c>
    </row>
    <row r="203" customFormat="false" ht="15" hidden="false" customHeight="false" outlineLevel="0" collapsed="false">
      <c r="B203" s="53" t="str">
        <f aca="false">STAAD!B461</f>
        <v>*</v>
      </c>
      <c r="C203" s="51" t="str">
        <f aca="false">IF(LEN($B203)&gt;79,"MÁS DE 79 CARACTERES","")</f>
        <v/>
      </c>
      <c r="D203" s="51" t="s">
        <v>673</v>
      </c>
    </row>
    <row r="204" customFormat="false" ht="15" hidden="false" customHeight="false" outlineLevel="0" collapsed="false">
      <c r="B204" s="53" t="str">
        <f aca="false">STAAD!B462</f>
        <v>*</v>
      </c>
      <c r="C204" s="51" t="str">
        <f aca="false">IF(LEN($B204)&gt;79,"MÁS DE 79 CARACTERES","")</f>
        <v/>
      </c>
      <c r="D204" s="51" t="s">
        <v>673</v>
      </c>
    </row>
    <row r="205" customFormat="false" ht="15" hidden="false" customHeight="false" outlineLevel="0" collapsed="false">
      <c r="B205" s="53" t="str">
        <f aca="false">STAAD!B463</f>
        <v>*</v>
      </c>
      <c r="C205" s="51" t="str">
        <f aca="false">IF(LEN($B205)&gt;79,"MÁS DE 79 CARACTERES","")</f>
        <v/>
      </c>
      <c r="D205" s="51" t="s">
        <v>673</v>
      </c>
    </row>
    <row r="206" customFormat="false" ht="15" hidden="false" customHeight="false" outlineLevel="0" collapsed="false">
      <c r="B206" s="53" t="str">
        <f aca="false">STAAD!B464</f>
        <v>*</v>
      </c>
      <c r="C206" s="51" t="str">
        <f aca="false">IF(LEN($B206)&gt;79,"MÁS DE 79 CARACTERES","")</f>
        <v/>
      </c>
      <c r="D206" s="51" t="s">
        <v>673</v>
      </c>
    </row>
    <row r="207" customFormat="false" ht="15" hidden="false" customHeight="false" outlineLevel="0" collapsed="false">
      <c r="B207" s="53" t="str">
        <f aca="false">STAAD!B465</f>
        <v>*</v>
      </c>
      <c r="C207" s="51" t="str">
        <f aca="false">IF(LEN($B207)&gt;79,"MÁS DE 79 CARACTERES","")</f>
        <v/>
      </c>
      <c r="D207" s="51" t="s">
        <v>673</v>
      </c>
    </row>
    <row r="208" customFormat="false" ht="15" hidden="false" customHeight="false" outlineLevel="0" collapsed="false">
      <c r="B208" s="53" t="str">
        <f aca="false">STAAD!B466</f>
        <v>*</v>
      </c>
      <c r="C208" s="51" t="str">
        <f aca="false">IF(LEN($B208)&gt;79,"MÁS DE 79 CARACTERES","")</f>
        <v/>
      </c>
      <c r="D208" s="51" t="s">
        <v>673</v>
      </c>
    </row>
    <row r="209" customFormat="false" ht="15" hidden="false" customHeight="false" outlineLevel="0" collapsed="false">
      <c r="B209" s="53" t="str">
        <f aca="false">STAAD!B467</f>
        <v>*</v>
      </c>
      <c r="C209" s="51" t="str">
        <f aca="false">IF(LEN($B209)&gt;79,"MÁS DE 79 CARACTERES","")</f>
        <v/>
      </c>
      <c r="D209" s="51" t="s">
        <v>673</v>
      </c>
    </row>
    <row r="210" customFormat="false" ht="15" hidden="false" customHeight="false" outlineLevel="0" collapsed="false">
      <c r="B210" s="53" t="str">
        <f aca="false">STAAD!B468</f>
        <v>*</v>
      </c>
      <c r="C210" s="51" t="str">
        <f aca="false">IF(LEN($B210)&gt;79,"MÁS DE 79 CARACTERES","")</f>
        <v/>
      </c>
      <c r="D210" s="51" t="s">
        <v>673</v>
      </c>
    </row>
    <row r="211" customFormat="false" ht="15" hidden="false" customHeight="false" outlineLevel="0" collapsed="false">
      <c r="B211" s="53" t="str">
        <f aca="false">STAAD!B469</f>
        <v>*</v>
      </c>
      <c r="C211" s="51" t="str">
        <f aca="false">IF(LEN($B211)&gt;79,"MÁS DE 79 CARACTERES","")</f>
        <v/>
      </c>
      <c r="D211" s="51" t="s">
        <v>673</v>
      </c>
    </row>
    <row r="212" customFormat="false" ht="15" hidden="false" customHeight="false" outlineLevel="0" collapsed="false">
      <c r="B212" s="53" t="str">
        <f aca="false">STAAD!B470</f>
        <v>*</v>
      </c>
      <c r="C212" s="51" t="str">
        <f aca="false">IF(LEN($B212)&gt;79,"MÁS DE 79 CARACTERES","")</f>
        <v/>
      </c>
      <c r="D212" s="51" t="s">
        <v>673</v>
      </c>
    </row>
    <row r="213" customFormat="false" ht="15" hidden="false" customHeight="false" outlineLevel="0" collapsed="false">
      <c r="B213" s="53" t="str">
        <f aca="false">STAAD!B471</f>
        <v>*</v>
      </c>
      <c r="C213" s="51" t="str">
        <f aca="false">IF(LEN($B213)&gt;79,"MÁS DE 79 CARACTERES","")</f>
        <v/>
      </c>
      <c r="D213" s="51" t="s">
        <v>673</v>
      </c>
    </row>
    <row r="214" customFormat="false" ht="15" hidden="false" customHeight="false" outlineLevel="0" collapsed="false">
      <c r="B214" s="53" t="str">
        <f aca="false">STAAD!B472</f>
        <v>*</v>
      </c>
      <c r="C214" s="51" t="str">
        <f aca="false">IF(LEN($B214)&gt;79,"MÁS DE 79 CARACTERES","")</f>
        <v/>
      </c>
      <c r="D214" s="51" t="s">
        <v>673</v>
      </c>
    </row>
    <row r="215" customFormat="false" ht="15" hidden="false" customHeight="false" outlineLevel="0" collapsed="false">
      <c r="B215" s="53" t="str">
        <f aca="false">STAAD!B473</f>
        <v>*</v>
      </c>
      <c r="C215" s="51" t="str">
        <f aca="false">IF(LEN($B215)&gt;79,"MÁS DE 79 CARACTERES","")</f>
        <v/>
      </c>
      <c r="D215" s="51" t="s">
        <v>673</v>
      </c>
    </row>
    <row r="216" customFormat="false" ht="15" hidden="false" customHeight="false" outlineLevel="0" collapsed="false">
      <c r="B216" s="53" t="str">
        <f aca="false">STAAD!B474</f>
        <v>*</v>
      </c>
      <c r="C216" s="51" t="str">
        <f aca="false">IF(LEN($B216)&gt;79,"MÁS DE 79 CARACTERES","")</f>
        <v/>
      </c>
      <c r="D216" s="51" t="s">
        <v>673</v>
      </c>
    </row>
    <row r="217" customFormat="false" ht="15" hidden="false" customHeight="false" outlineLevel="0" collapsed="false">
      <c r="B217" s="53" t="str">
        <f aca="false">STAAD!B475</f>
        <v>*</v>
      </c>
      <c r="C217" s="51" t="str">
        <f aca="false">IF(LEN($B217)&gt;79,"MÁS DE 79 CARACTERES","")</f>
        <v/>
      </c>
      <c r="D217" s="51" t="s">
        <v>673</v>
      </c>
    </row>
    <row r="218" customFormat="false" ht="15" hidden="false" customHeight="false" outlineLevel="0" collapsed="false">
      <c r="B218" s="53" t="str">
        <f aca="false">STAAD!B476</f>
        <v>*</v>
      </c>
      <c r="C218" s="51" t="str">
        <f aca="false">IF(LEN($B218)&gt;79,"MÁS DE 79 CARACTERES","")</f>
        <v/>
      </c>
      <c r="D218" s="51" t="s">
        <v>673</v>
      </c>
    </row>
    <row r="219" customFormat="false" ht="15" hidden="false" customHeight="false" outlineLevel="0" collapsed="false">
      <c r="B219" s="53" t="str">
        <f aca="false">STAAD!B477</f>
        <v>*</v>
      </c>
      <c r="C219" s="51" t="str">
        <f aca="false">IF(LEN($B219)&gt;79,"MÁS DE 79 CARACTERES","")</f>
        <v/>
      </c>
      <c r="D219" s="51" t="s">
        <v>673</v>
      </c>
    </row>
    <row r="220" customFormat="false" ht="15" hidden="false" customHeight="false" outlineLevel="0" collapsed="false">
      <c r="B220" s="53" t="str">
        <f aca="false">STAAD!B478</f>
        <v>*</v>
      </c>
      <c r="C220" s="51" t="str">
        <f aca="false">IF(LEN($B220)&gt;79,"MÁS DE 79 CARACTERES","")</f>
        <v/>
      </c>
      <c r="D220" s="51" t="s">
        <v>673</v>
      </c>
    </row>
    <row r="221" customFormat="false" ht="15" hidden="false" customHeight="false" outlineLevel="0" collapsed="false">
      <c r="B221" s="53" t="str">
        <f aca="false">STAAD!B479</f>
        <v>*</v>
      </c>
      <c r="C221" s="51" t="str">
        <f aca="false">IF(LEN($B221)&gt;79,"MÁS DE 79 CARACTERES","")</f>
        <v/>
      </c>
      <c r="D221" s="51" t="s">
        <v>673</v>
      </c>
    </row>
    <row r="222" customFormat="false" ht="15" hidden="false" customHeight="false" outlineLevel="0" collapsed="false">
      <c r="B222" s="53" t="str">
        <f aca="false">STAAD!B480</f>
        <v>*</v>
      </c>
      <c r="C222" s="51" t="str">
        <f aca="false">IF(LEN($B222)&gt;79,"MÁS DE 79 CARACTERES","")</f>
        <v/>
      </c>
      <c r="D222" s="51" t="s">
        <v>673</v>
      </c>
    </row>
    <row r="223" customFormat="false" ht="15" hidden="false" customHeight="false" outlineLevel="0" collapsed="false">
      <c r="B223" s="53" t="str">
        <f aca="false">STAAD!B481</f>
        <v>*</v>
      </c>
      <c r="C223" s="51" t="str">
        <f aca="false">IF(LEN($B223)&gt;79,"MÁS DE 79 CARACTERES","")</f>
        <v/>
      </c>
      <c r="D223" s="51" t="s">
        <v>673</v>
      </c>
    </row>
    <row r="224" customFormat="false" ht="15" hidden="false" customHeight="false" outlineLevel="0" collapsed="false">
      <c r="B224" s="53" t="str">
        <f aca="false">STAAD!B482</f>
        <v>*</v>
      </c>
      <c r="C224" s="51" t="str">
        <f aca="false">IF(LEN($B224)&gt;79,"MÁS DE 79 CARACTERES","")</f>
        <v/>
      </c>
      <c r="D224" s="51" t="s">
        <v>673</v>
      </c>
    </row>
    <row r="225" customFormat="false" ht="15" hidden="false" customHeight="false" outlineLevel="0" collapsed="false">
      <c r="B225" s="53" t="str">
        <f aca="false">STAAD!B483</f>
        <v>*</v>
      </c>
      <c r="C225" s="51" t="str">
        <f aca="false">IF(LEN($B225)&gt;79,"MÁS DE 79 CARACTERES","")</f>
        <v/>
      </c>
      <c r="D225" s="51" t="s">
        <v>673</v>
      </c>
    </row>
    <row r="226" customFormat="false" ht="15" hidden="false" customHeight="false" outlineLevel="0" collapsed="false">
      <c r="B226" s="53" t="str">
        <f aca="false">STAAD!B484</f>
        <v>*</v>
      </c>
      <c r="C226" s="51" t="str">
        <f aca="false">IF(LEN($B226)&gt;79,"MÁS DE 79 CARACTERES","")</f>
        <v/>
      </c>
      <c r="D226" s="51" t="s">
        <v>673</v>
      </c>
    </row>
    <row r="227" customFormat="false" ht="15" hidden="false" customHeight="false" outlineLevel="0" collapsed="false">
      <c r="B227" s="53" t="str">
        <f aca="false">STAAD!B485</f>
        <v>*</v>
      </c>
      <c r="C227" s="51" t="str">
        <f aca="false">IF(LEN($B227)&gt;79,"MÁS DE 79 CARACTERES","")</f>
        <v/>
      </c>
      <c r="D227" s="51" t="s">
        <v>673</v>
      </c>
    </row>
    <row r="228" customFormat="false" ht="15" hidden="false" customHeight="false" outlineLevel="0" collapsed="false">
      <c r="B228" s="53" t="str">
        <f aca="false">STAAD!B486</f>
        <v>*</v>
      </c>
      <c r="C228" s="51" t="str">
        <f aca="false">IF(LEN($B228)&gt;79,"MÁS DE 79 CARACTERES","")</f>
        <v/>
      </c>
      <c r="D228" s="51" t="s">
        <v>673</v>
      </c>
    </row>
    <row r="229" customFormat="false" ht="15" hidden="false" customHeight="false" outlineLevel="0" collapsed="false">
      <c r="B229" s="53" t="str">
        <f aca="false">STAAD!B487</f>
        <v>*</v>
      </c>
      <c r="C229" s="51" t="str">
        <f aca="false">IF(LEN($B229)&gt;79,"MÁS DE 79 CARACTERES","")</f>
        <v/>
      </c>
      <c r="D229" s="51" t="s">
        <v>673</v>
      </c>
    </row>
    <row r="230" customFormat="false" ht="15" hidden="false" customHeight="false" outlineLevel="0" collapsed="false">
      <c r="B230" s="53" t="str">
        <f aca="false">STAAD!B488</f>
        <v>*</v>
      </c>
      <c r="C230" s="51" t="str">
        <f aca="false">IF(LEN($B230)&gt;79,"MÁS DE 79 CARACTERES","")</f>
        <v/>
      </c>
      <c r="D230" s="51" t="s">
        <v>673</v>
      </c>
    </row>
    <row r="231" customFormat="false" ht="15" hidden="false" customHeight="false" outlineLevel="0" collapsed="false">
      <c r="B231" s="53" t="str">
        <f aca="false">STAAD!B489</f>
        <v>*</v>
      </c>
      <c r="C231" s="51" t="str">
        <f aca="false">IF(LEN($B231)&gt;79,"MÁS DE 79 CARACTERES","")</f>
        <v/>
      </c>
      <c r="D231" s="51" t="s">
        <v>673</v>
      </c>
    </row>
    <row r="232" customFormat="false" ht="15" hidden="false" customHeight="false" outlineLevel="0" collapsed="false">
      <c r="B232" s="53" t="str">
        <f aca="false">STAAD!B490</f>
        <v>*</v>
      </c>
      <c r="C232" s="51" t="str">
        <f aca="false">IF(LEN($B232)&gt;79,"MÁS DE 79 CARACTERES","")</f>
        <v/>
      </c>
      <c r="D232" s="51" t="s">
        <v>673</v>
      </c>
    </row>
    <row r="233" customFormat="false" ht="15" hidden="false" customHeight="false" outlineLevel="0" collapsed="false">
      <c r="B233" s="53" t="str">
        <f aca="false">STAAD!B491</f>
        <v>*</v>
      </c>
      <c r="C233" s="51" t="str">
        <f aca="false">IF(LEN($B233)&gt;79,"MÁS DE 79 CARACTERES","")</f>
        <v/>
      </c>
      <c r="D233" s="51" t="s">
        <v>673</v>
      </c>
    </row>
    <row r="234" customFormat="false" ht="15" hidden="false" customHeight="false" outlineLevel="0" collapsed="false">
      <c r="B234" s="53" t="str">
        <f aca="false">STAAD!B492</f>
        <v>*</v>
      </c>
      <c r="C234" s="51" t="str">
        <f aca="false">IF(LEN($B234)&gt;79,"MÁS DE 79 CARACTERES","")</f>
        <v/>
      </c>
      <c r="D234" s="51" t="s">
        <v>673</v>
      </c>
    </row>
    <row r="235" customFormat="false" ht="15" hidden="false" customHeight="false" outlineLevel="0" collapsed="false">
      <c r="B235" s="53" t="str">
        <f aca="false">STAAD!B493</f>
        <v>*</v>
      </c>
      <c r="C235" s="51" t="str">
        <f aca="false">IF(LEN($B235)&gt;79,"MÁS DE 79 CARACTERES","")</f>
        <v/>
      </c>
      <c r="D235" s="51" t="s">
        <v>673</v>
      </c>
    </row>
    <row r="236" customFormat="false" ht="15" hidden="false" customHeight="false" outlineLevel="0" collapsed="false">
      <c r="B236" s="53" t="str">
        <f aca="false">STAAD!B494</f>
        <v>*</v>
      </c>
      <c r="C236" s="51" t="str">
        <f aca="false">IF(LEN($B236)&gt;79,"MÁS DE 79 CARACTERES","")</f>
        <v/>
      </c>
      <c r="D236" s="51" t="s">
        <v>673</v>
      </c>
    </row>
    <row r="237" customFormat="false" ht="15" hidden="false" customHeight="false" outlineLevel="0" collapsed="false">
      <c r="B237" s="53" t="s">
        <v>674</v>
      </c>
      <c r="C237" s="51" t="str">
        <f aca="false">IF(LEN($B237)&gt;79,"MÁS DE 79 CARACTERES","")</f>
        <v/>
      </c>
      <c r="D237" s="51"/>
    </row>
    <row r="238" customFormat="false" ht="15" hidden="false" customHeight="false" outlineLevel="0" collapsed="false">
      <c r="B238" s="53" t="s">
        <v>675</v>
      </c>
      <c r="C238" s="51" t="str">
        <f aca="false">IF(LEN($B238)&gt;79,"MÁS DE 79 CARACTERES","")</f>
        <v/>
      </c>
      <c r="D238" s="51"/>
    </row>
    <row r="239" customFormat="false" ht="15" hidden="false" customHeight="false" outlineLevel="0" collapsed="false">
      <c r="B239" s="53" t="str">
        <f aca="false">"259 260 261 UNI GX "&amp;TEXT(PRESIONES!E$45*0.6*DATOS!$C$67,DATOS!$C$68)</f>
        <v>259 260 261 UNI GX -0.0258</v>
      </c>
      <c r="C239" s="51" t="str">
        <f aca="false">IF(LEN($B239)&gt;79,"MÁS DE 79 CARACTERES","")</f>
        <v/>
      </c>
      <c r="D239" s="51" t="s">
        <v>676</v>
      </c>
    </row>
    <row r="240" customFormat="false" ht="15" hidden="false" customHeight="false" outlineLevel="0" collapsed="false">
      <c r="B240" s="53" t="str">
        <f aca="false">"265 266 267 UNI GX "&amp;TEXT(-PRESIONES!E$46*0.6*DATOS!$C$67,DATOS!$C$68)</f>
        <v>265 266 267 UNI GX 0.0258</v>
      </c>
      <c r="C240" s="51" t="str">
        <f aca="false">IF(LEN($B240)&gt;79,"MÁS DE 79 CARACTERES","")</f>
        <v/>
      </c>
      <c r="D240" s="51" t="s">
        <v>677</v>
      </c>
    </row>
    <row r="241" customFormat="false" ht="15" hidden="false" customHeight="false" outlineLevel="0" collapsed="false">
      <c r="B241" s="53" t="str">
        <f aca="false">"262 263 264 UNI GZ "&amp;TEXT(PRESIONES!E$43*0.6*DATOS!$C$67,DATOS!$C$68)</f>
        <v>262 263 264 UNI GZ 0.4062</v>
      </c>
      <c r="C241" s="51" t="str">
        <f aca="false">IF(LEN($B241)&gt;79,"MÁS DE 79 CARACTERES","")</f>
        <v/>
      </c>
      <c r="D241" s="51" t="s">
        <v>678</v>
      </c>
    </row>
    <row r="242" customFormat="false" ht="15" hidden="false" customHeight="false" outlineLevel="0" collapsed="false">
      <c r="B242" s="53" t="s">
        <v>679</v>
      </c>
      <c r="C242" s="51" t="str">
        <f aca="false">IF(LEN($B242)&gt;79,"MÁS DE 79 CARACTERES","")</f>
        <v/>
      </c>
      <c r="D242" s="51"/>
    </row>
    <row r="243" customFormat="false" ht="15" hidden="false" customHeight="false" outlineLevel="0" collapsed="false">
      <c r="B243" s="53" t="str">
        <f aca="false">STAAD!B587</f>
        <v>17 191 203 213 223 233 UNI GZ 1.7269</v>
      </c>
      <c r="C243" s="51" t="str">
        <f aca="false">IF(LEN($B243)&gt;79,"MÁS DE 79 CARACTERES","")</f>
        <v/>
      </c>
      <c r="D243" s="51" t="s">
        <v>680</v>
      </c>
    </row>
    <row r="244" customFormat="false" ht="15" hidden="false" customHeight="false" outlineLevel="0" collapsed="false">
      <c r="B244" s="53" t="str">
        <f aca="false">STAAD!B588</f>
        <v>18 192 204 214 224 234 UNI GZ 1.7269</v>
      </c>
      <c r="C244" s="51" t="str">
        <f aca="false">IF(LEN($B244)&gt;79,"MÁS DE 79 CARACTERES","")</f>
        <v/>
      </c>
      <c r="D244" s="51" t="s">
        <v>680</v>
      </c>
    </row>
    <row r="245" customFormat="false" ht="15" hidden="false" customHeight="false" outlineLevel="0" collapsed="false">
      <c r="B245" s="53" t="s">
        <v>681</v>
      </c>
      <c r="C245" s="51" t="str">
        <f aca="false">IF(LEN($B245)&gt;79,"MÁS DE 79 CARACTERES","")</f>
        <v/>
      </c>
      <c r="D245" s="51"/>
    </row>
    <row r="246" customFormat="false" ht="15" hidden="false" customHeight="false" outlineLevel="0" collapsed="false">
      <c r="B246" s="53" t="str">
        <f aca="false">"15 189 UNI GZ "&amp;TEXT(PRESIONES!E$43*0.65*DATOS!$C$67,DATOS!$C$68)</f>
        <v>15 189 UNI GZ 0.4400</v>
      </c>
      <c r="C246" s="51" t="str">
        <f aca="false">IF(LEN($B246)&gt;79,"MÁS DE 79 CARACTERES","")</f>
        <v/>
      </c>
      <c r="D246" s="51" t="s">
        <v>682</v>
      </c>
    </row>
    <row r="247" customFormat="false" ht="15" hidden="false" customHeight="false" outlineLevel="0" collapsed="false">
      <c r="B247" s="53" t="str">
        <f aca="false">"16 190 UNI GZ "&amp;TEXT(PRESIONES!E$43*0.65*DATOS!$C$67,DATOS!$C$68)</f>
        <v>16 190 UNI GZ 0.4400</v>
      </c>
      <c r="C247" s="51" t="str">
        <f aca="false">IF(LEN($B247)&gt;79,"MÁS DE 79 CARACTERES","")</f>
        <v/>
      </c>
      <c r="D247" s="51" t="s">
        <v>683</v>
      </c>
    </row>
    <row r="248" customFormat="false" ht="15" hidden="false" customHeight="false" outlineLevel="0" collapsed="false">
      <c r="B248" s="53" t="s">
        <v>684</v>
      </c>
      <c r="C248" s="51" t="str">
        <f aca="false">IF(LEN($B248)&gt;79,"MÁS DE 79 CARACTERES","")</f>
        <v/>
      </c>
      <c r="D248" s="51"/>
    </row>
    <row r="249" customFormat="false" ht="15" hidden="false" customHeight="false" outlineLevel="0" collapsed="false">
      <c r="B249" s="53" t="str">
        <f aca="false">STAAD!B645</f>
        <v>LOAD 11 LOADTYPE Wind  TITLE VIENTO -Z</v>
      </c>
      <c r="C249" s="51" t="str">
        <f aca="false">IF(LEN($B249)&gt;79,"MÁS DE 79 CARACTERES","")</f>
        <v/>
      </c>
      <c r="D249" s="51" t="s">
        <v>665</v>
      </c>
    </row>
    <row r="250" customFormat="false" ht="15" hidden="false" customHeight="false" outlineLevel="0" collapsed="false">
      <c r="B250" s="53" t="s">
        <v>666</v>
      </c>
      <c r="C250" s="51" t="str">
        <f aca="false">IF(LEN($B250)&gt;79,"MÁS DE 79 CARACTERES","")</f>
        <v/>
      </c>
      <c r="D250" s="51"/>
    </row>
    <row r="251" customFormat="false" ht="15" hidden="false" customHeight="false" outlineLevel="0" collapsed="false">
      <c r="B251" s="53" t="s">
        <v>667</v>
      </c>
      <c r="C251" s="51" t="str">
        <f aca="false">IF(LEN($B251)&gt;79,"MÁS DE 79 CARACTERES","")</f>
        <v/>
      </c>
      <c r="D251" s="51"/>
    </row>
    <row r="252" customFormat="false" ht="15" hidden="false" customHeight="false" outlineLevel="0" collapsed="false">
      <c r="B252" s="53" t="s">
        <v>668</v>
      </c>
      <c r="C252" s="51" t="str">
        <f aca="false">IF(LEN($B252)&gt;79,"MÁS DE 79 CARACTERES","")</f>
        <v/>
      </c>
      <c r="D252" s="51"/>
    </row>
    <row r="253" customFormat="false" ht="15" hidden="false" customHeight="false" outlineLevel="0" collapsed="false">
      <c r="B253" s="53" t="str">
        <f aca="false">"_MURO3 ONE "&amp;TEXT(PRESIONES!F$45*IF(DATOS!$C$65="CM KG",0.0001,IF(DATOS!$C$65="METER KG",1,0.00980665)),"0.000000")&amp;" GX"</f>
        <v>_MURO3 ONE -0.007022 GX</v>
      </c>
      <c r="C253" s="51" t="str">
        <f aca="false">IF(LEN($B253)&gt;79,"MÁS DE 79 CARACTERES","")</f>
        <v/>
      </c>
      <c r="D253" s="51" t="s">
        <v>669</v>
      </c>
    </row>
    <row r="254" customFormat="false" ht="15" hidden="false" customHeight="false" outlineLevel="0" collapsed="false">
      <c r="B254" s="53" t="str">
        <f aca="false">"_MURO4 ONE "&amp;TEXT(-PRESIONES!F$46*IF(DATOS!$C$65="CM KG",0.0001,IF(DATOS!$C$65="METER KG",1,0.00980665)),"0.000000")&amp;" GX"</f>
        <v>_MURO4 ONE 0.007022 GX</v>
      </c>
      <c r="C254" s="51" t="str">
        <f aca="false">IF(LEN($B254)&gt;79,"MÁS DE 79 CARACTERES","")</f>
        <v/>
      </c>
      <c r="D254" s="51" t="s">
        <v>670</v>
      </c>
    </row>
    <row r="255" customFormat="false" ht="15" hidden="false" customHeight="false" outlineLevel="0" collapsed="false">
      <c r="B255" s="53" t="str">
        <f aca="false">"_MURO1 ONE "&amp;TEXT(PRESIONES!F$43*IF(DATOS!$C$65="CM KG",0.0001,IF(DATOS!$C$65="METER KG",1,0.00980665)),"0.000000")&amp;" GZ"</f>
        <v>_MURO1 ONE -0.006062 GZ</v>
      </c>
      <c r="C255" s="51" t="str">
        <f aca="false">IF(LEN($B255)&gt;79,"MÁS DE 79 CARACTERES","")</f>
        <v/>
      </c>
      <c r="D255" s="51" t="s">
        <v>671</v>
      </c>
    </row>
    <row r="256" customFormat="false" ht="15" hidden="false" customHeight="false" outlineLevel="0" collapsed="false">
      <c r="B256" s="53" t="s">
        <v>634</v>
      </c>
      <c r="C256" s="51" t="str">
        <f aca="false">IF(LEN($B256)&gt;79,"MÁS DE 79 CARACTERES","")</f>
        <v/>
      </c>
      <c r="D256" s="51"/>
    </row>
    <row r="257" customFormat="false" ht="15" hidden="false" customHeight="false" outlineLevel="0" collapsed="false">
      <c r="B257" s="53" t="s">
        <v>672</v>
      </c>
      <c r="C257" s="51" t="str">
        <f aca="false">IF(LEN($B257)&gt;79,"MÁS DE 79 CARACTERES","")</f>
        <v/>
      </c>
      <c r="D257" s="51"/>
    </row>
    <row r="258" customFormat="false" ht="15" hidden="false" customHeight="false" outlineLevel="0" collapsed="false">
      <c r="B258" s="53" t="str">
        <f aca="false">STAAD!B647</f>
        <v>22 85 TO 88 UNI GY 0.4779</v>
      </c>
      <c r="C258" s="51" t="str">
        <f aca="false">IF(LEN($B258)&gt;79,"MÁS DE 79 CARACTERES","")</f>
        <v/>
      </c>
      <c r="D258" s="51" t="s">
        <v>673</v>
      </c>
    </row>
    <row r="259" customFormat="false" ht="15" hidden="false" customHeight="false" outlineLevel="0" collapsed="false">
      <c r="B259" s="53" t="str">
        <f aca="false">STAAD!B648</f>
        <v>22 85 TO 88 UNI GZ 0.0239</v>
      </c>
      <c r="C259" s="51" t="str">
        <f aca="false">IF(LEN($B259)&gt;79,"MÁS DE 79 CARACTERES","")</f>
        <v/>
      </c>
      <c r="D259" s="51" t="s">
        <v>673</v>
      </c>
    </row>
    <row r="260" customFormat="false" ht="15" hidden="false" customHeight="false" outlineLevel="0" collapsed="false">
      <c r="B260" s="53" t="str">
        <f aca="false">STAAD!B649</f>
        <v>80 129 TO 132 UNI GY 0.9559</v>
      </c>
      <c r="C260" s="51" t="str">
        <f aca="false">IF(LEN($B260)&gt;79,"MÁS DE 79 CARACTERES","")</f>
        <v/>
      </c>
      <c r="D260" s="51" t="s">
        <v>673</v>
      </c>
    </row>
    <row r="261" customFormat="false" ht="15" hidden="false" customHeight="false" outlineLevel="0" collapsed="false">
      <c r="B261" s="53" t="str">
        <f aca="false">STAAD!B650</f>
        <v>80 129 TO 132 UNI GZ 0.0478</v>
      </c>
      <c r="C261" s="51" t="str">
        <f aca="false">IF(LEN($B261)&gt;79,"MÁS DE 79 CARACTERES","")</f>
        <v/>
      </c>
      <c r="D261" s="51" t="s">
        <v>673</v>
      </c>
    </row>
    <row r="262" customFormat="false" ht="15" hidden="false" customHeight="false" outlineLevel="0" collapsed="false">
      <c r="B262" s="53" t="str">
        <f aca="false">STAAD!B651</f>
        <v>79 125 TO 128 UNI GY 0.9559</v>
      </c>
      <c r="C262" s="51" t="str">
        <f aca="false">IF(LEN($B262)&gt;79,"MÁS DE 79 CARACTERES","")</f>
        <v/>
      </c>
      <c r="D262" s="51" t="s">
        <v>673</v>
      </c>
    </row>
    <row r="263" customFormat="false" ht="15" hidden="false" customHeight="false" outlineLevel="0" collapsed="false">
      <c r="B263" s="53" t="str">
        <f aca="false">STAAD!B652</f>
        <v>79 125 TO 128 UNI GZ 0.0478</v>
      </c>
      <c r="C263" s="51" t="str">
        <f aca="false">IF(LEN($B263)&gt;79,"MÁS DE 79 CARACTERES","")</f>
        <v/>
      </c>
      <c r="D263" s="51" t="s">
        <v>673</v>
      </c>
    </row>
    <row r="264" customFormat="false" ht="15" hidden="false" customHeight="false" outlineLevel="0" collapsed="false">
      <c r="B264" s="53" t="str">
        <f aca="false">STAAD!B653</f>
        <v>78 121 TO 124 UNI GY 0.9559</v>
      </c>
      <c r="C264" s="51" t="str">
        <f aca="false">IF(LEN($B264)&gt;79,"MÁS DE 79 CARACTERES","")</f>
        <v/>
      </c>
      <c r="D264" s="51" t="s">
        <v>673</v>
      </c>
    </row>
    <row r="265" customFormat="false" ht="15" hidden="false" customHeight="false" outlineLevel="0" collapsed="false">
      <c r="B265" s="53" t="str">
        <f aca="false">STAAD!B654</f>
        <v>78 121 TO 124 UNI GZ 0.0478</v>
      </c>
      <c r="C265" s="51" t="str">
        <f aca="false">IF(LEN($B265)&gt;79,"MÁS DE 79 CARACTERES","")</f>
        <v/>
      </c>
      <c r="D265" s="51" t="s">
        <v>673</v>
      </c>
    </row>
    <row r="266" customFormat="false" ht="15" hidden="false" customHeight="false" outlineLevel="0" collapsed="false">
      <c r="B266" s="53" t="str">
        <f aca="false">STAAD!B655</f>
        <v>77 117 TO 120 UNI GY 0.9559</v>
      </c>
      <c r="C266" s="51" t="str">
        <f aca="false">IF(LEN($B266)&gt;79,"MÁS DE 79 CARACTERES","")</f>
        <v/>
      </c>
      <c r="D266" s="51" t="s">
        <v>673</v>
      </c>
    </row>
    <row r="267" customFormat="false" ht="15" hidden="false" customHeight="false" outlineLevel="0" collapsed="false">
      <c r="B267" s="53" t="str">
        <f aca="false">STAAD!B656</f>
        <v>77 117 TO 120 UNI GZ 0.0478</v>
      </c>
      <c r="C267" s="51" t="str">
        <f aca="false">IF(LEN($B267)&gt;79,"MÁS DE 79 CARACTERES","")</f>
        <v/>
      </c>
      <c r="D267" s="51" t="s">
        <v>673</v>
      </c>
    </row>
    <row r="268" customFormat="false" ht="15" hidden="false" customHeight="false" outlineLevel="0" collapsed="false">
      <c r="B268" s="53" t="str">
        <f aca="false">STAAD!B657</f>
        <v>9 93 TO 96 UNI GY 0.9559</v>
      </c>
      <c r="C268" s="51" t="str">
        <f aca="false">IF(LEN($B268)&gt;79,"MÁS DE 79 CARACTERES","")</f>
        <v/>
      </c>
      <c r="D268" s="51" t="s">
        <v>673</v>
      </c>
    </row>
    <row r="269" customFormat="false" ht="15" hidden="false" customHeight="false" outlineLevel="0" collapsed="false">
      <c r="B269" s="53" t="str">
        <f aca="false">STAAD!B658</f>
        <v>9 93 TO 96 UNI GZ 0.0478</v>
      </c>
      <c r="C269" s="51" t="str">
        <f aca="false">IF(LEN($B269)&gt;79,"MÁS DE 79 CARACTERES","")</f>
        <v/>
      </c>
      <c r="D269" s="51" t="s">
        <v>673</v>
      </c>
    </row>
    <row r="270" customFormat="false" ht="15" hidden="false" customHeight="false" outlineLevel="0" collapsed="false">
      <c r="B270" s="53" t="str">
        <f aca="false">STAAD!B659</f>
        <v>76 113 TO 116 UNI GY 0.9559</v>
      </c>
      <c r="C270" s="51" t="str">
        <f aca="false">IF(LEN($B270)&gt;79,"MÁS DE 79 CARACTERES","")</f>
        <v/>
      </c>
      <c r="D270" s="51" t="s">
        <v>673</v>
      </c>
    </row>
    <row r="271" customFormat="false" ht="15" hidden="false" customHeight="false" outlineLevel="0" collapsed="false">
      <c r="B271" s="53" t="str">
        <f aca="false">STAAD!B660</f>
        <v>76 113 TO 116 UNI GZ 0.0478</v>
      </c>
      <c r="C271" s="51" t="str">
        <f aca="false">IF(LEN($B271)&gt;79,"MÁS DE 79 CARACTERES","")</f>
        <v/>
      </c>
      <c r="D271" s="51" t="s">
        <v>673</v>
      </c>
    </row>
    <row r="272" customFormat="false" ht="15" hidden="false" customHeight="false" outlineLevel="0" collapsed="false">
      <c r="B272" s="53" t="str">
        <f aca="false">STAAD!B661</f>
        <v>75 109 TO 112 UNI GY 0.9559</v>
      </c>
      <c r="C272" s="51" t="str">
        <f aca="false">IF(LEN($B272)&gt;79,"MÁS DE 79 CARACTERES","")</f>
        <v/>
      </c>
      <c r="D272" s="51" t="s">
        <v>673</v>
      </c>
    </row>
    <row r="273" customFormat="false" ht="15" hidden="false" customHeight="false" outlineLevel="0" collapsed="false">
      <c r="B273" s="53" t="str">
        <f aca="false">STAAD!B662</f>
        <v>75 109 TO 112 UNI GZ 0.0478</v>
      </c>
      <c r="C273" s="51" t="str">
        <f aca="false">IF(LEN($B273)&gt;79,"MÁS DE 79 CARACTERES","")</f>
        <v/>
      </c>
      <c r="D273" s="51" t="s">
        <v>673</v>
      </c>
    </row>
    <row r="274" customFormat="false" ht="15" hidden="false" customHeight="false" outlineLevel="0" collapsed="false">
      <c r="B274" s="53" t="str">
        <f aca="false">STAAD!B663</f>
        <v>74 105 TO 108 UNI GY 0.9559</v>
      </c>
      <c r="C274" s="51" t="str">
        <f aca="false">IF(LEN($B274)&gt;79,"MÁS DE 79 CARACTERES","")</f>
        <v/>
      </c>
      <c r="D274" s="51" t="s">
        <v>673</v>
      </c>
    </row>
    <row r="275" customFormat="false" ht="15" hidden="false" customHeight="false" outlineLevel="0" collapsed="false">
      <c r="B275" s="53" t="str">
        <f aca="false">STAAD!B664</f>
        <v>74 105 TO 108 UNI GZ 0.0478</v>
      </c>
      <c r="C275" s="51" t="str">
        <f aca="false">IF(LEN($B275)&gt;79,"MÁS DE 79 CARACTERES","")</f>
        <v/>
      </c>
      <c r="D275" s="51" t="s">
        <v>673</v>
      </c>
    </row>
    <row r="276" customFormat="false" ht="15" hidden="false" customHeight="false" outlineLevel="0" collapsed="false">
      <c r="B276" s="53" t="str">
        <f aca="false">STAAD!B665</f>
        <v>73 101 TO 104 UNI GY 0.9559</v>
      </c>
      <c r="C276" s="51" t="str">
        <f aca="false">IF(LEN($B276)&gt;79,"MÁS DE 79 CARACTERES","")</f>
        <v/>
      </c>
      <c r="D276" s="51" t="s">
        <v>673</v>
      </c>
    </row>
    <row r="277" customFormat="false" ht="15" hidden="false" customHeight="false" outlineLevel="0" collapsed="false">
      <c r="B277" s="53" t="str">
        <f aca="false">STAAD!B666</f>
        <v>73 101 TO 104 UNI GZ 0.0478</v>
      </c>
      <c r="C277" s="51" t="str">
        <f aca="false">IF(LEN($B277)&gt;79,"MÁS DE 79 CARACTERES","")</f>
        <v/>
      </c>
      <c r="D277" s="51" t="s">
        <v>673</v>
      </c>
    </row>
    <row r="278" customFormat="false" ht="15" hidden="false" customHeight="false" outlineLevel="0" collapsed="false">
      <c r="B278" s="53" t="str">
        <f aca="false">STAAD!B667</f>
        <v>8 89 TO 92 UNI GY 0.9205</v>
      </c>
      <c r="C278" s="51" t="str">
        <f aca="false">IF(LEN($B278)&gt;79,"MÁS DE 79 CARACTERES","")</f>
        <v/>
      </c>
      <c r="D278" s="51" t="s">
        <v>673</v>
      </c>
    </row>
    <row r="279" customFormat="false" ht="15" hidden="false" customHeight="false" outlineLevel="0" collapsed="false">
      <c r="B279" s="53" t="str">
        <f aca="false">STAAD!B668</f>
        <v>8 89 TO 92 UNI GZ 0.0460</v>
      </c>
      <c r="C279" s="51" t="str">
        <f aca="false">IF(LEN($B279)&gt;79,"MÁS DE 79 CARACTERES","")</f>
        <v/>
      </c>
      <c r="D279" s="51" t="s">
        <v>673</v>
      </c>
    </row>
    <row r="280" customFormat="false" ht="15" hidden="false" customHeight="false" outlineLevel="0" collapsed="false">
      <c r="B280" s="53" t="str">
        <f aca="false">STAAD!B669</f>
        <v>56 97 TO 100 UNI GY 0.8851</v>
      </c>
      <c r="C280" s="51" t="str">
        <f aca="false">IF(LEN($B280)&gt;79,"MÁS DE 79 CARACTERES","")</f>
        <v/>
      </c>
      <c r="D280" s="51" t="s">
        <v>673</v>
      </c>
    </row>
    <row r="281" customFormat="false" ht="15" hidden="false" customHeight="false" outlineLevel="0" collapsed="false">
      <c r="B281" s="53" t="str">
        <f aca="false">STAAD!B670</f>
        <v>56 97 TO 100 UNI GZ 0.0443</v>
      </c>
      <c r="C281" s="51" t="str">
        <f aca="false">IF(LEN($B281)&gt;79,"MÁS DE 79 CARACTERES","")</f>
        <v/>
      </c>
      <c r="D281" s="51" t="s">
        <v>673</v>
      </c>
    </row>
    <row r="282" customFormat="false" ht="15" hidden="false" customHeight="false" outlineLevel="0" collapsed="false">
      <c r="B282" s="53" t="str">
        <f aca="false">STAAD!B671</f>
        <v>7 81 TO 84 UNI GY 0.4425</v>
      </c>
      <c r="C282" s="51" t="str">
        <f aca="false">IF(LEN($B282)&gt;79,"MÁS DE 79 CARACTERES","")</f>
        <v/>
      </c>
      <c r="D282" s="51" t="s">
        <v>673</v>
      </c>
    </row>
    <row r="283" customFormat="false" ht="15" hidden="false" customHeight="false" outlineLevel="0" collapsed="false">
      <c r="B283" s="53" t="str">
        <f aca="false">STAAD!B672</f>
        <v>7 81 TO 84 UNI GZ 0.0221</v>
      </c>
      <c r="C283" s="51" t="str">
        <f aca="false">IF(LEN($B283)&gt;79,"MÁS DE 79 CARACTERES","")</f>
        <v/>
      </c>
      <c r="D283" s="51" t="s">
        <v>673</v>
      </c>
    </row>
    <row r="284" customFormat="false" ht="15" hidden="false" customHeight="false" outlineLevel="0" collapsed="false">
      <c r="B284" s="53" t="str">
        <f aca="false">STAAD!B673</f>
        <v>*</v>
      </c>
      <c r="C284" s="51" t="str">
        <f aca="false">IF(LEN($B284)&gt;79,"MÁS DE 79 CARACTERES","")</f>
        <v/>
      </c>
      <c r="D284" s="51" t="s">
        <v>673</v>
      </c>
    </row>
    <row r="285" customFormat="false" ht="15" hidden="false" customHeight="false" outlineLevel="0" collapsed="false">
      <c r="B285" s="53" t="str">
        <f aca="false">STAAD!B674</f>
        <v>*</v>
      </c>
      <c r="C285" s="51" t="str">
        <f aca="false">IF(LEN($B285)&gt;79,"MÁS DE 79 CARACTERES","")</f>
        <v/>
      </c>
      <c r="D285" s="51" t="s">
        <v>673</v>
      </c>
    </row>
    <row r="286" customFormat="false" ht="15" hidden="false" customHeight="false" outlineLevel="0" collapsed="false">
      <c r="B286" s="53" t="str">
        <f aca="false">STAAD!B675</f>
        <v>*</v>
      </c>
      <c r="C286" s="51" t="str">
        <f aca="false">IF(LEN($B286)&gt;79,"MÁS DE 79 CARACTERES","")</f>
        <v/>
      </c>
      <c r="D286" s="51" t="s">
        <v>673</v>
      </c>
    </row>
    <row r="287" customFormat="false" ht="15" hidden="false" customHeight="false" outlineLevel="0" collapsed="false">
      <c r="B287" s="53" t="str">
        <f aca="false">STAAD!B676</f>
        <v>*</v>
      </c>
      <c r="C287" s="51" t="str">
        <f aca="false">IF(LEN($B287)&gt;79,"MÁS DE 79 CARACTERES","")</f>
        <v/>
      </c>
      <c r="D287" s="51" t="s">
        <v>673</v>
      </c>
    </row>
    <row r="288" customFormat="false" ht="15" hidden="false" customHeight="false" outlineLevel="0" collapsed="false">
      <c r="B288" s="53" t="str">
        <f aca="false">STAAD!B677</f>
        <v>*</v>
      </c>
      <c r="C288" s="51" t="str">
        <f aca="false">IF(LEN($B288)&gt;79,"MÁS DE 79 CARACTERES","")</f>
        <v/>
      </c>
      <c r="D288" s="51" t="s">
        <v>673</v>
      </c>
    </row>
    <row r="289" customFormat="false" ht="15" hidden="false" customHeight="false" outlineLevel="0" collapsed="false">
      <c r="B289" s="53" t="str">
        <f aca="false">STAAD!B678</f>
        <v>*</v>
      </c>
      <c r="C289" s="51" t="str">
        <f aca="false">IF(LEN($B289)&gt;79,"MÁS DE 79 CARACTERES","")</f>
        <v/>
      </c>
      <c r="D289" s="51" t="s">
        <v>673</v>
      </c>
    </row>
    <row r="290" customFormat="false" ht="15" hidden="false" customHeight="false" outlineLevel="0" collapsed="false">
      <c r="B290" s="53" t="str">
        <f aca="false">STAAD!B679</f>
        <v>*</v>
      </c>
      <c r="C290" s="51" t="str">
        <f aca="false">IF(LEN($B290)&gt;79,"MÁS DE 79 CARACTERES","")</f>
        <v/>
      </c>
      <c r="D290" s="51" t="s">
        <v>673</v>
      </c>
    </row>
    <row r="291" customFormat="false" ht="15" hidden="false" customHeight="false" outlineLevel="0" collapsed="false">
      <c r="B291" s="53" t="str">
        <f aca="false">STAAD!B680</f>
        <v>*</v>
      </c>
      <c r="C291" s="51" t="str">
        <f aca="false">IF(LEN($B291)&gt;79,"MÁS DE 79 CARACTERES","")</f>
        <v/>
      </c>
      <c r="D291" s="51" t="s">
        <v>673</v>
      </c>
    </row>
    <row r="292" customFormat="false" ht="15" hidden="false" customHeight="false" outlineLevel="0" collapsed="false">
      <c r="B292" s="53" t="str">
        <f aca="false">STAAD!B681</f>
        <v>*</v>
      </c>
      <c r="C292" s="51" t="str">
        <f aca="false">IF(LEN($B292)&gt;79,"MÁS DE 79 CARACTERES","")</f>
        <v/>
      </c>
      <c r="D292" s="51" t="s">
        <v>673</v>
      </c>
    </row>
    <row r="293" customFormat="false" ht="15" hidden="false" customHeight="false" outlineLevel="0" collapsed="false">
      <c r="B293" s="53" t="str">
        <f aca="false">STAAD!B682</f>
        <v>*</v>
      </c>
      <c r="C293" s="51" t="str">
        <f aca="false">IF(LEN($B293)&gt;79,"MÁS DE 79 CARACTERES","")</f>
        <v/>
      </c>
      <c r="D293" s="51" t="s">
        <v>673</v>
      </c>
    </row>
    <row r="294" customFormat="false" ht="15" hidden="false" customHeight="false" outlineLevel="0" collapsed="false">
      <c r="B294" s="53" t="str">
        <f aca="false">STAAD!B683</f>
        <v>*</v>
      </c>
      <c r="C294" s="51" t="str">
        <f aca="false">IF(LEN($B294)&gt;79,"MÁS DE 79 CARACTERES","")</f>
        <v/>
      </c>
      <c r="D294" s="51" t="s">
        <v>673</v>
      </c>
    </row>
    <row r="295" customFormat="false" ht="15" hidden="false" customHeight="false" outlineLevel="0" collapsed="false">
      <c r="B295" s="53" t="str">
        <f aca="false">STAAD!B684</f>
        <v>*</v>
      </c>
      <c r="C295" s="51" t="str">
        <f aca="false">IF(LEN($B295)&gt;79,"MÁS DE 79 CARACTERES","")</f>
        <v/>
      </c>
      <c r="D295" s="51" t="s">
        <v>673</v>
      </c>
    </row>
    <row r="296" customFormat="false" ht="15" hidden="false" customHeight="false" outlineLevel="0" collapsed="false">
      <c r="B296" s="53" t="str">
        <f aca="false">STAAD!B685</f>
        <v>*</v>
      </c>
      <c r="C296" s="51" t="str">
        <f aca="false">IF(LEN($B296)&gt;79,"MÁS DE 79 CARACTERES","")</f>
        <v/>
      </c>
      <c r="D296" s="51" t="s">
        <v>673</v>
      </c>
    </row>
    <row r="297" customFormat="false" ht="15" hidden="false" customHeight="false" outlineLevel="0" collapsed="false">
      <c r="B297" s="53" t="str">
        <f aca="false">STAAD!B686</f>
        <v>*</v>
      </c>
      <c r="C297" s="51" t="str">
        <f aca="false">IF(LEN($B297)&gt;79,"MÁS DE 79 CARACTERES","")</f>
        <v/>
      </c>
      <c r="D297" s="51" t="s">
        <v>673</v>
      </c>
    </row>
    <row r="298" customFormat="false" ht="15" hidden="false" customHeight="false" outlineLevel="0" collapsed="false">
      <c r="B298" s="53" t="str">
        <f aca="false">STAAD!B687</f>
        <v>*</v>
      </c>
      <c r="C298" s="51" t="str">
        <f aca="false">IF(LEN($B298)&gt;79,"MÁS DE 79 CARACTERES","")</f>
        <v/>
      </c>
      <c r="D298" s="51" t="s">
        <v>673</v>
      </c>
    </row>
    <row r="299" customFormat="false" ht="15" hidden="false" customHeight="false" outlineLevel="0" collapsed="false">
      <c r="B299" s="53" t="str">
        <f aca="false">STAAD!B688</f>
        <v>*</v>
      </c>
      <c r="C299" s="51" t="str">
        <f aca="false">IF(LEN($B299)&gt;79,"MÁS DE 79 CARACTERES","")</f>
        <v/>
      </c>
      <c r="D299" s="51" t="s">
        <v>673</v>
      </c>
    </row>
    <row r="300" customFormat="false" ht="15" hidden="false" customHeight="false" outlineLevel="0" collapsed="false">
      <c r="B300" s="53" t="str">
        <f aca="false">STAAD!B689</f>
        <v>*</v>
      </c>
      <c r="C300" s="51" t="str">
        <f aca="false">IF(LEN($B300)&gt;79,"MÁS DE 79 CARACTERES","")</f>
        <v/>
      </c>
      <c r="D300" s="51" t="s">
        <v>673</v>
      </c>
    </row>
    <row r="301" customFormat="false" ht="15" hidden="false" customHeight="false" outlineLevel="0" collapsed="false">
      <c r="B301" s="53" t="str">
        <f aca="false">STAAD!B690</f>
        <v>*</v>
      </c>
      <c r="C301" s="51" t="str">
        <f aca="false">IF(LEN($B301)&gt;79,"MÁS DE 79 CARACTERES","")</f>
        <v/>
      </c>
      <c r="D301" s="51" t="s">
        <v>673</v>
      </c>
    </row>
    <row r="302" customFormat="false" ht="15" hidden="false" customHeight="false" outlineLevel="0" collapsed="false">
      <c r="B302" s="53" t="str">
        <f aca="false">STAAD!B691</f>
        <v>*</v>
      </c>
      <c r="C302" s="51" t="str">
        <f aca="false">IF(LEN($B302)&gt;79,"MÁS DE 79 CARACTERES","")</f>
        <v/>
      </c>
      <c r="D302" s="51" t="s">
        <v>673</v>
      </c>
    </row>
    <row r="303" customFormat="false" ht="15" hidden="false" customHeight="false" outlineLevel="0" collapsed="false">
      <c r="B303" s="53" t="str">
        <f aca="false">STAAD!B692</f>
        <v>*</v>
      </c>
      <c r="C303" s="51" t="str">
        <f aca="false">IF(LEN($B303)&gt;79,"MÁS DE 79 CARACTERES","")</f>
        <v/>
      </c>
      <c r="D303" s="51" t="s">
        <v>673</v>
      </c>
    </row>
    <row r="304" customFormat="false" ht="15" hidden="false" customHeight="false" outlineLevel="0" collapsed="false">
      <c r="B304" s="53" t="str">
        <f aca="false">STAAD!B693</f>
        <v>*</v>
      </c>
      <c r="C304" s="51" t="str">
        <f aca="false">IF(LEN($B304)&gt;79,"MÁS DE 79 CARACTERES","")</f>
        <v/>
      </c>
      <c r="D304" s="51" t="s">
        <v>673</v>
      </c>
    </row>
    <row r="305" customFormat="false" ht="15" hidden="false" customHeight="false" outlineLevel="0" collapsed="false">
      <c r="B305" s="53" t="str">
        <f aca="false">STAAD!B694</f>
        <v>*</v>
      </c>
      <c r="C305" s="51" t="str">
        <f aca="false">IF(LEN($B305)&gt;79,"MÁS DE 79 CARACTERES","")</f>
        <v/>
      </c>
      <c r="D305" s="51" t="s">
        <v>673</v>
      </c>
    </row>
    <row r="306" customFormat="false" ht="15" hidden="false" customHeight="false" outlineLevel="0" collapsed="false">
      <c r="B306" s="53" t="str">
        <f aca="false">STAAD!B695</f>
        <v>*</v>
      </c>
      <c r="C306" s="51" t="str">
        <f aca="false">IF(LEN($B306)&gt;79,"MÁS DE 79 CARACTERES","")</f>
        <v/>
      </c>
      <c r="D306" s="51" t="s">
        <v>673</v>
      </c>
    </row>
    <row r="307" customFormat="false" ht="15" hidden="false" customHeight="false" outlineLevel="0" collapsed="false">
      <c r="B307" s="53" t="str">
        <f aca="false">STAAD!B696</f>
        <v>*</v>
      </c>
      <c r="C307" s="51" t="str">
        <f aca="false">IF(LEN($B307)&gt;79,"MÁS DE 79 CARACTERES","")</f>
        <v/>
      </c>
      <c r="D307" s="51" t="s">
        <v>673</v>
      </c>
    </row>
    <row r="308" customFormat="false" ht="15" hidden="false" customHeight="false" outlineLevel="0" collapsed="false">
      <c r="B308" s="53" t="str">
        <f aca="false">STAAD!B697</f>
        <v>*</v>
      </c>
      <c r="C308" s="51" t="str">
        <f aca="false">IF(LEN($B308)&gt;79,"MÁS DE 79 CARACTERES","")</f>
        <v/>
      </c>
      <c r="D308" s="51" t="s">
        <v>673</v>
      </c>
    </row>
    <row r="309" customFormat="false" ht="15" hidden="false" customHeight="false" outlineLevel="0" collapsed="false">
      <c r="B309" s="53" t="str">
        <f aca="false">STAAD!B698</f>
        <v>*</v>
      </c>
      <c r="C309" s="51" t="str">
        <f aca="false">IF(LEN($B309)&gt;79,"MÁS DE 79 CARACTERES","")</f>
        <v/>
      </c>
      <c r="D309" s="51" t="s">
        <v>673</v>
      </c>
    </row>
    <row r="310" customFormat="false" ht="15" hidden="false" customHeight="false" outlineLevel="0" collapsed="false">
      <c r="B310" s="53" t="str">
        <f aca="false">STAAD!B699</f>
        <v>*</v>
      </c>
      <c r="C310" s="51" t="str">
        <f aca="false">IF(LEN($B310)&gt;79,"MÁS DE 79 CARACTERES","")</f>
        <v/>
      </c>
      <c r="D310" s="51" t="s">
        <v>673</v>
      </c>
    </row>
    <row r="311" customFormat="false" ht="15" hidden="false" customHeight="false" outlineLevel="0" collapsed="false">
      <c r="B311" s="53" t="str">
        <f aca="false">STAAD!B700</f>
        <v>*</v>
      </c>
      <c r="C311" s="51" t="str">
        <f aca="false">IF(LEN($B311)&gt;79,"MÁS DE 79 CARACTERES","")</f>
        <v/>
      </c>
      <c r="D311" s="51" t="s">
        <v>673</v>
      </c>
    </row>
    <row r="312" customFormat="false" ht="15" hidden="false" customHeight="false" outlineLevel="0" collapsed="false">
      <c r="B312" s="53" t="str">
        <f aca="false">STAAD!B701</f>
        <v>*</v>
      </c>
      <c r="C312" s="51" t="str">
        <f aca="false">IF(LEN($B312)&gt;79,"MÁS DE 79 CARACTERES","")</f>
        <v/>
      </c>
      <c r="D312" s="51" t="s">
        <v>673</v>
      </c>
    </row>
    <row r="313" customFormat="false" ht="15" hidden="false" customHeight="false" outlineLevel="0" collapsed="false">
      <c r="B313" s="53" t="str">
        <f aca="false">STAAD!B702</f>
        <v>*</v>
      </c>
      <c r="C313" s="51" t="str">
        <f aca="false">IF(LEN($B313)&gt;79,"MÁS DE 79 CARACTERES","")</f>
        <v/>
      </c>
      <c r="D313" s="51" t="s">
        <v>673</v>
      </c>
    </row>
    <row r="314" customFormat="false" ht="15" hidden="false" customHeight="false" outlineLevel="0" collapsed="false">
      <c r="B314" s="53" t="str">
        <f aca="false">STAAD!B703</f>
        <v>*</v>
      </c>
      <c r="C314" s="51" t="str">
        <f aca="false">IF(LEN($B314)&gt;79,"MÁS DE 79 CARACTERES","")</f>
        <v/>
      </c>
      <c r="D314" s="51" t="s">
        <v>673</v>
      </c>
    </row>
    <row r="315" customFormat="false" ht="15" hidden="false" customHeight="false" outlineLevel="0" collapsed="false">
      <c r="B315" s="53" t="str">
        <f aca="false">STAAD!B704</f>
        <v>*</v>
      </c>
      <c r="C315" s="51" t="str">
        <f aca="false">IF(LEN($B315)&gt;79,"MÁS DE 79 CARACTERES","")</f>
        <v/>
      </c>
      <c r="D315" s="51" t="s">
        <v>673</v>
      </c>
    </row>
    <row r="316" customFormat="false" ht="15" hidden="false" customHeight="false" outlineLevel="0" collapsed="false">
      <c r="B316" s="53" t="str">
        <f aca="false">STAAD!B705</f>
        <v>*</v>
      </c>
      <c r="C316" s="51" t="str">
        <f aca="false">IF(LEN($B316)&gt;79,"MÁS DE 79 CARACTERES","")</f>
        <v/>
      </c>
      <c r="D316" s="51" t="s">
        <v>673</v>
      </c>
    </row>
    <row r="317" customFormat="false" ht="15" hidden="false" customHeight="false" outlineLevel="0" collapsed="false">
      <c r="B317" s="53" t="str">
        <f aca="false">STAAD!B706</f>
        <v>*</v>
      </c>
      <c r="C317" s="51" t="str">
        <f aca="false">IF(LEN($B317)&gt;79,"MÁS DE 79 CARACTERES","")</f>
        <v/>
      </c>
      <c r="D317" s="51" t="s">
        <v>673</v>
      </c>
    </row>
    <row r="318" customFormat="false" ht="15" hidden="false" customHeight="false" outlineLevel="0" collapsed="false">
      <c r="B318" s="53" t="s">
        <v>674</v>
      </c>
      <c r="C318" s="51" t="str">
        <f aca="false">IF(LEN($B318)&gt;79,"MÁS DE 79 CARACTERES","")</f>
        <v/>
      </c>
      <c r="D318" s="51"/>
    </row>
    <row r="319" customFormat="false" ht="15" hidden="false" customHeight="false" outlineLevel="0" collapsed="false">
      <c r="B319" s="53" t="s">
        <v>675</v>
      </c>
      <c r="C319" s="51" t="str">
        <f aca="false">IF(LEN($B319)&gt;79,"MÁS DE 79 CARACTERES","")</f>
        <v/>
      </c>
      <c r="D319" s="51"/>
    </row>
    <row r="320" customFormat="false" ht="15" hidden="false" customHeight="false" outlineLevel="0" collapsed="false">
      <c r="B320" s="53" t="str">
        <f aca="false">"259 260 261 UNI GX "&amp;TEXT(PRESIONES!F$45*0.6*DATOS!$C$67,DATOS!$C$68)</f>
        <v>259 260 261 UNI GX -0.4213</v>
      </c>
      <c r="C320" s="51" t="str">
        <f aca="false">IF(LEN($B320)&gt;79,"MÁS DE 79 CARACTERES","")</f>
        <v/>
      </c>
      <c r="D320" s="51" t="s">
        <v>676</v>
      </c>
    </row>
    <row r="321" customFormat="false" ht="15" hidden="false" customHeight="false" outlineLevel="0" collapsed="false">
      <c r="B321" s="53" t="str">
        <f aca="false">"265 266 267 UNI GX "&amp;TEXT(-PRESIONES!F$46*0.6*DATOS!$C$67,DATOS!$C$68)</f>
        <v>265 266 267 UNI GX 0.4213</v>
      </c>
      <c r="C321" s="51" t="str">
        <f aca="false">IF(LEN($B321)&gt;79,"MÁS DE 79 CARACTERES","")</f>
        <v/>
      </c>
      <c r="D321" s="51" t="s">
        <v>677</v>
      </c>
    </row>
    <row r="322" customFormat="false" ht="15" hidden="false" customHeight="false" outlineLevel="0" collapsed="false">
      <c r="B322" s="53" t="str">
        <f aca="false">"262 263 264 UNI GZ "&amp;TEXT(PRESIONES!F$43*0.6*DATOS!$C$67,DATOS!$C$68)</f>
        <v>262 263 264 UNI GZ -0.3637</v>
      </c>
      <c r="C322" s="51" t="str">
        <f aca="false">IF(LEN($B322)&gt;79,"MÁS DE 79 CARACTERES","")</f>
        <v/>
      </c>
      <c r="D322" s="51" t="s">
        <v>678</v>
      </c>
    </row>
    <row r="323" customFormat="false" ht="15" hidden="false" customHeight="false" outlineLevel="0" collapsed="false">
      <c r="B323" s="53" t="s">
        <v>679</v>
      </c>
      <c r="C323" s="51" t="str">
        <f aca="false">IF(LEN($B323)&gt;79,"MÁS DE 79 CARACTERES","")</f>
        <v/>
      </c>
      <c r="D323" s="51"/>
    </row>
    <row r="324" customFormat="false" ht="15" hidden="false" customHeight="false" outlineLevel="0" collapsed="false">
      <c r="B324" s="53" t="str">
        <f aca="false">STAAD!B799</f>
        <v>17 191 203 213 223 233 UNI GZ -1.5464</v>
      </c>
      <c r="C324" s="51" t="str">
        <f aca="false">IF(LEN($B324)&gt;79,"MÁS DE 79 CARACTERES","")</f>
        <v/>
      </c>
      <c r="D324" s="51" t="s">
        <v>680</v>
      </c>
    </row>
    <row r="325" customFormat="false" ht="15" hidden="false" customHeight="false" outlineLevel="0" collapsed="false">
      <c r="B325" s="53" t="str">
        <f aca="false">STAAD!B800</f>
        <v>18 192 204 214 224 234 UNI GZ -1.5464</v>
      </c>
      <c r="C325" s="51" t="str">
        <f aca="false">IF(LEN($B325)&gt;79,"MÁS DE 79 CARACTERES","")</f>
        <v/>
      </c>
      <c r="D325" s="51" t="s">
        <v>680</v>
      </c>
    </row>
    <row r="326" customFormat="false" ht="15" hidden="false" customHeight="false" outlineLevel="0" collapsed="false">
      <c r="B326" s="53" t="s">
        <v>681</v>
      </c>
      <c r="C326" s="51" t="str">
        <f aca="false">IF(LEN($B326)&gt;79,"MÁS DE 79 CARACTERES","")</f>
        <v/>
      </c>
      <c r="D326" s="51"/>
    </row>
    <row r="327" customFormat="false" ht="15" hidden="false" customHeight="false" outlineLevel="0" collapsed="false">
      <c r="B327" s="53" t="str">
        <f aca="false">"15 189 UNI GZ "&amp;TEXT(PRESIONES!F$43*0.65*DATOS!$C$67,DATOS!$C$68)</f>
        <v>15 189 UNI GZ -0.3941</v>
      </c>
      <c r="C327" s="51" t="str">
        <f aca="false">IF(LEN($B327)&gt;79,"MÁS DE 79 CARACTERES","")</f>
        <v/>
      </c>
      <c r="D327" s="51" t="s">
        <v>682</v>
      </c>
    </row>
    <row r="328" customFormat="false" ht="15" hidden="false" customHeight="false" outlineLevel="0" collapsed="false">
      <c r="B328" s="53" t="str">
        <f aca="false">"16 190 UNI GZ "&amp;TEXT(PRESIONES!F$43*0.65*DATOS!$C$67,DATOS!$C$68)</f>
        <v>16 190 UNI GZ -0.3941</v>
      </c>
      <c r="C328" s="51" t="str">
        <f aca="false">IF(LEN($B328)&gt;79,"MÁS DE 79 CARACTERES","")</f>
        <v/>
      </c>
      <c r="D328" s="51" t="s">
        <v>683</v>
      </c>
    </row>
    <row r="329" customFormat="false" ht="15" hidden="false" customHeight="false" outlineLevel="0" collapsed="false">
      <c r="B329" s="53" t="s">
        <v>684</v>
      </c>
      <c r="C329" s="51" t="str">
        <f aca="false">IF(LEN($B329)&gt;79,"MÁS DE 79 CARACTERES","")</f>
        <v/>
      </c>
      <c r="D329" s="51"/>
    </row>
    <row r="330" customFormat="false" ht="15" hidden="false" customHeight="false" outlineLevel="0" collapsed="false">
      <c r="B330" s="53" t="str">
        <f aca="false">STAAD!B857</f>
        <v>LOAD 12 LOADTYPE Wind  TITLE VIENTO X PA</v>
      </c>
      <c r="C330" s="51" t="str">
        <f aca="false">IF(LEN($B330)&gt;79,"MÁS DE 79 CARACTERES","")</f>
        <v/>
      </c>
      <c r="D330" s="51" t="s">
        <v>665</v>
      </c>
    </row>
    <row r="331" customFormat="false" ht="15" hidden="false" customHeight="false" outlineLevel="0" collapsed="false">
      <c r="B331" s="53" t="s">
        <v>666</v>
      </c>
      <c r="C331" s="51" t="str">
        <f aca="false">IF(LEN($B331)&gt;79,"MÁS DE 79 CARACTERES","")</f>
        <v/>
      </c>
      <c r="D331" s="51"/>
    </row>
    <row r="332" customFormat="false" ht="15" hidden="false" customHeight="false" outlineLevel="0" collapsed="false">
      <c r="B332" s="53" t="s">
        <v>667</v>
      </c>
      <c r="C332" s="51" t="str">
        <f aca="false">IF(LEN($B332)&gt;79,"MÁS DE 79 CARACTERES","")</f>
        <v/>
      </c>
      <c r="D332" s="51"/>
    </row>
    <row r="333" customFormat="false" ht="15" hidden="false" customHeight="false" outlineLevel="0" collapsed="false">
      <c r="B333" s="53" t="s">
        <v>668</v>
      </c>
      <c r="C333" s="51" t="str">
        <f aca="false">IF(LEN($B333)&gt;79,"MÁS DE 79 CARACTERES","")</f>
        <v/>
      </c>
      <c r="D333" s="51"/>
    </row>
    <row r="334" customFormat="false" ht="15" hidden="false" customHeight="false" outlineLevel="0" collapsed="false">
      <c r="B334" s="53" t="str">
        <f aca="false">"_MURO3 ONE "&amp;TEXT(PRESIONES!G$45*IF(DATOS!$C$65="CM KG",0.0001,IF(DATOS!$C$65="METER KG",1,0.00980665)),"0.000000")&amp;" GX"</f>
        <v>_MURO3 ONE 0.006282 GX</v>
      </c>
      <c r="C334" s="51" t="str">
        <f aca="false">IF(LEN($B334)&gt;79,"MÁS DE 79 CARACTERES","")</f>
        <v/>
      </c>
      <c r="D334" s="51" t="s">
        <v>669</v>
      </c>
    </row>
    <row r="335" customFormat="false" ht="15" hidden="false" customHeight="false" outlineLevel="0" collapsed="false">
      <c r="B335" s="53" t="str">
        <f aca="false">"_MURO4 ONE "&amp;TEXT(-PRESIONES!G$46*IF(DATOS!$C$65="CM KG",0.0001,IF(DATOS!$C$65="METER KG",1,0.00980665)),"0.000000")&amp;" GX"</f>
        <v>_MURO4 ONE -0.000042 GX</v>
      </c>
      <c r="C335" s="51" t="str">
        <f aca="false">IF(LEN($B335)&gt;79,"MÁS DE 79 CARACTERES","")</f>
        <v/>
      </c>
      <c r="D335" s="51" t="s">
        <v>670</v>
      </c>
    </row>
    <row r="336" customFormat="false" ht="15" hidden="false" customHeight="false" outlineLevel="0" collapsed="false">
      <c r="B336" s="53" t="str">
        <f aca="false">"_MURO1 ONE "&amp;TEXT(PRESIONES!G$43*IF(DATOS!$C$65="CM KG",0.0001,IF(DATOS!$C$65="METER KG",1,0.00980665)),"0.000000")&amp;" GZ"</f>
        <v>_MURO1 ONE -0.000918 GZ</v>
      </c>
      <c r="C336" s="51" t="str">
        <f aca="false">IF(LEN($B336)&gt;79,"MÁS DE 79 CARACTERES","")</f>
        <v/>
      </c>
      <c r="D336" s="51" t="s">
        <v>671</v>
      </c>
    </row>
    <row r="337" customFormat="false" ht="15" hidden="false" customHeight="false" outlineLevel="0" collapsed="false">
      <c r="B337" s="53" t="s">
        <v>634</v>
      </c>
      <c r="C337" s="51" t="str">
        <f aca="false">IF(LEN($B337)&gt;79,"MÁS DE 79 CARACTERES","")</f>
        <v/>
      </c>
      <c r="D337" s="51"/>
    </row>
    <row r="338" customFormat="false" ht="15" hidden="false" customHeight="false" outlineLevel="0" collapsed="false">
      <c r="B338" s="53" t="s">
        <v>672</v>
      </c>
      <c r="C338" s="51" t="str">
        <f aca="false">IF(LEN($B338)&gt;79,"MÁS DE 79 CARACTERES","")</f>
        <v/>
      </c>
      <c r="D338" s="51"/>
    </row>
    <row r="339" customFormat="false" ht="15" hidden="false" customHeight="false" outlineLevel="0" collapsed="false">
      <c r="B339" s="53" t="str">
        <f aca="false">STAAD!B859</f>
        <v>22 85 TO 88 UNI GY 0.0659</v>
      </c>
      <c r="C339" s="51" t="str">
        <f aca="false">IF(LEN($B339)&gt;79,"MÁS DE 79 CARACTERES","")</f>
        <v/>
      </c>
      <c r="D339" s="51" t="s">
        <v>673</v>
      </c>
    </row>
    <row r="340" customFormat="false" ht="15" hidden="false" customHeight="false" outlineLevel="0" collapsed="false">
      <c r="B340" s="53" t="str">
        <f aca="false">STAAD!B860</f>
        <v>22 85 TO 88 UNI GZ 0.0033</v>
      </c>
      <c r="C340" s="51" t="str">
        <f aca="false">IF(LEN($B340)&gt;79,"MÁS DE 79 CARACTERES","")</f>
        <v/>
      </c>
      <c r="D340" s="51" t="s">
        <v>673</v>
      </c>
    </row>
    <row r="341" customFormat="false" ht="15" hidden="false" customHeight="false" outlineLevel="0" collapsed="false">
      <c r="B341" s="53" t="str">
        <f aca="false">STAAD!B861</f>
        <v>80 129 TO 132 UNI GY 0.1318</v>
      </c>
      <c r="C341" s="51" t="str">
        <f aca="false">IF(LEN($B341)&gt;79,"MÁS DE 79 CARACTERES","")</f>
        <v/>
      </c>
      <c r="D341" s="51" t="s">
        <v>673</v>
      </c>
    </row>
    <row r="342" customFormat="false" ht="15" hidden="false" customHeight="false" outlineLevel="0" collapsed="false">
      <c r="B342" s="53" t="str">
        <f aca="false">STAAD!B862</f>
        <v>80 129 TO 132 UNI GZ 0.0066</v>
      </c>
      <c r="C342" s="51" t="str">
        <f aca="false">IF(LEN($B342)&gt;79,"MÁS DE 79 CARACTERES","")</f>
        <v/>
      </c>
      <c r="D342" s="51" t="s">
        <v>673</v>
      </c>
    </row>
    <row r="343" customFormat="false" ht="15" hidden="false" customHeight="false" outlineLevel="0" collapsed="false">
      <c r="B343" s="53" t="str">
        <f aca="false">STAAD!B863</f>
        <v>79 125 TO 128 UNI GY 0.1318</v>
      </c>
      <c r="C343" s="51" t="str">
        <f aca="false">IF(LEN($B343)&gt;79,"MÁS DE 79 CARACTERES","")</f>
        <v/>
      </c>
      <c r="D343" s="51" t="s">
        <v>673</v>
      </c>
    </row>
    <row r="344" customFormat="false" ht="15" hidden="false" customHeight="false" outlineLevel="0" collapsed="false">
      <c r="B344" s="53" t="str">
        <f aca="false">STAAD!B864</f>
        <v>79 125 TO 128 UNI GZ 0.0066</v>
      </c>
      <c r="C344" s="51" t="str">
        <f aca="false">IF(LEN($B344)&gt;79,"MÁS DE 79 CARACTERES","")</f>
        <v/>
      </c>
      <c r="D344" s="51" t="s">
        <v>673</v>
      </c>
    </row>
    <row r="345" customFormat="false" ht="15" hidden="false" customHeight="false" outlineLevel="0" collapsed="false">
      <c r="B345" s="53" t="str">
        <f aca="false">STAAD!B865</f>
        <v>78 121 TO 124 UNI GY 0.1318</v>
      </c>
      <c r="C345" s="51" t="str">
        <f aca="false">IF(LEN($B345)&gt;79,"MÁS DE 79 CARACTERES","")</f>
        <v/>
      </c>
      <c r="D345" s="51" t="s">
        <v>673</v>
      </c>
    </row>
    <row r="346" customFormat="false" ht="15" hidden="false" customHeight="false" outlineLevel="0" collapsed="false">
      <c r="B346" s="53" t="str">
        <f aca="false">STAAD!B866</f>
        <v>78 121 TO 124 UNI GZ 0.0066</v>
      </c>
      <c r="C346" s="51" t="str">
        <f aca="false">IF(LEN($B346)&gt;79,"MÁS DE 79 CARACTERES","")</f>
        <v/>
      </c>
      <c r="D346" s="51" t="s">
        <v>673</v>
      </c>
    </row>
    <row r="347" customFormat="false" ht="15" hidden="false" customHeight="false" outlineLevel="0" collapsed="false">
      <c r="B347" s="53" t="str">
        <f aca="false">STAAD!B867</f>
        <v>77 117 TO 120 UNI GY 0.1318</v>
      </c>
      <c r="C347" s="51" t="str">
        <f aca="false">IF(LEN($B347)&gt;79,"MÁS DE 79 CARACTERES","")</f>
        <v/>
      </c>
      <c r="D347" s="51" t="s">
        <v>673</v>
      </c>
    </row>
    <row r="348" customFormat="false" ht="15" hidden="false" customHeight="false" outlineLevel="0" collapsed="false">
      <c r="B348" s="53" t="str">
        <f aca="false">STAAD!B868</f>
        <v>77 117 TO 120 UNI GZ 0.0066</v>
      </c>
      <c r="C348" s="51" t="str">
        <f aca="false">IF(LEN($B348)&gt;79,"MÁS DE 79 CARACTERES","")</f>
        <v/>
      </c>
      <c r="D348" s="51" t="s">
        <v>673</v>
      </c>
    </row>
    <row r="349" customFormat="false" ht="15" hidden="false" customHeight="false" outlineLevel="0" collapsed="false">
      <c r="B349" s="53" t="str">
        <f aca="false">STAAD!B869</f>
        <v>9 93 TO 96 UNI GY 0.1318</v>
      </c>
      <c r="C349" s="51" t="str">
        <f aca="false">IF(LEN($B349)&gt;79,"MÁS DE 79 CARACTERES","")</f>
        <v/>
      </c>
      <c r="D349" s="51" t="s">
        <v>673</v>
      </c>
    </row>
    <row r="350" customFormat="false" ht="15" hidden="false" customHeight="false" outlineLevel="0" collapsed="false">
      <c r="B350" s="53" t="str">
        <f aca="false">STAAD!B870</f>
        <v>9 93 TO 96 UNI GZ 0.0066</v>
      </c>
      <c r="C350" s="51" t="str">
        <f aca="false">IF(LEN($B350)&gt;79,"MÁS DE 79 CARACTERES","")</f>
        <v/>
      </c>
      <c r="D350" s="51" t="s">
        <v>673</v>
      </c>
    </row>
    <row r="351" customFormat="false" ht="15" hidden="false" customHeight="false" outlineLevel="0" collapsed="false">
      <c r="B351" s="53" t="str">
        <f aca="false">STAAD!B871</f>
        <v>76 113 TO 116 UNI GY 0.1318</v>
      </c>
      <c r="C351" s="51" t="str">
        <f aca="false">IF(LEN($B351)&gt;79,"MÁS DE 79 CARACTERES","")</f>
        <v/>
      </c>
      <c r="D351" s="51" t="s">
        <v>673</v>
      </c>
    </row>
    <row r="352" customFormat="false" ht="15" hidden="false" customHeight="false" outlineLevel="0" collapsed="false">
      <c r="B352" s="53" t="str">
        <f aca="false">STAAD!B872</f>
        <v>76 113 TO 116 UNI GZ 0.0066</v>
      </c>
      <c r="C352" s="51" t="str">
        <f aca="false">IF(LEN($B352)&gt;79,"MÁS DE 79 CARACTERES","")</f>
        <v/>
      </c>
      <c r="D352" s="51" t="s">
        <v>673</v>
      </c>
    </row>
    <row r="353" customFormat="false" ht="15" hidden="false" customHeight="false" outlineLevel="0" collapsed="false">
      <c r="B353" s="53" t="str">
        <f aca="false">STAAD!B873</f>
        <v>75 109 TO 112 UNI GY 0.1318</v>
      </c>
      <c r="C353" s="51" t="str">
        <f aca="false">IF(LEN($B353)&gt;79,"MÁS DE 79 CARACTERES","")</f>
        <v/>
      </c>
      <c r="D353" s="51" t="s">
        <v>673</v>
      </c>
    </row>
    <row r="354" customFormat="false" ht="15" hidden="false" customHeight="false" outlineLevel="0" collapsed="false">
      <c r="B354" s="53" t="str">
        <f aca="false">STAAD!B874</f>
        <v>75 109 TO 112 UNI GZ 0.0066</v>
      </c>
      <c r="C354" s="51" t="str">
        <f aca="false">IF(LEN($B354)&gt;79,"MÁS DE 79 CARACTERES","")</f>
        <v/>
      </c>
      <c r="D354" s="51" t="s">
        <v>673</v>
      </c>
    </row>
    <row r="355" customFormat="false" ht="15" hidden="false" customHeight="false" outlineLevel="0" collapsed="false">
      <c r="B355" s="53" t="str">
        <f aca="false">STAAD!B875</f>
        <v>74 105 TO 108 UNI GY 0.1318</v>
      </c>
      <c r="C355" s="51" t="str">
        <f aca="false">IF(LEN($B355)&gt;79,"MÁS DE 79 CARACTERES","")</f>
        <v/>
      </c>
      <c r="D355" s="51" t="s">
        <v>673</v>
      </c>
    </row>
    <row r="356" customFormat="false" ht="15" hidden="false" customHeight="false" outlineLevel="0" collapsed="false">
      <c r="B356" s="53" t="str">
        <f aca="false">STAAD!B876</f>
        <v>74 105 TO 108 UNI GZ 0.0066</v>
      </c>
      <c r="C356" s="51" t="str">
        <f aca="false">IF(LEN($B356)&gt;79,"MÁS DE 79 CARACTERES","")</f>
        <v/>
      </c>
      <c r="D356" s="51" t="s">
        <v>673</v>
      </c>
    </row>
    <row r="357" customFormat="false" ht="15" hidden="false" customHeight="false" outlineLevel="0" collapsed="false">
      <c r="B357" s="53" t="str">
        <f aca="false">STAAD!B877</f>
        <v>73 101 TO 104 UNI GY 0.1318</v>
      </c>
      <c r="C357" s="51" t="str">
        <f aca="false">IF(LEN($B357)&gt;79,"MÁS DE 79 CARACTERES","")</f>
        <v/>
      </c>
      <c r="D357" s="51" t="s">
        <v>673</v>
      </c>
    </row>
    <row r="358" customFormat="false" ht="15" hidden="false" customHeight="false" outlineLevel="0" collapsed="false">
      <c r="B358" s="53" t="str">
        <f aca="false">STAAD!B878</f>
        <v>73 101 TO 104 UNI GZ 0.0066</v>
      </c>
      <c r="C358" s="51" t="str">
        <f aca="false">IF(LEN($B358)&gt;79,"MÁS DE 79 CARACTERES","")</f>
        <v/>
      </c>
      <c r="D358" s="51" t="s">
        <v>673</v>
      </c>
    </row>
    <row r="359" customFormat="false" ht="15" hidden="false" customHeight="false" outlineLevel="0" collapsed="false">
      <c r="B359" s="53" t="str">
        <f aca="false">STAAD!B879</f>
        <v>8 89 TO 92 UNI GY 0.1270</v>
      </c>
      <c r="C359" s="51" t="str">
        <f aca="false">IF(LEN($B359)&gt;79,"MÁS DE 79 CARACTERES","")</f>
        <v/>
      </c>
      <c r="D359" s="51" t="s">
        <v>673</v>
      </c>
    </row>
    <row r="360" customFormat="false" ht="15" hidden="false" customHeight="false" outlineLevel="0" collapsed="false">
      <c r="B360" s="53" t="str">
        <f aca="false">STAAD!B880</f>
        <v>8 89 TO 92 UNI GZ 0.0063</v>
      </c>
      <c r="C360" s="51" t="str">
        <f aca="false">IF(LEN($B360)&gt;79,"MÁS DE 79 CARACTERES","")</f>
        <v/>
      </c>
      <c r="D360" s="51" t="s">
        <v>673</v>
      </c>
    </row>
    <row r="361" customFormat="false" ht="15" hidden="false" customHeight="false" outlineLevel="0" collapsed="false">
      <c r="B361" s="53" t="str">
        <f aca="false">STAAD!B881</f>
        <v>56 97 TO 100 UNI GY 0.1221</v>
      </c>
      <c r="C361" s="51" t="str">
        <f aca="false">IF(LEN($B361)&gt;79,"MÁS DE 79 CARACTERES","")</f>
        <v/>
      </c>
      <c r="D361" s="51" t="s">
        <v>673</v>
      </c>
    </row>
    <row r="362" customFormat="false" ht="15" hidden="false" customHeight="false" outlineLevel="0" collapsed="false">
      <c r="B362" s="53" t="str">
        <f aca="false">STAAD!B882</f>
        <v>56 97 TO 100 UNI GZ 0.0061</v>
      </c>
      <c r="C362" s="51" t="str">
        <f aca="false">IF(LEN($B362)&gt;79,"MÁS DE 79 CARACTERES","")</f>
        <v/>
      </c>
      <c r="D362" s="51" t="s">
        <v>673</v>
      </c>
    </row>
    <row r="363" customFormat="false" ht="15" hidden="false" customHeight="false" outlineLevel="0" collapsed="false">
      <c r="B363" s="53" t="str">
        <f aca="false">STAAD!B883</f>
        <v>7 81 TO 84 UNI GY 0.0610</v>
      </c>
      <c r="C363" s="51" t="str">
        <f aca="false">IF(LEN($B363)&gt;79,"MÁS DE 79 CARACTERES","")</f>
        <v/>
      </c>
      <c r="D363" s="51" t="s">
        <v>673</v>
      </c>
    </row>
    <row r="364" customFormat="false" ht="15" hidden="false" customHeight="false" outlineLevel="0" collapsed="false">
      <c r="B364" s="53" t="str">
        <f aca="false">STAAD!B884</f>
        <v>7 81 TO 84 UNI GZ 0.0031</v>
      </c>
      <c r="C364" s="51" t="str">
        <f aca="false">IF(LEN($B364)&gt;79,"MÁS DE 79 CARACTERES","")</f>
        <v/>
      </c>
      <c r="D364" s="51" t="s">
        <v>673</v>
      </c>
    </row>
    <row r="365" customFormat="false" ht="15" hidden="false" customHeight="false" outlineLevel="0" collapsed="false">
      <c r="B365" s="53" t="str">
        <f aca="false">STAAD!B885</f>
        <v>*</v>
      </c>
      <c r="C365" s="51" t="str">
        <f aca="false">IF(LEN($B365)&gt;79,"MÁS DE 79 CARACTERES","")</f>
        <v/>
      </c>
      <c r="D365" s="51" t="s">
        <v>673</v>
      </c>
    </row>
    <row r="366" customFormat="false" ht="15" hidden="false" customHeight="false" outlineLevel="0" collapsed="false">
      <c r="B366" s="53" t="str">
        <f aca="false">STAAD!B886</f>
        <v>*</v>
      </c>
      <c r="C366" s="51" t="str">
        <f aca="false">IF(LEN($B366)&gt;79,"MÁS DE 79 CARACTERES","")</f>
        <v/>
      </c>
      <c r="D366" s="51" t="s">
        <v>673</v>
      </c>
    </row>
    <row r="367" customFormat="false" ht="15" hidden="false" customHeight="false" outlineLevel="0" collapsed="false">
      <c r="B367" s="53" t="str">
        <f aca="false">STAAD!B887</f>
        <v>*</v>
      </c>
      <c r="C367" s="51" t="str">
        <f aca="false">IF(LEN($B367)&gt;79,"MÁS DE 79 CARACTERES","")</f>
        <v/>
      </c>
      <c r="D367" s="51" t="s">
        <v>673</v>
      </c>
    </row>
    <row r="368" customFormat="false" ht="15" hidden="false" customHeight="false" outlineLevel="0" collapsed="false">
      <c r="B368" s="53" t="str">
        <f aca="false">STAAD!B888</f>
        <v>*</v>
      </c>
      <c r="C368" s="51" t="str">
        <f aca="false">IF(LEN($B368)&gt;79,"MÁS DE 79 CARACTERES","")</f>
        <v/>
      </c>
      <c r="D368" s="51" t="s">
        <v>673</v>
      </c>
    </row>
    <row r="369" customFormat="false" ht="15" hidden="false" customHeight="false" outlineLevel="0" collapsed="false">
      <c r="B369" s="53" t="str">
        <f aca="false">STAAD!B889</f>
        <v>*</v>
      </c>
      <c r="C369" s="51" t="str">
        <f aca="false">IF(LEN($B369)&gt;79,"MÁS DE 79 CARACTERES","")</f>
        <v/>
      </c>
      <c r="D369" s="51" t="s">
        <v>673</v>
      </c>
    </row>
    <row r="370" customFormat="false" ht="15" hidden="false" customHeight="false" outlineLevel="0" collapsed="false">
      <c r="B370" s="53" t="str">
        <f aca="false">STAAD!B890</f>
        <v>*</v>
      </c>
      <c r="C370" s="51" t="str">
        <f aca="false">IF(LEN($B370)&gt;79,"MÁS DE 79 CARACTERES","")</f>
        <v/>
      </c>
      <c r="D370" s="51" t="s">
        <v>673</v>
      </c>
    </row>
    <row r="371" customFormat="false" ht="15" hidden="false" customHeight="false" outlineLevel="0" collapsed="false">
      <c r="B371" s="53" t="str">
        <f aca="false">STAAD!B891</f>
        <v>*</v>
      </c>
      <c r="C371" s="51" t="str">
        <f aca="false">IF(LEN($B371)&gt;79,"MÁS DE 79 CARACTERES","")</f>
        <v/>
      </c>
      <c r="D371" s="51" t="s">
        <v>673</v>
      </c>
    </row>
    <row r="372" customFormat="false" ht="15" hidden="false" customHeight="false" outlineLevel="0" collapsed="false">
      <c r="B372" s="53" t="str">
        <f aca="false">STAAD!B892</f>
        <v>*</v>
      </c>
      <c r="C372" s="51" t="str">
        <f aca="false">IF(LEN($B372)&gt;79,"MÁS DE 79 CARACTERES","")</f>
        <v/>
      </c>
      <c r="D372" s="51" t="s">
        <v>673</v>
      </c>
    </row>
    <row r="373" customFormat="false" ht="15" hidden="false" customHeight="false" outlineLevel="0" collapsed="false">
      <c r="B373" s="53" t="str">
        <f aca="false">STAAD!B893</f>
        <v>*</v>
      </c>
      <c r="C373" s="51" t="str">
        <f aca="false">IF(LEN($B373)&gt;79,"MÁS DE 79 CARACTERES","")</f>
        <v/>
      </c>
      <c r="D373" s="51" t="s">
        <v>673</v>
      </c>
    </row>
    <row r="374" customFormat="false" ht="15" hidden="false" customHeight="false" outlineLevel="0" collapsed="false">
      <c r="B374" s="53" t="str">
        <f aca="false">STAAD!B894</f>
        <v>*</v>
      </c>
      <c r="C374" s="51" t="str">
        <f aca="false">IF(LEN($B374)&gt;79,"MÁS DE 79 CARACTERES","")</f>
        <v/>
      </c>
      <c r="D374" s="51" t="s">
        <v>673</v>
      </c>
    </row>
    <row r="375" customFormat="false" ht="15" hidden="false" customHeight="false" outlineLevel="0" collapsed="false">
      <c r="B375" s="53" t="str">
        <f aca="false">STAAD!B895</f>
        <v>*</v>
      </c>
      <c r="C375" s="51" t="str">
        <f aca="false">IF(LEN($B375)&gt;79,"MÁS DE 79 CARACTERES","")</f>
        <v/>
      </c>
      <c r="D375" s="51" t="s">
        <v>673</v>
      </c>
    </row>
    <row r="376" customFormat="false" ht="15" hidden="false" customHeight="false" outlineLevel="0" collapsed="false">
      <c r="B376" s="53" t="str">
        <f aca="false">STAAD!B896</f>
        <v>*</v>
      </c>
      <c r="C376" s="51" t="str">
        <f aca="false">IF(LEN($B376)&gt;79,"MÁS DE 79 CARACTERES","")</f>
        <v/>
      </c>
      <c r="D376" s="51" t="s">
        <v>673</v>
      </c>
    </row>
    <row r="377" customFormat="false" ht="15" hidden="false" customHeight="false" outlineLevel="0" collapsed="false">
      <c r="B377" s="53" t="str">
        <f aca="false">STAAD!B897</f>
        <v>*</v>
      </c>
      <c r="C377" s="51" t="str">
        <f aca="false">IF(LEN($B377)&gt;79,"MÁS DE 79 CARACTERES","")</f>
        <v/>
      </c>
      <c r="D377" s="51" t="s">
        <v>673</v>
      </c>
    </row>
    <row r="378" customFormat="false" ht="15" hidden="false" customHeight="false" outlineLevel="0" collapsed="false">
      <c r="B378" s="53" t="str">
        <f aca="false">STAAD!B898</f>
        <v>*</v>
      </c>
      <c r="C378" s="51" t="str">
        <f aca="false">IF(LEN($B378)&gt;79,"MÁS DE 79 CARACTERES","")</f>
        <v/>
      </c>
      <c r="D378" s="51" t="s">
        <v>673</v>
      </c>
    </row>
    <row r="379" customFormat="false" ht="15" hidden="false" customHeight="false" outlineLevel="0" collapsed="false">
      <c r="B379" s="53" t="str">
        <f aca="false">STAAD!B899</f>
        <v>*</v>
      </c>
      <c r="C379" s="51" t="str">
        <f aca="false">IF(LEN($B379)&gt;79,"MÁS DE 79 CARACTERES","")</f>
        <v/>
      </c>
      <c r="D379" s="51" t="s">
        <v>673</v>
      </c>
    </row>
    <row r="380" customFormat="false" ht="15" hidden="false" customHeight="false" outlineLevel="0" collapsed="false">
      <c r="B380" s="53" t="str">
        <f aca="false">STAAD!B900</f>
        <v>*</v>
      </c>
      <c r="C380" s="51" t="str">
        <f aca="false">IF(LEN($B380)&gt;79,"MÁS DE 79 CARACTERES","")</f>
        <v/>
      </c>
      <c r="D380" s="51" t="s">
        <v>673</v>
      </c>
    </row>
    <row r="381" customFormat="false" ht="15" hidden="false" customHeight="false" outlineLevel="0" collapsed="false">
      <c r="B381" s="53" t="str">
        <f aca="false">STAAD!B901</f>
        <v>*</v>
      </c>
      <c r="C381" s="51" t="str">
        <f aca="false">IF(LEN($B381)&gt;79,"MÁS DE 79 CARACTERES","")</f>
        <v/>
      </c>
      <c r="D381" s="51" t="s">
        <v>673</v>
      </c>
    </row>
    <row r="382" customFormat="false" ht="15" hidden="false" customHeight="false" outlineLevel="0" collapsed="false">
      <c r="B382" s="53" t="str">
        <f aca="false">STAAD!B902</f>
        <v>*</v>
      </c>
      <c r="C382" s="51" t="str">
        <f aca="false">IF(LEN($B382)&gt;79,"MÁS DE 79 CARACTERES","")</f>
        <v/>
      </c>
      <c r="D382" s="51" t="s">
        <v>673</v>
      </c>
    </row>
    <row r="383" customFormat="false" ht="15" hidden="false" customHeight="false" outlineLevel="0" collapsed="false">
      <c r="B383" s="53" t="str">
        <f aca="false">STAAD!B903</f>
        <v>*</v>
      </c>
      <c r="C383" s="51" t="str">
        <f aca="false">IF(LEN($B383)&gt;79,"MÁS DE 79 CARACTERES","")</f>
        <v/>
      </c>
      <c r="D383" s="51" t="s">
        <v>673</v>
      </c>
    </row>
    <row r="384" customFormat="false" ht="15" hidden="false" customHeight="false" outlineLevel="0" collapsed="false">
      <c r="B384" s="53" t="str">
        <f aca="false">STAAD!B904</f>
        <v>*</v>
      </c>
      <c r="C384" s="51" t="str">
        <f aca="false">IF(LEN($B384)&gt;79,"MÁS DE 79 CARACTERES","")</f>
        <v/>
      </c>
      <c r="D384" s="51" t="s">
        <v>673</v>
      </c>
    </row>
    <row r="385" customFormat="false" ht="15" hidden="false" customHeight="false" outlineLevel="0" collapsed="false">
      <c r="B385" s="53" t="str">
        <f aca="false">STAAD!B905</f>
        <v>*</v>
      </c>
      <c r="C385" s="51" t="str">
        <f aca="false">IF(LEN($B385)&gt;79,"MÁS DE 79 CARACTERES","")</f>
        <v/>
      </c>
      <c r="D385" s="51" t="s">
        <v>673</v>
      </c>
    </row>
    <row r="386" customFormat="false" ht="15" hidden="false" customHeight="false" outlineLevel="0" collapsed="false">
      <c r="B386" s="53" t="str">
        <f aca="false">STAAD!B906</f>
        <v>*</v>
      </c>
      <c r="C386" s="51" t="str">
        <f aca="false">IF(LEN($B386)&gt;79,"MÁS DE 79 CARACTERES","")</f>
        <v/>
      </c>
      <c r="D386" s="51" t="s">
        <v>673</v>
      </c>
    </row>
    <row r="387" customFormat="false" ht="15" hidden="false" customHeight="false" outlineLevel="0" collapsed="false">
      <c r="B387" s="53" t="str">
        <f aca="false">STAAD!B907</f>
        <v>*</v>
      </c>
      <c r="C387" s="51" t="str">
        <f aca="false">IF(LEN($B387)&gt;79,"MÁS DE 79 CARACTERES","")</f>
        <v/>
      </c>
      <c r="D387" s="51" t="s">
        <v>673</v>
      </c>
    </row>
    <row r="388" customFormat="false" ht="15" hidden="false" customHeight="false" outlineLevel="0" collapsed="false">
      <c r="B388" s="53" t="str">
        <f aca="false">STAAD!B908</f>
        <v>*</v>
      </c>
      <c r="C388" s="51" t="str">
        <f aca="false">IF(LEN($B388)&gt;79,"MÁS DE 79 CARACTERES","")</f>
        <v/>
      </c>
      <c r="D388" s="51" t="s">
        <v>673</v>
      </c>
    </row>
    <row r="389" customFormat="false" ht="15" hidden="false" customHeight="false" outlineLevel="0" collapsed="false">
      <c r="B389" s="53" t="str">
        <f aca="false">STAAD!B909</f>
        <v>*</v>
      </c>
      <c r="C389" s="51" t="str">
        <f aca="false">IF(LEN($B389)&gt;79,"MÁS DE 79 CARACTERES","")</f>
        <v/>
      </c>
      <c r="D389" s="51" t="s">
        <v>673</v>
      </c>
    </row>
    <row r="390" customFormat="false" ht="15" hidden="false" customHeight="false" outlineLevel="0" collapsed="false">
      <c r="B390" s="53" t="str">
        <f aca="false">STAAD!B910</f>
        <v>*</v>
      </c>
      <c r="C390" s="51" t="str">
        <f aca="false">IF(LEN($B390)&gt;79,"MÁS DE 79 CARACTERES","")</f>
        <v/>
      </c>
      <c r="D390" s="51" t="s">
        <v>673</v>
      </c>
    </row>
    <row r="391" customFormat="false" ht="15" hidden="false" customHeight="false" outlineLevel="0" collapsed="false">
      <c r="B391" s="53" t="str">
        <f aca="false">STAAD!B911</f>
        <v>*</v>
      </c>
      <c r="C391" s="51" t="str">
        <f aca="false">IF(LEN($B391)&gt;79,"MÁS DE 79 CARACTERES","")</f>
        <v/>
      </c>
      <c r="D391" s="51" t="s">
        <v>673</v>
      </c>
    </row>
    <row r="392" customFormat="false" ht="15" hidden="false" customHeight="false" outlineLevel="0" collapsed="false">
      <c r="B392" s="53" t="str">
        <f aca="false">STAAD!B912</f>
        <v>*</v>
      </c>
      <c r="C392" s="51" t="str">
        <f aca="false">IF(LEN($B392)&gt;79,"MÁS DE 79 CARACTERES","")</f>
        <v/>
      </c>
      <c r="D392" s="51" t="s">
        <v>673</v>
      </c>
    </row>
    <row r="393" customFormat="false" ht="15" hidden="false" customHeight="false" outlineLevel="0" collapsed="false">
      <c r="B393" s="53" t="str">
        <f aca="false">STAAD!B913</f>
        <v>*</v>
      </c>
      <c r="C393" s="51" t="str">
        <f aca="false">IF(LEN($B393)&gt;79,"MÁS DE 79 CARACTERES","")</f>
        <v/>
      </c>
      <c r="D393" s="51" t="s">
        <v>673</v>
      </c>
    </row>
    <row r="394" customFormat="false" ht="15" hidden="false" customHeight="false" outlineLevel="0" collapsed="false">
      <c r="B394" s="53" t="str">
        <f aca="false">STAAD!B914</f>
        <v>*</v>
      </c>
      <c r="C394" s="51" t="str">
        <f aca="false">IF(LEN($B394)&gt;79,"MÁS DE 79 CARACTERES","")</f>
        <v/>
      </c>
      <c r="D394" s="51" t="s">
        <v>673</v>
      </c>
    </row>
    <row r="395" customFormat="false" ht="15" hidden="false" customHeight="false" outlineLevel="0" collapsed="false">
      <c r="B395" s="53" t="str">
        <f aca="false">STAAD!B915</f>
        <v>*</v>
      </c>
      <c r="C395" s="51" t="str">
        <f aca="false">IF(LEN($B395)&gt;79,"MÁS DE 79 CARACTERES","")</f>
        <v/>
      </c>
      <c r="D395" s="51" t="s">
        <v>673</v>
      </c>
    </row>
    <row r="396" customFormat="false" ht="15" hidden="false" customHeight="false" outlineLevel="0" collapsed="false">
      <c r="B396" s="53" t="str">
        <f aca="false">STAAD!B916</f>
        <v>*</v>
      </c>
      <c r="C396" s="51" t="str">
        <f aca="false">IF(LEN($B396)&gt;79,"MÁS DE 79 CARACTERES","")</f>
        <v/>
      </c>
      <c r="D396" s="51" t="s">
        <v>673</v>
      </c>
    </row>
    <row r="397" customFormat="false" ht="15" hidden="false" customHeight="false" outlineLevel="0" collapsed="false">
      <c r="B397" s="53" t="str">
        <f aca="false">STAAD!B917</f>
        <v>*</v>
      </c>
      <c r="C397" s="51" t="str">
        <f aca="false">IF(LEN($B397)&gt;79,"MÁS DE 79 CARACTERES","")</f>
        <v/>
      </c>
      <c r="D397" s="51" t="s">
        <v>673</v>
      </c>
    </row>
    <row r="398" customFormat="false" ht="15" hidden="false" customHeight="false" outlineLevel="0" collapsed="false">
      <c r="B398" s="53" t="str">
        <f aca="false">STAAD!B918</f>
        <v>*</v>
      </c>
      <c r="C398" s="51" t="str">
        <f aca="false">IF(LEN($B398)&gt;79,"MÁS DE 79 CARACTERES","")</f>
        <v/>
      </c>
      <c r="D398" s="51" t="s">
        <v>673</v>
      </c>
    </row>
    <row r="399" customFormat="false" ht="15" hidden="false" customHeight="false" outlineLevel="0" collapsed="false">
      <c r="B399" s="53" t="s">
        <v>674</v>
      </c>
      <c r="C399" s="51" t="str">
        <f aca="false">IF(LEN($B399)&gt;79,"MÁS DE 79 CARACTERES","")</f>
        <v/>
      </c>
      <c r="D399" s="51"/>
    </row>
    <row r="400" customFormat="false" ht="15" hidden="false" customHeight="false" outlineLevel="0" collapsed="false">
      <c r="B400" s="53" t="s">
        <v>675</v>
      </c>
      <c r="C400" s="51" t="str">
        <f aca="false">IF(LEN($B400)&gt;79,"MÁS DE 79 CARACTERES","")</f>
        <v/>
      </c>
      <c r="D400" s="51"/>
    </row>
    <row r="401" customFormat="false" ht="15" hidden="false" customHeight="false" outlineLevel="0" collapsed="false">
      <c r="B401" s="53" t="str">
        <f aca="false">"259 260 261 UNI GX "&amp;TEXT(PRESIONES!G$45*0.6*DATOS!$C$67,DATOS!$C$68)</f>
        <v>259 260 261 UNI GX 0.3769</v>
      </c>
      <c r="C401" s="51" t="str">
        <f aca="false">IF(LEN($B401)&gt;79,"MÁS DE 79 CARACTERES","")</f>
        <v/>
      </c>
      <c r="D401" s="51" t="s">
        <v>676</v>
      </c>
    </row>
    <row r="402" customFormat="false" ht="15" hidden="false" customHeight="false" outlineLevel="0" collapsed="false">
      <c r="B402" s="53" t="str">
        <f aca="false">"265 266 267 UNI GX "&amp;TEXT(-PRESIONES!G$46*0.6*DATOS!$C$67,DATOS!$C$68)</f>
        <v>265 266 267 UNI GX -0.0025</v>
      </c>
      <c r="C402" s="51" t="str">
        <f aca="false">IF(LEN($B402)&gt;79,"MÁS DE 79 CARACTERES","")</f>
        <v/>
      </c>
      <c r="D402" s="51" t="s">
        <v>677</v>
      </c>
    </row>
    <row r="403" customFormat="false" ht="15" hidden="false" customHeight="false" outlineLevel="0" collapsed="false">
      <c r="B403" s="53" t="str">
        <f aca="false">"262 263 264 UNI GZ "&amp;TEXT(PRESIONES!G$43*0.6*DATOS!$C$67,DATOS!$C$68)</f>
        <v>262 263 264 UNI GZ -0.0551</v>
      </c>
      <c r="C403" s="51" t="str">
        <f aca="false">IF(LEN($B403)&gt;79,"MÁS DE 79 CARACTERES","")</f>
        <v/>
      </c>
      <c r="D403" s="51" t="s">
        <v>678</v>
      </c>
    </row>
    <row r="404" customFormat="false" ht="15" hidden="false" customHeight="false" outlineLevel="0" collapsed="false">
      <c r="B404" s="53" t="s">
        <v>685</v>
      </c>
      <c r="C404" s="51" t="str">
        <f aca="false">IF(LEN($B404)&gt;79,"MÁS DE 79 CARACTERES","")</f>
        <v/>
      </c>
      <c r="D404" s="51"/>
    </row>
    <row r="405" customFormat="false" ht="15" hidden="false" customHeight="false" outlineLevel="0" collapsed="false">
      <c r="B405" s="53" t="s">
        <v>684</v>
      </c>
      <c r="C405" s="51" t="str">
        <f aca="false">IF(LEN($B405)&gt;79,"MÁS DE 79 CARACTERES","")</f>
        <v/>
      </c>
      <c r="D405" s="51"/>
    </row>
    <row r="406" customFormat="false" ht="15" hidden="false" customHeight="false" outlineLevel="0" collapsed="false">
      <c r="B406" s="53" t="str">
        <f aca="false">STAAD!B1069</f>
        <v>LOAD 13 LOADTYPE Wind  TITLE VIENTO -X PA</v>
      </c>
      <c r="C406" s="51" t="str">
        <f aca="false">IF(LEN($B406)&gt;79,"MÁS DE 79 CARACTERES","")</f>
        <v/>
      </c>
      <c r="D406" s="51" t="s">
        <v>665</v>
      </c>
    </row>
    <row r="407" customFormat="false" ht="15" hidden="false" customHeight="false" outlineLevel="0" collapsed="false">
      <c r="B407" s="53" t="s">
        <v>666</v>
      </c>
      <c r="C407" s="51" t="str">
        <f aca="false">IF(LEN($B407)&gt;79,"MÁS DE 79 CARACTERES","")</f>
        <v/>
      </c>
      <c r="D407" s="51"/>
    </row>
    <row r="408" customFormat="false" ht="15" hidden="false" customHeight="false" outlineLevel="0" collapsed="false">
      <c r="B408" s="53" t="s">
        <v>667</v>
      </c>
      <c r="C408" s="51" t="str">
        <f aca="false">IF(LEN($B408)&gt;79,"MÁS DE 79 CARACTERES","")</f>
        <v/>
      </c>
      <c r="D408" s="51"/>
    </row>
    <row r="409" customFormat="false" ht="15" hidden="false" customHeight="false" outlineLevel="0" collapsed="false">
      <c r="B409" s="53" t="s">
        <v>668</v>
      </c>
      <c r="C409" s="51" t="str">
        <f aca="false">IF(LEN($B409)&gt;79,"MÁS DE 79 CARACTERES","")</f>
        <v/>
      </c>
      <c r="D409" s="51"/>
    </row>
    <row r="410" customFormat="false" ht="15" hidden="false" customHeight="false" outlineLevel="0" collapsed="false">
      <c r="B410" s="53" t="str">
        <f aca="false">"_MURO3 ONE "&amp;TEXT(PRESIONES!H$45*IF(DATOS!$C$65="CM KG",0.0001,IF(DATOS!$C$65="METER KG",1,0.00980665)),"0.000000")&amp;" GX"</f>
        <v>_MURO3 ONE 0.000042 GX</v>
      </c>
      <c r="C410" s="51" t="str">
        <f aca="false">IF(LEN($B410)&gt;79,"MÁS DE 79 CARACTERES","")</f>
        <v/>
      </c>
      <c r="D410" s="51" t="s">
        <v>669</v>
      </c>
    </row>
    <row r="411" customFormat="false" ht="15" hidden="false" customHeight="false" outlineLevel="0" collapsed="false">
      <c r="B411" s="53" t="str">
        <f aca="false">"_MURO4 ONE "&amp;TEXT(-PRESIONES!H$46*IF(DATOS!$C$65="CM KG",0.0001,IF(DATOS!$C$65="METER KG",1,0.00980665)),"0.000000")&amp;" GX"</f>
        <v>_MURO4 ONE -0.006282 GX</v>
      </c>
      <c r="C411" s="51" t="str">
        <f aca="false">IF(LEN($B411)&gt;79,"MÁS DE 79 CARACTERES","")</f>
        <v/>
      </c>
      <c r="D411" s="51" t="s">
        <v>670</v>
      </c>
    </row>
    <row r="412" customFormat="false" ht="15" hidden="false" customHeight="false" outlineLevel="0" collapsed="false">
      <c r="B412" s="53" t="str">
        <f aca="false">"_MURO1 ONE "&amp;TEXT(PRESIONES!H$43*IF(DATOS!$C$65="CM KG",0.0001,IF(DATOS!$C$65="METER KG",1,0.00980665)),"0.000000")&amp;" GZ"</f>
        <v>_MURO1 ONE -0.000918 GZ</v>
      </c>
      <c r="C412" s="51" t="str">
        <f aca="false">IF(LEN($B412)&gt;79,"MÁS DE 79 CARACTERES","")</f>
        <v/>
      </c>
      <c r="D412" s="51" t="s">
        <v>671</v>
      </c>
    </row>
    <row r="413" customFormat="false" ht="15" hidden="false" customHeight="false" outlineLevel="0" collapsed="false">
      <c r="B413" s="53" t="s">
        <v>634</v>
      </c>
      <c r="C413" s="51" t="str">
        <f aca="false">IF(LEN($B413)&gt;79,"MÁS DE 79 CARACTERES","")</f>
        <v/>
      </c>
      <c r="D413" s="51"/>
    </row>
    <row r="414" customFormat="false" ht="15" hidden="false" customHeight="false" outlineLevel="0" collapsed="false">
      <c r="B414" s="53" t="s">
        <v>672</v>
      </c>
      <c r="C414" s="51" t="str">
        <f aca="false">IF(LEN($B414)&gt;79,"MÁS DE 79 CARACTERES","")</f>
        <v/>
      </c>
      <c r="D414" s="51"/>
    </row>
    <row r="415" customFormat="false" ht="15" hidden="false" customHeight="false" outlineLevel="0" collapsed="false">
      <c r="B415" s="53" t="str">
        <f aca="false">STAAD!B1071</f>
        <v>22 85 TO 88 UNI GY 0.0659</v>
      </c>
      <c r="C415" s="51" t="str">
        <f aca="false">IF(LEN($B415)&gt;79,"MÁS DE 79 CARACTERES","")</f>
        <v/>
      </c>
      <c r="D415" s="51" t="s">
        <v>673</v>
      </c>
    </row>
    <row r="416" customFormat="false" ht="15" hidden="false" customHeight="false" outlineLevel="0" collapsed="false">
      <c r="B416" s="53" t="str">
        <f aca="false">STAAD!B1072</f>
        <v>22 85 TO 88 UNI GZ 0.0033</v>
      </c>
      <c r="C416" s="51" t="str">
        <f aca="false">IF(LEN($B416)&gt;79,"MÁS DE 79 CARACTERES","")</f>
        <v/>
      </c>
      <c r="D416" s="51" t="s">
        <v>673</v>
      </c>
    </row>
    <row r="417" customFormat="false" ht="15" hidden="false" customHeight="false" outlineLevel="0" collapsed="false">
      <c r="B417" s="53" t="str">
        <f aca="false">STAAD!B1073</f>
        <v>80 129 TO 132 UNI GY 0.1318</v>
      </c>
      <c r="C417" s="51" t="str">
        <f aca="false">IF(LEN($B417)&gt;79,"MÁS DE 79 CARACTERES","")</f>
        <v/>
      </c>
      <c r="D417" s="51" t="s">
        <v>673</v>
      </c>
    </row>
    <row r="418" customFormat="false" ht="15" hidden="false" customHeight="false" outlineLevel="0" collapsed="false">
      <c r="B418" s="53" t="str">
        <f aca="false">STAAD!B1074</f>
        <v>80 129 TO 132 UNI GZ 0.0066</v>
      </c>
      <c r="C418" s="51" t="str">
        <f aca="false">IF(LEN($B418)&gt;79,"MÁS DE 79 CARACTERES","")</f>
        <v/>
      </c>
      <c r="D418" s="51" t="s">
        <v>673</v>
      </c>
    </row>
    <row r="419" customFormat="false" ht="15" hidden="false" customHeight="false" outlineLevel="0" collapsed="false">
      <c r="B419" s="53" t="str">
        <f aca="false">STAAD!B1075</f>
        <v>79 125 TO 128 UNI GY 0.1318</v>
      </c>
      <c r="C419" s="51" t="str">
        <f aca="false">IF(LEN($B419)&gt;79,"MÁS DE 79 CARACTERES","")</f>
        <v/>
      </c>
      <c r="D419" s="51" t="s">
        <v>673</v>
      </c>
    </row>
    <row r="420" customFormat="false" ht="15" hidden="false" customHeight="false" outlineLevel="0" collapsed="false">
      <c r="B420" s="53" t="str">
        <f aca="false">STAAD!B1076</f>
        <v>79 125 TO 128 UNI GZ 0.0066</v>
      </c>
      <c r="C420" s="51" t="str">
        <f aca="false">IF(LEN($B420)&gt;79,"MÁS DE 79 CARACTERES","")</f>
        <v/>
      </c>
      <c r="D420" s="51" t="s">
        <v>673</v>
      </c>
    </row>
    <row r="421" customFormat="false" ht="15" hidden="false" customHeight="false" outlineLevel="0" collapsed="false">
      <c r="B421" s="53" t="str">
        <f aca="false">STAAD!B1077</f>
        <v>78 121 TO 124 UNI GY 0.1318</v>
      </c>
      <c r="C421" s="51" t="str">
        <f aca="false">IF(LEN($B421)&gt;79,"MÁS DE 79 CARACTERES","")</f>
        <v/>
      </c>
      <c r="D421" s="51" t="s">
        <v>673</v>
      </c>
    </row>
    <row r="422" customFormat="false" ht="15" hidden="false" customHeight="false" outlineLevel="0" collapsed="false">
      <c r="B422" s="53" t="str">
        <f aca="false">STAAD!B1078</f>
        <v>78 121 TO 124 UNI GZ 0.0066</v>
      </c>
      <c r="C422" s="51" t="str">
        <f aca="false">IF(LEN($B422)&gt;79,"MÁS DE 79 CARACTERES","")</f>
        <v/>
      </c>
      <c r="D422" s="51" t="s">
        <v>673</v>
      </c>
    </row>
    <row r="423" customFormat="false" ht="15" hidden="false" customHeight="false" outlineLevel="0" collapsed="false">
      <c r="B423" s="53" t="str">
        <f aca="false">STAAD!B1079</f>
        <v>77 117 TO 120 UNI GY 0.1318</v>
      </c>
      <c r="C423" s="51" t="str">
        <f aca="false">IF(LEN($B423)&gt;79,"MÁS DE 79 CARACTERES","")</f>
        <v/>
      </c>
      <c r="D423" s="51" t="s">
        <v>673</v>
      </c>
    </row>
    <row r="424" customFormat="false" ht="15" hidden="false" customHeight="false" outlineLevel="0" collapsed="false">
      <c r="B424" s="53" t="str">
        <f aca="false">STAAD!B1080</f>
        <v>77 117 TO 120 UNI GZ 0.0066</v>
      </c>
      <c r="C424" s="51" t="str">
        <f aca="false">IF(LEN($B424)&gt;79,"MÁS DE 79 CARACTERES","")</f>
        <v/>
      </c>
      <c r="D424" s="51" t="s">
        <v>673</v>
      </c>
    </row>
    <row r="425" customFormat="false" ht="15" hidden="false" customHeight="false" outlineLevel="0" collapsed="false">
      <c r="B425" s="53" t="str">
        <f aca="false">STAAD!B1081</f>
        <v>9 93 TO 96 UNI GY 0.1318</v>
      </c>
      <c r="C425" s="51" t="str">
        <f aca="false">IF(LEN($B425)&gt;79,"MÁS DE 79 CARACTERES","")</f>
        <v/>
      </c>
      <c r="D425" s="51" t="s">
        <v>673</v>
      </c>
    </row>
    <row r="426" customFormat="false" ht="15" hidden="false" customHeight="false" outlineLevel="0" collapsed="false">
      <c r="B426" s="53" t="str">
        <f aca="false">STAAD!B1082</f>
        <v>9 93 TO 96 UNI GZ 0.0066</v>
      </c>
      <c r="C426" s="51" t="str">
        <f aca="false">IF(LEN($B426)&gt;79,"MÁS DE 79 CARACTERES","")</f>
        <v/>
      </c>
      <c r="D426" s="51" t="s">
        <v>673</v>
      </c>
    </row>
    <row r="427" customFormat="false" ht="15" hidden="false" customHeight="false" outlineLevel="0" collapsed="false">
      <c r="B427" s="53" t="str">
        <f aca="false">STAAD!B1083</f>
        <v>76 113 TO 116 UNI GY 0.1318</v>
      </c>
      <c r="C427" s="51" t="str">
        <f aca="false">IF(LEN($B427)&gt;79,"MÁS DE 79 CARACTERES","")</f>
        <v/>
      </c>
      <c r="D427" s="51" t="s">
        <v>673</v>
      </c>
    </row>
    <row r="428" customFormat="false" ht="15" hidden="false" customHeight="false" outlineLevel="0" collapsed="false">
      <c r="B428" s="53" t="str">
        <f aca="false">STAAD!B1084</f>
        <v>76 113 TO 116 UNI GZ 0.0066</v>
      </c>
      <c r="C428" s="51" t="str">
        <f aca="false">IF(LEN($B428)&gt;79,"MÁS DE 79 CARACTERES","")</f>
        <v/>
      </c>
      <c r="D428" s="51" t="s">
        <v>673</v>
      </c>
    </row>
    <row r="429" customFormat="false" ht="15" hidden="false" customHeight="false" outlineLevel="0" collapsed="false">
      <c r="B429" s="53" t="str">
        <f aca="false">STAAD!B1085</f>
        <v>75 109 TO 112 UNI GY 0.1318</v>
      </c>
      <c r="C429" s="51" t="str">
        <f aca="false">IF(LEN($B429)&gt;79,"MÁS DE 79 CARACTERES","")</f>
        <v/>
      </c>
      <c r="D429" s="51" t="s">
        <v>673</v>
      </c>
    </row>
    <row r="430" customFormat="false" ht="15" hidden="false" customHeight="false" outlineLevel="0" collapsed="false">
      <c r="B430" s="53" t="str">
        <f aca="false">STAAD!B1086</f>
        <v>75 109 TO 112 UNI GZ 0.0066</v>
      </c>
      <c r="C430" s="51" t="str">
        <f aca="false">IF(LEN($B430)&gt;79,"MÁS DE 79 CARACTERES","")</f>
        <v/>
      </c>
      <c r="D430" s="51" t="s">
        <v>673</v>
      </c>
    </row>
    <row r="431" customFormat="false" ht="15" hidden="false" customHeight="false" outlineLevel="0" collapsed="false">
      <c r="B431" s="53" t="str">
        <f aca="false">STAAD!B1087</f>
        <v>74 105 TO 108 UNI GY 0.1318</v>
      </c>
      <c r="C431" s="51" t="str">
        <f aca="false">IF(LEN($B431)&gt;79,"MÁS DE 79 CARACTERES","")</f>
        <v/>
      </c>
      <c r="D431" s="51" t="s">
        <v>673</v>
      </c>
    </row>
    <row r="432" customFormat="false" ht="15" hidden="false" customHeight="false" outlineLevel="0" collapsed="false">
      <c r="B432" s="53" t="str">
        <f aca="false">STAAD!B1088</f>
        <v>74 105 TO 108 UNI GZ 0.0066</v>
      </c>
      <c r="C432" s="51" t="str">
        <f aca="false">IF(LEN($B432)&gt;79,"MÁS DE 79 CARACTERES","")</f>
        <v/>
      </c>
      <c r="D432" s="51" t="s">
        <v>673</v>
      </c>
    </row>
    <row r="433" customFormat="false" ht="15" hidden="false" customHeight="false" outlineLevel="0" collapsed="false">
      <c r="B433" s="53" t="str">
        <f aca="false">STAAD!B1089</f>
        <v>73 101 TO 104 UNI GY 0.1318</v>
      </c>
      <c r="C433" s="51" t="str">
        <f aca="false">IF(LEN($B433)&gt;79,"MÁS DE 79 CARACTERES","")</f>
        <v/>
      </c>
      <c r="D433" s="51" t="s">
        <v>673</v>
      </c>
    </row>
    <row r="434" customFormat="false" ht="15" hidden="false" customHeight="false" outlineLevel="0" collapsed="false">
      <c r="B434" s="53" t="str">
        <f aca="false">STAAD!B1090</f>
        <v>73 101 TO 104 UNI GZ 0.0066</v>
      </c>
      <c r="C434" s="51" t="str">
        <f aca="false">IF(LEN($B434)&gt;79,"MÁS DE 79 CARACTERES","")</f>
        <v/>
      </c>
      <c r="D434" s="51" t="s">
        <v>673</v>
      </c>
    </row>
    <row r="435" customFormat="false" ht="15" hidden="false" customHeight="false" outlineLevel="0" collapsed="false">
      <c r="B435" s="53" t="str">
        <f aca="false">STAAD!B1091</f>
        <v>8 89 TO 92 UNI GY 0.1270</v>
      </c>
      <c r="C435" s="51" t="str">
        <f aca="false">IF(LEN($B435)&gt;79,"MÁS DE 79 CARACTERES","")</f>
        <v/>
      </c>
      <c r="D435" s="51" t="s">
        <v>673</v>
      </c>
    </row>
    <row r="436" customFormat="false" ht="15" hidden="false" customHeight="false" outlineLevel="0" collapsed="false">
      <c r="B436" s="53" t="str">
        <f aca="false">STAAD!B1092</f>
        <v>8 89 TO 92 UNI GZ 0.0063</v>
      </c>
      <c r="C436" s="51" t="str">
        <f aca="false">IF(LEN($B436)&gt;79,"MÁS DE 79 CARACTERES","")</f>
        <v/>
      </c>
      <c r="D436" s="51" t="s">
        <v>673</v>
      </c>
    </row>
    <row r="437" customFormat="false" ht="15" hidden="false" customHeight="false" outlineLevel="0" collapsed="false">
      <c r="B437" s="53" t="str">
        <f aca="false">STAAD!B1093</f>
        <v>56 97 TO 100 UNI GY 0.1221</v>
      </c>
      <c r="C437" s="51" t="str">
        <f aca="false">IF(LEN($B437)&gt;79,"MÁS DE 79 CARACTERES","")</f>
        <v/>
      </c>
      <c r="D437" s="51" t="s">
        <v>673</v>
      </c>
    </row>
    <row r="438" customFormat="false" ht="15" hidden="false" customHeight="false" outlineLevel="0" collapsed="false">
      <c r="B438" s="53" t="str">
        <f aca="false">STAAD!B1094</f>
        <v>56 97 TO 100 UNI GZ 0.0061</v>
      </c>
      <c r="C438" s="51" t="str">
        <f aca="false">IF(LEN($B438)&gt;79,"MÁS DE 79 CARACTERES","")</f>
        <v/>
      </c>
      <c r="D438" s="51" t="s">
        <v>673</v>
      </c>
    </row>
    <row r="439" customFormat="false" ht="15" hidden="false" customHeight="false" outlineLevel="0" collapsed="false">
      <c r="B439" s="53" t="str">
        <f aca="false">STAAD!B1095</f>
        <v>7 81 TO 84 UNI GY 0.0610</v>
      </c>
      <c r="C439" s="51" t="str">
        <f aca="false">IF(LEN($B439)&gt;79,"MÁS DE 79 CARACTERES","")</f>
        <v/>
      </c>
      <c r="D439" s="51" t="s">
        <v>673</v>
      </c>
    </row>
    <row r="440" customFormat="false" ht="15" hidden="false" customHeight="false" outlineLevel="0" collapsed="false">
      <c r="B440" s="53" t="str">
        <f aca="false">STAAD!B1096</f>
        <v>7 81 TO 84 UNI GZ 0.0031</v>
      </c>
      <c r="C440" s="51" t="str">
        <f aca="false">IF(LEN($B440)&gt;79,"MÁS DE 79 CARACTERES","")</f>
        <v/>
      </c>
      <c r="D440" s="51" t="s">
        <v>673</v>
      </c>
    </row>
    <row r="441" customFormat="false" ht="15" hidden="false" customHeight="false" outlineLevel="0" collapsed="false">
      <c r="B441" s="53" t="str">
        <f aca="false">STAAD!B1097</f>
        <v>*</v>
      </c>
      <c r="C441" s="51" t="str">
        <f aca="false">IF(LEN($B441)&gt;79,"MÁS DE 79 CARACTERES","")</f>
        <v/>
      </c>
      <c r="D441" s="51" t="s">
        <v>673</v>
      </c>
    </row>
    <row r="442" customFormat="false" ht="15" hidden="false" customHeight="false" outlineLevel="0" collapsed="false">
      <c r="B442" s="53" t="str">
        <f aca="false">STAAD!B1098</f>
        <v>*</v>
      </c>
      <c r="C442" s="51" t="str">
        <f aca="false">IF(LEN($B442)&gt;79,"MÁS DE 79 CARACTERES","")</f>
        <v/>
      </c>
      <c r="D442" s="51" t="s">
        <v>673</v>
      </c>
    </row>
    <row r="443" customFormat="false" ht="15" hidden="false" customHeight="false" outlineLevel="0" collapsed="false">
      <c r="B443" s="53" t="str">
        <f aca="false">STAAD!B1099</f>
        <v>*</v>
      </c>
      <c r="C443" s="51" t="str">
        <f aca="false">IF(LEN($B443)&gt;79,"MÁS DE 79 CARACTERES","")</f>
        <v/>
      </c>
      <c r="D443" s="51" t="s">
        <v>673</v>
      </c>
    </row>
    <row r="444" customFormat="false" ht="15" hidden="false" customHeight="false" outlineLevel="0" collapsed="false">
      <c r="B444" s="53" t="str">
        <f aca="false">STAAD!B1100</f>
        <v>*</v>
      </c>
      <c r="C444" s="51" t="str">
        <f aca="false">IF(LEN($B444)&gt;79,"MÁS DE 79 CARACTERES","")</f>
        <v/>
      </c>
      <c r="D444" s="51" t="s">
        <v>673</v>
      </c>
    </row>
    <row r="445" customFormat="false" ht="15" hidden="false" customHeight="false" outlineLevel="0" collapsed="false">
      <c r="B445" s="53" t="str">
        <f aca="false">STAAD!B1101</f>
        <v>*</v>
      </c>
      <c r="C445" s="51" t="str">
        <f aca="false">IF(LEN($B445)&gt;79,"MÁS DE 79 CARACTERES","")</f>
        <v/>
      </c>
      <c r="D445" s="51" t="s">
        <v>673</v>
      </c>
    </row>
    <row r="446" customFormat="false" ht="15" hidden="false" customHeight="false" outlineLevel="0" collapsed="false">
      <c r="B446" s="53" t="str">
        <f aca="false">STAAD!B1102</f>
        <v>*</v>
      </c>
      <c r="C446" s="51" t="str">
        <f aca="false">IF(LEN($B446)&gt;79,"MÁS DE 79 CARACTERES","")</f>
        <v/>
      </c>
      <c r="D446" s="51" t="s">
        <v>673</v>
      </c>
    </row>
    <row r="447" customFormat="false" ht="15" hidden="false" customHeight="false" outlineLevel="0" collapsed="false">
      <c r="B447" s="53" t="str">
        <f aca="false">STAAD!B1103</f>
        <v>*</v>
      </c>
      <c r="C447" s="51" t="str">
        <f aca="false">IF(LEN($B447)&gt;79,"MÁS DE 79 CARACTERES","")</f>
        <v/>
      </c>
      <c r="D447" s="51" t="s">
        <v>673</v>
      </c>
    </row>
    <row r="448" customFormat="false" ht="15" hidden="false" customHeight="false" outlineLevel="0" collapsed="false">
      <c r="B448" s="53" t="str">
        <f aca="false">STAAD!B1104</f>
        <v>*</v>
      </c>
      <c r="C448" s="51" t="str">
        <f aca="false">IF(LEN($B448)&gt;79,"MÁS DE 79 CARACTERES","")</f>
        <v/>
      </c>
      <c r="D448" s="51" t="s">
        <v>673</v>
      </c>
    </row>
    <row r="449" customFormat="false" ht="15" hidden="false" customHeight="false" outlineLevel="0" collapsed="false">
      <c r="B449" s="53" t="str">
        <f aca="false">STAAD!B1105</f>
        <v>*</v>
      </c>
      <c r="C449" s="51" t="str">
        <f aca="false">IF(LEN($B449)&gt;79,"MÁS DE 79 CARACTERES","")</f>
        <v/>
      </c>
      <c r="D449" s="51" t="s">
        <v>673</v>
      </c>
    </row>
    <row r="450" customFormat="false" ht="15" hidden="false" customHeight="false" outlineLevel="0" collapsed="false">
      <c r="B450" s="53" t="str">
        <f aca="false">STAAD!B1106</f>
        <v>*</v>
      </c>
      <c r="C450" s="51" t="str">
        <f aca="false">IF(LEN($B450)&gt;79,"MÁS DE 79 CARACTERES","")</f>
        <v/>
      </c>
      <c r="D450" s="51" t="s">
        <v>673</v>
      </c>
    </row>
    <row r="451" customFormat="false" ht="15" hidden="false" customHeight="false" outlineLevel="0" collapsed="false">
      <c r="B451" s="53" t="str">
        <f aca="false">STAAD!B1107</f>
        <v>*</v>
      </c>
      <c r="C451" s="51" t="str">
        <f aca="false">IF(LEN($B451)&gt;79,"MÁS DE 79 CARACTERES","")</f>
        <v/>
      </c>
      <c r="D451" s="51" t="s">
        <v>673</v>
      </c>
    </row>
    <row r="452" customFormat="false" ht="15" hidden="false" customHeight="false" outlineLevel="0" collapsed="false">
      <c r="B452" s="53" t="str">
        <f aca="false">STAAD!B1108</f>
        <v>*</v>
      </c>
      <c r="C452" s="51" t="str">
        <f aca="false">IF(LEN($B452)&gt;79,"MÁS DE 79 CARACTERES","")</f>
        <v/>
      </c>
      <c r="D452" s="51" t="s">
        <v>673</v>
      </c>
    </row>
    <row r="453" customFormat="false" ht="15" hidden="false" customHeight="false" outlineLevel="0" collapsed="false">
      <c r="B453" s="53" t="str">
        <f aca="false">STAAD!B1109</f>
        <v>*</v>
      </c>
      <c r="C453" s="51" t="str">
        <f aca="false">IF(LEN($B453)&gt;79,"MÁS DE 79 CARACTERES","")</f>
        <v/>
      </c>
      <c r="D453" s="51" t="s">
        <v>673</v>
      </c>
    </row>
    <row r="454" customFormat="false" ht="15" hidden="false" customHeight="false" outlineLevel="0" collapsed="false">
      <c r="B454" s="53" t="str">
        <f aca="false">STAAD!B1110</f>
        <v>*</v>
      </c>
      <c r="C454" s="51" t="str">
        <f aca="false">IF(LEN($B454)&gt;79,"MÁS DE 79 CARACTERES","")</f>
        <v/>
      </c>
      <c r="D454" s="51" t="s">
        <v>673</v>
      </c>
    </row>
    <row r="455" customFormat="false" ht="15" hidden="false" customHeight="false" outlineLevel="0" collapsed="false">
      <c r="B455" s="53" t="str">
        <f aca="false">STAAD!B1111</f>
        <v>*</v>
      </c>
      <c r="C455" s="51" t="str">
        <f aca="false">IF(LEN($B455)&gt;79,"MÁS DE 79 CARACTERES","")</f>
        <v/>
      </c>
      <c r="D455" s="51" t="s">
        <v>673</v>
      </c>
    </row>
    <row r="456" customFormat="false" ht="15" hidden="false" customHeight="false" outlineLevel="0" collapsed="false">
      <c r="B456" s="53" t="str">
        <f aca="false">STAAD!B1112</f>
        <v>*</v>
      </c>
      <c r="C456" s="51" t="str">
        <f aca="false">IF(LEN($B456)&gt;79,"MÁS DE 79 CARACTERES","")</f>
        <v/>
      </c>
      <c r="D456" s="51" t="s">
        <v>673</v>
      </c>
    </row>
    <row r="457" customFormat="false" ht="15" hidden="false" customHeight="false" outlineLevel="0" collapsed="false">
      <c r="B457" s="53" t="str">
        <f aca="false">STAAD!B1113</f>
        <v>*</v>
      </c>
      <c r="C457" s="51" t="str">
        <f aca="false">IF(LEN($B457)&gt;79,"MÁS DE 79 CARACTERES","")</f>
        <v/>
      </c>
      <c r="D457" s="51" t="s">
        <v>673</v>
      </c>
    </row>
    <row r="458" customFormat="false" ht="15" hidden="false" customHeight="false" outlineLevel="0" collapsed="false">
      <c r="B458" s="53" t="str">
        <f aca="false">STAAD!B1114</f>
        <v>*</v>
      </c>
      <c r="C458" s="51" t="str">
        <f aca="false">IF(LEN($B458)&gt;79,"MÁS DE 79 CARACTERES","")</f>
        <v/>
      </c>
      <c r="D458" s="51" t="s">
        <v>673</v>
      </c>
    </row>
    <row r="459" customFormat="false" ht="15" hidden="false" customHeight="false" outlineLevel="0" collapsed="false">
      <c r="B459" s="53" t="str">
        <f aca="false">STAAD!B1115</f>
        <v>*</v>
      </c>
      <c r="C459" s="51" t="str">
        <f aca="false">IF(LEN($B459)&gt;79,"MÁS DE 79 CARACTERES","")</f>
        <v/>
      </c>
      <c r="D459" s="51" t="s">
        <v>673</v>
      </c>
    </row>
    <row r="460" customFormat="false" ht="15" hidden="false" customHeight="false" outlineLevel="0" collapsed="false">
      <c r="B460" s="53" t="str">
        <f aca="false">STAAD!B1116</f>
        <v>*</v>
      </c>
      <c r="C460" s="51" t="str">
        <f aca="false">IF(LEN($B460)&gt;79,"MÁS DE 79 CARACTERES","")</f>
        <v/>
      </c>
      <c r="D460" s="51" t="s">
        <v>673</v>
      </c>
    </row>
    <row r="461" customFormat="false" ht="15" hidden="false" customHeight="false" outlineLevel="0" collapsed="false">
      <c r="B461" s="53" t="str">
        <f aca="false">STAAD!B1117</f>
        <v>*</v>
      </c>
      <c r="C461" s="51" t="str">
        <f aca="false">IF(LEN($B461)&gt;79,"MÁS DE 79 CARACTERES","")</f>
        <v/>
      </c>
      <c r="D461" s="51" t="s">
        <v>673</v>
      </c>
    </row>
    <row r="462" customFormat="false" ht="15" hidden="false" customHeight="false" outlineLevel="0" collapsed="false">
      <c r="B462" s="53" t="str">
        <f aca="false">STAAD!B1118</f>
        <v>*</v>
      </c>
      <c r="C462" s="51" t="str">
        <f aca="false">IF(LEN($B462)&gt;79,"MÁS DE 79 CARACTERES","")</f>
        <v/>
      </c>
      <c r="D462" s="51" t="s">
        <v>673</v>
      </c>
    </row>
    <row r="463" customFormat="false" ht="15" hidden="false" customHeight="false" outlineLevel="0" collapsed="false">
      <c r="B463" s="53" t="str">
        <f aca="false">STAAD!B1119</f>
        <v>*</v>
      </c>
      <c r="C463" s="51" t="str">
        <f aca="false">IF(LEN($B463)&gt;79,"MÁS DE 79 CARACTERES","")</f>
        <v/>
      </c>
      <c r="D463" s="51" t="s">
        <v>673</v>
      </c>
    </row>
    <row r="464" customFormat="false" ht="15" hidden="false" customHeight="false" outlineLevel="0" collapsed="false">
      <c r="B464" s="53" t="str">
        <f aca="false">STAAD!B1120</f>
        <v>*</v>
      </c>
      <c r="C464" s="51" t="str">
        <f aca="false">IF(LEN($B464)&gt;79,"MÁS DE 79 CARACTERES","")</f>
        <v/>
      </c>
      <c r="D464" s="51" t="s">
        <v>673</v>
      </c>
    </row>
    <row r="465" customFormat="false" ht="15" hidden="false" customHeight="false" outlineLevel="0" collapsed="false">
      <c r="B465" s="53" t="str">
        <f aca="false">STAAD!B1121</f>
        <v>*</v>
      </c>
      <c r="C465" s="51" t="str">
        <f aca="false">IF(LEN($B465)&gt;79,"MÁS DE 79 CARACTERES","")</f>
        <v/>
      </c>
      <c r="D465" s="51" t="s">
        <v>673</v>
      </c>
    </row>
    <row r="466" customFormat="false" ht="15" hidden="false" customHeight="false" outlineLevel="0" collapsed="false">
      <c r="B466" s="53" t="str">
        <f aca="false">STAAD!B1122</f>
        <v>*</v>
      </c>
      <c r="C466" s="51" t="str">
        <f aca="false">IF(LEN($B466)&gt;79,"MÁS DE 79 CARACTERES","")</f>
        <v/>
      </c>
      <c r="D466" s="51" t="s">
        <v>673</v>
      </c>
    </row>
    <row r="467" customFormat="false" ht="15" hidden="false" customHeight="false" outlineLevel="0" collapsed="false">
      <c r="B467" s="53" t="str">
        <f aca="false">STAAD!B1123</f>
        <v>*</v>
      </c>
      <c r="C467" s="51" t="str">
        <f aca="false">IF(LEN($B467)&gt;79,"MÁS DE 79 CARACTERES","")</f>
        <v/>
      </c>
      <c r="D467" s="51" t="s">
        <v>673</v>
      </c>
    </row>
    <row r="468" customFormat="false" ht="15" hidden="false" customHeight="false" outlineLevel="0" collapsed="false">
      <c r="B468" s="53" t="str">
        <f aca="false">STAAD!B1124</f>
        <v>*</v>
      </c>
      <c r="C468" s="51" t="str">
        <f aca="false">IF(LEN($B468)&gt;79,"MÁS DE 79 CARACTERES","")</f>
        <v/>
      </c>
      <c r="D468" s="51" t="s">
        <v>673</v>
      </c>
    </row>
    <row r="469" customFormat="false" ht="15" hidden="false" customHeight="false" outlineLevel="0" collapsed="false">
      <c r="B469" s="53" t="str">
        <f aca="false">STAAD!B1125</f>
        <v>*</v>
      </c>
      <c r="C469" s="51" t="str">
        <f aca="false">IF(LEN($B469)&gt;79,"MÁS DE 79 CARACTERES","")</f>
        <v/>
      </c>
      <c r="D469" s="51" t="s">
        <v>673</v>
      </c>
    </row>
    <row r="470" customFormat="false" ht="15" hidden="false" customHeight="false" outlineLevel="0" collapsed="false">
      <c r="B470" s="53" t="str">
        <f aca="false">STAAD!B1126</f>
        <v>*</v>
      </c>
      <c r="C470" s="51" t="str">
        <f aca="false">IF(LEN($B470)&gt;79,"MÁS DE 79 CARACTERES","")</f>
        <v/>
      </c>
      <c r="D470" s="51" t="s">
        <v>673</v>
      </c>
    </row>
    <row r="471" customFormat="false" ht="15" hidden="false" customHeight="false" outlineLevel="0" collapsed="false">
      <c r="B471" s="53" t="str">
        <f aca="false">STAAD!B1127</f>
        <v>*</v>
      </c>
      <c r="C471" s="51" t="str">
        <f aca="false">IF(LEN($B471)&gt;79,"MÁS DE 79 CARACTERES","")</f>
        <v/>
      </c>
      <c r="D471" s="51" t="s">
        <v>673</v>
      </c>
    </row>
    <row r="472" customFormat="false" ht="15" hidden="false" customHeight="false" outlineLevel="0" collapsed="false">
      <c r="B472" s="53" t="str">
        <f aca="false">STAAD!B1128</f>
        <v>*</v>
      </c>
      <c r="C472" s="51" t="str">
        <f aca="false">IF(LEN($B472)&gt;79,"MÁS DE 79 CARACTERES","")</f>
        <v/>
      </c>
      <c r="D472" s="51" t="s">
        <v>673</v>
      </c>
    </row>
    <row r="473" customFormat="false" ht="15" hidden="false" customHeight="false" outlineLevel="0" collapsed="false">
      <c r="B473" s="53" t="str">
        <f aca="false">STAAD!B1129</f>
        <v>*</v>
      </c>
      <c r="C473" s="51" t="str">
        <f aca="false">IF(LEN($B473)&gt;79,"MÁS DE 79 CARACTERES","")</f>
        <v/>
      </c>
      <c r="D473" s="51" t="s">
        <v>673</v>
      </c>
    </row>
    <row r="474" customFormat="false" ht="15" hidden="false" customHeight="false" outlineLevel="0" collapsed="false">
      <c r="B474" s="53" t="str">
        <f aca="false">STAAD!B1130</f>
        <v>*</v>
      </c>
      <c r="C474" s="51" t="str">
        <f aca="false">IF(LEN($B474)&gt;79,"MÁS DE 79 CARACTERES","")</f>
        <v/>
      </c>
      <c r="D474" s="51" t="s">
        <v>673</v>
      </c>
    </row>
    <row r="475" customFormat="false" ht="15" hidden="false" customHeight="false" outlineLevel="0" collapsed="false">
      <c r="B475" s="53" t="s">
        <v>674</v>
      </c>
      <c r="C475" s="51" t="str">
        <f aca="false">IF(LEN($B475)&gt;79,"MÁS DE 79 CARACTERES","")</f>
        <v/>
      </c>
      <c r="D475" s="51"/>
    </row>
    <row r="476" customFormat="false" ht="15" hidden="false" customHeight="false" outlineLevel="0" collapsed="false">
      <c r="B476" s="53" t="s">
        <v>675</v>
      </c>
      <c r="C476" s="51" t="str">
        <f aca="false">IF(LEN($B476)&gt;79,"MÁS DE 79 CARACTERES","")</f>
        <v/>
      </c>
      <c r="D476" s="51"/>
    </row>
    <row r="477" customFormat="false" ht="15" hidden="false" customHeight="false" outlineLevel="0" collapsed="false">
      <c r="B477" s="53" t="str">
        <f aca="false">"259 260 261 UNI GX "&amp;TEXT(PRESIONES!H$45*0.6*DATOS!$C$67,DATOS!$C$68)</f>
        <v>259 260 261 UNI GX 0.0025</v>
      </c>
      <c r="C477" s="51" t="str">
        <f aca="false">IF(LEN($B477)&gt;79,"MÁS DE 79 CARACTERES","")</f>
        <v/>
      </c>
      <c r="D477" s="51" t="s">
        <v>676</v>
      </c>
    </row>
    <row r="478" customFormat="false" ht="15" hidden="false" customHeight="false" outlineLevel="0" collapsed="false">
      <c r="B478" s="53" t="str">
        <f aca="false">"265 266 267 UNI GX "&amp;TEXT(-PRESIONES!H$46*0.6*DATOS!$C$67,DATOS!$C$68)</f>
        <v>265 266 267 UNI GX -0.3769</v>
      </c>
      <c r="C478" s="51" t="str">
        <f aca="false">IF(LEN($B478)&gt;79,"MÁS DE 79 CARACTERES","")</f>
        <v/>
      </c>
      <c r="D478" s="51" t="s">
        <v>677</v>
      </c>
    </row>
    <row r="479" customFormat="false" ht="15" hidden="false" customHeight="false" outlineLevel="0" collapsed="false">
      <c r="B479" s="53" t="str">
        <f aca="false">"262 263 264 UNI GZ "&amp;TEXT(PRESIONES!H$43*0.6*DATOS!$C$67,DATOS!$C$68)</f>
        <v>262 263 264 UNI GZ -0.0551</v>
      </c>
      <c r="C479" s="51" t="str">
        <f aca="false">IF(LEN($B479)&gt;79,"MÁS DE 79 CARACTERES","")</f>
        <v/>
      </c>
      <c r="D479" s="51" t="s">
        <v>678</v>
      </c>
    </row>
    <row r="480" customFormat="false" ht="15" hidden="false" customHeight="false" outlineLevel="0" collapsed="false">
      <c r="B480" s="53" t="s">
        <v>685</v>
      </c>
      <c r="C480" s="51" t="str">
        <f aca="false">IF(LEN($B480)&gt;79,"MÁS DE 79 CARACTERES","")</f>
        <v/>
      </c>
      <c r="D480" s="51"/>
    </row>
    <row r="481" customFormat="false" ht="15" hidden="false" customHeight="false" outlineLevel="0" collapsed="false">
      <c r="B481" s="53" t="s">
        <v>684</v>
      </c>
      <c r="C481" s="51" t="str">
        <f aca="false">IF(LEN($B481)&gt;79,"MÁS DE 79 CARACTERES","")</f>
        <v/>
      </c>
      <c r="D481" s="51"/>
    </row>
    <row r="482" customFormat="false" ht="15" hidden="false" customHeight="false" outlineLevel="0" collapsed="false">
      <c r="B482" s="53" t="str">
        <f aca="false">STAAD!B1281</f>
        <v>LOAD 14 LOADTYPE Wind  TITLE VIENTO Z PA</v>
      </c>
      <c r="C482" s="51" t="str">
        <f aca="false">IF(LEN($B482)&gt;79,"MÁS DE 79 CARACTERES","")</f>
        <v/>
      </c>
      <c r="D482" s="51" t="s">
        <v>665</v>
      </c>
    </row>
    <row r="483" customFormat="false" ht="15" hidden="false" customHeight="false" outlineLevel="0" collapsed="false">
      <c r="B483" s="53" t="s">
        <v>666</v>
      </c>
      <c r="C483" s="51" t="str">
        <f aca="false">IF(LEN($B483)&gt;79,"MÁS DE 79 CARACTERES","")</f>
        <v/>
      </c>
      <c r="D483" s="51"/>
    </row>
    <row r="484" customFormat="false" ht="15" hidden="false" customHeight="false" outlineLevel="0" collapsed="false">
      <c r="B484" s="53" t="s">
        <v>667</v>
      </c>
      <c r="C484" s="51" t="str">
        <f aca="false">IF(LEN($B484)&gt;79,"MÁS DE 79 CARACTERES","")</f>
        <v/>
      </c>
      <c r="D484" s="51"/>
    </row>
    <row r="485" customFormat="false" ht="15" hidden="false" customHeight="false" outlineLevel="0" collapsed="false">
      <c r="B485" s="53" t="s">
        <v>668</v>
      </c>
      <c r="C485" s="51" t="str">
        <f aca="false">IF(LEN($B485)&gt;79,"MÁS DE 79 CARACTERES","")</f>
        <v/>
      </c>
      <c r="D485" s="51"/>
    </row>
    <row r="486" customFormat="false" ht="15" hidden="false" customHeight="false" outlineLevel="0" collapsed="false">
      <c r="B486" s="53" t="str">
        <f aca="false">"_MURO3 ONE "&amp;TEXT(PRESIONES!I$45*IF(DATOS!$C$65="CM KG",0.0001,IF(DATOS!$C$65="METER KG",1,0.00980665)),"0.000000")&amp;" GX"</f>
        <v>_MURO3 ONE -0.000430 GX</v>
      </c>
      <c r="C486" s="51" t="str">
        <f aca="false">IF(LEN($B486)&gt;79,"MÁS DE 79 CARACTERES","")</f>
        <v/>
      </c>
      <c r="D486" s="51" t="s">
        <v>669</v>
      </c>
    </row>
    <row r="487" customFormat="false" ht="15" hidden="false" customHeight="false" outlineLevel="0" collapsed="false">
      <c r="B487" s="53" t="str">
        <f aca="false">"_MURO4 ONE "&amp;TEXT(-PRESIONES!I$46*IF(DATOS!$C$65="CM KG",0.0001,IF(DATOS!$C$65="METER KG",1,0.00980665)),"0.000000")&amp;" GX"</f>
        <v>_MURO4 ONE 0.000430 GX</v>
      </c>
      <c r="C487" s="51" t="str">
        <f aca="false">IF(LEN($B487)&gt;79,"MÁS DE 79 CARACTERES","")</f>
        <v/>
      </c>
      <c r="D487" s="51" t="s">
        <v>670</v>
      </c>
    </row>
    <row r="488" customFormat="false" ht="15" hidden="false" customHeight="false" outlineLevel="0" collapsed="false">
      <c r="B488" s="53" t="str">
        <f aca="false">"_MURO1 ONE "&amp;TEXT(PRESIONES!I$43*IF(DATOS!$C$65="CM KG",0.0001,IF(DATOS!$C$65="METER KG",1,0.00980665)),"0.000000")&amp;" GZ"</f>
        <v>_MURO1 ONE 0.006770 GZ</v>
      </c>
      <c r="C488" s="51" t="str">
        <f aca="false">IF(LEN($B488)&gt;79,"MÁS DE 79 CARACTERES","")</f>
        <v/>
      </c>
      <c r="D488" s="51" t="s">
        <v>671</v>
      </c>
    </row>
    <row r="489" customFormat="false" ht="15" hidden="false" customHeight="false" outlineLevel="0" collapsed="false">
      <c r="B489" s="53" t="s">
        <v>634</v>
      </c>
      <c r="C489" s="51" t="str">
        <f aca="false">IF(LEN($B489)&gt;79,"MÁS DE 79 CARACTERES","")</f>
        <v/>
      </c>
      <c r="D489" s="51"/>
    </row>
    <row r="490" customFormat="false" ht="15" hidden="false" customHeight="false" outlineLevel="0" collapsed="false">
      <c r="B490" s="53" t="s">
        <v>672</v>
      </c>
      <c r="C490" s="51" t="str">
        <f aca="false">IF(LEN($B490)&gt;79,"MÁS DE 79 CARACTERES","")</f>
        <v/>
      </c>
      <c r="D490" s="51"/>
    </row>
    <row r="491" customFormat="false" ht="15" hidden="false" customHeight="false" outlineLevel="0" collapsed="false">
      <c r="B491" s="53" t="str">
        <f aca="false">STAAD!B1283</f>
        <v>22 85 TO 88 UNI GY 0.0330</v>
      </c>
      <c r="C491" s="51" t="str">
        <f aca="false">IF(LEN($B491)&gt;79,"MÁS DE 79 CARACTERES","")</f>
        <v/>
      </c>
      <c r="D491" s="51" t="s">
        <v>673</v>
      </c>
    </row>
    <row r="492" customFormat="false" ht="15" hidden="false" customHeight="false" outlineLevel="0" collapsed="false">
      <c r="B492" s="53" t="str">
        <f aca="false">STAAD!B1284</f>
        <v>22 85 TO 88 UNI GZ 0.0016</v>
      </c>
      <c r="C492" s="51" t="str">
        <f aca="false">IF(LEN($B492)&gt;79,"MÁS DE 79 CARACTERES","")</f>
        <v/>
      </c>
      <c r="D492" s="51" t="s">
        <v>673</v>
      </c>
    </row>
    <row r="493" customFormat="false" ht="15" hidden="false" customHeight="false" outlineLevel="0" collapsed="false">
      <c r="B493" s="53" t="str">
        <f aca="false">STAAD!B1285</f>
        <v>80 129 TO 132 UNI GY 0.0659</v>
      </c>
      <c r="C493" s="51" t="str">
        <f aca="false">IF(LEN($B493)&gt;79,"MÁS DE 79 CARACTERES","")</f>
        <v/>
      </c>
      <c r="D493" s="51" t="s">
        <v>673</v>
      </c>
    </row>
    <row r="494" customFormat="false" ht="15" hidden="false" customHeight="false" outlineLevel="0" collapsed="false">
      <c r="B494" s="53" t="str">
        <f aca="false">STAAD!B1286</f>
        <v>80 129 TO 132 UNI GZ 0.0033</v>
      </c>
      <c r="C494" s="51" t="str">
        <f aca="false">IF(LEN($B494)&gt;79,"MÁS DE 79 CARACTERES","")</f>
        <v/>
      </c>
      <c r="D494" s="51" t="s">
        <v>673</v>
      </c>
    </row>
    <row r="495" customFormat="false" ht="15" hidden="false" customHeight="false" outlineLevel="0" collapsed="false">
      <c r="B495" s="53" t="str">
        <f aca="false">STAAD!B1287</f>
        <v>79 125 TO 128 UNI GY 0.0659</v>
      </c>
      <c r="C495" s="51" t="str">
        <f aca="false">IF(LEN($B495)&gt;79,"MÁS DE 79 CARACTERES","")</f>
        <v/>
      </c>
      <c r="D495" s="51" t="s">
        <v>673</v>
      </c>
    </row>
    <row r="496" customFormat="false" ht="15" hidden="false" customHeight="false" outlineLevel="0" collapsed="false">
      <c r="B496" s="53" t="str">
        <f aca="false">STAAD!B1288</f>
        <v>79 125 TO 128 UNI GZ 0.0033</v>
      </c>
      <c r="C496" s="51" t="str">
        <f aca="false">IF(LEN($B496)&gt;79,"MÁS DE 79 CARACTERES","")</f>
        <v/>
      </c>
      <c r="D496" s="51" t="s">
        <v>673</v>
      </c>
    </row>
    <row r="497" customFormat="false" ht="15" hidden="false" customHeight="false" outlineLevel="0" collapsed="false">
      <c r="B497" s="53" t="str">
        <f aca="false">STAAD!B1289</f>
        <v>78 121 TO 124 UNI GY 0.0659</v>
      </c>
      <c r="C497" s="51" t="str">
        <f aca="false">IF(LEN($B497)&gt;79,"MÁS DE 79 CARACTERES","")</f>
        <v/>
      </c>
      <c r="D497" s="51" t="s">
        <v>673</v>
      </c>
    </row>
    <row r="498" customFormat="false" ht="15" hidden="false" customHeight="false" outlineLevel="0" collapsed="false">
      <c r="B498" s="53" t="str">
        <f aca="false">STAAD!B1290</f>
        <v>78 121 TO 124 UNI GZ 0.0033</v>
      </c>
      <c r="C498" s="51" t="str">
        <f aca="false">IF(LEN($B498)&gt;79,"MÁS DE 79 CARACTERES","")</f>
        <v/>
      </c>
      <c r="D498" s="51" t="s">
        <v>673</v>
      </c>
    </row>
    <row r="499" customFormat="false" ht="15" hidden="false" customHeight="false" outlineLevel="0" collapsed="false">
      <c r="B499" s="53" t="str">
        <f aca="false">STAAD!B1291</f>
        <v>77 117 TO 120 UNI GY 0.0659</v>
      </c>
      <c r="C499" s="51" t="str">
        <f aca="false">IF(LEN($B499)&gt;79,"MÁS DE 79 CARACTERES","")</f>
        <v/>
      </c>
      <c r="D499" s="51" t="s">
        <v>673</v>
      </c>
    </row>
    <row r="500" customFormat="false" ht="15" hidden="false" customHeight="false" outlineLevel="0" collapsed="false">
      <c r="B500" s="53" t="str">
        <f aca="false">STAAD!B1292</f>
        <v>77 117 TO 120 UNI GZ 0.0033</v>
      </c>
      <c r="C500" s="51" t="str">
        <f aca="false">IF(LEN($B500)&gt;79,"MÁS DE 79 CARACTERES","")</f>
        <v/>
      </c>
      <c r="D500" s="51" t="s">
        <v>673</v>
      </c>
    </row>
    <row r="501" customFormat="false" ht="15" hidden="false" customHeight="false" outlineLevel="0" collapsed="false">
      <c r="B501" s="53" t="str">
        <f aca="false">STAAD!B1293</f>
        <v>9 93 TO 96 UNI GY 0.0659</v>
      </c>
      <c r="C501" s="51" t="str">
        <f aca="false">IF(LEN($B501)&gt;79,"MÁS DE 79 CARACTERES","")</f>
        <v/>
      </c>
      <c r="D501" s="51" t="s">
        <v>673</v>
      </c>
    </row>
    <row r="502" customFormat="false" ht="15" hidden="false" customHeight="false" outlineLevel="0" collapsed="false">
      <c r="B502" s="53" t="str">
        <f aca="false">STAAD!B1294</f>
        <v>9 93 TO 96 UNI GZ 0.0033</v>
      </c>
      <c r="C502" s="51" t="str">
        <f aca="false">IF(LEN($B502)&gt;79,"MÁS DE 79 CARACTERES","")</f>
        <v/>
      </c>
      <c r="D502" s="51" t="s">
        <v>673</v>
      </c>
    </row>
    <row r="503" customFormat="false" ht="15" hidden="false" customHeight="false" outlineLevel="0" collapsed="false">
      <c r="B503" s="53" t="str">
        <f aca="false">STAAD!B1295</f>
        <v>76 113 TO 116 UNI GY 0.0659</v>
      </c>
      <c r="C503" s="51" t="str">
        <f aca="false">IF(LEN($B503)&gt;79,"MÁS DE 79 CARACTERES","")</f>
        <v/>
      </c>
      <c r="D503" s="51" t="s">
        <v>673</v>
      </c>
    </row>
    <row r="504" customFormat="false" ht="15" hidden="false" customHeight="false" outlineLevel="0" collapsed="false">
      <c r="B504" s="53" t="str">
        <f aca="false">STAAD!B1296</f>
        <v>76 113 TO 116 UNI GZ 0.0033</v>
      </c>
      <c r="C504" s="51" t="str">
        <f aca="false">IF(LEN($B504)&gt;79,"MÁS DE 79 CARACTERES","")</f>
        <v/>
      </c>
      <c r="D504" s="51" t="s">
        <v>673</v>
      </c>
    </row>
    <row r="505" customFormat="false" ht="15" hidden="false" customHeight="false" outlineLevel="0" collapsed="false">
      <c r="B505" s="53" t="str">
        <f aca="false">STAAD!B1297</f>
        <v>75 109 TO 112 UNI GY 0.0659</v>
      </c>
      <c r="C505" s="51" t="str">
        <f aca="false">IF(LEN($B505)&gt;79,"MÁS DE 79 CARACTERES","")</f>
        <v/>
      </c>
      <c r="D505" s="51" t="s">
        <v>673</v>
      </c>
    </row>
    <row r="506" customFormat="false" ht="15" hidden="false" customHeight="false" outlineLevel="0" collapsed="false">
      <c r="B506" s="53" t="str">
        <f aca="false">STAAD!B1298</f>
        <v>75 109 TO 112 UNI GZ 0.0033</v>
      </c>
      <c r="C506" s="51" t="str">
        <f aca="false">IF(LEN($B506)&gt;79,"MÁS DE 79 CARACTERES","")</f>
        <v/>
      </c>
      <c r="D506" s="51" t="s">
        <v>673</v>
      </c>
    </row>
    <row r="507" customFormat="false" ht="15" hidden="false" customHeight="false" outlineLevel="0" collapsed="false">
      <c r="B507" s="53" t="str">
        <f aca="false">STAAD!B1299</f>
        <v>74 105 TO 108 UNI GY 0.0659</v>
      </c>
      <c r="C507" s="51" t="str">
        <f aca="false">IF(LEN($B507)&gt;79,"MÁS DE 79 CARACTERES","")</f>
        <v/>
      </c>
      <c r="D507" s="51" t="s">
        <v>673</v>
      </c>
    </row>
    <row r="508" customFormat="false" ht="15" hidden="false" customHeight="false" outlineLevel="0" collapsed="false">
      <c r="B508" s="53" t="str">
        <f aca="false">STAAD!B1300</f>
        <v>74 105 TO 108 UNI GZ 0.0033</v>
      </c>
      <c r="C508" s="51" t="str">
        <f aca="false">IF(LEN($B508)&gt;79,"MÁS DE 79 CARACTERES","")</f>
        <v/>
      </c>
      <c r="D508" s="51" t="s">
        <v>673</v>
      </c>
    </row>
    <row r="509" customFormat="false" ht="15" hidden="false" customHeight="false" outlineLevel="0" collapsed="false">
      <c r="B509" s="53" t="str">
        <f aca="false">STAAD!B1301</f>
        <v>73 101 TO 104 UNI GY 0.0659</v>
      </c>
      <c r="C509" s="51" t="str">
        <f aca="false">IF(LEN($B509)&gt;79,"MÁS DE 79 CARACTERES","")</f>
        <v/>
      </c>
      <c r="D509" s="51" t="s">
        <v>673</v>
      </c>
    </row>
    <row r="510" customFormat="false" ht="15" hidden="false" customHeight="false" outlineLevel="0" collapsed="false">
      <c r="B510" s="53" t="str">
        <f aca="false">STAAD!B1302</f>
        <v>73 101 TO 104 UNI GZ 0.0033</v>
      </c>
      <c r="C510" s="51" t="str">
        <f aca="false">IF(LEN($B510)&gt;79,"MÁS DE 79 CARACTERES","")</f>
        <v/>
      </c>
      <c r="D510" s="51" t="s">
        <v>673</v>
      </c>
    </row>
    <row r="511" customFormat="false" ht="15" hidden="false" customHeight="false" outlineLevel="0" collapsed="false">
      <c r="B511" s="53" t="str">
        <f aca="false">STAAD!B1303</f>
        <v>8 89 TO 92 UNI GY 0.0635</v>
      </c>
      <c r="C511" s="51" t="str">
        <f aca="false">IF(LEN($B511)&gt;79,"MÁS DE 79 CARACTERES","")</f>
        <v/>
      </c>
      <c r="D511" s="51" t="s">
        <v>673</v>
      </c>
    </row>
    <row r="512" customFormat="false" ht="15" hidden="false" customHeight="false" outlineLevel="0" collapsed="false">
      <c r="B512" s="53" t="str">
        <f aca="false">STAAD!B1304</f>
        <v>8 89 TO 92 UNI GZ 0.0032</v>
      </c>
      <c r="C512" s="51" t="str">
        <f aca="false">IF(LEN($B512)&gt;79,"MÁS DE 79 CARACTERES","")</f>
        <v/>
      </c>
      <c r="D512" s="51" t="s">
        <v>673</v>
      </c>
    </row>
    <row r="513" customFormat="false" ht="15" hidden="false" customHeight="false" outlineLevel="0" collapsed="false">
      <c r="B513" s="53" t="str">
        <f aca="false">STAAD!B1305</f>
        <v>56 97 TO 100 UNI GY 0.0610</v>
      </c>
      <c r="C513" s="51" t="str">
        <f aca="false">IF(LEN($B513)&gt;79,"MÁS DE 79 CARACTERES","")</f>
        <v/>
      </c>
      <c r="D513" s="51" t="s">
        <v>673</v>
      </c>
    </row>
    <row r="514" customFormat="false" ht="15" hidden="false" customHeight="false" outlineLevel="0" collapsed="false">
      <c r="B514" s="53" t="str">
        <f aca="false">STAAD!B1306</f>
        <v>56 97 TO 100 UNI GZ 0.0031</v>
      </c>
      <c r="C514" s="51" t="str">
        <f aca="false">IF(LEN($B514)&gt;79,"MÁS DE 79 CARACTERES","")</f>
        <v/>
      </c>
      <c r="D514" s="51" t="s">
        <v>673</v>
      </c>
    </row>
    <row r="515" customFormat="false" ht="15" hidden="false" customHeight="false" outlineLevel="0" collapsed="false">
      <c r="B515" s="53" t="str">
        <f aca="false">STAAD!B1307</f>
        <v>7 81 TO 84 UNI GY 0.0305</v>
      </c>
      <c r="C515" s="51" t="str">
        <f aca="false">IF(LEN($B515)&gt;79,"MÁS DE 79 CARACTERES","")</f>
        <v/>
      </c>
      <c r="D515" s="51" t="s">
        <v>673</v>
      </c>
    </row>
    <row r="516" customFormat="false" ht="15" hidden="false" customHeight="false" outlineLevel="0" collapsed="false">
      <c r="B516" s="53" t="str">
        <f aca="false">STAAD!B1308</f>
        <v>7 81 TO 84 UNI GZ 0.0015</v>
      </c>
      <c r="C516" s="51" t="str">
        <f aca="false">IF(LEN($B516)&gt;79,"MÁS DE 79 CARACTERES","")</f>
        <v/>
      </c>
      <c r="D516" s="51" t="s">
        <v>673</v>
      </c>
    </row>
    <row r="517" customFormat="false" ht="15" hidden="false" customHeight="false" outlineLevel="0" collapsed="false">
      <c r="B517" s="53" t="str">
        <f aca="false">STAAD!B1309</f>
        <v>*</v>
      </c>
      <c r="C517" s="51" t="str">
        <f aca="false">IF(LEN($B517)&gt;79,"MÁS DE 79 CARACTERES","")</f>
        <v/>
      </c>
      <c r="D517" s="51" t="s">
        <v>673</v>
      </c>
    </row>
    <row r="518" customFormat="false" ht="15" hidden="false" customHeight="false" outlineLevel="0" collapsed="false">
      <c r="B518" s="53" t="str">
        <f aca="false">STAAD!B1310</f>
        <v>*</v>
      </c>
      <c r="C518" s="51" t="str">
        <f aca="false">IF(LEN($B518)&gt;79,"MÁS DE 79 CARACTERES","")</f>
        <v/>
      </c>
      <c r="D518" s="51" t="s">
        <v>673</v>
      </c>
    </row>
    <row r="519" customFormat="false" ht="15" hidden="false" customHeight="false" outlineLevel="0" collapsed="false">
      <c r="B519" s="53" t="str">
        <f aca="false">STAAD!B1311</f>
        <v>*</v>
      </c>
      <c r="C519" s="51" t="str">
        <f aca="false">IF(LEN($B519)&gt;79,"MÁS DE 79 CARACTERES","")</f>
        <v/>
      </c>
      <c r="D519" s="51" t="s">
        <v>673</v>
      </c>
    </row>
    <row r="520" customFormat="false" ht="15" hidden="false" customHeight="false" outlineLevel="0" collapsed="false">
      <c r="B520" s="53" t="str">
        <f aca="false">STAAD!B1312</f>
        <v>*</v>
      </c>
      <c r="C520" s="51" t="str">
        <f aca="false">IF(LEN($B520)&gt;79,"MÁS DE 79 CARACTERES","")</f>
        <v/>
      </c>
      <c r="D520" s="51" t="s">
        <v>673</v>
      </c>
    </row>
    <row r="521" customFormat="false" ht="15" hidden="false" customHeight="false" outlineLevel="0" collapsed="false">
      <c r="B521" s="53" t="str">
        <f aca="false">STAAD!B1313</f>
        <v>*</v>
      </c>
      <c r="C521" s="51" t="str">
        <f aca="false">IF(LEN($B521)&gt;79,"MÁS DE 79 CARACTERES","")</f>
        <v/>
      </c>
      <c r="D521" s="51" t="s">
        <v>673</v>
      </c>
    </row>
    <row r="522" customFormat="false" ht="15" hidden="false" customHeight="false" outlineLevel="0" collapsed="false">
      <c r="B522" s="53" t="str">
        <f aca="false">STAAD!B1314</f>
        <v>*</v>
      </c>
      <c r="C522" s="51" t="str">
        <f aca="false">IF(LEN($B522)&gt;79,"MÁS DE 79 CARACTERES","")</f>
        <v/>
      </c>
      <c r="D522" s="51" t="s">
        <v>673</v>
      </c>
    </row>
    <row r="523" customFormat="false" ht="15" hidden="false" customHeight="false" outlineLevel="0" collapsed="false">
      <c r="B523" s="53" t="str">
        <f aca="false">STAAD!B1315</f>
        <v>*</v>
      </c>
      <c r="C523" s="51" t="str">
        <f aca="false">IF(LEN($B523)&gt;79,"MÁS DE 79 CARACTERES","")</f>
        <v/>
      </c>
      <c r="D523" s="51" t="s">
        <v>673</v>
      </c>
    </row>
    <row r="524" customFormat="false" ht="15" hidden="false" customHeight="false" outlineLevel="0" collapsed="false">
      <c r="B524" s="53" t="str">
        <f aca="false">STAAD!B1316</f>
        <v>*</v>
      </c>
      <c r="C524" s="51" t="str">
        <f aca="false">IF(LEN($B524)&gt;79,"MÁS DE 79 CARACTERES","")</f>
        <v/>
      </c>
      <c r="D524" s="51" t="s">
        <v>673</v>
      </c>
    </row>
    <row r="525" customFormat="false" ht="15" hidden="false" customHeight="false" outlineLevel="0" collapsed="false">
      <c r="B525" s="53" t="str">
        <f aca="false">STAAD!B1317</f>
        <v>*</v>
      </c>
      <c r="C525" s="51" t="str">
        <f aca="false">IF(LEN($B525)&gt;79,"MÁS DE 79 CARACTERES","")</f>
        <v/>
      </c>
      <c r="D525" s="51" t="s">
        <v>673</v>
      </c>
    </row>
    <row r="526" customFormat="false" ht="15" hidden="false" customHeight="false" outlineLevel="0" collapsed="false">
      <c r="B526" s="53" t="str">
        <f aca="false">STAAD!B1318</f>
        <v>*</v>
      </c>
      <c r="C526" s="51" t="str">
        <f aca="false">IF(LEN($B526)&gt;79,"MÁS DE 79 CARACTERES","")</f>
        <v/>
      </c>
      <c r="D526" s="51" t="s">
        <v>673</v>
      </c>
    </row>
    <row r="527" customFormat="false" ht="15" hidden="false" customHeight="false" outlineLevel="0" collapsed="false">
      <c r="B527" s="53" t="str">
        <f aca="false">STAAD!B1319</f>
        <v>*</v>
      </c>
      <c r="C527" s="51" t="str">
        <f aca="false">IF(LEN($B527)&gt;79,"MÁS DE 79 CARACTERES","")</f>
        <v/>
      </c>
      <c r="D527" s="51" t="s">
        <v>673</v>
      </c>
    </row>
    <row r="528" customFormat="false" ht="15" hidden="false" customHeight="false" outlineLevel="0" collapsed="false">
      <c r="B528" s="53" t="str">
        <f aca="false">STAAD!B1320</f>
        <v>*</v>
      </c>
      <c r="C528" s="51" t="str">
        <f aca="false">IF(LEN($B528)&gt;79,"MÁS DE 79 CARACTERES","")</f>
        <v/>
      </c>
      <c r="D528" s="51" t="s">
        <v>673</v>
      </c>
    </row>
    <row r="529" customFormat="false" ht="15" hidden="false" customHeight="false" outlineLevel="0" collapsed="false">
      <c r="B529" s="53" t="str">
        <f aca="false">STAAD!B1321</f>
        <v>*</v>
      </c>
      <c r="C529" s="51" t="str">
        <f aca="false">IF(LEN($B529)&gt;79,"MÁS DE 79 CARACTERES","")</f>
        <v/>
      </c>
      <c r="D529" s="51" t="s">
        <v>673</v>
      </c>
    </row>
    <row r="530" customFormat="false" ht="15" hidden="false" customHeight="false" outlineLevel="0" collapsed="false">
      <c r="B530" s="53" t="str">
        <f aca="false">STAAD!B1322</f>
        <v>*</v>
      </c>
      <c r="C530" s="51" t="str">
        <f aca="false">IF(LEN($B530)&gt;79,"MÁS DE 79 CARACTERES","")</f>
        <v/>
      </c>
      <c r="D530" s="51" t="s">
        <v>673</v>
      </c>
    </row>
    <row r="531" customFormat="false" ht="15" hidden="false" customHeight="false" outlineLevel="0" collapsed="false">
      <c r="B531" s="53" t="str">
        <f aca="false">STAAD!B1323</f>
        <v>*</v>
      </c>
      <c r="C531" s="51" t="str">
        <f aca="false">IF(LEN($B531)&gt;79,"MÁS DE 79 CARACTERES","")</f>
        <v/>
      </c>
      <c r="D531" s="51" t="s">
        <v>673</v>
      </c>
    </row>
    <row r="532" customFormat="false" ht="15" hidden="false" customHeight="false" outlineLevel="0" collapsed="false">
      <c r="B532" s="53" t="str">
        <f aca="false">STAAD!B1324</f>
        <v>*</v>
      </c>
      <c r="C532" s="51" t="str">
        <f aca="false">IF(LEN($B532)&gt;79,"MÁS DE 79 CARACTERES","")</f>
        <v/>
      </c>
      <c r="D532" s="51" t="s">
        <v>673</v>
      </c>
    </row>
    <row r="533" customFormat="false" ht="15" hidden="false" customHeight="false" outlineLevel="0" collapsed="false">
      <c r="B533" s="53" t="str">
        <f aca="false">STAAD!B1325</f>
        <v>*</v>
      </c>
      <c r="C533" s="51" t="str">
        <f aca="false">IF(LEN($B533)&gt;79,"MÁS DE 79 CARACTERES","")</f>
        <v/>
      </c>
      <c r="D533" s="51" t="s">
        <v>673</v>
      </c>
    </row>
    <row r="534" customFormat="false" ht="15" hidden="false" customHeight="false" outlineLevel="0" collapsed="false">
      <c r="B534" s="53" t="str">
        <f aca="false">STAAD!B1326</f>
        <v>*</v>
      </c>
      <c r="C534" s="51" t="str">
        <f aca="false">IF(LEN($B534)&gt;79,"MÁS DE 79 CARACTERES","")</f>
        <v/>
      </c>
      <c r="D534" s="51" t="s">
        <v>673</v>
      </c>
    </row>
    <row r="535" customFormat="false" ht="15" hidden="false" customHeight="false" outlineLevel="0" collapsed="false">
      <c r="B535" s="53" t="str">
        <f aca="false">STAAD!B1327</f>
        <v>*</v>
      </c>
      <c r="C535" s="51" t="str">
        <f aca="false">IF(LEN($B535)&gt;79,"MÁS DE 79 CARACTERES","")</f>
        <v/>
      </c>
      <c r="D535" s="51" t="s">
        <v>673</v>
      </c>
    </row>
    <row r="536" customFormat="false" ht="15" hidden="false" customHeight="false" outlineLevel="0" collapsed="false">
      <c r="B536" s="53" t="str">
        <f aca="false">STAAD!B1328</f>
        <v>*</v>
      </c>
      <c r="C536" s="51" t="str">
        <f aca="false">IF(LEN($B536)&gt;79,"MÁS DE 79 CARACTERES","")</f>
        <v/>
      </c>
      <c r="D536" s="51" t="s">
        <v>673</v>
      </c>
    </row>
    <row r="537" customFormat="false" ht="15" hidden="false" customHeight="false" outlineLevel="0" collapsed="false">
      <c r="B537" s="53" t="str">
        <f aca="false">STAAD!B1329</f>
        <v>*</v>
      </c>
      <c r="C537" s="51" t="str">
        <f aca="false">IF(LEN($B537)&gt;79,"MÁS DE 79 CARACTERES","")</f>
        <v/>
      </c>
      <c r="D537" s="51" t="s">
        <v>673</v>
      </c>
    </row>
    <row r="538" customFormat="false" ht="15" hidden="false" customHeight="false" outlineLevel="0" collapsed="false">
      <c r="B538" s="53" t="str">
        <f aca="false">STAAD!B1330</f>
        <v>*</v>
      </c>
      <c r="C538" s="51" t="str">
        <f aca="false">IF(LEN($B538)&gt;79,"MÁS DE 79 CARACTERES","")</f>
        <v/>
      </c>
      <c r="D538" s="51" t="s">
        <v>673</v>
      </c>
    </row>
    <row r="539" customFormat="false" ht="15" hidden="false" customHeight="false" outlineLevel="0" collapsed="false">
      <c r="B539" s="53" t="str">
        <f aca="false">STAAD!B1331</f>
        <v>*</v>
      </c>
      <c r="C539" s="51" t="str">
        <f aca="false">IF(LEN($B539)&gt;79,"MÁS DE 79 CARACTERES","")</f>
        <v/>
      </c>
      <c r="D539" s="51" t="s">
        <v>673</v>
      </c>
    </row>
    <row r="540" customFormat="false" ht="15" hidden="false" customHeight="false" outlineLevel="0" collapsed="false">
      <c r="B540" s="53" t="str">
        <f aca="false">STAAD!B1332</f>
        <v>*</v>
      </c>
      <c r="C540" s="51" t="str">
        <f aca="false">IF(LEN($B540)&gt;79,"MÁS DE 79 CARACTERES","")</f>
        <v/>
      </c>
      <c r="D540" s="51" t="s">
        <v>673</v>
      </c>
    </row>
    <row r="541" customFormat="false" ht="15" hidden="false" customHeight="false" outlineLevel="0" collapsed="false">
      <c r="B541" s="53" t="str">
        <f aca="false">STAAD!B1333</f>
        <v>*</v>
      </c>
      <c r="C541" s="51" t="str">
        <f aca="false">IF(LEN($B541)&gt;79,"MÁS DE 79 CARACTERES","")</f>
        <v/>
      </c>
      <c r="D541" s="51" t="s">
        <v>673</v>
      </c>
    </row>
    <row r="542" customFormat="false" ht="15" hidden="false" customHeight="false" outlineLevel="0" collapsed="false">
      <c r="B542" s="53" t="str">
        <f aca="false">STAAD!B1334</f>
        <v>*</v>
      </c>
      <c r="C542" s="51" t="str">
        <f aca="false">IF(LEN($B542)&gt;79,"MÁS DE 79 CARACTERES","")</f>
        <v/>
      </c>
      <c r="D542" s="51" t="s">
        <v>673</v>
      </c>
    </row>
    <row r="543" customFormat="false" ht="15" hidden="false" customHeight="false" outlineLevel="0" collapsed="false">
      <c r="B543" s="53" t="str">
        <f aca="false">STAAD!B1335</f>
        <v>*</v>
      </c>
      <c r="C543" s="51" t="str">
        <f aca="false">IF(LEN($B543)&gt;79,"MÁS DE 79 CARACTERES","")</f>
        <v/>
      </c>
      <c r="D543" s="51" t="s">
        <v>673</v>
      </c>
    </row>
    <row r="544" customFormat="false" ht="15" hidden="false" customHeight="false" outlineLevel="0" collapsed="false">
      <c r="B544" s="53" t="str">
        <f aca="false">STAAD!B1336</f>
        <v>*</v>
      </c>
      <c r="C544" s="51" t="str">
        <f aca="false">IF(LEN($B544)&gt;79,"MÁS DE 79 CARACTERES","")</f>
        <v/>
      </c>
      <c r="D544" s="51" t="s">
        <v>673</v>
      </c>
    </row>
    <row r="545" customFormat="false" ht="15" hidden="false" customHeight="false" outlineLevel="0" collapsed="false">
      <c r="B545" s="53" t="str">
        <f aca="false">STAAD!B1337</f>
        <v>*</v>
      </c>
      <c r="C545" s="51" t="str">
        <f aca="false">IF(LEN($B545)&gt;79,"MÁS DE 79 CARACTERES","")</f>
        <v/>
      </c>
      <c r="D545" s="51" t="s">
        <v>673</v>
      </c>
    </row>
    <row r="546" customFormat="false" ht="15" hidden="false" customHeight="false" outlineLevel="0" collapsed="false">
      <c r="B546" s="53" t="str">
        <f aca="false">STAAD!B1338</f>
        <v>*</v>
      </c>
      <c r="C546" s="51" t="str">
        <f aca="false">IF(LEN($B546)&gt;79,"MÁS DE 79 CARACTERES","")</f>
        <v/>
      </c>
      <c r="D546" s="51" t="s">
        <v>673</v>
      </c>
    </row>
    <row r="547" customFormat="false" ht="15" hidden="false" customHeight="false" outlineLevel="0" collapsed="false">
      <c r="B547" s="53" t="str">
        <f aca="false">STAAD!B1339</f>
        <v>*</v>
      </c>
      <c r="C547" s="51" t="str">
        <f aca="false">IF(LEN($B547)&gt;79,"MÁS DE 79 CARACTERES","")</f>
        <v/>
      </c>
      <c r="D547" s="51" t="s">
        <v>673</v>
      </c>
    </row>
    <row r="548" customFormat="false" ht="15" hidden="false" customHeight="false" outlineLevel="0" collapsed="false">
      <c r="B548" s="53" t="str">
        <f aca="false">STAAD!B1340</f>
        <v>*</v>
      </c>
      <c r="C548" s="51" t="str">
        <f aca="false">IF(LEN($B548)&gt;79,"MÁS DE 79 CARACTERES","")</f>
        <v/>
      </c>
      <c r="D548" s="51" t="s">
        <v>673</v>
      </c>
    </row>
    <row r="549" customFormat="false" ht="15" hidden="false" customHeight="false" outlineLevel="0" collapsed="false">
      <c r="B549" s="53" t="str">
        <f aca="false">STAAD!B1341</f>
        <v>*</v>
      </c>
      <c r="C549" s="51" t="str">
        <f aca="false">IF(LEN($B549)&gt;79,"MÁS DE 79 CARACTERES","")</f>
        <v/>
      </c>
      <c r="D549" s="51" t="s">
        <v>673</v>
      </c>
    </row>
    <row r="550" customFormat="false" ht="15" hidden="false" customHeight="false" outlineLevel="0" collapsed="false">
      <c r="B550" s="53" t="str">
        <f aca="false">STAAD!B1342</f>
        <v>*</v>
      </c>
      <c r="C550" s="51" t="str">
        <f aca="false">IF(LEN($B550)&gt;79,"MÁS DE 79 CARACTERES","")</f>
        <v/>
      </c>
      <c r="D550" s="51" t="s">
        <v>673</v>
      </c>
    </row>
    <row r="551" customFormat="false" ht="15" hidden="false" customHeight="false" outlineLevel="0" collapsed="false">
      <c r="B551" s="53" t="s">
        <v>674</v>
      </c>
      <c r="C551" s="51" t="str">
        <f aca="false">IF(LEN($B551)&gt;79,"MÁS DE 79 CARACTERES","")</f>
        <v/>
      </c>
      <c r="D551" s="51"/>
    </row>
    <row r="552" customFormat="false" ht="15" hidden="false" customHeight="false" outlineLevel="0" collapsed="false">
      <c r="B552" s="53" t="s">
        <v>675</v>
      </c>
      <c r="C552" s="51" t="str">
        <f aca="false">IF(LEN($B552)&gt;79,"MÁS DE 79 CARACTERES","")</f>
        <v/>
      </c>
      <c r="D552" s="51"/>
    </row>
    <row r="553" customFormat="false" ht="15" hidden="false" customHeight="false" outlineLevel="0" collapsed="false">
      <c r="B553" s="53" t="str">
        <f aca="false">"259 260 261 UNI GX "&amp;TEXT(PRESIONES!I$45*0.6*DATOS!$C$67,DATOS!$C$68)</f>
        <v>259 260 261 UNI GX -0.0258</v>
      </c>
      <c r="C553" s="51" t="str">
        <f aca="false">IF(LEN($B553)&gt;79,"MÁS DE 79 CARACTERES","")</f>
        <v/>
      </c>
      <c r="D553" s="51" t="s">
        <v>676</v>
      </c>
    </row>
    <row r="554" customFormat="false" ht="15" hidden="false" customHeight="false" outlineLevel="0" collapsed="false">
      <c r="B554" s="53" t="str">
        <f aca="false">"265 266 267 UNI GX "&amp;TEXT(-PRESIONES!I$46*0.6*DATOS!$C$67,DATOS!$C$68)</f>
        <v>265 266 267 UNI GX 0.0258</v>
      </c>
      <c r="C554" s="51" t="str">
        <f aca="false">IF(LEN($B554)&gt;79,"MÁS DE 79 CARACTERES","")</f>
        <v/>
      </c>
      <c r="D554" s="51" t="s">
        <v>677</v>
      </c>
    </row>
    <row r="555" customFormat="false" ht="15" hidden="false" customHeight="false" outlineLevel="0" collapsed="false">
      <c r="B555" s="53" t="str">
        <f aca="false">"262 263 264 UNI GZ "&amp;TEXT(PRESIONES!I$43*0.6*DATOS!$C$67,DATOS!$C$68)</f>
        <v>262 263 264 UNI GZ 0.4062</v>
      </c>
      <c r="C555" s="51" t="str">
        <f aca="false">IF(LEN($B555)&gt;79,"MÁS DE 79 CARACTERES","")</f>
        <v/>
      </c>
      <c r="D555" s="51" t="s">
        <v>678</v>
      </c>
    </row>
    <row r="556" customFormat="false" ht="15" hidden="false" customHeight="false" outlineLevel="0" collapsed="false">
      <c r="B556" s="53" t="s">
        <v>685</v>
      </c>
      <c r="C556" s="51" t="str">
        <f aca="false">IF(LEN($B556)&gt;79,"MÁS DE 79 CARACTERES","")</f>
        <v/>
      </c>
      <c r="D556" s="51"/>
    </row>
    <row r="557" customFormat="false" ht="15" hidden="false" customHeight="false" outlineLevel="0" collapsed="false">
      <c r="B557" s="53" t="s">
        <v>684</v>
      </c>
      <c r="C557" s="51" t="str">
        <f aca="false">IF(LEN($B557)&gt;79,"MÁS DE 79 CARACTERES","")</f>
        <v/>
      </c>
      <c r="D557" s="51"/>
    </row>
    <row r="558" customFormat="false" ht="15" hidden="false" customHeight="false" outlineLevel="0" collapsed="false">
      <c r="B558" s="53" t="str">
        <f aca="false">STAAD!B1493</f>
        <v>LOAD 15 LOADTYPE Wind  TITLE VIENTO -Z PA</v>
      </c>
      <c r="C558" s="51" t="str">
        <f aca="false">IF(LEN($B558)&gt;79,"MÁS DE 79 CARACTERES","")</f>
        <v/>
      </c>
      <c r="D558" s="51" t="s">
        <v>665</v>
      </c>
    </row>
    <row r="559" customFormat="false" ht="15" hidden="false" customHeight="false" outlineLevel="0" collapsed="false">
      <c r="B559" s="53" t="s">
        <v>666</v>
      </c>
      <c r="C559" s="51" t="str">
        <f aca="false">IF(LEN($B559)&gt;79,"MÁS DE 79 CARACTERES","")</f>
        <v/>
      </c>
      <c r="D559" s="51"/>
    </row>
    <row r="560" customFormat="false" ht="15" hidden="false" customHeight="false" outlineLevel="0" collapsed="false">
      <c r="B560" s="53" t="s">
        <v>667</v>
      </c>
      <c r="C560" s="51" t="str">
        <f aca="false">IF(LEN($B560)&gt;79,"MÁS DE 79 CARACTERES","")</f>
        <v/>
      </c>
      <c r="D560" s="51"/>
    </row>
    <row r="561" customFormat="false" ht="15" hidden="false" customHeight="false" outlineLevel="0" collapsed="false">
      <c r="B561" s="53" t="s">
        <v>668</v>
      </c>
      <c r="C561" s="51" t="str">
        <f aca="false">IF(LEN($B561)&gt;79,"MÁS DE 79 CARACTERES","")</f>
        <v/>
      </c>
      <c r="D561" s="51"/>
    </row>
    <row r="562" customFormat="false" ht="15" hidden="false" customHeight="false" outlineLevel="0" collapsed="false">
      <c r="B562" s="53" t="str">
        <f aca="false">"_MURO3 ONE "&amp;TEXT(PRESIONES!J$45*IF(DATOS!$C$65="CM KG",0.0001,IF(DATOS!$C$65="METER KG",1,0.00980665)),"0.000000")&amp;" GX"</f>
        <v>_MURO3 ONE -0.007022 GX</v>
      </c>
      <c r="C562" s="51" t="str">
        <f aca="false">IF(LEN($B562)&gt;79,"MÁS DE 79 CARACTERES","")</f>
        <v/>
      </c>
      <c r="D562" s="51" t="s">
        <v>669</v>
      </c>
    </row>
    <row r="563" customFormat="false" ht="15" hidden="false" customHeight="false" outlineLevel="0" collapsed="false">
      <c r="B563" s="53" t="str">
        <f aca="false">"_MURO4 ONE "&amp;TEXT(-PRESIONES!J$46*IF(DATOS!$C$65="CM KG",0.0001,IF(DATOS!$C$65="METER KG",1,0.00980665)),"0.000000")&amp;" GX"</f>
        <v>_MURO4 ONE 0.007022 GX</v>
      </c>
      <c r="C563" s="51" t="str">
        <f aca="false">IF(LEN($B563)&gt;79,"MÁS DE 79 CARACTERES","")</f>
        <v/>
      </c>
      <c r="D563" s="51" t="s">
        <v>670</v>
      </c>
    </row>
    <row r="564" customFormat="false" ht="15" hidden="false" customHeight="false" outlineLevel="0" collapsed="false">
      <c r="B564" s="53" t="str">
        <f aca="false">"_MURO1 ONE "&amp;TEXT(PRESIONES!J$43*IF(DATOS!$C$65="CM KG",0.0001,IF(DATOS!$C$65="METER KG",1,0.00980665)),"0.000000")&amp;" GZ"</f>
        <v>_MURO1 ONE -0.006062 GZ</v>
      </c>
      <c r="C564" s="51" t="str">
        <f aca="false">IF(LEN($B564)&gt;79,"MÁS DE 79 CARACTERES","")</f>
        <v/>
      </c>
      <c r="D564" s="51" t="s">
        <v>671</v>
      </c>
    </row>
    <row r="565" customFormat="false" ht="15" hidden="false" customHeight="false" outlineLevel="0" collapsed="false">
      <c r="B565" s="53" t="s">
        <v>634</v>
      </c>
      <c r="C565" s="51" t="str">
        <f aca="false">IF(LEN($B565)&gt;79,"MÁS DE 79 CARACTERES","")</f>
        <v/>
      </c>
      <c r="D565" s="51"/>
    </row>
    <row r="566" customFormat="false" ht="15" hidden="false" customHeight="false" outlineLevel="0" collapsed="false">
      <c r="B566" s="53" t="s">
        <v>672</v>
      </c>
      <c r="C566" s="51" t="str">
        <f aca="false">IF(LEN($B566)&gt;79,"MÁS DE 79 CARACTERES","")</f>
        <v/>
      </c>
      <c r="D566" s="51"/>
    </row>
    <row r="567" customFormat="false" ht="15" hidden="false" customHeight="false" outlineLevel="0" collapsed="false">
      <c r="B567" s="53" t="str">
        <f aca="false">STAAD!B1495</f>
        <v>22 85 TO 88 UNI GY 0.4779</v>
      </c>
      <c r="C567" s="51" t="str">
        <f aca="false">IF(LEN($B567)&gt;79,"MÁS DE 79 CARACTERES","")</f>
        <v/>
      </c>
      <c r="D567" s="51" t="s">
        <v>673</v>
      </c>
    </row>
    <row r="568" customFormat="false" ht="15" hidden="false" customHeight="false" outlineLevel="0" collapsed="false">
      <c r="B568" s="53" t="str">
        <f aca="false">STAAD!B1496</f>
        <v>22 85 TO 88 UNI GZ 0.0239</v>
      </c>
      <c r="C568" s="51" t="str">
        <f aca="false">IF(LEN($B568)&gt;79,"MÁS DE 79 CARACTERES","")</f>
        <v/>
      </c>
      <c r="D568" s="51" t="s">
        <v>673</v>
      </c>
    </row>
    <row r="569" customFormat="false" ht="15" hidden="false" customHeight="false" outlineLevel="0" collapsed="false">
      <c r="B569" s="53" t="str">
        <f aca="false">STAAD!B1497</f>
        <v>80 129 TO 132 UNI GY 0.9559</v>
      </c>
      <c r="C569" s="51" t="str">
        <f aca="false">IF(LEN($B569)&gt;79,"MÁS DE 79 CARACTERES","")</f>
        <v/>
      </c>
      <c r="D569" s="51" t="s">
        <v>673</v>
      </c>
    </row>
    <row r="570" customFormat="false" ht="15" hidden="false" customHeight="false" outlineLevel="0" collapsed="false">
      <c r="B570" s="53" t="str">
        <f aca="false">STAAD!B1498</f>
        <v>80 129 TO 132 UNI GZ 0.0478</v>
      </c>
      <c r="C570" s="51" t="str">
        <f aca="false">IF(LEN($B570)&gt;79,"MÁS DE 79 CARACTERES","")</f>
        <v/>
      </c>
      <c r="D570" s="51" t="s">
        <v>673</v>
      </c>
    </row>
    <row r="571" customFormat="false" ht="15" hidden="false" customHeight="false" outlineLevel="0" collapsed="false">
      <c r="B571" s="53" t="str">
        <f aca="false">STAAD!B1499</f>
        <v>79 125 TO 128 UNI GY 0.9559</v>
      </c>
      <c r="C571" s="51" t="str">
        <f aca="false">IF(LEN($B571)&gt;79,"MÁS DE 79 CARACTERES","")</f>
        <v/>
      </c>
      <c r="D571" s="51" t="s">
        <v>673</v>
      </c>
    </row>
    <row r="572" customFormat="false" ht="15" hidden="false" customHeight="false" outlineLevel="0" collapsed="false">
      <c r="B572" s="53" t="str">
        <f aca="false">STAAD!B1500</f>
        <v>79 125 TO 128 UNI GZ 0.0478</v>
      </c>
      <c r="C572" s="51" t="str">
        <f aca="false">IF(LEN($B572)&gt;79,"MÁS DE 79 CARACTERES","")</f>
        <v/>
      </c>
      <c r="D572" s="51" t="s">
        <v>673</v>
      </c>
    </row>
    <row r="573" customFormat="false" ht="15" hidden="false" customHeight="false" outlineLevel="0" collapsed="false">
      <c r="B573" s="53" t="str">
        <f aca="false">STAAD!B1501</f>
        <v>78 121 TO 124 UNI GY 0.9559</v>
      </c>
      <c r="C573" s="51" t="str">
        <f aca="false">IF(LEN($B573)&gt;79,"MÁS DE 79 CARACTERES","")</f>
        <v/>
      </c>
      <c r="D573" s="51" t="s">
        <v>673</v>
      </c>
    </row>
    <row r="574" customFormat="false" ht="15" hidden="false" customHeight="false" outlineLevel="0" collapsed="false">
      <c r="B574" s="53" t="str">
        <f aca="false">STAAD!B1502</f>
        <v>78 121 TO 124 UNI GZ 0.0478</v>
      </c>
      <c r="C574" s="51" t="str">
        <f aca="false">IF(LEN($B574)&gt;79,"MÁS DE 79 CARACTERES","")</f>
        <v/>
      </c>
      <c r="D574" s="51" t="s">
        <v>673</v>
      </c>
    </row>
    <row r="575" customFormat="false" ht="15" hidden="false" customHeight="false" outlineLevel="0" collapsed="false">
      <c r="B575" s="53" t="str">
        <f aca="false">STAAD!B1503</f>
        <v>77 117 TO 120 UNI GY 0.9559</v>
      </c>
      <c r="C575" s="51" t="str">
        <f aca="false">IF(LEN($B575)&gt;79,"MÁS DE 79 CARACTERES","")</f>
        <v/>
      </c>
      <c r="D575" s="51" t="s">
        <v>673</v>
      </c>
    </row>
    <row r="576" customFormat="false" ht="15" hidden="false" customHeight="false" outlineLevel="0" collapsed="false">
      <c r="B576" s="53" t="str">
        <f aca="false">STAAD!B1504</f>
        <v>77 117 TO 120 UNI GZ 0.0478</v>
      </c>
      <c r="C576" s="51" t="str">
        <f aca="false">IF(LEN($B576)&gt;79,"MÁS DE 79 CARACTERES","")</f>
        <v/>
      </c>
      <c r="D576" s="51" t="s">
        <v>673</v>
      </c>
    </row>
    <row r="577" customFormat="false" ht="15" hidden="false" customHeight="false" outlineLevel="0" collapsed="false">
      <c r="B577" s="53" t="str">
        <f aca="false">STAAD!B1505</f>
        <v>9 93 TO 96 UNI GY 0.9559</v>
      </c>
      <c r="C577" s="51" t="str">
        <f aca="false">IF(LEN($B577)&gt;79,"MÁS DE 79 CARACTERES","")</f>
        <v/>
      </c>
      <c r="D577" s="51" t="s">
        <v>673</v>
      </c>
    </row>
    <row r="578" customFormat="false" ht="15" hidden="false" customHeight="false" outlineLevel="0" collapsed="false">
      <c r="B578" s="53" t="str">
        <f aca="false">STAAD!B1506</f>
        <v>9 93 TO 96 UNI GZ 0.0478</v>
      </c>
      <c r="C578" s="51" t="str">
        <f aca="false">IF(LEN($B578)&gt;79,"MÁS DE 79 CARACTERES","")</f>
        <v/>
      </c>
      <c r="D578" s="51" t="s">
        <v>673</v>
      </c>
    </row>
    <row r="579" customFormat="false" ht="15" hidden="false" customHeight="false" outlineLevel="0" collapsed="false">
      <c r="B579" s="53" t="str">
        <f aca="false">STAAD!B1507</f>
        <v>76 113 TO 116 UNI GY 0.9559</v>
      </c>
      <c r="C579" s="51" t="str">
        <f aca="false">IF(LEN($B579)&gt;79,"MÁS DE 79 CARACTERES","")</f>
        <v/>
      </c>
      <c r="D579" s="51" t="s">
        <v>673</v>
      </c>
    </row>
    <row r="580" customFormat="false" ht="15" hidden="false" customHeight="false" outlineLevel="0" collapsed="false">
      <c r="B580" s="53" t="str">
        <f aca="false">STAAD!B1508</f>
        <v>76 113 TO 116 UNI GZ 0.0478</v>
      </c>
      <c r="C580" s="51" t="str">
        <f aca="false">IF(LEN($B580)&gt;79,"MÁS DE 79 CARACTERES","")</f>
        <v/>
      </c>
      <c r="D580" s="51" t="s">
        <v>673</v>
      </c>
    </row>
    <row r="581" customFormat="false" ht="15" hidden="false" customHeight="false" outlineLevel="0" collapsed="false">
      <c r="B581" s="53" t="str">
        <f aca="false">STAAD!B1509</f>
        <v>75 109 TO 112 UNI GY 0.9559</v>
      </c>
      <c r="C581" s="51" t="str">
        <f aca="false">IF(LEN($B581)&gt;79,"MÁS DE 79 CARACTERES","")</f>
        <v/>
      </c>
      <c r="D581" s="51" t="s">
        <v>673</v>
      </c>
    </row>
    <row r="582" customFormat="false" ht="15" hidden="false" customHeight="false" outlineLevel="0" collapsed="false">
      <c r="B582" s="53" t="str">
        <f aca="false">STAAD!B1510</f>
        <v>75 109 TO 112 UNI GZ 0.0478</v>
      </c>
      <c r="C582" s="51" t="str">
        <f aca="false">IF(LEN($B582)&gt;79,"MÁS DE 79 CARACTERES","")</f>
        <v/>
      </c>
      <c r="D582" s="51" t="s">
        <v>673</v>
      </c>
    </row>
    <row r="583" customFormat="false" ht="15" hidden="false" customHeight="false" outlineLevel="0" collapsed="false">
      <c r="B583" s="53" t="str">
        <f aca="false">STAAD!B1511</f>
        <v>74 105 TO 108 UNI GY 0.9559</v>
      </c>
      <c r="C583" s="51" t="str">
        <f aca="false">IF(LEN($B583)&gt;79,"MÁS DE 79 CARACTERES","")</f>
        <v/>
      </c>
      <c r="D583" s="51" t="s">
        <v>673</v>
      </c>
    </row>
    <row r="584" customFormat="false" ht="15" hidden="false" customHeight="false" outlineLevel="0" collapsed="false">
      <c r="B584" s="53" t="str">
        <f aca="false">STAAD!B1512</f>
        <v>74 105 TO 108 UNI GZ 0.0478</v>
      </c>
      <c r="C584" s="51" t="str">
        <f aca="false">IF(LEN($B584)&gt;79,"MÁS DE 79 CARACTERES","")</f>
        <v/>
      </c>
      <c r="D584" s="51" t="s">
        <v>673</v>
      </c>
    </row>
    <row r="585" customFormat="false" ht="15" hidden="false" customHeight="false" outlineLevel="0" collapsed="false">
      <c r="B585" s="53" t="str">
        <f aca="false">STAAD!B1513</f>
        <v>73 101 TO 104 UNI GY 0.9559</v>
      </c>
      <c r="C585" s="51" t="str">
        <f aca="false">IF(LEN($B585)&gt;79,"MÁS DE 79 CARACTERES","")</f>
        <v/>
      </c>
      <c r="D585" s="51" t="s">
        <v>673</v>
      </c>
    </row>
    <row r="586" customFormat="false" ht="15" hidden="false" customHeight="false" outlineLevel="0" collapsed="false">
      <c r="B586" s="53" t="str">
        <f aca="false">STAAD!B1514</f>
        <v>73 101 TO 104 UNI GZ 0.0478</v>
      </c>
      <c r="C586" s="51" t="str">
        <f aca="false">IF(LEN($B586)&gt;79,"MÁS DE 79 CARACTERES","")</f>
        <v/>
      </c>
      <c r="D586" s="51" t="s">
        <v>673</v>
      </c>
    </row>
    <row r="587" customFormat="false" ht="15" hidden="false" customHeight="false" outlineLevel="0" collapsed="false">
      <c r="B587" s="53" t="str">
        <f aca="false">STAAD!B1515</f>
        <v>8 89 TO 92 UNI GY 0.9205</v>
      </c>
      <c r="C587" s="51" t="str">
        <f aca="false">IF(LEN($B587)&gt;79,"MÁS DE 79 CARACTERES","")</f>
        <v/>
      </c>
      <c r="D587" s="51" t="s">
        <v>673</v>
      </c>
    </row>
    <row r="588" customFormat="false" ht="15" hidden="false" customHeight="false" outlineLevel="0" collapsed="false">
      <c r="B588" s="53" t="str">
        <f aca="false">STAAD!B1516</f>
        <v>8 89 TO 92 UNI GZ 0.0460</v>
      </c>
      <c r="C588" s="51" t="str">
        <f aca="false">IF(LEN($B588)&gt;79,"MÁS DE 79 CARACTERES","")</f>
        <v/>
      </c>
      <c r="D588" s="51" t="s">
        <v>673</v>
      </c>
    </row>
    <row r="589" customFormat="false" ht="15" hidden="false" customHeight="false" outlineLevel="0" collapsed="false">
      <c r="B589" s="53" t="str">
        <f aca="false">STAAD!B1517</f>
        <v>56 97 TO 100 UNI GY 0.8851</v>
      </c>
      <c r="C589" s="51" t="str">
        <f aca="false">IF(LEN($B589)&gt;79,"MÁS DE 79 CARACTERES","")</f>
        <v/>
      </c>
      <c r="D589" s="51" t="s">
        <v>673</v>
      </c>
    </row>
    <row r="590" customFormat="false" ht="15" hidden="false" customHeight="false" outlineLevel="0" collapsed="false">
      <c r="B590" s="53" t="str">
        <f aca="false">STAAD!B1518</f>
        <v>56 97 TO 100 UNI GZ 0.0443</v>
      </c>
      <c r="C590" s="51" t="str">
        <f aca="false">IF(LEN($B590)&gt;79,"MÁS DE 79 CARACTERES","")</f>
        <v/>
      </c>
      <c r="D590" s="51" t="s">
        <v>673</v>
      </c>
    </row>
    <row r="591" customFormat="false" ht="15" hidden="false" customHeight="false" outlineLevel="0" collapsed="false">
      <c r="B591" s="53" t="str">
        <f aca="false">STAAD!B1519</f>
        <v>7 81 TO 84 UNI GY 0.4425</v>
      </c>
      <c r="C591" s="51" t="str">
        <f aca="false">IF(LEN($B591)&gt;79,"MÁS DE 79 CARACTERES","")</f>
        <v/>
      </c>
      <c r="D591" s="51" t="s">
        <v>673</v>
      </c>
    </row>
    <row r="592" customFormat="false" ht="15" hidden="false" customHeight="false" outlineLevel="0" collapsed="false">
      <c r="B592" s="53" t="str">
        <f aca="false">STAAD!B1520</f>
        <v>7 81 TO 84 UNI GZ 0.0221</v>
      </c>
      <c r="C592" s="51" t="str">
        <f aca="false">IF(LEN($B592)&gt;79,"MÁS DE 79 CARACTERES","")</f>
        <v/>
      </c>
      <c r="D592" s="51" t="s">
        <v>673</v>
      </c>
    </row>
    <row r="593" customFormat="false" ht="15" hidden="false" customHeight="false" outlineLevel="0" collapsed="false">
      <c r="B593" s="53" t="str">
        <f aca="false">STAAD!B1521</f>
        <v>*</v>
      </c>
      <c r="C593" s="51" t="str">
        <f aca="false">IF(LEN($B593)&gt;79,"MÁS DE 79 CARACTERES","")</f>
        <v/>
      </c>
      <c r="D593" s="51" t="s">
        <v>673</v>
      </c>
    </row>
    <row r="594" customFormat="false" ht="15" hidden="false" customHeight="false" outlineLevel="0" collapsed="false">
      <c r="B594" s="53" t="str">
        <f aca="false">STAAD!B1522</f>
        <v>*</v>
      </c>
      <c r="C594" s="51" t="str">
        <f aca="false">IF(LEN($B594)&gt;79,"MÁS DE 79 CARACTERES","")</f>
        <v/>
      </c>
      <c r="D594" s="51" t="s">
        <v>673</v>
      </c>
    </row>
    <row r="595" customFormat="false" ht="15" hidden="false" customHeight="false" outlineLevel="0" collapsed="false">
      <c r="B595" s="53" t="str">
        <f aca="false">STAAD!B1523</f>
        <v>*</v>
      </c>
      <c r="C595" s="51" t="str">
        <f aca="false">IF(LEN($B595)&gt;79,"MÁS DE 79 CARACTERES","")</f>
        <v/>
      </c>
      <c r="D595" s="51" t="s">
        <v>673</v>
      </c>
    </row>
    <row r="596" customFormat="false" ht="15" hidden="false" customHeight="false" outlineLevel="0" collapsed="false">
      <c r="B596" s="53" t="str">
        <f aca="false">STAAD!B1524</f>
        <v>*</v>
      </c>
      <c r="C596" s="51" t="str">
        <f aca="false">IF(LEN($B596)&gt;79,"MÁS DE 79 CARACTERES","")</f>
        <v/>
      </c>
      <c r="D596" s="51" t="s">
        <v>673</v>
      </c>
    </row>
    <row r="597" customFormat="false" ht="15" hidden="false" customHeight="false" outlineLevel="0" collapsed="false">
      <c r="B597" s="53" t="str">
        <f aca="false">STAAD!B1525</f>
        <v>*</v>
      </c>
      <c r="C597" s="51" t="str">
        <f aca="false">IF(LEN($B597)&gt;79,"MÁS DE 79 CARACTERES","")</f>
        <v/>
      </c>
      <c r="D597" s="51" t="s">
        <v>673</v>
      </c>
    </row>
    <row r="598" customFormat="false" ht="15" hidden="false" customHeight="false" outlineLevel="0" collapsed="false">
      <c r="B598" s="53" t="str">
        <f aca="false">STAAD!B1526</f>
        <v>*</v>
      </c>
      <c r="C598" s="51" t="str">
        <f aca="false">IF(LEN($B598)&gt;79,"MÁS DE 79 CARACTERES","")</f>
        <v/>
      </c>
      <c r="D598" s="51" t="s">
        <v>673</v>
      </c>
    </row>
    <row r="599" customFormat="false" ht="15" hidden="false" customHeight="false" outlineLevel="0" collapsed="false">
      <c r="B599" s="53" t="str">
        <f aca="false">STAAD!B1527</f>
        <v>*</v>
      </c>
      <c r="C599" s="51" t="str">
        <f aca="false">IF(LEN($B599)&gt;79,"MÁS DE 79 CARACTERES","")</f>
        <v/>
      </c>
      <c r="D599" s="51" t="s">
        <v>673</v>
      </c>
    </row>
    <row r="600" customFormat="false" ht="15" hidden="false" customHeight="false" outlineLevel="0" collapsed="false">
      <c r="B600" s="53" t="str">
        <f aca="false">STAAD!B1528</f>
        <v>*</v>
      </c>
      <c r="C600" s="51" t="str">
        <f aca="false">IF(LEN($B600)&gt;79,"MÁS DE 79 CARACTERES","")</f>
        <v/>
      </c>
      <c r="D600" s="51" t="s">
        <v>673</v>
      </c>
    </row>
    <row r="601" customFormat="false" ht="15" hidden="false" customHeight="false" outlineLevel="0" collapsed="false">
      <c r="B601" s="53" t="str">
        <f aca="false">STAAD!B1529</f>
        <v>*</v>
      </c>
      <c r="C601" s="51" t="str">
        <f aca="false">IF(LEN($B601)&gt;79,"MÁS DE 79 CARACTERES","")</f>
        <v/>
      </c>
      <c r="D601" s="51" t="s">
        <v>673</v>
      </c>
    </row>
    <row r="602" customFormat="false" ht="15" hidden="false" customHeight="false" outlineLevel="0" collapsed="false">
      <c r="B602" s="53" t="str">
        <f aca="false">STAAD!B1530</f>
        <v>*</v>
      </c>
      <c r="C602" s="51" t="str">
        <f aca="false">IF(LEN($B602)&gt;79,"MÁS DE 79 CARACTERES","")</f>
        <v/>
      </c>
      <c r="D602" s="51" t="s">
        <v>673</v>
      </c>
    </row>
    <row r="603" customFormat="false" ht="15" hidden="false" customHeight="false" outlineLevel="0" collapsed="false">
      <c r="B603" s="53" t="str">
        <f aca="false">STAAD!B1531</f>
        <v>*</v>
      </c>
      <c r="C603" s="51" t="str">
        <f aca="false">IF(LEN($B603)&gt;79,"MÁS DE 79 CARACTERES","")</f>
        <v/>
      </c>
      <c r="D603" s="51" t="s">
        <v>673</v>
      </c>
    </row>
    <row r="604" customFormat="false" ht="15" hidden="false" customHeight="false" outlineLevel="0" collapsed="false">
      <c r="B604" s="53" t="str">
        <f aca="false">STAAD!B1532</f>
        <v>*</v>
      </c>
      <c r="C604" s="51" t="str">
        <f aca="false">IF(LEN($B604)&gt;79,"MÁS DE 79 CARACTERES","")</f>
        <v/>
      </c>
      <c r="D604" s="51" t="s">
        <v>673</v>
      </c>
    </row>
    <row r="605" customFormat="false" ht="15" hidden="false" customHeight="false" outlineLevel="0" collapsed="false">
      <c r="B605" s="53" t="str">
        <f aca="false">STAAD!B1533</f>
        <v>*</v>
      </c>
      <c r="C605" s="51" t="str">
        <f aca="false">IF(LEN($B605)&gt;79,"MÁS DE 79 CARACTERES","")</f>
        <v/>
      </c>
      <c r="D605" s="51" t="s">
        <v>673</v>
      </c>
    </row>
    <row r="606" customFormat="false" ht="15" hidden="false" customHeight="false" outlineLevel="0" collapsed="false">
      <c r="B606" s="53" t="str">
        <f aca="false">STAAD!B1534</f>
        <v>*</v>
      </c>
      <c r="C606" s="51" t="str">
        <f aca="false">IF(LEN($B606)&gt;79,"MÁS DE 79 CARACTERES","")</f>
        <v/>
      </c>
      <c r="D606" s="51" t="s">
        <v>673</v>
      </c>
    </row>
    <row r="607" customFormat="false" ht="15" hidden="false" customHeight="false" outlineLevel="0" collapsed="false">
      <c r="B607" s="53" t="str">
        <f aca="false">STAAD!B1535</f>
        <v>*</v>
      </c>
      <c r="C607" s="51" t="str">
        <f aca="false">IF(LEN($B607)&gt;79,"MÁS DE 79 CARACTERES","")</f>
        <v/>
      </c>
      <c r="D607" s="51" t="s">
        <v>673</v>
      </c>
    </row>
    <row r="608" customFormat="false" ht="15" hidden="false" customHeight="false" outlineLevel="0" collapsed="false">
      <c r="B608" s="53" t="str">
        <f aca="false">STAAD!B1536</f>
        <v>*</v>
      </c>
      <c r="C608" s="51" t="str">
        <f aca="false">IF(LEN($B608)&gt;79,"MÁS DE 79 CARACTERES","")</f>
        <v/>
      </c>
      <c r="D608" s="51" t="s">
        <v>673</v>
      </c>
    </row>
    <row r="609" customFormat="false" ht="15" hidden="false" customHeight="false" outlineLevel="0" collapsed="false">
      <c r="B609" s="53" t="str">
        <f aca="false">STAAD!B1537</f>
        <v>*</v>
      </c>
      <c r="C609" s="51" t="str">
        <f aca="false">IF(LEN($B609)&gt;79,"MÁS DE 79 CARACTERES","")</f>
        <v/>
      </c>
      <c r="D609" s="51" t="s">
        <v>673</v>
      </c>
    </row>
    <row r="610" customFormat="false" ht="15" hidden="false" customHeight="false" outlineLevel="0" collapsed="false">
      <c r="B610" s="53" t="str">
        <f aca="false">STAAD!B1538</f>
        <v>*</v>
      </c>
      <c r="C610" s="51" t="str">
        <f aca="false">IF(LEN($B610)&gt;79,"MÁS DE 79 CARACTERES","")</f>
        <v/>
      </c>
      <c r="D610" s="51" t="s">
        <v>673</v>
      </c>
    </row>
    <row r="611" customFormat="false" ht="15" hidden="false" customHeight="false" outlineLevel="0" collapsed="false">
      <c r="B611" s="53" t="str">
        <f aca="false">STAAD!B1539</f>
        <v>*</v>
      </c>
      <c r="C611" s="51" t="str">
        <f aca="false">IF(LEN($B611)&gt;79,"MÁS DE 79 CARACTERES","")</f>
        <v/>
      </c>
      <c r="D611" s="51" t="s">
        <v>673</v>
      </c>
    </row>
    <row r="612" customFormat="false" ht="15" hidden="false" customHeight="false" outlineLevel="0" collapsed="false">
      <c r="B612" s="53" t="str">
        <f aca="false">STAAD!B1540</f>
        <v>*</v>
      </c>
      <c r="C612" s="51" t="str">
        <f aca="false">IF(LEN($B612)&gt;79,"MÁS DE 79 CARACTERES","")</f>
        <v/>
      </c>
      <c r="D612" s="51" t="s">
        <v>673</v>
      </c>
    </row>
    <row r="613" customFormat="false" ht="15" hidden="false" customHeight="false" outlineLevel="0" collapsed="false">
      <c r="B613" s="53" t="str">
        <f aca="false">STAAD!B1541</f>
        <v>*</v>
      </c>
      <c r="C613" s="51" t="str">
        <f aca="false">IF(LEN($B613)&gt;79,"MÁS DE 79 CARACTERES","")</f>
        <v/>
      </c>
      <c r="D613" s="51" t="s">
        <v>673</v>
      </c>
    </row>
    <row r="614" customFormat="false" ht="15" hidden="false" customHeight="false" outlineLevel="0" collapsed="false">
      <c r="B614" s="53" t="str">
        <f aca="false">STAAD!B1542</f>
        <v>*</v>
      </c>
      <c r="C614" s="51" t="str">
        <f aca="false">IF(LEN($B614)&gt;79,"MÁS DE 79 CARACTERES","")</f>
        <v/>
      </c>
      <c r="D614" s="51" t="s">
        <v>673</v>
      </c>
    </row>
    <row r="615" customFormat="false" ht="15" hidden="false" customHeight="false" outlineLevel="0" collapsed="false">
      <c r="B615" s="53" t="str">
        <f aca="false">STAAD!B1543</f>
        <v>*</v>
      </c>
      <c r="C615" s="51" t="str">
        <f aca="false">IF(LEN($B615)&gt;79,"MÁS DE 79 CARACTERES","")</f>
        <v/>
      </c>
      <c r="D615" s="51" t="s">
        <v>673</v>
      </c>
    </row>
    <row r="616" customFormat="false" ht="15" hidden="false" customHeight="false" outlineLevel="0" collapsed="false">
      <c r="B616" s="53" t="str">
        <f aca="false">STAAD!B1544</f>
        <v>*</v>
      </c>
      <c r="C616" s="51" t="str">
        <f aca="false">IF(LEN($B616)&gt;79,"MÁS DE 79 CARACTERES","")</f>
        <v/>
      </c>
      <c r="D616" s="51" t="s">
        <v>673</v>
      </c>
    </row>
    <row r="617" customFormat="false" ht="15" hidden="false" customHeight="false" outlineLevel="0" collapsed="false">
      <c r="B617" s="53" t="str">
        <f aca="false">STAAD!B1545</f>
        <v>*</v>
      </c>
      <c r="C617" s="51" t="str">
        <f aca="false">IF(LEN($B617)&gt;79,"MÁS DE 79 CARACTERES","")</f>
        <v/>
      </c>
      <c r="D617" s="51" t="s">
        <v>673</v>
      </c>
    </row>
    <row r="618" customFormat="false" ht="15" hidden="false" customHeight="false" outlineLevel="0" collapsed="false">
      <c r="B618" s="53" t="str">
        <f aca="false">STAAD!B1546</f>
        <v>*</v>
      </c>
      <c r="C618" s="51" t="str">
        <f aca="false">IF(LEN($B618)&gt;79,"MÁS DE 79 CARACTERES","")</f>
        <v/>
      </c>
      <c r="D618" s="51" t="s">
        <v>673</v>
      </c>
    </row>
    <row r="619" customFormat="false" ht="15" hidden="false" customHeight="false" outlineLevel="0" collapsed="false">
      <c r="B619" s="53" t="str">
        <f aca="false">STAAD!B1547</f>
        <v>*</v>
      </c>
      <c r="C619" s="51" t="str">
        <f aca="false">IF(LEN($B619)&gt;79,"MÁS DE 79 CARACTERES","")</f>
        <v/>
      </c>
      <c r="D619" s="51" t="s">
        <v>673</v>
      </c>
    </row>
    <row r="620" customFormat="false" ht="15" hidden="false" customHeight="false" outlineLevel="0" collapsed="false">
      <c r="B620" s="53" t="str">
        <f aca="false">STAAD!B1548</f>
        <v>*</v>
      </c>
      <c r="C620" s="51" t="str">
        <f aca="false">IF(LEN($B620)&gt;79,"MÁS DE 79 CARACTERES","")</f>
        <v/>
      </c>
      <c r="D620" s="51" t="s">
        <v>673</v>
      </c>
    </row>
    <row r="621" customFormat="false" ht="15" hidden="false" customHeight="false" outlineLevel="0" collapsed="false">
      <c r="B621" s="53" t="str">
        <f aca="false">STAAD!B1549</f>
        <v>*</v>
      </c>
      <c r="C621" s="51" t="str">
        <f aca="false">IF(LEN($B621)&gt;79,"MÁS DE 79 CARACTERES","")</f>
        <v/>
      </c>
      <c r="D621" s="51" t="s">
        <v>673</v>
      </c>
    </row>
    <row r="622" customFormat="false" ht="15" hidden="false" customHeight="false" outlineLevel="0" collapsed="false">
      <c r="B622" s="53" t="str">
        <f aca="false">STAAD!B1550</f>
        <v>*</v>
      </c>
      <c r="C622" s="51" t="str">
        <f aca="false">IF(LEN($B622)&gt;79,"MÁS DE 79 CARACTERES","")</f>
        <v/>
      </c>
      <c r="D622" s="51" t="s">
        <v>673</v>
      </c>
    </row>
    <row r="623" customFormat="false" ht="15" hidden="false" customHeight="false" outlineLevel="0" collapsed="false">
      <c r="B623" s="53" t="str">
        <f aca="false">STAAD!B1551</f>
        <v>*</v>
      </c>
      <c r="C623" s="51" t="str">
        <f aca="false">IF(LEN($B623)&gt;79,"MÁS DE 79 CARACTERES","")</f>
        <v/>
      </c>
      <c r="D623" s="51" t="s">
        <v>673</v>
      </c>
    </row>
    <row r="624" customFormat="false" ht="15" hidden="false" customHeight="false" outlineLevel="0" collapsed="false">
      <c r="B624" s="53" t="str">
        <f aca="false">STAAD!B1552</f>
        <v>*</v>
      </c>
      <c r="C624" s="51" t="str">
        <f aca="false">IF(LEN($B624)&gt;79,"MÁS DE 79 CARACTERES","")</f>
        <v/>
      </c>
      <c r="D624" s="51" t="s">
        <v>673</v>
      </c>
    </row>
    <row r="625" customFormat="false" ht="15" hidden="false" customHeight="false" outlineLevel="0" collapsed="false">
      <c r="B625" s="53" t="str">
        <f aca="false">STAAD!B1553</f>
        <v>*</v>
      </c>
      <c r="C625" s="51" t="str">
        <f aca="false">IF(LEN($B625)&gt;79,"MÁS DE 79 CARACTERES","")</f>
        <v/>
      </c>
      <c r="D625" s="51" t="s">
        <v>673</v>
      </c>
    </row>
    <row r="626" customFormat="false" ht="15" hidden="false" customHeight="false" outlineLevel="0" collapsed="false">
      <c r="B626" s="53" t="str">
        <f aca="false">STAAD!B1554</f>
        <v>*</v>
      </c>
      <c r="C626" s="51" t="str">
        <f aca="false">IF(LEN($B626)&gt;79,"MÁS DE 79 CARACTERES","")</f>
        <v/>
      </c>
      <c r="D626" s="51" t="s">
        <v>673</v>
      </c>
    </row>
    <row r="627" customFormat="false" ht="15" hidden="false" customHeight="false" outlineLevel="0" collapsed="false">
      <c r="B627" s="53" t="s">
        <v>674</v>
      </c>
      <c r="C627" s="51" t="str">
        <f aca="false">IF(LEN($B627)&gt;79,"MÁS DE 79 CARACTERES","")</f>
        <v/>
      </c>
      <c r="D627" s="51"/>
    </row>
    <row r="628" customFormat="false" ht="15" hidden="false" customHeight="false" outlineLevel="0" collapsed="false">
      <c r="B628" s="53" t="s">
        <v>675</v>
      </c>
      <c r="C628" s="51" t="str">
        <f aca="false">IF(LEN($B628)&gt;79,"MÁS DE 79 CARACTERES","")</f>
        <v/>
      </c>
      <c r="D628" s="51"/>
    </row>
    <row r="629" customFormat="false" ht="15" hidden="false" customHeight="false" outlineLevel="0" collapsed="false">
      <c r="B629" s="53" t="str">
        <f aca="false">"259 260 261 UNI GX "&amp;TEXT(PRESIONES!J$45*0.6*DATOS!$C$67,DATOS!$C$68)</f>
        <v>259 260 261 UNI GX -0.4213</v>
      </c>
      <c r="C629" s="51" t="str">
        <f aca="false">IF(LEN($B629)&gt;79,"MÁS DE 79 CARACTERES","")</f>
        <v/>
      </c>
      <c r="D629" s="51" t="s">
        <v>676</v>
      </c>
    </row>
    <row r="630" customFormat="false" ht="15" hidden="false" customHeight="false" outlineLevel="0" collapsed="false">
      <c r="B630" s="53" t="str">
        <f aca="false">"265 266 267 UNI GX "&amp;TEXT(-PRESIONES!J$46*0.6*DATOS!$C$67,DATOS!$C$68)</f>
        <v>265 266 267 UNI GX 0.4213</v>
      </c>
      <c r="C630" s="51" t="str">
        <f aca="false">IF(LEN($B630)&gt;79,"MÁS DE 79 CARACTERES","")</f>
        <v/>
      </c>
      <c r="D630" s="51" t="s">
        <v>677</v>
      </c>
    </row>
    <row r="631" customFormat="false" ht="15" hidden="false" customHeight="false" outlineLevel="0" collapsed="false">
      <c r="B631" s="53" t="str">
        <f aca="false">"262 263 264 UNI GZ "&amp;TEXT(PRESIONES!J$43*0.6*DATOS!$C$67,DATOS!$C$68)</f>
        <v>262 263 264 UNI GZ -0.3637</v>
      </c>
      <c r="C631" s="51" t="str">
        <f aca="false">IF(LEN($B631)&gt;79,"MÁS DE 79 CARACTERES","")</f>
        <v/>
      </c>
      <c r="D631" s="51" t="s">
        <v>678</v>
      </c>
    </row>
    <row r="632" customFormat="false" ht="15" hidden="false" customHeight="false" outlineLevel="0" collapsed="false">
      <c r="B632" s="53" t="s">
        <v>685</v>
      </c>
      <c r="C632" s="51" t="str">
        <f aca="false">IF(LEN($B632)&gt;79,"MÁS DE 79 CARACTERES","")</f>
        <v/>
      </c>
      <c r="D632" s="51"/>
    </row>
    <row r="633" customFormat="false" ht="15" hidden="false" customHeight="false" outlineLevel="0" collapsed="false">
      <c r="B633" s="53" t="s">
        <v>684</v>
      </c>
      <c r="C633" s="51" t="str">
        <f aca="false">IF(LEN($B633)&gt;79,"MÁS DE 79 CARACTERES","")</f>
        <v/>
      </c>
      <c r="D633" s="51"/>
    </row>
  </sheetData>
  <mergeCells count="3">
    <mergeCell ref="B1:D1"/>
    <mergeCell ref="B2:D2"/>
    <mergeCell ref="B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O2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8"/>
    <col collapsed="false" customWidth="true" hidden="false" outlineLevel="0" max="2" min="2" style="1" width="42"/>
    <col collapsed="false" customWidth="true" hidden="false" outlineLevel="0" max="3" min="3" style="1" width="16"/>
    <col collapsed="false" customWidth="true" hidden="false" outlineLevel="0" max="4" min="4" style="1" width="9"/>
    <col collapsed="false" customWidth="true" hidden="false" outlineLevel="0" max="5" min="5" style="1" width="10"/>
    <col collapsed="false" customWidth="true" hidden="false" outlineLevel="0" max="6" min="6" style="1" width="7"/>
    <col collapsed="false" customWidth="true" hidden="false" outlineLevel="0" max="10" min="7" style="1" width="9"/>
    <col collapsed="false" customWidth="true" hidden="false" outlineLevel="0" max="14" min="11" style="1" width="10"/>
    <col collapsed="false" customWidth="true" hidden="false" outlineLevel="0" max="15" min="15" style="1" width="30"/>
  </cols>
  <sheetData>
    <row r="1" customFormat="false" ht="25.5" hidden="false" customHeight="true" outlineLevel="0" collapsed="false">
      <c r="B1" s="2" t="s">
        <v>686</v>
      </c>
      <c r="C1" s="2"/>
      <c r="D1" s="2"/>
      <c r="E1" s="2"/>
      <c r="F1" s="2"/>
      <c r="G1" s="2"/>
      <c r="H1" s="2"/>
      <c r="I1" s="2"/>
      <c r="J1" s="2"/>
      <c r="K1" s="2"/>
      <c r="L1" s="2"/>
      <c r="M1" s="2"/>
      <c r="N1" s="2"/>
      <c r="O1" s="2"/>
    </row>
    <row r="2" customFormat="false" ht="30" hidden="false" customHeight="true" outlineLevel="0" collapsed="false">
      <c r="B2" s="4" t="s">
        <v>687</v>
      </c>
      <c r="C2" s="4"/>
      <c r="D2" s="4"/>
      <c r="E2" s="4"/>
      <c r="F2" s="4"/>
      <c r="G2" s="4"/>
      <c r="H2" s="4"/>
      <c r="I2" s="4"/>
      <c r="J2" s="4"/>
      <c r="K2" s="4"/>
      <c r="L2" s="4"/>
      <c r="M2" s="4"/>
      <c r="N2" s="4"/>
      <c r="O2" s="4"/>
    </row>
    <row r="3" customFormat="false" ht="45" hidden="false" customHeight="true" outlineLevel="0" collapsed="false">
      <c r="B3" s="6" t="s">
        <v>688</v>
      </c>
      <c r="C3" s="6"/>
      <c r="D3" s="6"/>
      <c r="E3" s="6"/>
      <c r="F3" s="6"/>
      <c r="G3" s="6"/>
      <c r="H3" s="6"/>
      <c r="I3" s="6"/>
      <c r="J3" s="6"/>
      <c r="K3" s="6"/>
      <c r="L3" s="6"/>
      <c r="M3" s="6"/>
      <c r="N3" s="6"/>
      <c r="O3" s="6"/>
    </row>
    <row r="4" customFormat="false" ht="6" hidden="false" customHeight="true" outlineLevel="0" collapsed="false"/>
    <row r="5" customFormat="false" ht="21" hidden="false" customHeight="true" outlineLevel="0" collapsed="false">
      <c r="B5" s="9" t="s">
        <v>689</v>
      </c>
      <c r="C5" s="9"/>
      <c r="D5" s="9"/>
      <c r="E5" s="9"/>
      <c r="F5" s="9"/>
      <c r="G5" s="9"/>
      <c r="H5" s="9"/>
      <c r="I5" s="9"/>
      <c r="J5" s="9"/>
      <c r="K5" s="9"/>
      <c r="L5" s="9"/>
      <c r="M5" s="9"/>
      <c r="N5" s="9"/>
      <c r="O5" s="9"/>
    </row>
    <row r="6" customFormat="false" ht="30" hidden="false" customHeight="true" outlineLevel="0" collapsed="false">
      <c r="B6" s="10" t="s">
        <v>71</v>
      </c>
      <c r="C6" s="10" t="s">
        <v>72</v>
      </c>
      <c r="D6" s="10" t="s">
        <v>73</v>
      </c>
      <c r="E6" s="35" t="s">
        <v>275</v>
      </c>
      <c r="F6" s="35"/>
      <c r="G6" s="35"/>
      <c r="H6" s="35"/>
      <c r="I6" s="35"/>
      <c r="J6" s="35"/>
      <c r="K6" s="35"/>
      <c r="L6" s="35"/>
      <c r="M6" s="35"/>
      <c r="N6" s="35"/>
      <c r="O6" s="10" t="s">
        <v>75</v>
      </c>
    </row>
    <row r="7" customFormat="false" ht="16.5" hidden="false" customHeight="true" outlineLevel="0" collapsed="false">
      <c r="B7" s="11" t="s">
        <v>690</v>
      </c>
      <c r="C7" s="18" t="n">
        <f aca="false">MIN(DATOS!$C$12,DATOS!$C$13)</f>
        <v>10.08</v>
      </c>
      <c r="D7" s="16" t="s">
        <v>89</v>
      </c>
      <c r="E7" s="4" t="s">
        <v>280</v>
      </c>
      <c r="F7" s="4"/>
      <c r="G7" s="4"/>
      <c r="H7" s="4"/>
      <c r="I7" s="4"/>
      <c r="J7" s="4"/>
      <c r="K7" s="4"/>
      <c r="L7" s="4"/>
      <c r="M7" s="4"/>
      <c r="N7" s="4"/>
      <c r="O7" s="14" t="s">
        <v>691</v>
      </c>
    </row>
    <row r="8" customFormat="false" ht="16.5" hidden="false" customHeight="true" outlineLevel="0" collapsed="false">
      <c r="B8" s="11" t="s">
        <v>692</v>
      </c>
      <c r="C8" s="18" t="n">
        <f aca="false">$C$7/10</f>
        <v>1.008</v>
      </c>
      <c r="D8" s="16" t="s">
        <v>89</v>
      </c>
      <c r="E8" s="4" t="s">
        <v>693</v>
      </c>
      <c r="F8" s="4"/>
      <c r="G8" s="4"/>
      <c r="H8" s="4"/>
      <c r="I8" s="4"/>
      <c r="J8" s="4"/>
      <c r="K8" s="4"/>
      <c r="L8" s="4"/>
      <c r="M8" s="4"/>
      <c r="N8" s="4"/>
      <c r="O8" s="14" t="s">
        <v>694</v>
      </c>
    </row>
    <row r="9" customFormat="false" ht="16.5" hidden="false" customHeight="true" outlineLevel="0" collapsed="false">
      <c r="B9" s="11" t="s">
        <v>279</v>
      </c>
      <c r="C9" s="18" t="n">
        <f aca="false">DATOS!$C$21</f>
        <v>10.62</v>
      </c>
      <c r="D9" s="16" t="s">
        <v>89</v>
      </c>
      <c r="E9" s="4" t="s">
        <v>695</v>
      </c>
      <c r="F9" s="4"/>
      <c r="G9" s="4"/>
      <c r="H9" s="4"/>
      <c r="I9" s="4"/>
      <c r="J9" s="4"/>
      <c r="K9" s="4"/>
      <c r="L9" s="4"/>
      <c r="M9" s="4"/>
      <c r="N9" s="4"/>
      <c r="O9" s="14" t="s">
        <v>696</v>
      </c>
    </row>
    <row r="10" customFormat="false" ht="16.5" hidden="false" customHeight="true" outlineLevel="0" collapsed="false">
      <c r="B10" s="11" t="s">
        <v>697</v>
      </c>
      <c r="C10" s="24" t="str">
        <f aca="false">IF($C$9&lt;20,"SÍ","NO: usa la Tabla A.1")</f>
        <v>SÍ</v>
      </c>
      <c r="D10" s="16" t="s">
        <v>80</v>
      </c>
      <c r="E10" s="4" t="s">
        <v>116</v>
      </c>
      <c r="F10" s="4"/>
      <c r="G10" s="4"/>
      <c r="H10" s="4"/>
      <c r="I10" s="4"/>
      <c r="J10" s="4"/>
      <c r="K10" s="4"/>
      <c r="L10" s="4"/>
      <c r="M10" s="4"/>
      <c r="N10" s="4"/>
      <c r="O10" s="14" t="s">
        <v>691</v>
      </c>
    </row>
    <row r="11" customFormat="false" ht="16.5" hidden="false" customHeight="true" outlineLevel="0" collapsed="false">
      <c r="B11" s="11" t="s">
        <v>125</v>
      </c>
      <c r="C11" s="18" t="n">
        <f aca="false">DATOS!$C$26</f>
        <v>2.86240522611174</v>
      </c>
      <c r="D11" s="16" t="s">
        <v>126</v>
      </c>
      <c r="E11" s="4" t="s">
        <v>698</v>
      </c>
      <c r="F11" s="4"/>
      <c r="G11" s="4"/>
      <c r="H11" s="4"/>
      <c r="I11" s="4"/>
      <c r="J11" s="4"/>
      <c r="K11" s="4"/>
      <c r="L11" s="4"/>
      <c r="M11" s="4"/>
      <c r="N11" s="4"/>
      <c r="O11" s="14" t="s">
        <v>694</v>
      </c>
    </row>
    <row r="12" customFormat="false" ht="16.5" hidden="false" customHeight="true" outlineLevel="0" collapsed="false">
      <c r="B12" s="11" t="s">
        <v>699</v>
      </c>
      <c r="C12" s="18" t="n">
        <f aca="false">PRESIONES!$C$12</f>
        <v>48.8320981688875</v>
      </c>
      <c r="D12" s="16" t="s">
        <v>145</v>
      </c>
      <c r="E12" s="4" t="s">
        <v>700</v>
      </c>
      <c r="F12" s="4"/>
      <c r="G12" s="4"/>
      <c r="H12" s="4"/>
      <c r="I12" s="4"/>
      <c r="J12" s="4"/>
      <c r="K12" s="4"/>
      <c r="L12" s="4"/>
      <c r="M12" s="4"/>
      <c r="N12" s="4"/>
      <c r="O12" s="14" t="s">
        <v>286</v>
      </c>
    </row>
    <row r="13" customFormat="false" ht="27" hidden="false" customHeight="true" outlineLevel="0" collapsed="false">
      <c r="B13" s="11" t="s">
        <v>701</v>
      </c>
      <c r="C13" s="42" t="n">
        <f aca="false">MAX(0.25*(COUNTIF(ABERTURAS!$I$60:$I$67,"NO")&gt;0),MAX(ABERTURAS!$L$60:$L$67))</f>
        <v>0.75</v>
      </c>
      <c r="D13" s="16" t="s">
        <v>80</v>
      </c>
      <c r="E13" s="4" t="s">
        <v>702</v>
      </c>
      <c r="F13" s="4"/>
      <c r="G13" s="4"/>
      <c r="H13" s="4"/>
      <c r="I13" s="4"/>
      <c r="J13" s="4"/>
      <c r="K13" s="4"/>
      <c r="L13" s="4"/>
      <c r="M13" s="4"/>
      <c r="N13" s="4"/>
      <c r="O13" s="14" t="s">
        <v>703</v>
      </c>
    </row>
    <row r="14" customFormat="false" ht="24.75" hidden="false" customHeight="true" outlineLevel="0" collapsed="false">
      <c r="B14" s="11" t="s">
        <v>704</v>
      </c>
      <c r="C14" s="42" t="n">
        <f aca="false">MIN(-0.25*(COUNTIF(ABERTURAS!$I$60:$I$67,"NO")&gt;0),MIN(ABERTURAS!$L$60:$L$67))</f>
        <v>-0.6</v>
      </c>
      <c r="D14" s="16" t="s">
        <v>80</v>
      </c>
      <c r="E14" s="4" t="s">
        <v>705</v>
      </c>
      <c r="F14" s="4"/>
      <c r="G14" s="4"/>
      <c r="H14" s="4"/>
      <c r="I14" s="4"/>
      <c r="J14" s="4"/>
      <c r="K14" s="4"/>
      <c r="L14" s="4"/>
      <c r="M14" s="4"/>
      <c r="N14" s="4"/>
      <c r="O14" s="14" t="s">
        <v>703</v>
      </c>
    </row>
    <row r="15" customFormat="false" ht="15" hidden="false" customHeight="true" outlineLevel="0" collapsed="false"/>
    <row r="16" customFormat="false" ht="21" hidden="false" customHeight="true" outlineLevel="0" collapsed="false">
      <c r="B16" s="9" t="s">
        <v>706</v>
      </c>
      <c r="C16" s="9"/>
      <c r="D16" s="9"/>
      <c r="E16" s="9"/>
      <c r="F16" s="9"/>
      <c r="G16" s="9"/>
      <c r="H16" s="9"/>
      <c r="I16" s="9"/>
      <c r="J16" s="9"/>
      <c r="K16" s="9"/>
      <c r="L16" s="9"/>
      <c r="M16" s="9"/>
      <c r="N16" s="9"/>
      <c r="O16" s="9"/>
    </row>
    <row r="17" customFormat="false" ht="42" hidden="false" customHeight="true" outlineLevel="0" collapsed="false">
      <c r="B17" s="10" t="s">
        <v>365</v>
      </c>
      <c r="C17" s="10" t="s">
        <v>707</v>
      </c>
      <c r="D17" s="10" t="s">
        <v>708</v>
      </c>
      <c r="E17" s="10" t="s">
        <v>709</v>
      </c>
      <c r="F17" s="10" t="s">
        <v>710</v>
      </c>
      <c r="G17" s="10" t="s">
        <v>711</v>
      </c>
      <c r="H17" s="10" t="s">
        <v>712</v>
      </c>
      <c r="I17" s="10" t="s">
        <v>713</v>
      </c>
      <c r="J17" s="10" t="s">
        <v>714</v>
      </c>
      <c r="K17" s="10" t="s">
        <v>715</v>
      </c>
      <c r="L17" s="10" t="s">
        <v>716</v>
      </c>
      <c r="M17" s="10" t="s">
        <v>717</v>
      </c>
      <c r="N17" s="10" t="s">
        <v>718</v>
      </c>
      <c r="O17" s="10" t="s">
        <v>75</v>
      </c>
    </row>
    <row r="18" customFormat="false" ht="24.75" hidden="false" customHeight="true" outlineLevel="0" collapsed="false">
      <c r="B18" s="27" t="s">
        <v>719</v>
      </c>
      <c r="C18" s="17" t="s">
        <v>720</v>
      </c>
      <c r="D18" s="15" t="n">
        <v>1</v>
      </c>
      <c r="E18" s="29" t="n">
        <v>1</v>
      </c>
      <c r="F18" s="55" t="n">
        <f aca="false">IF($C18="","",IF($C18="MURO",1,IF($C18="TECHO INTERIOR",IF($C$11&lt;=30,2,4),IF($C$11&lt;=30,3,5))))</f>
        <v>1</v>
      </c>
      <c r="G18" s="42" t="n">
        <f aca="false">IF($F18="","",CHOOSE($F18,MIN(-2+$D18/50,-1.1),MIN(-1.4+$D18/50,-1.2),MIN(-3+$D18/10,-2),MIN(-1.4+$D18/50,-1.2),MIN(-1.7+$D18/35,-1.4)))</f>
        <v>-1.98</v>
      </c>
      <c r="H18" s="42" t="n">
        <f aca="false">IF($F18="","",CHOOSE($F18,MAX(1.5-$D18/100,0.8),"—","—",MAX(1.3-$D18/50,1.1),MAX(1.3-$D18/50,1.1)))</f>
        <v>1.49</v>
      </c>
      <c r="I18" s="42" t="n">
        <f aca="false">IF($F18="","",$G18-$C$13)</f>
        <v>-2.73</v>
      </c>
      <c r="J18" s="42" t="n">
        <f aca="false">IF(OR($F18="",$H18="—"),"—",$H18-$C$14)</f>
        <v>2.09</v>
      </c>
      <c r="K18" s="44" t="n">
        <f aca="false">IF($F18="","",$I18*$C$12)</f>
        <v>-133.311628001063</v>
      </c>
      <c r="L18" s="44" t="n">
        <f aca="false">IF(OR($F18="",$J18="—"),"—",$J18*$C$12)</f>
        <v>102.059085172975</v>
      </c>
      <c r="M18" s="45" t="n">
        <f aca="false">IF($F18="","",$K18*$E18)</f>
        <v>-133.311628001063</v>
      </c>
      <c r="N18" s="45" t="n">
        <f aca="false">IF(OR($F18="",$L18="—"),"—",$L18*$E18)</f>
        <v>102.059085172975</v>
      </c>
      <c r="O18" s="14" t="s">
        <v>721</v>
      </c>
    </row>
    <row r="19" customFormat="false" ht="29.25" hidden="false" customHeight="true" outlineLevel="0" collapsed="false">
      <c r="B19" s="27" t="s">
        <v>722</v>
      </c>
      <c r="C19" s="17" t="s">
        <v>720</v>
      </c>
      <c r="D19" s="15" t="n">
        <v>8.1</v>
      </c>
      <c r="E19" s="29" t="n">
        <v>1.2</v>
      </c>
      <c r="F19" s="55" t="n">
        <f aca="false">IF($C19="","",IF($C19="MURO",1,IF($C19="TECHO INTERIOR",IF($C$11&lt;=30,2,4),IF($C$11&lt;=30,3,5))))</f>
        <v>1</v>
      </c>
      <c r="G19" s="42" t="n">
        <f aca="false">IF($F19="","",CHOOSE($F19,MIN(-2+$D19/50,-1.1),MIN(-1.4+$D19/50,-1.2),MIN(-3+$D19/10,-2),MIN(-1.4+$D19/50,-1.2),MIN(-1.7+$D19/35,-1.4)))</f>
        <v>-1.838</v>
      </c>
      <c r="H19" s="42" t="n">
        <f aca="false">IF($F19="","",CHOOSE($F19,MAX(1.5-$D19/100,0.8),"—","—",MAX(1.3-$D19/50,1.1),MAX(1.3-$D19/50,1.1)))</f>
        <v>1.419</v>
      </c>
      <c r="I19" s="42" t="n">
        <f aca="false">IF($F19="","",$G19-$C$13)</f>
        <v>-2.588</v>
      </c>
      <c r="J19" s="42" t="n">
        <f aca="false">IF(OR($F19="",$H19="—"),"—",$H19-$C$14)</f>
        <v>2.019</v>
      </c>
      <c r="K19" s="44" t="n">
        <f aca="false">IF($F19="","",$I19*$C$12)</f>
        <v>-126.377470061081</v>
      </c>
      <c r="L19" s="44" t="n">
        <f aca="false">IF(OR($F19="",$J19="—"),"—",$J19*$C$12)</f>
        <v>98.5920062029839</v>
      </c>
      <c r="M19" s="45" t="n">
        <f aca="false">IF($F19="","",$K19*$E19)</f>
        <v>-151.652964073297</v>
      </c>
      <c r="N19" s="45" t="n">
        <f aca="false">IF(OR($F19="",$L19="—"),"—",$L19*$E19)</f>
        <v>118.310407443581</v>
      </c>
      <c r="O19" s="14" t="s">
        <v>721</v>
      </c>
    </row>
    <row r="20" customFormat="false" ht="29.25" hidden="false" customHeight="true" outlineLevel="0" collapsed="false">
      <c r="B20" s="27" t="s">
        <v>723</v>
      </c>
      <c r="C20" s="17" t="s">
        <v>720</v>
      </c>
      <c r="D20" s="15" t="n">
        <v>3</v>
      </c>
      <c r="E20" s="29" t="n">
        <v>1.2</v>
      </c>
      <c r="F20" s="55" t="n">
        <f aca="false">IF($C20="","",IF($C20="MURO",1,IF($C20="TECHO INTERIOR",IF($C$11&lt;=30,2,4),IF($C$11&lt;=30,3,5))))</f>
        <v>1</v>
      </c>
      <c r="G20" s="42" t="n">
        <f aca="false">IF($F20="","",CHOOSE($F20,MIN(-2+$D20/50,-1.1),MIN(-1.4+$D20/50,-1.2),MIN(-3+$D20/10,-2),MIN(-1.4+$D20/50,-1.2),MIN(-1.7+$D20/35,-1.4)))</f>
        <v>-1.94</v>
      </c>
      <c r="H20" s="42" t="n">
        <f aca="false">IF($F20="","",CHOOSE($F20,MAX(1.5-$D20/100,0.8),"—","—",MAX(1.3-$D20/50,1.1),MAX(1.3-$D20/50,1.1)))</f>
        <v>1.47</v>
      </c>
      <c r="I20" s="42" t="n">
        <f aca="false">IF($F20="","",$G20-$C$13)</f>
        <v>-2.69</v>
      </c>
      <c r="J20" s="42" t="n">
        <f aca="false">IF(OR($F20="",$H20="—"),"—",$H20-$C$14)</f>
        <v>2.07</v>
      </c>
      <c r="K20" s="44" t="n">
        <f aca="false">IF($F20="","",$I20*$C$12)</f>
        <v>-131.358344074307</v>
      </c>
      <c r="L20" s="44" t="n">
        <f aca="false">IF(OR($F20="",$J20="—"),"—",$J20*$C$12)</f>
        <v>101.082443209597</v>
      </c>
      <c r="M20" s="45" t="n">
        <f aca="false">IF($F20="","",$K20*$E20)</f>
        <v>-157.630012889169</v>
      </c>
      <c r="N20" s="45" t="n">
        <f aca="false">IF(OR($F20="",$L20="—"),"—",$L20*$E20)</f>
        <v>121.298931851517</v>
      </c>
      <c r="O20" s="14" t="s">
        <v>721</v>
      </c>
    </row>
    <row r="21" customFormat="false" ht="24.75" hidden="false" customHeight="true" outlineLevel="0" collapsed="false">
      <c r="B21" s="27" t="s">
        <v>724</v>
      </c>
      <c r="C21" s="17" t="s">
        <v>725</v>
      </c>
      <c r="D21" s="15" t="n">
        <v>1</v>
      </c>
      <c r="E21" s="29" t="n">
        <v>1</v>
      </c>
      <c r="F21" s="55" t="n">
        <f aca="false">IF($C21="","",IF($C21="MURO",1,IF($C21="TECHO INTERIOR",IF($C$11&lt;=30,2,4),IF($C$11&lt;=30,3,5))))</f>
        <v>2</v>
      </c>
      <c r="G21" s="42" t="n">
        <f aca="false">IF($F21="","",CHOOSE($F21,MIN(-2+$D21/50,-1.1),MIN(-1.4+$D21/50,-1.2),MIN(-3+$D21/10,-2),MIN(-1.4+$D21/50,-1.2),MIN(-1.7+$D21/35,-1.4)))</f>
        <v>-1.38</v>
      </c>
      <c r="H21" s="42" t="str">
        <f aca="false">IF($F21="","",CHOOSE($F21,MAX(1.5-$D21/100,0.8),"—","—",MAX(1.3-$D21/50,1.1),MAX(1.3-$D21/50,1.1)))</f>
        <v>—</v>
      </c>
      <c r="I21" s="42" t="n">
        <f aca="false">IF($F21="","",$G21-$C$13)</f>
        <v>-2.13</v>
      </c>
      <c r="J21" s="42" t="str">
        <f aca="false">IF(OR($F21="",$H21="—"),"—",$H21-$C$14)</f>
        <v>—</v>
      </c>
      <c r="K21" s="44" t="n">
        <f aca="false">IF($F21="","",$I21*$C$12)</f>
        <v>-104.01236909973</v>
      </c>
      <c r="L21" s="44" t="str">
        <f aca="false">IF(OR($F21="",$J21="—"),"—",$J21*$C$12)</f>
        <v>—</v>
      </c>
      <c r="M21" s="45" t="n">
        <f aca="false">IF($F21="","",$K21*$E21)</f>
        <v>-104.01236909973</v>
      </c>
      <c r="N21" s="45" t="str">
        <f aca="false">IF(OR($F21="",$L21="—"),"—",$L21*$E21)</f>
        <v>—</v>
      </c>
      <c r="O21" s="14" t="s">
        <v>721</v>
      </c>
    </row>
    <row r="22" customFormat="false" ht="29.25" hidden="false" customHeight="true" outlineLevel="0" collapsed="false">
      <c r="B22" s="27" t="s">
        <v>726</v>
      </c>
      <c r="C22" s="17" t="s">
        <v>725</v>
      </c>
      <c r="D22" s="15" t="n">
        <v>13.61</v>
      </c>
      <c r="E22" s="29" t="n">
        <v>1.35</v>
      </c>
      <c r="F22" s="55" t="n">
        <f aca="false">IF($C22="","",IF($C22="MURO",1,IF($C22="TECHO INTERIOR",IF($C$11&lt;=30,2,4),IF($C$11&lt;=30,3,5))))</f>
        <v>2</v>
      </c>
      <c r="G22" s="42" t="n">
        <f aca="false">IF($F22="","",CHOOSE($F22,MIN(-2+$D22/50,-1.1),MIN(-1.4+$D22/50,-1.2),MIN(-3+$D22/10,-2),MIN(-1.4+$D22/50,-1.2),MIN(-1.7+$D22/35,-1.4)))</f>
        <v>-1.2</v>
      </c>
      <c r="H22" s="42" t="str">
        <f aca="false">IF($F22="","",CHOOSE($F22,MAX(1.5-$D22/100,0.8),"—","—",MAX(1.3-$D22/50,1.1),MAX(1.3-$D22/50,1.1)))</f>
        <v>—</v>
      </c>
      <c r="I22" s="42" t="n">
        <f aca="false">IF($F22="","",$G22-$C$13)</f>
        <v>-1.95</v>
      </c>
      <c r="J22" s="42" t="str">
        <f aca="false">IF(OR($F22="",$H22="—"),"—",$H22-$C$14)</f>
        <v>—</v>
      </c>
      <c r="K22" s="44" t="n">
        <f aca="false">IF($F22="","",$I22*$C$12)</f>
        <v>-95.2225914293307</v>
      </c>
      <c r="L22" s="44" t="str">
        <f aca="false">IF(OR($F22="",$J22="—"),"—",$J22*$C$12)</f>
        <v>—</v>
      </c>
      <c r="M22" s="45" t="n">
        <f aca="false">IF($F22="","",$K22*$E22)</f>
        <v>-128.550498429596</v>
      </c>
      <c r="N22" s="45" t="str">
        <f aca="false">IF(OR($F22="",$L22="—"),"—",$L22*$E22)</f>
        <v>—</v>
      </c>
      <c r="O22" s="14" t="s">
        <v>721</v>
      </c>
    </row>
    <row r="23" customFormat="false" ht="24.75" hidden="false" customHeight="true" outlineLevel="0" collapsed="false">
      <c r="B23" s="27" t="s">
        <v>727</v>
      </c>
      <c r="C23" s="17" t="s">
        <v>728</v>
      </c>
      <c r="D23" s="15" t="n">
        <v>1</v>
      </c>
      <c r="E23" s="29" t="n">
        <v>1</v>
      </c>
      <c r="F23" s="55" t="n">
        <f aca="false">IF($C23="","",IF($C23="MURO",1,IF($C23="TECHO INTERIOR",IF($C$11&lt;=30,2,4),IF($C$11&lt;=30,3,5))))</f>
        <v>3</v>
      </c>
      <c r="G23" s="42" t="n">
        <f aca="false">IF($F23="","",CHOOSE($F23,MIN(-2+$D23/50,-1.1),MIN(-1.4+$D23/50,-1.2),MIN(-3+$D23/10,-2),MIN(-1.4+$D23/50,-1.2),MIN(-1.7+$D23/35,-1.4)))</f>
        <v>-2.9</v>
      </c>
      <c r="H23" s="42" t="str">
        <f aca="false">IF($F23="","",CHOOSE($F23,MAX(1.5-$D23/100,0.8),"—","—",MAX(1.3-$D23/50,1.1),MAX(1.3-$D23/50,1.1)))</f>
        <v>—</v>
      </c>
      <c r="I23" s="42" t="n">
        <f aca="false">IF($F23="","",$G23-$C$13)</f>
        <v>-3.65</v>
      </c>
      <c r="J23" s="42" t="str">
        <f aca="false">IF(OR($F23="",$H23="—"),"—",$H23-$C$14)</f>
        <v>—</v>
      </c>
      <c r="K23" s="44" t="n">
        <f aca="false">IF($F23="","",$I23*$C$12)</f>
        <v>-178.237158316439</v>
      </c>
      <c r="L23" s="44" t="str">
        <f aca="false">IF(OR($F23="",$J23="—"),"—",$J23*$C$12)</f>
        <v>—</v>
      </c>
      <c r="M23" s="45" t="n">
        <f aca="false">IF($F23="","",$K23*$E23)</f>
        <v>-178.237158316439</v>
      </c>
      <c r="N23" s="45" t="str">
        <f aca="false">IF(OR($F23="",$L23="—"),"—",$L23*$E23)</f>
        <v>—</v>
      </c>
      <c r="O23" s="14" t="s">
        <v>721</v>
      </c>
    </row>
    <row r="24" customFormat="false" ht="29.25" hidden="false" customHeight="true" outlineLevel="0" collapsed="false">
      <c r="B24" s="27" t="s">
        <v>729</v>
      </c>
      <c r="C24" s="17" t="s">
        <v>728</v>
      </c>
      <c r="D24" s="15" t="n">
        <v>6.8</v>
      </c>
      <c r="E24" s="29" t="n">
        <v>0.675</v>
      </c>
      <c r="F24" s="55" t="n">
        <f aca="false">IF($C24="","",IF($C24="MURO",1,IF($C24="TECHO INTERIOR",IF($C$11&lt;=30,2,4),IF($C$11&lt;=30,3,5))))</f>
        <v>3</v>
      </c>
      <c r="G24" s="42" t="n">
        <f aca="false">IF($F24="","",CHOOSE($F24,MIN(-2+$D24/50,-1.1),MIN(-1.4+$D24/50,-1.2),MIN(-3+$D24/10,-2),MIN(-1.4+$D24/50,-1.2),MIN(-1.7+$D24/35,-1.4)))</f>
        <v>-2.32</v>
      </c>
      <c r="H24" s="42" t="str">
        <f aca="false">IF($F24="","",CHOOSE($F24,MAX(1.5-$D24/100,0.8),"—","—",MAX(1.3-$D24/50,1.1),MAX(1.3-$D24/50,1.1)))</f>
        <v>—</v>
      </c>
      <c r="I24" s="42" t="n">
        <f aca="false">IF($F24="","",$G24-$C$13)</f>
        <v>-3.07</v>
      </c>
      <c r="J24" s="42" t="str">
        <f aca="false">IF(OR($F24="",$H24="—"),"—",$H24-$C$14)</f>
        <v>—</v>
      </c>
      <c r="K24" s="44" t="n">
        <f aca="false">IF($F24="","",$I24*$C$12)</f>
        <v>-149.914541378485</v>
      </c>
      <c r="L24" s="44" t="str">
        <f aca="false">IF(OR($F24="",$J24="—"),"—",$J24*$C$12)</f>
        <v>—</v>
      </c>
      <c r="M24" s="45" t="n">
        <f aca="false">IF($F24="","",$K24*$E24)</f>
        <v>-101.192315430477</v>
      </c>
      <c r="N24" s="45" t="str">
        <f aca="false">IF(OR($F24="",$L24="—"),"—",$L24*$E24)</f>
        <v>—</v>
      </c>
      <c r="O24" s="14" t="s">
        <v>721</v>
      </c>
    </row>
    <row r="25" customFormat="false" ht="24.75" hidden="false" customHeight="true" outlineLevel="0" collapsed="false">
      <c r="B25" s="27"/>
      <c r="C25" s="17"/>
      <c r="D25" s="15"/>
      <c r="E25" s="29"/>
      <c r="F25" s="55" t="str">
        <f aca="false">IF($C25="","",IF($C25="MURO",1,IF($C25="TECHO INTERIOR",IF($C$11&lt;=30,2,4),IF($C$11&lt;=30,3,5))))</f>
        <v/>
      </c>
      <c r="G25" s="42" t="str">
        <f aca="false">IF($F25="","",CHOOSE($F25,MIN(-2+$D25/50,-1.1),MIN(-1.4+$D25/50,-1.2),MIN(-3+$D25/10,-2),MIN(-1.4+$D25/50,-1.2),MIN(-1.7+$D25/35,-1.4)))</f>
        <v/>
      </c>
      <c r="H25" s="42" t="str">
        <f aca="false">IF($F25="","",CHOOSE($F25,MAX(1.5-$D25/100,0.8),"—","—",MAX(1.3-$D25/50,1.1),MAX(1.3-$D25/50,1.1)))</f>
        <v/>
      </c>
      <c r="I25" s="42" t="str">
        <f aca="false">IF($F25="","",$G25-$C$13)</f>
        <v/>
      </c>
      <c r="J25" s="42" t="str">
        <f aca="false">IF(OR($F25="",$H25="—"),"—",$H25-$C$14)</f>
        <v>—</v>
      </c>
      <c r="K25" s="44" t="str">
        <f aca="false">IF($F25="","",$I25*$C$12)</f>
        <v/>
      </c>
      <c r="L25" s="44" t="str">
        <f aca="false">IF(OR($F25="",$J25="—"),"—",$J25*$C$12)</f>
        <v>—</v>
      </c>
      <c r="M25" s="45" t="str">
        <f aca="false">IF($F25="","",$K25*$E25)</f>
        <v/>
      </c>
      <c r="N25" s="45" t="str">
        <f aca="false">IF(OR($F25="",$L25="—"),"—",$L25*$E25)</f>
        <v>—</v>
      </c>
      <c r="O25" s="14" t="s">
        <v>721</v>
      </c>
    </row>
    <row r="26" customFormat="false" ht="15" hidden="false" customHeight="true" outlineLevel="0" collapsed="false"/>
    <row r="27" customFormat="false" ht="45" hidden="false" customHeight="true" outlineLevel="0" collapsed="false">
      <c r="B27" s="21" t="s">
        <v>730</v>
      </c>
      <c r="C27" s="21"/>
      <c r="D27" s="21"/>
      <c r="E27" s="21"/>
      <c r="F27" s="21"/>
      <c r="G27" s="21"/>
      <c r="H27" s="21"/>
      <c r="I27" s="21"/>
      <c r="J27" s="21"/>
      <c r="K27" s="21"/>
      <c r="L27" s="21"/>
      <c r="M27" s="21"/>
      <c r="N27" s="21"/>
      <c r="O27" s="21"/>
    </row>
  </sheetData>
  <mergeCells count="15">
    <mergeCell ref="B1:O1"/>
    <mergeCell ref="B2:O2"/>
    <mergeCell ref="B3:O3"/>
    <mergeCell ref="B5:O5"/>
    <mergeCell ref="E6:N6"/>
    <mergeCell ref="E7:N7"/>
    <mergeCell ref="E8:N8"/>
    <mergeCell ref="E9:N9"/>
    <mergeCell ref="E10:N10"/>
    <mergeCell ref="E11:N11"/>
    <mergeCell ref="E12:N12"/>
    <mergeCell ref="E13:N13"/>
    <mergeCell ref="E14:N14"/>
    <mergeCell ref="B16:O16"/>
    <mergeCell ref="B27:O27"/>
  </mergeCells>
  <dataValidations count="1">
    <dataValidation allowBlank="true" error="Elige una opción de la lista." errorStyle="stop" errorTitle="Valor no válido" operator="between" showDropDown="false" showErrorMessage="false" showInputMessage="false" sqref="C18:C25" type="list">
      <formula1>"MURO,TECHO INTERIOR,TECHO ORILLA"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F6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8"/>
    <col collapsed="false" customWidth="true" hidden="false" outlineLevel="0" max="2" min="2" style="1" width="30"/>
    <col collapsed="false" customWidth="true" hidden="false" outlineLevel="0" max="3" min="3" style="1" width="62"/>
    <col collapsed="false" customWidth="true" hidden="false" outlineLevel="0" max="4" min="4" style="1" width="20"/>
    <col collapsed="false" customWidth="true" hidden="false" outlineLevel="0" max="6" min="5" style="1" width="14"/>
  </cols>
  <sheetData>
    <row r="1" customFormat="false" ht="25.5" hidden="false" customHeight="true" outlineLevel="0" collapsed="false">
      <c r="B1" s="2" t="s">
        <v>731</v>
      </c>
      <c r="C1" s="2"/>
      <c r="D1" s="2"/>
      <c r="E1" s="2"/>
      <c r="F1" s="2"/>
    </row>
    <row r="2" customFormat="false" ht="30" hidden="false" customHeight="true" outlineLevel="0" collapsed="false">
      <c r="B2" s="4" t="s">
        <v>732</v>
      </c>
      <c r="C2" s="4"/>
      <c r="D2" s="4"/>
      <c r="E2" s="4"/>
      <c r="F2" s="4"/>
    </row>
    <row r="4" customFormat="false" ht="21" hidden="false" customHeight="true" outlineLevel="0" collapsed="false">
      <c r="B4" s="9" t="s">
        <v>733</v>
      </c>
      <c r="C4" s="9"/>
      <c r="D4" s="9"/>
      <c r="E4" s="9"/>
      <c r="F4" s="9"/>
    </row>
    <row r="5" customFormat="false" ht="30" hidden="false" customHeight="true" outlineLevel="0" collapsed="false">
      <c r="B5" s="21" t="s">
        <v>734</v>
      </c>
      <c r="C5" s="21"/>
      <c r="D5" s="21"/>
      <c r="E5" s="21"/>
      <c r="F5" s="21"/>
    </row>
    <row r="6" customFormat="false" ht="30" hidden="false" customHeight="true" outlineLevel="0" collapsed="false">
      <c r="B6" s="10" t="s">
        <v>710</v>
      </c>
      <c r="C6" s="10" t="s">
        <v>205</v>
      </c>
      <c r="D6" s="10" t="s">
        <v>735</v>
      </c>
      <c r="E6" s="10" t="s">
        <v>736</v>
      </c>
    </row>
    <row r="7" customFormat="false" ht="29.25" hidden="false" customHeight="true" outlineLevel="0" collapsed="false">
      <c r="B7" s="16" t="s">
        <v>737</v>
      </c>
      <c r="C7" s="11" t="s">
        <v>738</v>
      </c>
      <c r="D7" s="18" t="n">
        <v>0.65</v>
      </c>
      <c r="E7" s="22" t="n">
        <v>3.6</v>
      </c>
    </row>
    <row r="8" customFormat="false" ht="29.25" hidden="false" customHeight="true" outlineLevel="0" collapsed="false">
      <c r="B8" s="16" t="s">
        <v>739</v>
      </c>
      <c r="C8" s="11" t="s">
        <v>740</v>
      </c>
      <c r="D8" s="18" t="n">
        <v>1</v>
      </c>
      <c r="E8" s="22" t="n">
        <v>4.5</v>
      </c>
    </row>
    <row r="9" customFormat="false" ht="29.25" hidden="false" customHeight="true" outlineLevel="0" collapsed="false">
      <c r="B9" s="16" t="s">
        <v>136</v>
      </c>
      <c r="C9" s="11" t="s">
        <v>741</v>
      </c>
      <c r="D9" s="18" t="n">
        <v>1.6</v>
      </c>
      <c r="E9" s="22" t="n">
        <v>7</v>
      </c>
    </row>
    <row r="10" customFormat="false" ht="15" hidden="false" customHeight="true" outlineLevel="0" collapsed="false"/>
    <row r="11" customFormat="false" ht="21" hidden="false" customHeight="true" outlineLevel="0" collapsed="false">
      <c r="B11" s="9" t="s">
        <v>742</v>
      </c>
      <c r="C11" s="9"/>
      <c r="D11" s="9"/>
      <c r="E11" s="9"/>
      <c r="F11" s="9"/>
    </row>
    <row r="12" customFormat="false" ht="30" hidden="false" customHeight="true" outlineLevel="0" collapsed="false">
      <c r="B12" s="21" t="s">
        <v>743</v>
      </c>
      <c r="C12" s="21"/>
      <c r="D12" s="21"/>
      <c r="E12" s="21"/>
      <c r="F12" s="21"/>
    </row>
    <row r="13" customFormat="false" ht="30" hidden="false" customHeight="true" outlineLevel="0" collapsed="false">
      <c r="B13" s="10" t="s">
        <v>311</v>
      </c>
      <c r="C13" s="10" t="s">
        <v>744</v>
      </c>
      <c r="D13" s="10" t="s">
        <v>745</v>
      </c>
    </row>
    <row r="14" customFormat="false" ht="16.5" hidden="false" customHeight="true" outlineLevel="0" collapsed="false">
      <c r="B14" s="16" t="s">
        <v>263</v>
      </c>
      <c r="C14" s="11" t="s">
        <v>746</v>
      </c>
      <c r="D14" s="42" t="n">
        <v>0.8</v>
      </c>
    </row>
    <row r="15" customFormat="false" ht="16.5" hidden="false" customHeight="true" outlineLevel="0" collapsed="false">
      <c r="B15" s="16" t="s">
        <v>264</v>
      </c>
      <c r="C15" s="11" t="s">
        <v>747</v>
      </c>
      <c r="D15" s="42" t="n">
        <v>-0.5</v>
      </c>
    </row>
    <row r="16" customFormat="false" ht="16.5" hidden="false" customHeight="true" outlineLevel="0" collapsed="false">
      <c r="B16" s="16" t="s">
        <v>748</v>
      </c>
      <c r="C16" s="11" t="s">
        <v>747</v>
      </c>
      <c r="D16" s="42" t="n">
        <v>-0.7</v>
      </c>
    </row>
    <row r="17" customFormat="false" ht="16.5" hidden="false" customHeight="true" outlineLevel="0" collapsed="false">
      <c r="B17" s="16" t="s">
        <v>749</v>
      </c>
      <c r="C17" s="11" t="s">
        <v>750</v>
      </c>
      <c r="D17" s="42" t="n">
        <v>-0.7</v>
      </c>
    </row>
    <row r="18" customFormat="false" ht="16.5" hidden="false" customHeight="true" outlineLevel="0" collapsed="false">
      <c r="B18" s="16" t="s">
        <v>751</v>
      </c>
      <c r="C18" s="11" t="s">
        <v>752</v>
      </c>
      <c r="D18" s="42" t="n">
        <v>-0.7</v>
      </c>
    </row>
    <row r="19" customFormat="false" ht="16.5" hidden="false" customHeight="true" outlineLevel="0" collapsed="false">
      <c r="B19" s="16" t="s">
        <v>753</v>
      </c>
      <c r="C19" s="11" t="s">
        <v>754</v>
      </c>
      <c r="D19" s="42" t="n">
        <v>-0.7</v>
      </c>
    </row>
    <row r="20" customFormat="false" ht="16.5" hidden="false" customHeight="true" outlineLevel="0" collapsed="false">
      <c r="B20" s="16" t="s">
        <v>753</v>
      </c>
      <c r="C20" s="11" t="s">
        <v>755</v>
      </c>
      <c r="D20" s="42" t="n">
        <v>-0.7</v>
      </c>
    </row>
    <row r="21" customFormat="false" ht="29.25" hidden="false" customHeight="true" outlineLevel="0" collapsed="false">
      <c r="B21" s="16" t="s">
        <v>753</v>
      </c>
      <c r="C21" s="11" t="s">
        <v>756</v>
      </c>
      <c r="D21" s="16" t="s">
        <v>757</v>
      </c>
    </row>
    <row r="22" customFormat="false" ht="16.5" hidden="false" customHeight="true" outlineLevel="0" collapsed="false">
      <c r="B22" s="16" t="s">
        <v>753</v>
      </c>
      <c r="C22" s="11" t="s">
        <v>758</v>
      </c>
      <c r="D22" s="42" t="n">
        <v>0.8</v>
      </c>
    </row>
    <row r="23" customFormat="false" ht="15" hidden="false" customHeight="true" outlineLevel="0" collapsed="false"/>
    <row r="24" customFormat="false" ht="21" hidden="false" customHeight="true" outlineLevel="0" collapsed="false">
      <c r="B24" s="9" t="s">
        <v>759</v>
      </c>
      <c r="C24" s="9"/>
      <c r="D24" s="9"/>
      <c r="E24" s="9"/>
      <c r="F24" s="9"/>
    </row>
    <row r="25" customFormat="false" ht="30" hidden="false" customHeight="true" outlineLevel="0" collapsed="false">
      <c r="B25" s="21" t="s">
        <v>760</v>
      </c>
      <c r="C25" s="21"/>
      <c r="D25" s="21"/>
      <c r="E25" s="21"/>
      <c r="F25" s="21"/>
    </row>
    <row r="26" customFormat="false" ht="30" hidden="false" customHeight="true" outlineLevel="0" collapsed="false">
      <c r="B26" s="10" t="s">
        <v>761</v>
      </c>
      <c r="C26" s="10" t="s">
        <v>762</v>
      </c>
      <c r="D26" s="10" t="s">
        <v>763</v>
      </c>
      <c r="E26" s="10" t="s">
        <v>764</v>
      </c>
    </row>
    <row r="27" customFormat="false" ht="16.5" hidden="false" customHeight="true" outlineLevel="0" collapsed="false">
      <c r="B27" s="16" t="s">
        <v>765</v>
      </c>
      <c r="C27" s="11" t="s">
        <v>766</v>
      </c>
      <c r="D27" s="16" t="s">
        <v>767</v>
      </c>
      <c r="E27" s="16" t="s">
        <v>768</v>
      </c>
    </row>
    <row r="28" customFormat="false" ht="16.5" hidden="false" customHeight="true" outlineLevel="0" collapsed="false">
      <c r="B28" s="16" t="s">
        <v>769</v>
      </c>
      <c r="C28" s="11" t="s">
        <v>770</v>
      </c>
      <c r="D28" s="16" t="s">
        <v>767</v>
      </c>
      <c r="E28" s="16" t="s">
        <v>768</v>
      </c>
    </row>
    <row r="29" customFormat="false" ht="16.5" hidden="false" customHeight="true" outlineLevel="0" collapsed="false">
      <c r="B29" s="16" t="s">
        <v>771</v>
      </c>
      <c r="C29" s="11" t="s">
        <v>772</v>
      </c>
      <c r="D29" s="16" t="s">
        <v>767</v>
      </c>
      <c r="E29" s="16" t="s">
        <v>768</v>
      </c>
    </row>
    <row r="30" customFormat="false" ht="16.5" hidden="false" customHeight="true" outlineLevel="0" collapsed="false">
      <c r="B30" s="16" t="s">
        <v>773</v>
      </c>
      <c r="C30" s="11" t="s">
        <v>774</v>
      </c>
      <c r="D30" s="16" t="s">
        <v>775</v>
      </c>
      <c r="E30" s="16" t="s">
        <v>775</v>
      </c>
    </row>
    <row r="31" customFormat="false" ht="15" hidden="false" customHeight="true" outlineLevel="0" collapsed="false"/>
    <row r="32" customFormat="false" ht="21" hidden="false" customHeight="true" outlineLevel="0" collapsed="false">
      <c r="B32" s="9" t="s">
        <v>776</v>
      </c>
      <c r="C32" s="9"/>
      <c r="D32" s="9"/>
      <c r="E32" s="9"/>
      <c r="F32" s="9"/>
    </row>
    <row r="33" customFormat="false" ht="30" hidden="false" customHeight="true" outlineLevel="0" collapsed="false">
      <c r="B33" s="21" t="s">
        <v>777</v>
      </c>
      <c r="C33" s="21"/>
      <c r="D33" s="21"/>
      <c r="E33" s="21"/>
      <c r="F33" s="21"/>
    </row>
    <row r="34" customFormat="false" ht="30" hidden="false" customHeight="true" outlineLevel="0" collapsed="false">
      <c r="B34" s="10" t="s">
        <v>778</v>
      </c>
      <c r="C34" s="10" t="s">
        <v>744</v>
      </c>
      <c r="D34" s="10" t="s">
        <v>270</v>
      </c>
    </row>
    <row r="35" customFormat="false" ht="16.5" hidden="false" customHeight="true" outlineLevel="0" collapsed="false">
      <c r="B35" s="16" t="s">
        <v>779</v>
      </c>
      <c r="C35" s="11" t="s">
        <v>780</v>
      </c>
      <c r="D35" s="42" t="n">
        <v>0.75</v>
      </c>
    </row>
    <row r="36" customFormat="false" ht="16.5" hidden="false" customHeight="true" outlineLevel="0" collapsed="false">
      <c r="B36" s="16" t="s">
        <v>781</v>
      </c>
      <c r="C36" s="11" t="s">
        <v>782</v>
      </c>
      <c r="D36" s="42" t="n">
        <v>-0.6</v>
      </c>
    </row>
    <row r="37" customFormat="false" ht="16.5" hidden="false" customHeight="true" outlineLevel="0" collapsed="false">
      <c r="B37" s="16" t="s">
        <v>783</v>
      </c>
      <c r="C37" s="11" t="s">
        <v>784</v>
      </c>
      <c r="D37" s="42" t="n">
        <v>-0.5</v>
      </c>
    </row>
    <row r="38" customFormat="false" ht="16.5" hidden="false" customHeight="true" outlineLevel="0" collapsed="false">
      <c r="B38" s="16" t="s">
        <v>785</v>
      </c>
      <c r="C38" s="11" t="s">
        <v>786</v>
      </c>
      <c r="D38" s="42" t="n">
        <v>-0.3</v>
      </c>
    </row>
    <row r="39" customFormat="false" ht="15" hidden="false" customHeight="true" outlineLevel="0" collapsed="false"/>
    <row r="40" customFormat="false" ht="21" hidden="false" customHeight="true" outlineLevel="0" collapsed="false">
      <c r="B40" s="9" t="s">
        <v>787</v>
      </c>
      <c r="C40" s="9"/>
      <c r="D40" s="9"/>
      <c r="E40" s="9"/>
      <c r="F40" s="9"/>
    </row>
    <row r="41" customFormat="false" ht="30" hidden="false" customHeight="true" outlineLevel="0" collapsed="false">
      <c r="B41" s="21" t="s">
        <v>788</v>
      </c>
      <c r="C41" s="21"/>
      <c r="D41" s="21"/>
      <c r="E41" s="21"/>
      <c r="F41" s="21"/>
    </row>
    <row r="42" customFormat="false" ht="30" hidden="false" customHeight="true" outlineLevel="0" collapsed="false">
      <c r="B42" s="10" t="s">
        <v>207</v>
      </c>
      <c r="C42" s="10" t="s">
        <v>789</v>
      </c>
      <c r="D42" s="10" t="s">
        <v>790</v>
      </c>
    </row>
    <row r="43" customFormat="false" ht="29.25" hidden="false" customHeight="true" outlineLevel="0" collapsed="false">
      <c r="B43" s="16" t="s">
        <v>791</v>
      </c>
      <c r="C43" s="11" t="s">
        <v>792</v>
      </c>
      <c r="D43" s="16" t="s">
        <v>793</v>
      </c>
    </row>
    <row r="44" customFormat="false" ht="16.5" hidden="false" customHeight="true" outlineLevel="0" collapsed="false">
      <c r="B44" s="16" t="s">
        <v>794</v>
      </c>
      <c r="C44" s="11" t="s">
        <v>795</v>
      </c>
      <c r="D44" s="16" t="s">
        <v>796</v>
      </c>
    </row>
    <row r="45" customFormat="false" ht="29.25" hidden="false" customHeight="true" outlineLevel="0" collapsed="false">
      <c r="B45" s="16" t="s">
        <v>797</v>
      </c>
      <c r="C45" s="11" t="s">
        <v>798</v>
      </c>
      <c r="D45" s="16" t="s">
        <v>799</v>
      </c>
    </row>
    <row r="46" customFormat="false" ht="15" hidden="false" customHeight="true" outlineLevel="0" collapsed="false"/>
    <row r="47" customFormat="false" ht="21" hidden="false" customHeight="true" outlineLevel="0" collapsed="false">
      <c r="B47" s="9" t="s">
        <v>800</v>
      </c>
      <c r="C47" s="9"/>
      <c r="D47" s="9"/>
      <c r="E47" s="9"/>
      <c r="F47" s="9"/>
    </row>
    <row r="48" customFormat="false" ht="30" hidden="false" customHeight="true" outlineLevel="0" collapsed="false">
      <c r="B48" s="21" t="s">
        <v>801</v>
      </c>
      <c r="C48" s="21"/>
      <c r="D48" s="21"/>
      <c r="E48" s="21"/>
      <c r="F48" s="21"/>
    </row>
    <row r="49" customFormat="false" ht="30" hidden="false" customHeight="true" outlineLevel="0" collapsed="false">
      <c r="B49" s="10" t="s">
        <v>802</v>
      </c>
      <c r="C49" s="10" t="s">
        <v>803</v>
      </c>
      <c r="D49" s="10" t="s">
        <v>804</v>
      </c>
    </row>
    <row r="50" customFormat="false" ht="29.25" hidden="false" customHeight="true" outlineLevel="0" collapsed="false">
      <c r="B50" s="16" t="s">
        <v>805</v>
      </c>
      <c r="C50" s="11" t="s">
        <v>806</v>
      </c>
      <c r="D50" s="39" t="n">
        <v>1.2763</v>
      </c>
    </row>
    <row r="51" customFormat="false" ht="16.5" hidden="false" customHeight="true" outlineLevel="0" collapsed="false">
      <c r="B51" s="16" t="s">
        <v>807</v>
      </c>
      <c r="C51" s="11" t="s">
        <v>808</v>
      </c>
      <c r="D51" s="39" t="n">
        <v>1.3013</v>
      </c>
    </row>
    <row r="52" customFormat="false" ht="15" hidden="false" customHeight="true" outlineLevel="0" collapsed="false"/>
    <row r="53" customFormat="false" ht="21" hidden="false" customHeight="true" outlineLevel="0" collapsed="false">
      <c r="B53" s="9" t="s">
        <v>809</v>
      </c>
      <c r="C53" s="9"/>
      <c r="D53" s="9"/>
      <c r="E53" s="9"/>
      <c r="F53" s="9"/>
    </row>
    <row r="54" customFormat="false" ht="30" hidden="false" customHeight="true" outlineLevel="0" collapsed="false">
      <c r="B54" s="21" t="s">
        <v>810</v>
      </c>
      <c r="C54" s="21"/>
      <c r="D54" s="21"/>
      <c r="E54" s="21"/>
      <c r="F54" s="21"/>
    </row>
    <row r="55" customFormat="false" ht="30" hidden="false" customHeight="true" outlineLevel="0" collapsed="false">
      <c r="B55" s="10" t="s">
        <v>710</v>
      </c>
      <c r="C55" s="10" t="s">
        <v>707</v>
      </c>
      <c r="D55" s="10" t="s">
        <v>811</v>
      </c>
      <c r="E55" s="10" t="s">
        <v>812</v>
      </c>
    </row>
    <row r="56" customFormat="false" ht="29.25" hidden="false" customHeight="true" outlineLevel="0" collapsed="false">
      <c r="B56" s="16" t="s">
        <v>813</v>
      </c>
      <c r="C56" s="11" t="s">
        <v>814</v>
      </c>
      <c r="D56" s="16" t="s">
        <v>815</v>
      </c>
      <c r="E56" s="16" t="s">
        <v>816</v>
      </c>
    </row>
    <row r="57" customFormat="false" ht="16.5" hidden="false" customHeight="true" outlineLevel="0" collapsed="false">
      <c r="B57" s="16" t="s">
        <v>817</v>
      </c>
      <c r="C57" s="11" t="s">
        <v>818</v>
      </c>
      <c r="D57" s="16" t="s">
        <v>819</v>
      </c>
      <c r="E57" s="16" t="s">
        <v>80</v>
      </c>
    </row>
    <row r="58" customFormat="false" ht="16.5" hidden="false" customHeight="true" outlineLevel="0" collapsed="false">
      <c r="B58" s="16" t="s">
        <v>820</v>
      </c>
      <c r="C58" s="11" t="s">
        <v>821</v>
      </c>
      <c r="D58" s="16" t="s">
        <v>822</v>
      </c>
      <c r="E58" s="16" t="s">
        <v>80</v>
      </c>
    </row>
    <row r="59" customFormat="false" ht="29.25" hidden="false" customHeight="true" outlineLevel="0" collapsed="false">
      <c r="B59" s="16" t="s">
        <v>823</v>
      </c>
      <c r="C59" s="11" t="s">
        <v>824</v>
      </c>
      <c r="D59" s="16" t="s">
        <v>819</v>
      </c>
      <c r="E59" s="16" t="s">
        <v>825</v>
      </c>
    </row>
    <row r="60" customFormat="false" ht="29.25" hidden="false" customHeight="true" outlineLevel="0" collapsed="false">
      <c r="B60" s="16" t="s">
        <v>826</v>
      </c>
      <c r="C60" s="11" t="s">
        <v>827</v>
      </c>
      <c r="D60" s="16" t="s">
        <v>828</v>
      </c>
      <c r="E60" s="16" t="s">
        <v>825</v>
      </c>
    </row>
  </sheetData>
  <mergeCells count="16">
    <mergeCell ref="B1:F1"/>
    <mergeCell ref="B2:F2"/>
    <mergeCell ref="B4:F4"/>
    <mergeCell ref="B5:F5"/>
    <mergeCell ref="B11:F11"/>
    <mergeCell ref="B12:F12"/>
    <mergeCell ref="B24:F24"/>
    <mergeCell ref="B25:F25"/>
    <mergeCell ref="B32:F32"/>
    <mergeCell ref="B33:F33"/>
    <mergeCell ref="B40:F40"/>
    <mergeCell ref="B41:F41"/>
    <mergeCell ref="B47:F47"/>
    <mergeCell ref="B48:F48"/>
    <mergeCell ref="B53:F53"/>
    <mergeCell ref="B54:F5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3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8"/>
    <col collapsed="false" customWidth="true" hidden="false" outlineLevel="0" max="2" min="2" style="1" width="40"/>
    <col collapsed="false" customWidth="true" hidden="false" outlineLevel="0" max="3" min="3" style="1" width="10"/>
    <col collapsed="false" customWidth="true" hidden="false" outlineLevel="0" max="4" min="4" style="1" width="70"/>
    <col collapsed="false" customWidth="true" hidden="false" outlineLevel="0" max="5" min="5" style="1" width="26"/>
  </cols>
  <sheetData>
    <row r="1" customFormat="false" ht="25.5" hidden="false" customHeight="true" outlineLevel="0" collapsed="false">
      <c r="B1" s="2" t="s">
        <v>829</v>
      </c>
      <c r="C1" s="2"/>
      <c r="D1" s="2"/>
      <c r="E1" s="2"/>
    </row>
    <row r="2" customFormat="false" ht="30" hidden="false" customHeight="true" outlineLevel="0" collapsed="false">
      <c r="B2" s="4" t="s">
        <v>830</v>
      </c>
      <c r="C2" s="4"/>
      <c r="D2" s="4"/>
      <c r="E2" s="4"/>
    </row>
    <row r="4" customFormat="false" ht="21" hidden="false" customHeight="true" outlineLevel="0" collapsed="false">
      <c r="B4" s="9" t="s">
        <v>831</v>
      </c>
      <c r="C4" s="9"/>
      <c r="D4" s="9"/>
      <c r="E4" s="9"/>
    </row>
    <row r="5" customFormat="false" ht="30" hidden="false" customHeight="true" outlineLevel="0" collapsed="false">
      <c r="B5" s="10" t="s">
        <v>832</v>
      </c>
      <c r="C5" s="10" t="s">
        <v>833</v>
      </c>
      <c r="D5" s="10" t="s">
        <v>834</v>
      </c>
      <c r="E5" s="10" t="s">
        <v>835</v>
      </c>
    </row>
    <row r="6" customFormat="false" ht="29.25" hidden="false" customHeight="true" outlineLevel="0" collapsed="false">
      <c r="B6" s="11" t="s">
        <v>836</v>
      </c>
      <c r="C6" s="16" t="s">
        <v>813</v>
      </c>
      <c r="D6" s="11" t="s">
        <v>837</v>
      </c>
      <c r="E6" s="14" t="s">
        <v>838</v>
      </c>
    </row>
    <row r="7" customFormat="false" ht="29.25" hidden="false" customHeight="true" outlineLevel="0" collapsed="false">
      <c r="B7" s="11" t="s">
        <v>839</v>
      </c>
      <c r="C7" s="16" t="s">
        <v>817</v>
      </c>
      <c r="D7" s="11" t="s">
        <v>840</v>
      </c>
      <c r="E7" s="14" t="s">
        <v>841</v>
      </c>
    </row>
    <row r="8" customFormat="false" ht="16.5" hidden="false" customHeight="true" outlineLevel="0" collapsed="false">
      <c r="B8" s="11" t="s">
        <v>842</v>
      </c>
      <c r="C8" s="16" t="s">
        <v>820</v>
      </c>
      <c r="D8" s="11" t="s">
        <v>843</v>
      </c>
      <c r="E8" s="14" t="s">
        <v>844</v>
      </c>
    </row>
    <row r="9" customFormat="false" ht="16.5" hidden="false" customHeight="true" outlineLevel="0" collapsed="false">
      <c r="B9" s="11" t="s">
        <v>845</v>
      </c>
      <c r="C9" s="16" t="s">
        <v>826</v>
      </c>
      <c r="D9" s="11" t="s">
        <v>846</v>
      </c>
      <c r="E9" s="14" t="s">
        <v>847</v>
      </c>
    </row>
    <row r="10" customFormat="false" ht="16.5" hidden="false" customHeight="true" outlineLevel="0" collapsed="false">
      <c r="B10" s="11" t="s">
        <v>848</v>
      </c>
      <c r="C10" s="16" t="s">
        <v>826</v>
      </c>
      <c r="D10" s="11" t="s">
        <v>849</v>
      </c>
      <c r="E10" s="14" t="s">
        <v>850</v>
      </c>
    </row>
    <row r="11" customFormat="false" ht="16.5" hidden="false" customHeight="true" outlineLevel="0" collapsed="false">
      <c r="B11" s="11" t="s">
        <v>851</v>
      </c>
      <c r="C11" s="16" t="s">
        <v>826</v>
      </c>
      <c r="D11" s="11" t="s">
        <v>852</v>
      </c>
      <c r="E11" s="14" t="s">
        <v>853</v>
      </c>
    </row>
    <row r="12" customFormat="false" ht="16.5" hidden="false" customHeight="true" outlineLevel="0" collapsed="false">
      <c r="B12" s="11" t="s">
        <v>854</v>
      </c>
      <c r="C12" s="16" t="s">
        <v>855</v>
      </c>
      <c r="D12" s="11" t="s">
        <v>856</v>
      </c>
      <c r="E12" s="14" t="s">
        <v>853</v>
      </c>
    </row>
    <row r="13" customFormat="false" ht="16.5" hidden="false" customHeight="true" outlineLevel="0" collapsed="false">
      <c r="B13" s="11" t="s">
        <v>857</v>
      </c>
      <c r="C13" s="16" t="s">
        <v>858</v>
      </c>
      <c r="D13" s="11" t="s">
        <v>859</v>
      </c>
      <c r="E13" s="14" t="s">
        <v>860</v>
      </c>
    </row>
    <row r="14" customFormat="false" ht="29.25" hidden="false" customHeight="true" outlineLevel="0" collapsed="false">
      <c r="B14" s="11" t="s">
        <v>861</v>
      </c>
      <c r="C14" s="16" t="s">
        <v>858</v>
      </c>
      <c r="D14" s="11" t="s">
        <v>862</v>
      </c>
      <c r="E14" s="14" t="s">
        <v>847</v>
      </c>
    </row>
    <row r="15" customFormat="false" ht="16.5" hidden="false" customHeight="true" outlineLevel="0" collapsed="false">
      <c r="B15" s="11" t="s">
        <v>863</v>
      </c>
      <c r="C15" s="16" t="s">
        <v>858</v>
      </c>
      <c r="D15" s="11" t="s">
        <v>864</v>
      </c>
      <c r="E15" s="14" t="s">
        <v>844</v>
      </c>
    </row>
    <row r="16" customFormat="false" ht="29.25" hidden="false" customHeight="true" outlineLevel="0" collapsed="false">
      <c r="B16" s="11" t="s">
        <v>865</v>
      </c>
      <c r="C16" s="16" t="s">
        <v>866</v>
      </c>
      <c r="D16" s="11" t="s">
        <v>867</v>
      </c>
      <c r="E16" s="14" t="s">
        <v>868</v>
      </c>
    </row>
    <row r="17" customFormat="false" ht="29.25" hidden="false" customHeight="true" outlineLevel="0" collapsed="false">
      <c r="B17" s="11" t="s">
        <v>869</v>
      </c>
      <c r="C17" s="16" t="s">
        <v>870</v>
      </c>
      <c r="D17" s="11" t="s">
        <v>871</v>
      </c>
      <c r="E17" s="14" t="s">
        <v>853</v>
      </c>
    </row>
    <row r="18" customFormat="false" ht="16.5" hidden="false" customHeight="true" outlineLevel="0" collapsed="false">
      <c r="B18" s="11" t="s">
        <v>872</v>
      </c>
      <c r="C18" s="16" t="s">
        <v>873</v>
      </c>
      <c r="D18" s="11" t="s">
        <v>874</v>
      </c>
      <c r="E18" s="14" t="s">
        <v>875</v>
      </c>
    </row>
    <row r="19" customFormat="false" ht="16.5" hidden="false" customHeight="true" outlineLevel="0" collapsed="false">
      <c r="B19" s="11" t="s">
        <v>876</v>
      </c>
      <c r="C19" s="16" t="s">
        <v>537</v>
      </c>
      <c r="D19" s="11" t="s">
        <v>877</v>
      </c>
      <c r="E19" s="14" t="s">
        <v>878</v>
      </c>
    </row>
    <row r="20" customFormat="false" ht="15" hidden="false" customHeight="true" outlineLevel="0" collapsed="false"/>
    <row r="21" customFormat="false" ht="21" hidden="false" customHeight="true" outlineLevel="0" collapsed="false">
      <c r="B21" s="9" t="s">
        <v>879</v>
      </c>
      <c r="C21" s="9"/>
      <c r="D21" s="9"/>
      <c r="E21" s="9"/>
    </row>
    <row r="22" customFormat="false" ht="30" hidden="false" customHeight="true" outlineLevel="0" collapsed="false">
      <c r="B22" s="36" t="s">
        <v>880</v>
      </c>
      <c r="C22" s="36"/>
      <c r="D22" s="36"/>
      <c r="E22" s="36"/>
    </row>
    <row r="23" customFormat="false" ht="30" hidden="false" customHeight="true" outlineLevel="0" collapsed="false">
      <c r="B23" s="36" t="s">
        <v>881</v>
      </c>
      <c r="C23" s="36"/>
      <c r="D23" s="36"/>
      <c r="E23" s="36"/>
    </row>
    <row r="24" customFormat="false" ht="30" hidden="false" customHeight="true" outlineLevel="0" collapsed="false">
      <c r="B24" s="36" t="s">
        <v>882</v>
      </c>
      <c r="C24" s="36"/>
      <c r="D24" s="36"/>
      <c r="E24" s="36"/>
    </row>
    <row r="25" customFormat="false" ht="30" hidden="false" customHeight="true" outlineLevel="0" collapsed="false">
      <c r="B25" s="36" t="s">
        <v>883</v>
      </c>
      <c r="C25" s="36"/>
      <c r="D25" s="36"/>
      <c r="E25" s="36"/>
    </row>
    <row r="26" customFormat="false" ht="30" hidden="false" customHeight="true" outlineLevel="0" collapsed="false">
      <c r="B26" s="36" t="s">
        <v>884</v>
      </c>
      <c r="C26" s="36"/>
      <c r="D26" s="36"/>
      <c r="E26" s="36"/>
    </row>
    <row r="27" customFormat="false" ht="30" hidden="false" customHeight="true" outlineLevel="0" collapsed="false">
      <c r="B27" s="36" t="s">
        <v>885</v>
      </c>
      <c r="C27" s="36"/>
      <c r="D27" s="36"/>
      <c r="E27" s="36"/>
    </row>
    <row r="28" customFormat="false" ht="30" hidden="false" customHeight="true" outlineLevel="0" collapsed="false">
      <c r="B28" s="36" t="s">
        <v>886</v>
      </c>
      <c r="C28" s="36"/>
      <c r="D28" s="36"/>
      <c r="E28" s="36"/>
    </row>
    <row r="29" customFormat="false" ht="30" hidden="false" customHeight="true" outlineLevel="0" collapsed="false">
      <c r="B29" s="36" t="s">
        <v>887</v>
      </c>
      <c r="C29" s="36"/>
      <c r="D29" s="36"/>
      <c r="E29" s="36"/>
    </row>
    <row r="30" customFormat="false" ht="30" hidden="false" customHeight="true" outlineLevel="0" collapsed="false">
      <c r="B30" s="36" t="s">
        <v>888</v>
      </c>
      <c r="C30" s="36"/>
      <c r="D30" s="36"/>
      <c r="E30" s="36"/>
    </row>
    <row r="31" customFormat="false" ht="30" hidden="false" customHeight="true" outlineLevel="0" collapsed="false">
      <c r="B31" s="36" t="s">
        <v>889</v>
      </c>
      <c r="C31" s="36"/>
      <c r="D31" s="36"/>
      <c r="E31" s="36"/>
    </row>
  </sheetData>
  <mergeCells count="14">
    <mergeCell ref="B1:E1"/>
    <mergeCell ref="B2:E2"/>
    <mergeCell ref="B4:E4"/>
    <mergeCell ref="B21:E21"/>
    <mergeCell ref="B22:E22"/>
    <mergeCell ref="B23:E23"/>
    <mergeCell ref="B24:E24"/>
    <mergeCell ref="B25:E25"/>
    <mergeCell ref="B26:E26"/>
    <mergeCell ref="B27:E27"/>
    <mergeCell ref="B28:E28"/>
    <mergeCell ref="B29:E29"/>
    <mergeCell ref="B30:E30"/>
    <mergeCell ref="B31:E3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2026-09-24T00:39:49Z</dcterms:created>
  <dc:creator>openpyxl</dc:creator>
  <dc:description/>
  <dc:language>en-US</dc:language>
  <cp:lastModifiedBy/>
  <dcterms:modified xsi:type="dcterms:W3CDTF">2026-09-25T00:14:47Z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