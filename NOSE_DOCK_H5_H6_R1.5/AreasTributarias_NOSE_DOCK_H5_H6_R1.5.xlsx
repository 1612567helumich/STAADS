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TECHO" sheetId="2" state="visible" r:id="rId4"/>
    <sheet name="MUROS" sheetId="3" state="visible" r:id="rId5"/>
    <sheet name="NODOS_TECHO" sheetId="4" state="visible" r:id="rId6"/>
    <sheet name="NODOS_MUROS" sheetId="5" state="visible" r:id="rId7"/>
    <sheet name="STAAD" sheetId="6" state="visible" r:id="rId8"/>
    <sheet name="RESUME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<sst xmlns="http://schemas.openxmlformats.org/spreadsheetml/2006/main" count="1980" uniqueCount="744">
  <si>
    <t xml:space="preserve">ÁREAS TRIBUTARIAS Y CARGAS PARA STAAD — HANGAR NOSE-DOCK H5-H6 — DATOS</t>
  </si>
  <si>
    <t xml:space="preserve">Largueros y vigas de techo y largueros de muro del modelo 001_NOSE_DOCK_H5_H6_R1.5.STD (en el modelo: cm y kg). Aquí se capturan cargas y geometría; TECHO, MUROS, STAAD y RESUMEN salen solas. Celdas amarillas = captura.</t>
  </si>
  <si>
    <t xml:space="preserve">1. CARGAS MUERTAS (TABLA DE CM DEL PROYECTO)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</si>
  <si>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</si>
  <si>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</si>
  <si>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</si>
  <si>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</si>
  <si>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</si>
  <si>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Panel sándwich GLAMET (Metecno) PUR/PIR 1.5" — techo</t>
  </si>
  <si>
    <t xml:space="preserve">kg/m²</t>
  </si>
  <si>
    <t xml:space="preserve">CAPTURA. Renglón 1 de la tabla de CM, columna Techos.</t>
  </si>
  <si>
    <t xml:space="preserve">Tabla de CM del proyecto (foto) · renglón 1</t>
  </si>
  <si>
    <t xml:space="preserve">Instalaciones generales (iluminación, datos) — techo</t>
  </si>
  <si>
    <t xml:space="preserve">CAPTURA. Renglón 2 de la tabla de CM, columna Techos.</t>
  </si>
  <si>
    <t xml:space="preserve">Tabla de CM del proyecto (foto) · renglón 2</t>
  </si>
  <si>
    <t xml:space="preserve">CM de techo</t>
  </si>
  <si>
    <t xml:space="preserve">CALCULADA = panel + instalaciones. No incluye el acero: ése lo mete STAAD con SELFWEIGHT.</t>
  </si>
  <si>
    <t xml:space="preserve">Tabla de CM del proyecto · total Techos (19.32)</t>
  </si>
  <si>
    <t xml:space="preserve">Lámina SSR KR-18 acanalada cal. 24 — muros</t>
  </si>
  <si>
    <t xml:space="preserve">CAPTURA. Renglón 3 de la tabla de CM, columna Muros.</t>
  </si>
  <si>
    <t xml:space="preserve">Tabla de CM del proyecto (foto) · renglón 3</t>
  </si>
  <si>
    <t xml:space="preserve">CM de muros</t>
  </si>
  <si>
    <t xml:space="preserve">CALCULADA. Se aplica como carga vertical en los largueros de muro.</t>
  </si>
  <si>
    <t xml:space="preserve">Tabla de CM del proyecto · total Muros (5.85)</t>
  </si>
  <si>
    <t xml:space="preserve">2. CARGA VIVA DE TECHO — RESESCO 1996</t>
  </si>
  <si>
    <t xml:space="preserve">La tabla del Reglamento cambia con la pendiente: hasta 5% (inciso h) w_m = 100, w_i = 50; más de 5% (inciso i) w_m = 20, w_i = 0 kg/m².</t>
  </si>
  <si>
    <t xml:space="preserve">Y del techo en el eje 1 (Z = 0)</t>
  </si>
  <si>
    <t xml:space="preserve">m</t>
  </si>
  <si>
    <t xml:space="preserve">CAPTURA del modelo: nodos 20 y 21, Y = 1062 cm.</t>
  </si>
  <si>
    <t xml:space="preserve">001_NOSE_DOCK_H5_H6_R1.5.STD · JOINT COORDINATES</t>
  </si>
  <si>
    <t xml:space="preserve">Y del techo en el eje 4 (Z = 16 m)</t>
  </si>
  <si>
    <t xml:space="preserve">CAPTURA del modelo: nodos 16 y 13, Y = 982.002 cm.</t>
  </si>
  <si>
    <t xml:space="preserve">L — largo en el sentido de la pendiente (eje 1 a eje 4)</t>
  </si>
  <si>
    <t xml:space="preserve">CAPTURA del modelo: Z de 0 a 1600 cm.</t>
  </si>
  <si>
    <t xml:space="preserve">Pendiente del modelo = (Y₁ − Y₄) / L</t>
  </si>
  <si>
    <t xml:space="preserve">%</t>
  </si>
  <si>
    <t xml:space="preserve">CALCULADA con la geometría de STAAD (0.80 m de caída en 16 m).</t>
  </si>
  <si>
    <t xml:space="preserve">Geometría del modelo</t>
  </si>
  <si>
    <t xml:space="preserve">θ — ángulo del techo</t>
  </si>
  <si>
    <t xml:space="preserve">°</t>
  </si>
  <si>
    <t xml:space="preserve">CALCULADA = arctan(pendiente).</t>
  </si>
  <si>
    <t xml:space="preserve">—</t>
  </si>
  <si>
    <t xml:space="preserve">Pendiente que rige (arquitectónico)</t>
  </si>
  <si>
    <t xml:space="preserve">CAPTURA. La que indicaste (5.4%). Cámbiala si el arquitectónico dice otra: w_m y w_i se ajustan solos.</t>
  </si>
  <si>
    <t xml:space="preserve">Arquitectónico (dato del proyecto)</t>
  </si>
  <si>
    <t xml:space="preserve">Inciso de la tabla que aplica</t>
  </si>
  <si>
    <t xml:space="preserve">CALCULADA con la pendiente que rige.</t>
  </si>
  <si>
    <t xml:space="preserve">RESESCO 1996 · Tabla de Cargas Vivas Unitarias Mínimas, incisos h) e i), pág. 12</t>
  </si>
  <si>
    <t xml:space="preserve">w_m — carga viva máxima (caso 2 CV)</t>
  </si>
  <si>
    <t xml:space="preserve">CALCULADA. Para diseño por gravedad (combinación 1.4CM + 1.7CV).</t>
  </si>
  <si>
    <t xml:space="preserve">RESESCO · Art. 25 num. 1, pág. 9 · Tabla, pág. 12</t>
  </si>
  <si>
    <t xml:space="preserve">w_i — carga viva instantánea (caso 3 CVR y masa sísmica)</t>
  </si>
  <si>
    <t xml:space="preserve">CALCULADA. Para sismo y viento; con 0 el caso 3 queda vacío y no suma masa.</t>
  </si>
  <si>
    <t xml:space="preserve">RESESCO · Art. 25 num. 2, pág. 10 · Tabla, pág. 12</t>
  </si>
  <si>
    <t xml:space="preserve">w — carga viva media</t>
  </si>
  <si>
    <t xml:space="preserve">CALCULADA. Sólo para deflexiones diferidas.</t>
  </si>
  <si>
    <t xml:space="preserve">RESESCO · Art. 25 num. 3, pág. 10 · Tabla, pág. 12</t>
  </si>
  <si>
    <t xml:space="preserve">Carga concentrada en elementos de cubierta</t>
  </si>
  <si>
    <t xml:space="preserve">kg</t>
  </si>
  <si>
    <t xml:space="preserve">Revisión aparte de largueros y vigas de techo: 100 kg en la posición más crítica (no es un caso general de STAAD).</t>
  </si>
  <si>
    <t xml:space="preserve">RESESCO · Observación 5 a la tabla, pág. 13</t>
  </si>
  <si>
    <t xml:space="preserve">3. GEOMETRÍA DEL MODELO</t>
  </si>
  <si>
    <t xml:space="preserve">Claro de largueros de techo (eje A a eje B)</t>
  </si>
  <si>
    <t xml:space="preserve">CAPTURA del modelo: X de 0 a 1008 cm.</t>
  </si>
  <si>
    <t xml:space="preserve">001_NOSE_DOCK_H5_H6_R1.5.STD · nodos 16 y 13</t>
  </si>
  <si>
    <t xml:space="preserve">Mitad del claro (lo que cada larguero entrega a cada viga de alero)</t>
  </si>
  <si>
    <t xml:space="preserve">CALCULADA. Ancho en X del área de las vigas VA y VB.</t>
  </si>
  <si>
    <t xml:space="preserve">Criterio de área tributaria</t>
  </si>
  <si>
    <t xml:space="preserve">Z del eje 1</t>
  </si>
  <si>
    <t xml:space="preserve">CAPTURA del modelo.</t>
  </si>
  <si>
    <t xml:space="preserve">001_NOSE_DOCK_H5_H6_R1.5.STD · nodos 1 y 2</t>
  </si>
  <si>
    <t xml:space="preserve">Z del eje 2</t>
  </si>
  <si>
    <t xml:space="preserve">001_NOSE_DOCK_H5_H6_R1.5.STD · nodos 3 y 6</t>
  </si>
  <si>
    <t xml:space="preserve">Z del eje 3</t>
  </si>
  <si>
    <t xml:space="preserve">001_NOSE_DOCK_H5_H6_R1.5.STD · nodos 4 y 7</t>
  </si>
  <si>
    <t xml:space="preserve">Z del eje 4</t>
  </si>
  <si>
    <t xml:space="preserve">001_NOSE_DOCK_H5_H6_R1.5.STD · nodos 5 y 8</t>
  </si>
  <si>
    <t xml:space="preserve">Factor por pendiente 1 / cos θ</t>
  </si>
  <si>
    <t xml:space="preserve">CALCULADA. Las áreas van en proyección horizontal: este factor se desprecia.</t>
  </si>
  <si>
    <t xml:space="preserve">4. CRITERIOS</t>
  </si>
  <si>
    <t xml:space="preserve">1. Los PIPX7 del techo no se consideran portantes: cada larguero MC4-14 trabaja de alero a alero (claro 10.08 m) y entrega la mitad a cada viga MCE6-12 de alero (ejes A y B).</t>
  </si>
  <si>
    <t xml:space="preserve">2. En los ejes 1 a 4 no hay larguero en el modelo: la franja de ese eje la toma directo la viga MCE6-12 del marco (VM-1 a VM-4).</t>
  </si>
  <si>
    <t xml:space="preserve"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25) y su viento a las jambas; la puerta de 1.30 × 2.40 carga su viento a sus postes HSS3x3 (hoja de viento).</t>
  </si>
  <si>
    <t xml:space="preserve">4. El eje 4 (Z = 16 m) no tiene largueros de muro en el modelo: se tomó sin muro.</t>
  </si>
  <si>
    <t xml:space="preserve">5. En STAAD (R1.5): CM y CV de techo como JOINT LOAD FY (−) en los 8 nodos de cabeza de columna (hoja NODOS_TECHO); CM de muros como UNI GY (−) en los largueros y en la franja alta de las vigas de alero y VM-1 (hoja MUROS), w (kg/cm) = w (kg/m) ÷ 100; masa sísmica del caso 4 como JOINT LOAD FX y FZ en los nodos de columna (hojas NODOS_TECHO y NODOS_MUROS), más SELFWEIGHT X 1 y Z 1.</t>
  </si>
  <si>
    <t xml:space="preserve">5. CORTINA DE ORUGA EN EL VANO DEL NOSE DOCK (MASA EN EL DINTEL, MIEMBRO 25)</t>
  </si>
  <si>
    <t xml:space="preserve">Peso unitario de la cortina metálica</t>
  </si>
  <si>
    <t xml:space="preserve">CAPTURA. Ficha: «peso = m² × 12 kg» (cortina metálica galvanizada 0.8 mm). Es de cortina enrollable: cámbialo con la ficha del proveedor de la plegable.</t>
  </si>
  <si>
    <t xml:space="preserve">Protec Ingeniería · Ficha técnica Cortina Metálica Motor Central · https://protecingenieria.cl/wp-content/uploads/2018/10/FIcha-Tecnica-Cortinas-Metalica-Motor-Central.pdf</t>
  </si>
  <si>
    <t xml:space="preserve">Ancho del vano (dintel entre nodos 26 y 27)</t>
  </si>
  <si>
    <t xml:space="preserve">CAPTURA del modelo: X de 248.69 a 758.851 cm.</t>
  </si>
  <si>
    <t xml:space="preserve">Alto de la cortina (= alto del vano)</t>
  </si>
  <si>
    <t xml:space="preserve">CAPTURA del modelo: dintel a Y = 633.001 cm.</t>
  </si>
  <si>
    <t xml:space="preserve">001_NOSE_DOCK_H5_H6_R1.5.STD · nodos 26 y 27</t>
  </si>
  <si>
    <t xml:space="preserve">Peso de la cortina</t>
  </si>
  <si>
    <t xml:space="preserve">CALCULADA = kg/m² × ancho × alto. Va en el caso 1 (UNI GY) y en la masa sísmica (caso 4).</t>
  </si>
  <si>
    <t xml:space="preserve">Ficha técnica (arriba)</t>
  </si>
  <si>
    <t xml:space="preserve">Longitud del dintel (miembro 25)</t>
  </si>
  <si>
    <t xml:space="preserve">cm</t>
  </si>
  <si>
    <t xml:space="preserve">CALCULADA. STAAD trabaja en cm.</t>
  </si>
  <si>
    <t xml:space="preserve">Modelo R1.5</t>
  </si>
  <si>
    <t xml:space="preserve">w — carga lineal sobre el dintel</t>
  </si>
  <si>
    <t xml:space="preserve">kg/cm</t>
  </si>
  <si>
    <t xml:space="preserve">CALCULADA = peso ÷ longitud. En STAAD: 25 UNI GY (−) en el caso 1; 25 UNI GX y 25 UNI GZ (+) en el caso 4.</t>
  </si>
  <si>
    <t xml:space="preserve">6. El peso propio del acero lo calcula STAAD (SELFWEIGHT). La CM y CV de techo van puntuales en las cabezas de columna; la masa sísmica del techo y de los muros va puntual en los nodos de columna (hojas NODOS_TECHO y NODOS_MUROS).</t>
  </si>
  <si>
    <t xml:space="preserve">TECHO — ÁREAS TRIBUTARIAS DE LARGUEROS MC4-14 Y VIGAS MCE6-12</t>
  </si>
  <si>
    <t xml:space="preserve">Planta en proyección horizontal. Las líneas en X (largueros LT y vigas de marco VM) reciben su franja; las vigas de alero VA y VB reciben la mitad del claro de cada larguero. Mismas áreas que el DXF. En STAAD R1.5 el techo ya NO se aplica en largueros ni vigas: va puntual a las 8 cabezas de columna (hoja NODOS_TECHO). Estas cargas por metro quedan para diseñar largueros y vigas.</t>
  </si>
  <si>
    <t xml:space="preserve">A. LÍNEAS EN X — LARGUEROS LT Y VIGAS DE MARCO VM</t>
  </si>
  <si>
    <t xml:space="preserve">ID</t>
  </si>
  <si>
    <t xml:space="preserve">Elemento</t>
  </si>
  <si>
    <t xml:space="preserve">Perfil</t>
  </si>
  <si>
    <t xml:space="preserve">Z (m)</t>
  </si>
  <si>
    <t xml:space="preserve">Franja desde (m)</t>
  </si>
  <si>
    <t xml:space="preserve">Franja hasta (m)</t>
  </si>
  <si>
    <t xml:space="preserve">b (m)</t>
  </si>
  <si>
    <t xml:space="preserve">Claro (m)</t>
  </si>
  <si>
    <t xml:space="preserve">A (m²)</t>
  </si>
  <si>
    <t xml:space="preserve">w CM (kg/m)</t>
  </si>
  <si>
    <t xml:space="preserve">w CV (kg/m)</t>
  </si>
  <si>
    <t xml:space="preserve">w CVi (kg/m)</t>
  </si>
  <si>
    <t xml:space="preserve">R extremo CM (kg)</t>
  </si>
  <si>
    <t xml:space="preserve">R extremo CV (kg)</t>
  </si>
  <si>
    <t xml:space="preserve">Miembros STAAD</t>
  </si>
  <si>
    <t xml:space="preserve">del modelo</t>
  </si>
  <si>
    <t xml:space="preserve">(Z ant. + Z)/2</t>
  </si>
  <si>
    <t xml:space="preserve">(Z + Z sig.)/2</t>
  </si>
  <si>
    <t xml:space="preserve">hasta − desde</t>
  </si>
  <si>
    <t xml:space="preserve">DATOS C30</t>
  </si>
  <si>
    <t xml:space="preserve">b × claro</t>
  </si>
  <si>
    <t xml:space="preserve">CM techo × b</t>
  </si>
  <si>
    <t xml:space="preserve">w_m × b</t>
  </si>
  <si>
    <t xml:space="preserve">w_i × b</t>
  </si>
  <si>
    <t xml:space="preserve">w CM × claro/2</t>
  </si>
  <si>
    <t xml:space="preserve">w CV × claro/2</t>
  </si>
  <si>
    <t xml:space="preserve">del .STD</t>
  </si>
  <si>
    <t xml:space="preserve">VM-1</t>
  </si>
  <si>
    <t xml:space="preserve">Viga de marco eje 1</t>
  </si>
  <si>
    <t xml:space="preserve">MCE6-12</t>
  </si>
  <si>
    <t xml:space="preserve">22 85 TO 88</t>
  </si>
  <si>
    <t xml:space="preserve">.STD R1.5 · nodos 20 a 21 (Z = 0 cm)</t>
  </si>
  <si>
    <t xml:space="preserve">LT-1</t>
  </si>
  <si>
    <t xml:space="preserve">Larguero de techo</t>
  </si>
  <si>
    <t xml:space="preserve">MC4-14</t>
  </si>
  <si>
    <t xml:space="preserve">80 129 TO 132</t>
  </si>
  <si>
    <t xml:space="preserve">.STD R1.5 · nodos 43 a 47 (Z = 135 cm)</t>
  </si>
  <si>
    <t xml:space="preserve">LT-2</t>
  </si>
  <si>
    <t xml:space="preserve">79 125 TO 128</t>
  </si>
  <si>
    <t xml:space="preserve">.STD R1.5 · nodos 42 a 46 (Z = 270 cm)</t>
  </si>
  <si>
    <t xml:space="preserve">LT-3</t>
  </si>
  <si>
    <t xml:space="preserve">78 121 TO 124</t>
  </si>
  <si>
    <t xml:space="preserve">.STD R1.5 · nodos 41 a 45 (Z = 405 cm)</t>
  </si>
  <si>
    <t xml:space="preserve">LT-4</t>
  </si>
  <si>
    <t xml:space="preserve">77 117 TO 120</t>
  </si>
  <si>
    <t xml:space="preserve">.STD R1.5 · nodos 40 a 44 (Z = 540 cm)</t>
  </si>
  <si>
    <t xml:space="preserve">VM-2</t>
  </si>
  <si>
    <t xml:space="preserve">Viga de marco eje 2</t>
  </si>
  <si>
    <t xml:space="preserve">9 93 TO 96</t>
  </si>
  <si>
    <t xml:space="preserve">.STD R1.5 · nodos 18 a 19 (Z = 675 cm)</t>
  </si>
  <si>
    <t xml:space="preserve">LT-5</t>
  </si>
  <si>
    <t xml:space="preserve">76 113 TO 116</t>
  </si>
  <si>
    <t xml:space="preserve">.STD R1.5 · nodos 51 a 55 (Z = 810 cm)</t>
  </si>
  <si>
    <t xml:space="preserve">LT-6</t>
  </si>
  <si>
    <t xml:space="preserve">75 109 TO 112</t>
  </si>
  <si>
    <t xml:space="preserve">.STD R1.5 · nodos 50 a 54 (Z = 945 cm)</t>
  </si>
  <si>
    <t xml:space="preserve">LT-7</t>
  </si>
  <si>
    <t xml:space="preserve">74 105 TO 108</t>
  </si>
  <si>
    <t xml:space="preserve">.STD R1.5 · nodos 49 a 53 (Z = 1080 cm)</t>
  </si>
  <si>
    <t xml:space="preserve">LT-8</t>
  </si>
  <si>
    <t xml:space="preserve">73 101 TO 104</t>
  </si>
  <si>
    <t xml:space="preserve">.STD R1.5 · nodos 48 a 52 (Z = 1215 cm)</t>
  </si>
  <si>
    <t xml:space="preserve">VM-3</t>
  </si>
  <si>
    <t xml:space="preserve">Viga de marco eje 3</t>
  </si>
  <si>
    <t xml:space="preserve">8 89 TO 92</t>
  </si>
  <si>
    <t xml:space="preserve">.STD R1.5 · nodos 14 a 15 (Z = 1350 cm)</t>
  </si>
  <si>
    <t xml:space="preserve">LT-9</t>
  </si>
  <si>
    <t xml:space="preserve">56 97 TO 100</t>
  </si>
  <si>
    <t xml:space="preserve">.STD R1.5 · nodos 38 a 39 (Z = 1475 cm)</t>
  </si>
  <si>
    <t xml:space="preserve">VM-4</t>
  </si>
  <si>
    <t xml:space="preserve">Viga de marco eje 4</t>
  </si>
  <si>
    <t xml:space="preserve">7 81 TO 84</t>
  </si>
  <si>
    <t xml:space="preserve">.STD R1.5 · nodos 16 a 13 (Z = 1600 cm)</t>
  </si>
  <si>
    <t xml:space="preserve">Total</t>
  </si>
  <si>
    <t xml:space="preserve">Suma de áreas de techo (debe dar claro × largo = 10.08 × 16.00)</t>
  </si>
  <si>
    <t xml:space="preserve">B. VIGAS DE ALERO MCE6-12 (EJES A Y B) — RECIBEN LA MITAD DE CADA LARGUERO</t>
  </si>
  <si>
    <t xml:space="preserve">Área = franja en Z de los largueros que se le apoyan × mitad del claro de los largueros. Sirve para diseñar las vigas de alero; en STAAD R1.5 el techo entra en las cabezas de columna (hoja NODOS_TECHO).</t>
  </si>
  <si>
    <t xml:space="preserve">Eje y tramo</t>
  </si>
  <si>
    <t xml:space="preserve">Largueros que recibe</t>
  </si>
  <si>
    <t xml:space="preserve">Ancho en Z (m)</t>
  </si>
  <si>
    <t xml:space="preserve">Ancho en X (m)</t>
  </si>
  <si>
    <t xml:space="preserve">CM total (kg)</t>
  </si>
  <si>
    <t xml:space="preserve">CV total (kg)</t>
  </si>
  <si>
    <t xml:space="preserve">Nº de largueros</t>
  </si>
  <si>
    <t xml:space="preserve">R CM por larguero (kg)</t>
  </si>
  <si>
    <t xml:space="preserve">R CV por larguero (kg)</t>
  </si>
  <si>
    <t xml:space="preserve">del 1er larguero</t>
  </si>
  <si>
    <t xml:space="preserve">del último larguero</t>
  </si>
  <si>
    <t xml:space="preserve">DATOS C31</t>
  </si>
  <si>
    <t xml:space="preserve">Z × X</t>
  </si>
  <si>
    <t xml:space="preserve">CM techo × A</t>
  </si>
  <si>
    <t xml:space="preserve">w_m × A</t>
  </si>
  <si>
    <t xml:space="preserve">CM total ÷ Nº</t>
  </si>
  <si>
    <t xml:space="preserve">CV total ÷ Nº</t>
  </si>
  <si>
    <t xml:space="preserve">VA-1</t>
  </si>
  <si>
    <t xml:space="preserve">Eje A, tramo 1-2</t>
  </si>
  <si>
    <t xml:space="preserve">LT-1 a LT-4</t>
  </si>
  <si>
    <t xml:space="preserve">10 57 TO 60</t>
  </si>
  <si>
    <t xml:space="preserve">.STD R1.5 · X = 0 cm, Z 0 a 675 cm</t>
  </si>
  <si>
    <t xml:space="preserve">VA-2</t>
  </si>
  <si>
    <t xml:space="preserve">Eje A, tramo 2-3</t>
  </si>
  <si>
    <t xml:space="preserve">LT-5 a LT-8</t>
  </si>
  <si>
    <t xml:space="preserve">43 65 TO 68</t>
  </si>
  <si>
    <t xml:space="preserve">.STD R1.5 · X = 0 cm, Z 675 a 1350 cm</t>
  </si>
  <si>
    <t xml:space="preserve">VA-3</t>
  </si>
  <si>
    <t xml:space="preserve">Eje A, tramo 3-4</t>
  </si>
  <si>
    <t xml:space="preserve">47 54</t>
  </si>
  <si>
    <t xml:space="preserve">.STD R1.5 · X = 0 cm, Z 1350 a 1600 cm</t>
  </si>
  <si>
    <t xml:space="preserve">VB-1</t>
  </si>
  <si>
    <t xml:space="preserve">Eje B, tramo 1-2</t>
  </si>
  <si>
    <t xml:space="preserve">12 61 TO 64</t>
  </si>
  <si>
    <t xml:space="preserve">.STD R1.5 · X = 1008 cm, Z 0 a 675 cm</t>
  </si>
  <si>
    <t xml:space="preserve">VB-2</t>
  </si>
  <si>
    <t xml:space="preserve">Eje B, tramo 2-3</t>
  </si>
  <si>
    <t xml:space="preserve">50 69 TO 72</t>
  </si>
  <si>
    <t xml:space="preserve">.STD R1.5 · X = 1008 cm, Z 675 a 1350 cm</t>
  </si>
  <si>
    <t xml:space="preserve">VB-3</t>
  </si>
  <si>
    <t xml:space="preserve">Eje B, tramo 3-4</t>
  </si>
  <si>
    <t xml:space="preserve">53 55</t>
  </si>
  <si>
    <t xml:space="preserve">.STD R1.5 · X = 1008 cm, Z 1350 a 1600 cm</t>
  </si>
  <si>
    <t xml:space="preserve">Vigas de alero + franjas directas de VM (debe dar el total del techo)</t>
  </si>
  <si>
    <t xml:space="preserve">MUROS — ÁREAS TRIBUTARIAS DE LARGUEROS DE MURO</t>
  </si>
  <si>
    <t xml:space="preserve">Elevaciones de los muros de los ejes A, B (laterales) y 1 (frontal). Franja de cada larguero = mitad de la distancia al miembro de abajo y al de arriba. Carga vertical de la lámina (CM de muros). El eje 4 no tiene largueros en el modelo.</t>
  </si>
  <si>
    <t xml:space="preserve">A. MUROS LATERALES — EJE A (X = 0) Y EJE B (X = 10.08 m)</t>
  </si>
  <si>
    <t xml:space="preserve">Muro</t>
  </si>
  <si>
    <t xml:space="preserve">Nivel</t>
  </si>
  <si>
    <t xml:space="preserve">Y larguero (m)</t>
  </si>
  <si>
    <t xml:space="preserve">Tramo (ejes)</t>
  </si>
  <si>
    <t xml:space="preserve">L (m)</t>
  </si>
  <si>
    <t xml:space="preserve">Y abajo (m)</t>
  </si>
  <si>
    <t xml:space="preserve">Y arriba inicio (m)</t>
  </si>
  <si>
    <t xml:space="preserve">Y arriba fin (m)</t>
  </si>
  <si>
    <t xml:space="preserve">Franja hasta inicio (m)</t>
  </si>
  <si>
    <t xml:space="preserve">Franja hasta fin (m)</t>
  </si>
  <si>
    <t xml:space="preserve">h (m)</t>
  </si>
  <si>
    <t xml:space="preserve">STAAD CM (kg/cm)</t>
  </si>
  <si>
    <t xml:space="preserve">Miembro STAAD</t>
  </si>
  <si>
    <t xml:space="preserve">miembro de abajo (0 = base)</t>
  </si>
  <si>
    <t xml:space="preserve">miembro de arriba</t>
  </si>
  <si>
    <t xml:space="preserve">(Y ab. + Y)/2</t>
  </si>
  <si>
    <t xml:space="preserve">(Y + Y arr.)/2</t>
  </si>
  <si>
    <t xml:space="preserve">promedio</t>
  </si>
  <si>
    <t xml:space="preserve">L × h</t>
  </si>
  <si>
    <t xml:space="preserve">CM muros × h</t>
  </si>
  <si>
    <t xml:space="preserve">−w ÷ 100</t>
  </si>
  <si>
    <t xml:space="preserve">LA-1.1</t>
  </si>
  <si>
    <t xml:space="preserve">Eje A</t>
  </si>
  <si>
    <t xml:space="preserve">1-2</t>
  </si>
  <si>
    <t xml:space="preserve">.STD R1.5 · nodos 110–108</t>
  </si>
  <si>
    <t xml:space="preserve">LA-1.2</t>
  </si>
  <si>
    <t xml:space="preserve">2-3</t>
  </si>
  <si>
    <t xml:space="preserve">.STD R1.5 · nodos 111–110</t>
  </si>
  <si>
    <t xml:space="preserve">LA-1.3</t>
  </si>
  <si>
    <t xml:space="preserve">3-4</t>
  </si>
  <si>
    <t xml:space="preserve">.STD R1.5 · nodos 112–111</t>
  </si>
  <si>
    <t xml:space="preserve">LA-2.1</t>
  </si>
  <si>
    <t xml:space="preserve">.STD R1.5 · nodos 122–120</t>
  </si>
  <si>
    <t xml:space="preserve">LA-2.2</t>
  </si>
  <si>
    <t xml:space="preserve">.STD R1.5 · nodos 123–122</t>
  </si>
  <si>
    <t xml:space="preserve">LA-2.3</t>
  </si>
  <si>
    <t xml:space="preserve">.STD R1.5 · nodos 124–123</t>
  </si>
  <si>
    <t xml:space="preserve">LA-3.1</t>
  </si>
  <si>
    <t xml:space="preserve">.STD R1.5 · nodos 134–132</t>
  </si>
  <si>
    <t xml:space="preserve">LA-3.2</t>
  </si>
  <si>
    <t xml:space="preserve">.STD R1.5 · nodos 135–134</t>
  </si>
  <si>
    <t xml:space="preserve">LA-3.3</t>
  </si>
  <si>
    <t xml:space="preserve">.STD R1.5 · nodos 136–135</t>
  </si>
  <si>
    <t xml:space="preserve">LA-4.1</t>
  </si>
  <si>
    <t xml:space="preserve">.STD R1.5 · nodos 146–144</t>
  </si>
  <si>
    <t xml:space="preserve">LA-4.2</t>
  </si>
  <si>
    <t xml:space="preserve">.STD R1.5 · nodos 147–146</t>
  </si>
  <si>
    <t xml:space="preserve">LA-4.3</t>
  </si>
  <si>
    <t xml:space="preserve">.STD R1.5 · nodos 148–147</t>
  </si>
  <si>
    <t xml:space="preserve">LA-5.1</t>
  </si>
  <si>
    <t xml:space="preserve">.STD R1.5 · nodos 158–156</t>
  </si>
  <si>
    <t xml:space="preserve">LA-5.2</t>
  </si>
  <si>
    <t xml:space="preserve">.STD R1.5 · nodos 159–158</t>
  </si>
  <si>
    <t xml:space="preserve">LA-5.3</t>
  </si>
  <si>
    <t xml:space="preserve">.STD R1.5 · nodos 160–159</t>
  </si>
  <si>
    <t xml:space="preserve">LA-6.1</t>
  </si>
  <si>
    <t xml:space="preserve">.STD R1.5 · nodos 170–168</t>
  </si>
  <si>
    <t xml:space="preserve">LA-6.2</t>
  </si>
  <si>
    <t xml:space="preserve">.STD R1.5 · nodos 171–170</t>
  </si>
  <si>
    <t xml:space="preserve">LA-6.3</t>
  </si>
  <si>
    <t xml:space="preserve">.STD R1.5 · nodos 172–171</t>
  </si>
  <si>
    <t xml:space="preserve">LA-7.1</t>
  </si>
  <si>
    <t xml:space="preserve">.STD R1.5 · nodos 182–180</t>
  </si>
  <si>
    <t xml:space="preserve">LA-7.2</t>
  </si>
  <si>
    <t xml:space="preserve">.STD R1.5 · nodos 183–182</t>
  </si>
  <si>
    <t xml:space="preserve">LA-7.3</t>
  </si>
  <si>
    <t xml:space="preserve">.STD R1.5 · nodos 184–183</t>
  </si>
  <si>
    <t xml:space="preserve">LA-8.1</t>
  </si>
  <si>
    <t xml:space="preserve">.STD R1.5 · nodos 194–192 · arriba: alero inclinado</t>
  </si>
  <si>
    <t xml:space="preserve">LA-8.2</t>
  </si>
  <si>
    <t xml:space="preserve">.STD R1.5 · nodos 195–194 · arriba: alero inclinado</t>
  </si>
  <si>
    <t xml:space="preserve">LA-8.3</t>
  </si>
  <si>
    <t xml:space="preserve">.STD R1.5 · nodos 196–195 · arriba: alero inclinado</t>
  </si>
  <si>
    <t xml:space="preserve">LB-1.1</t>
  </si>
  <si>
    <t xml:space="preserve">Eje B</t>
  </si>
  <si>
    <t xml:space="preserve">.STD R1.5 · nodos 109–113</t>
  </si>
  <si>
    <t xml:space="preserve">LB-1.2</t>
  </si>
  <si>
    <t xml:space="preserve">.STD R1.5 · nodos 113–114</t>
  </si>
  <si>
    <t xml:space="preserve">LB-1.3</t>
  </si>
  <si>
    <t xml:space="preserve">.STD R1.5 · nodos 114–115</t>
  </si>
  <si>
    <t xml:space="preserve">LB-2.1</t>
  </si>
  <si>
    <t xml:space="preserve">.STD R1.5 · nodos 121–125</t>
  </si>
  <si>
    <t xml:space="preserve">LB-2.2</t>
  </si>
  <si>
    <t xml:space="preserve">.STD R1.5 · nodos 125–126</t>
  </si>
  <si>
    <t xml:space="preserve">LB-2.3</t>
  </si>
  <si>
    <t xml:space="preserve">.STD R1.5 · nodos 126–127</t>
  </si>
  <si>
    <t xml:space="preserve">LB-3.1</t>
  </si>
  <si>
    <t xml:space="preserve">.STD R1.5 · nodos 133–137</t>
  </si>
  <si>
    <t xml:space="preserve">LB-3.2</t>
  </si>
  <si>
    <t xml:space="preserve">.STD R1.5 · nodos 137–138</t>
  </si>
  <si>
    <t xml:space="preserve">LB-3.3</t>
  </si>
  <si>
    <t xml:space="preserve">.STD R1.5 · nodos 138–139</t>
  </si>
  <si>
    <t xml:space="preserve">LB-4.1</t>
  </si>
  <si>
    <t xml:space="preserve">.STD R1.5 · nodos 145–149</t>
  </si>
  <si>
    <t xml:space="preserve">LB-4.2</t>
  </si>
  <si>
    <t xml:space="preserve">.STD R1.5 · nodos 149–150</t>
  </si>
  <si>
    <t xml:space="preserve">LB-4.3</t>
  </si>
  <si>
    <t xml:space="preserve">.STD R1.5 · nodos 150–151</t>
  </si>
  <si>
    <t xml:space="preserve">LB-5.1</t>
  </si>
  <si>
    <t xml:space="preserve">.STD R1.5 · nodos 157–161</t>
  </si>
  <si>
    <t xml:space="preserve">LB-5.2</t>
  </si>
  <si>
    <t xml:space="preserve">.STD R1.5 · nodos 161–162</t>
  </si>
  <si>
    <t xml:space="preserve">LB-5.3</t>
  </si>
  <si>
    <t xml:space="preserve">.STD R1.5 · nodos 162–163</t>
  </si>
  <si>
    <t xml:space="preserve">LB-6.1</t>
  </si>
  <si>
    <t xml:space="preserve">.STD R1.5 · nodos 169–173</t>
  </si>
  <si>
    <t xml:space="preserve">LB-6.2</t>
  </si>
  <si>
    <t xml:space="preserve">.STD R1.5 · nodos 173–174</t>
  </si>
  <si>
    <t xml:space="preserve">LB-6.3</t>
  </si>
  <si>
    <t xml:space="preserve">.STD R1.5 · nodos 174–175</t>
  </si>
  <si>
    <t xml:space="preserve">LB-7.1</t>
  </si>
  <si>
    <t xml:space="preserve">.STD R1.5 · nodos 185–181</t>
  </si>
  <si>
    <t xml:space="preserve">LB-7.2</t>
  </si>
  <si>
    <t xml:space="preserve">.STD R1.5 · nodos 186–185</t>
  </si>
  <si>
    <t xml:space="preserve">LB-7.3</t>
  </si>
  <si>
    <t xml:space="preserve">.STD R1.5 · nodos 187–186</t>
  </si>
  <si>
    <t xml:space="preserve">LB-8.1</t>
  </si>
  <si>
    <t xml:space="preserve">.STD R1.5 · nodos 197–193 · arriba: alero inclinado</t>
  </si>
  <si>
    <t xml:space="preserve">LB-8.2</t>
  </si>
  <si>
    <t xml:space="preserve">.STD R1.5 · nodos 198–197 · arriba: alero inclinado</t>
  </si>
  <si>
    <t xml:space="preserve">LB-8.3</t>
  </si>
  <si>
    <t xml:space="preserve">.STD R1.5 · nodos 199–198 · arriba: alero inclinado</t>
  </si>
  <si>
    <t xml:space="preserve">Área de muros laterales en largueros (ejes A y B)</t>
  </si>
  <si>
    <t xml:space="preserve">B. FRANJA SUPERIOR DE MUROS LATERALES → VIGAS DE ALERO VA Y VB (POR MIEMBRO DE STAAD)</t>
  </si>
  <si>
    <t xml:space="preserve">Arriba del último larguero (Y = 9.60 m) la mitad de la lámina cuelga de la viga de alero. Como el alero baja 5%, la franja cambia a lo largo: se toma el promedio de cada miembro.</t>
  </si>
  <si>
    <t xml:space="preserve">Viga</t>
  </si>
  <si>
    <t xml:space="preserve">Z inicio (m)</t>
  </si>
  <si>
    <t xml:space="preserve">Z fin (m)</t>
  </si>
  <si>
    <t xml:space="preserve">Y alero inicio (m)</t>
  </si>
  <si>
    <t xml:space="preserve">Y alero fin (m)</t>
  </si>
  <si>
    <t xml:space="preserve">Y último larguero (m)</t>
  </si>
  <si>
    <t xml:space="preserve">h inicio (m)</t>
  </si>
  <si>
    <t xml:space="preserve">h fin (m)</t>
  </si>
  <si>
    <t xml:space="preserve">fin − inicio</t>
  </si>
  <si>
    <t xml:space="preserve">(Y al. − Y)/2</t>
  </si>
  <si>
    <t xml:space="preserve">.STD R1.5 · nodos 43–20</t>
  </si>
  <si>
    <t xml:space="preserve">.STD R1.5 · nodos 42–43</t>
  </si>
  <si>
    <t xml:space="preserve">.STD R1.5 · nodos 41–42</t>
  </si>
  <si>
    <t xml:space="preserve">.STD R1.5 · nodos 40–41</t>
  </si>
  <si>
    <t xml:space="preserve">.STD R1.5 · nodos 18–40</t>
  </si>
  <si>
    <t xml:space="preserve">.STD R1.5 · nodos 51–18</t>
  </si>
  <si>
    <t xml:space="preserve">.STD R1.5 · nodos 50–51</t>
  </si>
  <si>
    <t xml:space="preserve">.STD R1.5 · nodos 49–50</t>
  </si>
  <si>
    <t xml:space="preserve">.STD R1.5 · nodos 48–49</t>
  </si>
  <si>
    <t xml:space="preserve">.STD R1.5 · nodos 14–48</t>
  </si>
  <si>
    <t xml:space="preserve">.STD R1.5 · nodos 14–38</t>
  </si>
  <si>
    <t xml:space="preserve">.STD R1.5 · nodos 38–16</t>
  </si>
  <si>
    <t xml:space="preserve">.STD R1.5 · nodos 47–21</t>
  </si>
  <si>
    <t xml:space="preserve">.STD R1.5 · nodos 46–47</t>
  </si>
  <si>
    <t xml:space="preserve">.STD R1.5 · nodos 45–46</t>
  </si>
  <si>
    <t xml:space="preserve">.STD R1.5 · nodos 44–45</t>
  </si>
  <si>
    <t xml:space="preserve">.STD R1.5 · nodos 19–44</t>
  </si>
  <si>
    <t xml:space="preserve">.STD R1.5 · nodos 55–19</t>
  </si>
  <si>
    <t xml:space="preserve">.STD R1.5 · nodos 54–55</t>
  </si>
  <si>
    <t xml:space="preserve">.STD R1.5 · nodos 53–54</t>
  </si>
  <si>
    <t xml:space="preserve">.STD R1.5 · nodos 52–53</t>
  </si>
  <si>
    <t xml:space="preserve">.STD R1.5 · nodos 15–52</t>
  </si>
  <si>
    <t xml:space="preserve">.STD R1.5 · nodos 15–39</t>
  </si>
  <si>
    <t xml:space="preserve">.STD R1.5 · nodos 39–13</t>
  </si>
  <si>
    <t xml:space="preserve">Franja superior de muros laterales que va a las vigas de alero</t>
  </si>
  <si>
    <t xml:space="preserve">C. MURO FRONTAL — EJE 1 (Z = 0)</t>
  </si>
  <si>
    <t xml:space="preserve">Vanos: puerta de 1.30 × 2.40 m (X 0.64 a 1.94) y vano del nose dock de 5.10 × 6.33 m (X 2.49 a 7.59), sin carga. El larguero de 2.40 sobre la puerta y el dintel MCE6-12 de 6.33 sobre el vano sólo toman la franja de arriba.</t>
  </si>
  <si>
    <t xml:space="preserve">Y (m)</t>
  </si>
  <si>
    <t xml:space="preserve">X desde (m)</t>
  </si>
  <si>
    <t xml:space="preserve">X hasta (m)</t>
  </si>
  <si>
    <t xml:space="preserve">Y arriba (m)</t>
  </si>
  <si>
    <t xml:space="preserve">miembro de abajo (= Y si hay vano)</t>
  </si>
  <si>
    <t xml:space="preserve">L1-1.1</t>
  </si>
  <si>
    <t xml:space="preserve">.STD R1.5 · nodos 108–116</t>
  </si>
  <si>
    <t xml:space="preserve">L1-1.2</t>
  </si>
  <si>
    <t xml:space="preserve">.STD R1.5 · nodos 117–118</t>
  </si>
  <si>
    <t xml:space="preserve">L1-1.3</t>
  </si>
  <si>
    <t xml:space="preserve">.STD R1.5 · nodos 119–109</t>
  </si>
  <si>
    <t xml:space="preserve">L1-2.1</t>
  </si>
  <si>
    <t xml:space="preserve">.STD R1.5 · nodos 120–128</t>
  </si>
  <si>
    <t xml:space="preserve">L1-2.2</t>
  </si>
  <si>
    <t xml:space="preserve">.STD R1.5 · nodos 128–129 · vano abajo</t>
  </si>
  <si>
    <t xml:space="preserve">L1-2.3</t>
  </si>
  <si>
    <t xml:space="preserve">.STD R1.5 · nodos 129–130</t>
  </si>
  <si>
    <t xml:space="preserve">L1-2.4</t>
  </si>
  <si>
    <t xml:space="preserve">.STD R1.5 · nodos 131–121</t>
  </si>
  <si>
    <t xml:space="preserve">L1-3.1</t>
  </si>
  <si>
    <t xml:space="preserve">.STD R1.5 · nodos 132–142</t>
  </si>
  <si>
    <t xml:space="preserve">L1-3.2</t>
  </si>
  <si>
    <t xml:space="preserve">.STD R1.5 · nodos 143–133</t>
  </si>
  <si>
    <t xml:space="preserve">L1-4.1</t>
  </si>
  <si>
    <t xml:space="preserve">.STD R1.5 · nodos 144–154</t>
  </si>
  <si>
    <t xml:space="preserve">L1-4.2</t>
  </si>
  <si>
    <t xml:space="preserve">.STD R1.5 · nodos 155–145</t>
  </si>
  <si>
    <t xml:space="preserve">L1-5.1</t>
  </si>
  <si>
    <t xml:space="preserve">.STD R1.5 · nodos 156–166</t>
  </si>
  <si>
    <t xml:space="preserve">L1-5.2</t>
  </si>
  <si>
    <t xml:space="preserve">.STD R1.5 · nodos 167–157</t>
  </si>
  <si>
    <t xml:space="preserve">L1-6.1</t>
  </si>
  <si>
    <t xml:space="preserve">.STD R1.5 · nodos 200–26 · dintel MCE6-12</t>
  </si>
  <si>
    <t xml:space="preserve">L1-6.2</t>
  </si>
  <si>
    <t xml:space="preserve">.STD R1.5 · nodos 26–27 · vano abajo · dintel MCE6-12</t>
  </si>
  <si>
    <t xml:space="preserve">L1-6.3</t>
  </si>
  <si>
    <t xml:space="preserve">.STD R1.5 · nodos 27–201 · dintel MCE6-12</t>
  </si>
  <si>
    <t xml:space="preserve">L1-7.1</t>
  </si>
  <si>
    <t xml:space="preserve">.STD R1.5 · nodos 168–169</t>
  </si>
  <si>
    <t xml:space="preserve">L1-8.1</t>
  </si>
  <si>
    <t xml:space="preserve">.STD R1.5 · nodos 181–180</t>
  </si>
  <si>
    <t xml:space="preserve">L1-9.1</t>
  </si>
  <si>
    <t xml:space="preserve">.STD R1.5 · nodos 193–192</t>
  </si>
  <si>
    <t xml:space="preserve">techo</t>
  </si>
  <si>
    <t xml:space="preserve">Franja superior del muro frontal a la viga de marco VM-1 (arriba no hay nada)</t>
  </si>
  <si>
    <t xml:space="preserve">Área del muro frontal en miembros (largueros, dintel y VM-1)</t>
  </si>
  <si>
    <t xml:space="preserve">Revisión</t>
  </si>
  <si>
    <t xml:space="preserve">Bruto 10.08 × 10.62 − puerta 1.30 × 2.40 − vano 5.10 × 6.33 − franja a la base (0.60 m en muros llenos)</t>
  </si>
  <si>
    <t xml:space="preserve">NODOS DE COLUMNA — TECHO: ÁREA TRIBUTARIA, CM, CV Y MASA SÍSMICA PUNTUAL (CASOS 1, 2 Y 4)</t>
  </si>
  <si>
    <t xml:space="preserve">El techo se reparte a los 8 nodos de cabeza de columna: mitad del claro en X y mitad de la separación entre marcos en Z, en proyección horizontal. En STAAD R1.5 la CM (caso 1) y la CV (caso 2) van como JOINT LOAD FY negativa en estos nodos; la masa (caso 4) como JOINT LOAD FX y FZ junto con la de muros (NODOS_MUROS). Largueros y vigas ya no llevan carga de techo.</t>
  </si>
  <si>
    <t xml:space="preserve">A. TECHO → NODOS DE CABEZA DE COLUMNA</t>
  </si>
  <si>
    <t xml:space="preserve">Nodo STAAD</t>
  </si>
  <si>
    <t xml:space="preserve">Eje</t>
  </si>
  <si>
    <t xml:space="preserve">Lado</t>
  </si>
  <si>
    <t xml:space="preserve">Z desde (m)</t>
  </si>
  <si>
    <t xml:space="preserve">Z hasta (m)</t>
  </si>
  <si>
    <t xml:space="preserve">CM techo (kg)</t>
  </si>
  <si>
    <t xml:space="preserve">w_i techo (kg)</t>
  </si>
  <si>
    <t xml:space="preserve">Masa techo (kg)</t>
  </si>
  <si>
    <t xml:space="preserve">CV techo (kg)</t>
  </si>
  <si>
    <t xml:space="preserve">Línea STAAD caso 1 (CM)</t>
  </si>
  <si>
    <t xml:space="preserve">Línea STAAD caso 2 (CV)</t>
  </si>
  <si>
    <t xml:space="preserve">mitad del claro</t>
  </si>
  <si>
    <t xml:space="preserve">mitad / claro</t>
  </si>
  <si>
    <t xml:space="preserve">ΔX × ΔZ</t>
  </si>
  <si>
    <t xml:space="preserve">w_i × A</t>
  </si>
  <si>
    <t xml:space="preserve">K + L</t>
  </si>
  <si>
    <t xml:space="preserve">nodo FY −K</t>
  </si>
  <si>
    <t xml:space="preserve">nodo FY −N</t>
  </si>
  <si>
    <t xml:space="preserve">T-1A</t>
  </si>
  <si>
    <t xml:space="preserve">A</t>
  </si>
  <si>
    <t xml:space="preserve">Área tributaria (mitades) · CM y CV (casos 1 y 2) y masa de techo (caso 4) en cabeza de columna · nodo 20 del .STD R1.5</t>
  </si>
  <si>
    <t xml:space="preserve">T-1B</t>
  </si>
  <si>
    <t xml:space="preserve">B</t>
  </si>
  <si>
    <t xml:space="preserve">Área tributaria (mitades) · CM y CV (casos 1 y 2) y masa de techo (caso 4) en cabeza de columna · nodo 21 del .STD R1.5</t>
  </si>
  <si>
    <t xml:space="preserve">T-2A</t>
  </si>
  <si>
    <t xml:space="preserve">Área tributaria (mitades) · CM y CV (casos 1 y 2) y masa de techo (caso 4) en cabeza de columna · nodo 18 del .STD R1.5</t>
  </si>
  <si>
    <t xml:space="preserve">T-2B</t>
  </si>
  <si>
    <t xml:space="preserve">Área tributaria (mitades) · CM y CV (casos 1 y 2) y masa de techo (caso 4) en cabeza de columna · nodo 19 del .STD R1.5</t>
  </si>
  <si>
    <t xml:space="preserve">T-3A</t>
  </si>
  <si>
    <t xml:space="preserve">Área tributaria (mitades) · CM y CV (casos 1 y 2) y masa de techo (caso 4) en cabeza de columna · nodo 14 del .STD R1.5</t>
  </si>
  <si>
    <t xml:space="preserve">T-3B</t>
  </si>
  <si>
    <t xml:space="preserve">Área tributaria (mitades) · CM y CV (casos 1 y 2) y masa de techo (caso 4) en cabeza de columna · nodo 15 del .STD R1.5</t>
  </si>
  <si>
    <t xml:space="preserve">T-4A</t>
  </si>
  <si>
    <t xml:space="preserve">Área tributaria (mitades) · CM y CV (casos 1 y 2) y masa de techo (caso 4) en cabeza de columna · nodo 16 del .STD R1.5</t>
  </si>
  <si>
    <t xml:space="preserve">T-4B</t>
  </si>
  <si>
    <t xml:space="preserve">Área tributaria (mitades) · CM y CV (casos 1 y 2) y masa de techo (caso 4) en cabeza de columna · nodo 13 del .STD R1.5</t>
  </si>
  <si>
    <t xml:space="preserve">NODOS DE COLUMNA — MUROS: ÁREA TRIBUTARIA Y MASA SÍSMICA PUNTUAL (CASO 4)</t>
  </si>
  <si>
    <t xml:space="preserve">Cada franja de larguero (mitad de la separación a cada lado, igual que la hoja MUROS) se parte a la mitad entre los dos nodos de columna de sus extremos. La franja de arriba del último larguero baja a los nodos de cabeza de columna. Los vanos no cargan. La franja de la base (0 a 0.60 m) se va a la cimentación.</t>
  </si>
  <si>
    <t xml:space="preserve">A. PANELES DE MURO → NODOS DE COLUMNA DE SUS EXTREMOS</t>
  </si>
  <si>
    <t xml:space="preserve">Nodo A</t>
  </si>
  <si>
    <t xml:space="preserve">Nodo B</t>
  </si>
  <si>
    <t xml:space="preserve">h en A (m)</t>
  </si>
  <si>
    <t xml:space="preserve">h en B (m)</t>
  </si>
  <si>
    <t xml:space="preserve">Masa (kg)</t>
  </si>
  <si>
    <t xml:space="preserve">del croquis DXF</t>
  </si>
  <si>
    <t xml:space="preserve">franja en el nodo A</t>
  </si>
  <si>
    <t xml:space="preserve">franja en el nodo B</t>
  </si>
  <si>
    <t xml:space="preserve">L × (h A + h B) ÷ 2</t>
  </si>
  <si>
    <t xml:space="preserve">CM muros × A</t>
  </si>
  <si>
    <t xml:space="preserve">Eje A (X = 0)</t>
  </si>
  <si>
    <t xml:space="preserve">Franja de LA-1.1 (hoja MUROS) · croquis DXF R1.5</t>
  </si>
  <si>
    <t xml:space="preserve">Franja de LA-1.2 (hoja MUROS) · croquis DXF R1.5</t>
  </si>
  <si>
    <t xml:space="preserve">Franja de LA-1.3 (hoja MUROS) · croquis DXF R1.5</t>
  </si>
  <si>
    <t xml:space="preserve">Franja de LA-2.1 (hoja MUROS) · croquis DXF R1.5</t>
  </si>
  <si>
    <t xml:space="preserve">Franja de LA-2.2 (hoja MUROS) · croquis DXF R1.5</t>
  </si>
  <si>
    <t xml:space="preserve">Franja de LA-2.3 (hoja MUROS) · croquis DXF R1.5</t>
  </si>
  <si>
    <t xml:space="preserve">Franja de LA-3.1 (hoja MUROS) · croquis DXF R1.5</t>
  </si>
  <si>
    <t xml:space="preserve">Franja de LA-3.2 (hoja MUROS) · croquis DXF R1.5</t>
  </si>
  <si>
    <t xml:space="preserve">Franja de LA-3.3 (hoja MUROS) · croquis DXF R1.5</t>
  </si>
  <si>
    <t xml:space="preserve">Franja de LA-4.1 (hoja MUROS) · croquis DXF R1.5</t>
  </si>
  <si>
    <t xml:space="preserve">Franja de LA-4.2 (hoja MUROS) · croquis DXF R1.5</t>
  </si>
  <si>
    <t xml:space="preserve">Franja de LA-4.3 (hoja MUROS) · croquis DXF R1.5</t>
  </si>
  <si>
    <t xml:space="preserve">Franja de LA-5.1 (hoja MUROS) · croquis DXF R1.5</t>
  </si>
  <si>
    <t xml:space="preserve">Franja de LA-5.2 (hoja MUROS) · croquis DXF R1.5</t>
  </si>
  <si>
    <t xml:space="preserve">Franja de LA-5.3 (hoja MUROS) · croquis DXF R1.5</t>
  </si>
  <si>
    <t xml:space="preserve">Franja de LA-6.1 (hoja MUROS) · croquis DXF R1.5</t>
  </si>
  <si>
    <t xml:space="preserve">Franja de LA-6.2 (hoja MUROS) · croquis DXF R1.5</t>
  </si>
  <si>
    <t xml:space="preserve">Franja de LA-6.3 (hoja MUROS) · croquis DXF R1.5</t>
  </si>
  <si>
    <t xml:space="preserve">Franja de LA-7.1 (hoja MUROS) · croquis DXF R1.5</t>
  </si>
  <si>
    <t xml:space="preserve">Franja de LA-7.2 (hoja MUROS) · croquis DXF R1.5</t>
  </si>
  <si>
    <t xml:space="preserve">Franja de LA-7.3 (hoja MUROS) · croquis DXF R1.5</t>
  </si>
  <si>
    <t xml:space="preserve">Franja de LA-8.1 (hoja MUROS) · croquis DXF R1.5</t>
  </si>
  <si>
    <t xml:space="preserve">Franja de LA-8.2 (hoja MUROS) · croquis DXF R1.5</t>
  </si>
  <si>
    <t xml:space="preserve">Franja de LA-8.3 (hoja MUROS) · croquis DXF R1.5</t>
  </si>
  <si>
    <t xml:space="preserve">LA-T.1</t>
  </si>
  <si>
    <t xml:space="preserve">Franja superior (mitad entre último larguero y alero) → cabeza de columna · croquis DXF R1.5</t>
  </si>
  <si>
    <t xml:space="preserve">LA-T.2</t>
  </si>
  <si>
    <t xml:space="preserve">LA-T.3</t>
  </si>
  <si>
    <t xml:space="preserve">Eje B (X = 10.08 m)</t>
  </si>
  <si>
    <t xml:space="preserve">Franja de LB-1.1 (hoja MUROS) · croquis DXF R1.5</t>
  </si>
  <si>
    <t xml:space="preserve">Franja de LB-1.2 (hoja MUROS) · croquis DXF R1.5</t>
  </si>
  <si>
    <t xml:space="preserve">Franja de LB-1.3 (hoja MUROS) · croquis DXF R1.5</t>
  </si>
  <si>
    <t xml:space="preserve">Franja de LB-2.1 (hoja MUROS) · croquis DXF R1.5</t>
  </si>
  <si>
    <t xml:space="preserve">Franja de LB-2.2 (hoja MUROS) · croquis DXF R1.5</t>
  </si>
  <si>
    <t xml:space="preserve">Franja de LB-2.3 (hoja MUROS) · croquis DXF R1.5</t>
  </si>
  <si>
    <t xml:space="preserve">Franja de LB-3.1 (hoja MUROS) · croquis DXF R1.5</t>
  </si>
  <si>
    <t xml:space="preserve">Franja de LB-3.2 (hoja MUROS) · croquis DXF R1.5</t>
  </si>
  <si>
    <t xml:space="preserve">Franja de LB-3.3 (hoja MUROS) · croquis DXF R1.5</t>
  </si>
  <si>
    <t xml:space="preserve">Franja de LB-4.1 (hoja MUROS) · croquis DXF R1.5</t>
  </si>
  <si>
    <t xml:space="preserve">Franja de LB-4.2 (hoja MUROS) · croquis DXF R1.5</t>
  </si>
  <si>
    <t xml:space="preserve">Franja de LB-4.3 (hoja MUROS) · croquis DXF R1.5</t>
  </si>
  <si>
    <t xml:space="preserve">Franja de LB-5.1 (hoja MUROS) · croquis DXF R1.5</t>
  </si>
  <si>
    <t xml:space="preserve">Franja de LB-5.2 (hoja MUROS) · croquis DXF R1.5</t>
  </si>
  <si>
    <t xml:space="preserve">Franja de LB-5.3 (hoja MUROS) · croquis DXF R1.5</t>
  </si>
  <si>
    <t xml:space="preserve">Franja de LB-6.1 (hoja MUROS) · croquis DXF R1.5</t>
  </si>
  <si>
    <t xml:space="preserve">Franja de LB-6.2 (hoja MUROS) · croquis DXF R1.5</t>
  </si>
  <si>
    <t xml:space="preserve">Franja de LB-6.3 (hoja MUROS) · croquis DXF R1.5</t>
  </si>
  <si>
    <t xml:space="preserve">Franja de LB-7.1 (hoja MUROS) · croquis DXF R1.5</t>
  </si>
  <si>
    <t xml:space="preserve">Franja de LB-7.2 (hoja MUROS) · croquis DXF R1.5</t>
  </si>
  <si>
    <t xml:space="preserve">Franja de LB-7.3 (hoja MUROS) · croquis DXF R1.5</t>
  </si>
  <si>
    <t xml:space="preserve">Franja de LB-8.1 (hoja MUROS) · croquis DXF R1.5</t>
  </si>
  <si>
    <t xml:space="preserve">Franja de LB-8.2 (hoja MUROS) · croquis DXF R1.5</t>
  </si>
  <si>
    <t xml:space="preserve">Franja de LB-8.3 (hoja MUROS) · croquis DXF R1.5</t>
  </si>
  <si>
    <t xml:space="preserve">LB-T.1</t>
  </si>
  <si>
    <t xml:space="preserve">LB-T.2</t>
  </si>
  <si>
    <t xml:space="preserve">LB-T.3</t>
  </si>
  <si>
    <t xml:space="preserve">Frontal eje 1 (Z = 0)</t>
  </si>
  <si>
    <t xml:space="preserve">Franja de L1-1.1 (hoja MUROS) · croquis DXF R1.5</t>
  </si>
  <si>
    <t xml:space="preserve">Franja de L1-1.2 (hoja MUROS) · croquis DXF R1.5</t>
  </si>
  <si>
    <t xml:space="preserve">Franja de L1-1.3 (hoja MUROS) · croquis DXF R1.5</t>
  </si>
  <si>
    <t xml:space="preserve">Franja de L1-2.1 (hoja MUROS) · croquis DXF R1.5</t>
  </si>
  <si>
    <t xml:space="preserve">Franja de L1-2.2 (hoja MUROS) · croquis DXF R1.5</t>
  </si>
  <si>
    <t xml:space="preserve">Franja de L1-2.3 (hoja MUROS) · croquis DXF R1.5</t>
  </si>
  <si>
    <t xml:space="preserve">Franja de L1-2.4 (hoja MUROS) · croquis DXF R1.5</t>
  </si>
  <si>
    <t xml:space="preserve">Franja de L1-3.1 (hoja MUROS) · croquis DXF R1.5</t>
  </si>
  <si>
    <t xml:space="preserve">Franja de L1-3.2 (hoja MUROS) · croquis DXF R1.5</t>
  </si>
  <si>
    <t xml:space="preserve">Franja de L1-4.1 (hoja MUROS) · croquis DXF R1.5</t>
  </si>
  <si>
    <t xml:space="preserve">Franja de L1-4.2 (hoja MUROS) · croquis DXF R1.5</t>
  </si>
  <si>
    <t xml:space="preserve">Franja de L1-5.1 (hoja MUROS) · croquis DXF R1.5</t>
  </si>
  <si>
    <t xml:space="preserve">Franja de L1-5.2 (hoja MUROS) · croquis DXF R1.5</t>
  </si>
  <si>
    <t xml:space="preserve">Franja de L1-6.1 (hoja MUROS) · croquis DXF R1.5</t>
  </si>
  <si>
    <t xml:space="preserve">Franja de L1-6.2 (hoja MUROS) · croquis DXF R1.5</t>
  </si>
  <si>
    <t xml:space="preserve">Franja de L1-6.3 (hoja MUROS) · croquis DXF R1.5</t>
  </si>
  <si>
    <t xml:space="preserve">Franja de L1-7.1 (hoja MUROS) · croquis DXF R1.5</t>
  </si>
  <si>
    <t xml:space="preserve">Franja de L1-8.1 (hoja MUROS) · croquis DXF R1.5</t>
  </si>
  <si>
    <t xml:space="preserve">Franja de L1-9.1 (hoja MUROS) · croquis DXF R1.5</t>
  </si>
  <si>
    <t xml:space="preserve">L1-T</t>
  </si>
  <si>
    <t xml:space="preserve">Área de muros en paneles (debe dar la suma de MUROS: laterales + franja alta + frontal)</t>
  </si>
  <si>
    <t xml:space="preserve">B. MASA POR NODO DE COLUMNA (TECHO + MUROS) → JOINT LOAD DEL CASO 4</t>
  </si>
  <si>
    <t xml:space="preserve">Nodo</t>
  </si>
  <si>
    <t xml:space="preserve">X (m)</t>
  </si>
  <si>
    <t xml:space="preserve">Ubicación</t>
  </si>
  <si>
    <t xml:space="preserve">A muro (m²)</t>
  </si>
  <si>
    <t xml:space="preserve">Masa muro (kg)</t>
  </si>
  <si>
    <t xml:space="preserve">Masa total (kg)</t>
  </si>
  <si>
    <t xml:space="preserve">Línea para STAAD (FX = FZ)</t>
  </si>
  <si>
    <t xml:space="preserve">½ (SUMIF de A y B)</t>
  </si>
  <si>
    <t xml:space="preserve">SUMIF de NODOS_TECHO</t>
  </si>
  <si>
    <t xml:space="preserve">H + I</t>
  </si>
  <si>
    <t xml:space="preserve">nodo FX FZ</t>
  </si>
  <si>
    <t xml:space="preserve">Eje B · marco 4</t>
  </si>
  <si>
    <t xml:space="preserve">Área tributaria por nodo · Walmart: JOINT LOAD FX FZ en el caso 4</t>
  </si>
  <si>
    <t xml:space="preserve">Eje A · marco 3</t>
  </si>
  <si>
    <t xml:space="preserve">Eje B · marco 3</t>
  </si>
  <si>
    <t xml:space="preserve">Eje A · marco 4</t>
  </si>
  <si>
    <t xml:space="preserve">Eje A · marco 2</t>
  </si>
  <si>
    <t xml:space="preserve">Eje B · marco 2</t>
  </si>
  <si>
    <t xml:space="preserve">Esquina Z=0 · eje A</t>
  </si>
  <si>
    <t xml:space="preserve">Esquina Z=0 · eje B</t>
  </si>
  <si>
    <t xml:space="preserve">Frente Z=0 · X=2.49 m</t>
  </si>
  <si>
    <t xml:space="preserve">Frente Z=0 · X=7.59 m</t>
  </si>
  <si>
    <t xml:space="preserve">Frente Z=0 · X=0.64 m</t>
  </si>
  <si>
    <t xml:space="preserve">Frente Z=0 · X=1.94 m</t>
  </si>
  <si>
    <t xml:space="preserve">Masa nodal total (techo + muros)</t>
  </si>
  <si>
    <t xml:space="preserve">Debe dar CM muros y CM techo de RESUMEN (sección 2)</t>
  </si>
  <si>
    <t xml:space="preserve">LÍNEAS DE CARGA PARA STAAD (kg/cm y kg) — LAS QUE VAN EN EL .STD R1.5</t>
  </si>
  <si>
    <t xml:space="preserve">Armadas con fórmulas desde NODOS_TECHO, MUROS y DATOS. En el .STD R1.5 los JOINT LOAD y los MEMBER LOAD están agrupados por valor (mismo resultado). Si cambias una carga en DATOS, copia de aquí y pega en Edit Input Command File dentro del caso.</t>
  </si>
  <si>
    <t xml:space="preserve">CASO 1 — CARGA MUERTA (debajo de SELFWEIGHT Y -1): TECHO EN NODOS + MUROS EN LARGUEROS + CORTINA</t>
  </si>
  <si>
    <t xml:space="preserve">Origen</t>
  </si>
  <si>
    <t xml:space="preserve">Línea para STAAD</t>
  </si>
  <si>
    <t xml:space="preserve">Nota</t>
  </si>
  <si>
    <t xml:space="preserve">JOINT LOAD</t>
  </si>
  <si>
    <t xml:space="preserve">Encabezado (techo en cabezas de columna)</t>
  </si>
  <si>
    <t xml:space="preserve">NODOS_TECHO</t>
  </si>
  <si>
    <t xml:space="preserve">CM de techo × A del nodo</t>
  </si>
  <si>
    <t xml:space="preserve">MEMBER LOAD</t>
  </si>
  <si>
    <t xml:space="preserve">Encabezado (muros en largueros)</t>
  </si>
  <si>
    <t xml:space="preserve">MUROS</t>
  </si>
  <si>
    <t xml:space="preserve">CM de muros × h</t>
  </si>
  <si>
    <t xml:space="preserve">Franja superior de muro lateral</t>
  </si>
  <si>
    <t xml:space="preserve">CM de muros × h (muro frontal)</t>
  </si>
  <si>
    <t xml:space="preserve">Franja superior del muro frontal</t>
  </si>
  <si>
    <t xml:space="preserve">CORTINA</t>
  </si>
  <si>
    <t xml:space="preserve">DATOS</t>
  </si>
  <si>
    <t xml:space="preserve">Cortina ÷ L del dintel</t>
  </si>
  <si>
    <t xml:space="preserve">CASO 2 — CARGA VIVA (w_m de DATOS): TECHO EN LAS 8 CABEZAS DE COLUMNA</t>
  </si>
  <si>
    <t xml:space="preserve">Encabezado</t>
  </si>
  <si>
    <t xml:space="preserve">w_m × A del nodo</t>
  </si>
  <si>
    <t xml:space="preserve">CASO 3 — CARGA VIVA INSTANTÁNEA</t>
  </si>
  <si>
    <t xml:space="preserve">RESESCO · Tabla, pág. 12</t>
  </si>
  <si>
    <t xml:space="preserve">CASO 4 — MASA SÍSMICA PUNTUAL EN NODOS DE COLUMNA (después de los pares del SPECTRUM de SISMO X)</t>
  </si>
  <si>
    <t xml:space="preserve">JOINT LOAD con FX = FZ = masa en kg (techo en cabeza de columna + muros en cada nodo de columna, hojas NODOS_TECHO y NODOS_MUROS). La cortina va en el dintel (miembro 25) como UNI GX y UNI GZ. Cierra con SELFWEIGHT X 1 y SELFWEIGHT Z 1. Ya no hay UNI GX/GZ en largueros ni vigas. Los casos 5, 6 y 7 sólo llevan su SPECTRUM.</t>
  </si>
  <si>
    <t xml:space="preserve">NODOS_MUROS</t>
  </si>
  <si>
    <t xml:space="preserve">Masa techo + muros del nodo</t>
  </si>
  <si>
    <t xml:space="preserve">Cortina ÷ L del dintel (masa)</t>
  </si>
  <si>
    <t xml:space="preserve">RESUMEN — ÁREAS, CARGAS TOTALES Y PESO SÍSMICO W</t>
  </si>
  <si>
    <t xml:space="preserve">Totales para revisar contra STAAD (suma de cargas del caso 1) y el W que va a la hoja de espectros (DATOS C60 y C61).</t>
  </si>
  <si>
    <t xml:space="preserve">1. ÁREAS TRIBUTARIAS</t>
  </si>
  <si>
    <t xml:space="preserve">Techo (largueros + vigas de marco)</t>
  </si>
  <si>
    <t xml:space="preserve">m²</t>
  </si>
  <si>
    <t xml:space="preserve">Suma de la tabla A de TECHO = 10.08 × 16.00.</t>
  </si>
  <si>
    <t xml:space="preserve">Hoja TECHO</t>
  </si>
  <si>
    <t xml:space="preserve">Muros laterales en largueros (ejes A y B)</t>
  </si>
  <si>
    <t xml:space="preserve">Suma de la tabla A de MUROS.</t>
  </si>
  <si>
    <t xml:space="preserve">Hoja MUROS</t>
  </si>
  <si>
    <t xml:space="preserve">Muros laterales, franja a vigas de alero</t>
  </si>
  <si>
    <t xml:space="preserve">Suma de la tabla B de MUROS.</t>
  </si>
  <si>
    <t xml:space="preserve">Muro frontal (eje 1) en miembros</t>
  </si>
  <si>
    <t xml:space="preserve">Suma de la tabla C de MUROS (sin vanos ni franja de base).</t>
  </si>
  <si>
    <t xml:space="preserve">Muros en total (van a largueros y vigas en STAAD)</t>
  </si>
  <si>
    <t xml:space="preserve">CALCULADA.</t>
  </si>
  <si>
    <t xml:space="preserve">2. CARGAS TOTALES APLICADAS EN STAAD</t>
  </si>
  <si>
    <t xml:space="preserve">CM de techo (caso 1)</t>
  </si>
  <si>
    <t xml:space="preserve">CM de techo × área de techo. En STAAD: JOINT LOAD FY en las 8 cabezas de columna.</t>
  </si>
  <si>
    <t xml:space="preserve">DATOS C8 · tabla de CM</t>
  </si>
  <si>
    <t xml:space="preserve">CM de muros (caso 1)</t>
  </si>
  <si>
    <t xml:space="preserve">CM de muros × área de muros en miembros. En STAAD: UNI GY en largueros, franja alta de VA/VB/VM-1 y dintel.</t>
  </si>
  <si>
    <t xml:space="preserve">DATOS C10 · tabla de CM</t>
  </si>
  <si>
    <t xml:space="preserve">CV máxima de techo (caso 2)</t>
  </si>
  <si>
    <t xml:space="preserve">w_m × área de techo. En STAAD: JOINT LOAD FY en las 8 cabezas de columna.</t>
  </si>
  <si>
    <t xml:space="preserve">CV instantánea de techo (caso 3)</t>
  </si>
  <si>
    <t xml:space="preserve">w_i × área de techo.</t>
  </si>
  <si>
    <t xml:space="preserve">CM de cortina (casos 1 y 4)</t>
  </si>
  <si>
    <t xml:space="preserve">Peso de la cortina de oruga sobre el dintel (miembro 25).</t>
  </si>
  <si>
    <t xml:space="preserve">DATOS · ficha técnica Protec Ingeniería</t>
  </si>
  <si>
    <t xml:space="preserve">3. PESO PROPIO DEL ACERO (LO QUE CALCULA SELFWEIGHT)</t>
  </si>
  <si>
    <t xml:space="preserve">Longitudes medidas en el modelo R1.5 (mismas que R1.4); áreas de la tabla de usuario del .STD o de AISC (t de diseño = 0.93 t nominal). Densidad del acero del .STD: 0.00783341 kg/cm³. Secciones R1.5: columnas HSS16x8x5/16, vigas de marco MCE12-12, jambas HSS5x5x1/4.</t>
  </si>
  <si>
    <t xml:space="preserve">L total (m)</t>
  </si>
  <si>
    <t xml:space="preserve">A (cm²)</t>
  </si>
  <si>
    <t xml:space="preserve">Peso (kg) = L × A × densidad</t>
  </si>
  <si>
    <t xml:space="preserve">Referencia del área</t>
  </si>
  <si>
    <t xml:space="preserve">HSST16X8X0.3125</t>
  </si>
  <si>
    <t xml:space="preserve">HSS 16x8x5/16 · A calculada con t de diseño = 0.93 t y radio 2t (criterio AISC)</t>
  </si>
  <si>
    <t xml:space="preserve">HSST5X5X0.25</t>
  </si>
  <si>
    <t xml:space="preserve">HSS 5x5x1/4 · A calculada con t de diseño = 0.93 t y radio 2t (criterio AISC)</t>
  </si>
  <si>
    <t xml:space="preserve">HSST3X3X0.125</t>
  </si>
  <si>
    <t xml:space="preserve">AISC 15ª ed. Tabla 1-12 (A = 1.31 in²)</t>
  </si>
  <si>
    <t xml:space="preserve">MCE12-12</t>
  </si>
  <si>
    <t xml:space="preserve">.STD · tabla de usuario 3 (vigas de marco VM, VA y VB)</t>
  </si>
  <si>
    <t xml:space="preserve">.STD · tabla de usuario 3 (dintel del vano, miembros 25, 326 y 327)</t>
  </si>
  <si>
    <t xml:space="preserve">.STD · tabla de usuario 2</t>
  </si>
  <si>
    <t xml:space="preserve">PIPX7</t>
  </si>
  <si>
    <t xml:space="preserve">Supuesto tubo 3/4" XS, AISC Tabla 1-14 (A = 0.433 in²): confírmalo en STAAD</t>
  </si>
  <si>
    <t xml:space="preserve">Acero total</t>
  </si>
  <si>
    <t xml:space="preserve">4. PESO SÍSMICO W (NTDS: CM + w_i)</t>
  </si>
  <si>
    <t xml:space="preserve">Acero (peso propio)</t>
  </si>
  <si>
    <t xml:space="preserve">t</t>
  </si>
  <si>
    <t xml:space="preserve">De la sección 3.</t>
  </si>
  <si>
    <t xml:space="preserve">SELFWEIGHT de STAAD</t>
  </si>
  <si>
    <t xml:space="preserve">De la sección 2 (JOINT LOAD en las 8 cabezas de columna).</t>
  </si>
  <si>
    <t xml:space="preserve">Tabla de CM</t>
  </si>
  <si>
    <t xml:space="preserve">De la sección 2 (JOINT LOAD en cada nodo de columna; sin la franja de la base).</t>
  </si>
  <si>
    <t xml:space="preserve">CM de cortina</t>
  </si>
  <si>
    <t xml:space="preserve">De la sección 2 (UNI GX y GZ en el miembro 25).</t>
  </si>
  <si>
    <t xml:space="preserve">DATOS · ficha técnica</t>
  </si>
  <si>
    <t xml:space="preserve">CV instantánea w_i</t>
  </si>
  <si>
    <t xml:space="preserve">Con pendiente mayor de 5% vale cero.</t>
  </si>
  <si>
    <t xml:space="preserve">W — peso sísmico</t>
  </si>
  <si>
    <t xml:space="preserve">CALCULADA. Va a EspectrosSismo_Naves_ElSalvador_NTDS_ASCE.xlsx, DATOS C60 (NTDS) y C61 (ASCE).</t>
  </si>
  <si>
    <t xml:space="preserve">NTDS-1994 · §4.1.3, pág. 7</t>
  </si>
  <si>
    <t xml:space="preserve">Revisión en STAAD</t>
  </si>
  <si>
    <t xml:space="preserve">Output de STAAD: SUMMATION OF APPLIED LOADS del caso 1. La masa dinámica (DYNAMIC WEIGHT) debe dar ≈ W.</t>
  </si>
  <si>
    <t xml:space="preserve">Salida de STAAD</t>
  </si>
  <si>
    <t xml:space="preserve">5. CORTANTE MÍNIMO NTDS §5.4.1(3) → FACTOR DEL SPECTRUM EN STAAD</t>
  </si>
  <si>
    <t xml:space="preserve">A — zona sísmica (zona 1)</t>
  </si>
  <si>
    <t xml:space="preserve">CAPTURA. Ya usada en el espectro del .STD.</t>
  </si>
  <si>
    <t xml:space="preserve">NTDS-1994 · Tabla 1, pág. 19</t>
  </si>
  <si>
    <t xml:space="preserve">I — factor de importancia (categoría II)</t>
  </si>
  <si>
    <t xml:space="preserve">CAPTURA.</t>
  </si>
  <si>
    <t xml:space="preserve">NTDS-1994 · Tabla 4, pág. 21</t>
  </si>
  <si>
    <t xml:space="preserve">Co — coeficiente de sitio (S3)</t>
  </si>
  <si>
    <t xml:space="preserve">NTDS-1994 · Tabla 2, pág. 20</t>
  </si>
  <si>
    <t xml:space="preserve">To — periodo de sitio (S3)</t>
  </si>
  <si>
    <t xml:space="preserve">s</t>
  </si>
  <si>
    <t xml:space="preserve">R — marco de acero con detallado ordinario</t>
  </si>
  <si>
    <t xml:space="preserve">CAPTURA. Sistema A.</t>
  </si>
  <si>
    <t xml:space="preserve">NTDS-1994 · Tabla 7, pág. 23</t>
  </si>
  <si>
    <t xml:space="preserve">Ct — marcos de acero, sistema A</t>
  </si>
  <si>
    <t xml:space="preserve">NTDS-1994 · §4.2.2 (4.3), pág. 7</t>
  </si>
  <si>
    <t xml:space="preserve">hn — altura máxima de la nave</t>
  </si>
  <si>
    <t xml:space="preserve">CAPTURA del modelo (nodos 20 y 21).</t>
  </si>
  <si>
    <t xml:space="preserve">001_NOSE_DOCK_H5_H6_R1.5.STD</t>
  </si>
  <si>
    <t xml:space="preserve">T_A = Ct·hn^¾</t>
  </si>
  <si>
    <t xml:space="preserve">CALCULADA. Método A.</t>
  </si>
  <si>
    <t xml:space="preserve">Cs(T_A) = A·I·Co/R·(To/T)^⅔</t>
  </si>
  <si>
    <t xml:space="preserve">CALCULADA. T no menor que To ni mayor que 6To.</t>
  </si>
  <si>
    <t xml:space="preserve">NTDS-1994 · §4.2.1 (4.2), pág. 7</t>
  </si>
  <si>
    <t xml:space="preserve">T_B en X (réplica del modelo)</t>
  </si>
  <si>
    <t xml:space="preserve">CAPTURA. Modo dominante en X del modelo R1.5 (réplica); cámbialo por el del output de STAAD.</t>
  </si>
  <si>
    <t xml:space="preserve">Output de STAAD (modal)</t>
  </si>
  <si>
    <t xml:space="preserve">T_B en Z (réplica del modelo)</t>
  </si>
  <si>
    <t xml:space="preserve">CAPTURA. Modo dominante en Z del modelo R1.5 (réplica); cámbialo por el del output de STAAD.</t>
  </si>
  <si>
    <t xml:space="preserve">V_est en X = máx(Cs(T_B), 0.8·Cs(T_A))·W</t>
  </si>
  <si>
    <t xml:space="preserve">CALCULADA. W de la sección 4.</t>
  </si>
  <si>
    <t xml:space="preserve">NTDS-1994 · §4.2.1 y §4.2.2, pág. 7</t>
  </si>
  <si>
    <t xml:space="preserve">V_est en Z = máx(Cs(T_B), 0.8·Cs(T_A))·W</t>
  </si>
  <si>
    <t xml:space="preserve">V mínimo X = máx(0.9·V_est, 0.8·Cs(T_A)·W)</t>
  </si>
  <si>
    <t xml:space="preserve">CALCULADA. Estructura regular.</t>
  </si>
  <si>
    <t xml:space="preserve">NTDS-1994 · §5.4.1(3), pág. 12</t>
  </si>
  <si>
    <t xml:space="preserve">V mínimo Z = máx(0.9·V_est, 0.8·Cs(T_A)·W)</t>
  </si>
  <si>
    <t xml:space="preserve">V modal en X (sin factor)</t>
  </si>
  <si>
    <t xml:space="preserve">CAPTURA. Cortante basal CQC del output con el factor en 1 (o el del output ÷ factor usado). El valor puesto es de la réplica del modelo R1.5; cámbialo por el de STAAD y copia el factor al SPECTRUM.</t>
  </si>
  <si>
    <t xml:space="preserve">Output de STAAD · pág. de cortante basal</t>
  </si>
  <si>
    <t xml:space="preserve">V modal en Z (sin factor)</t>
  </si>
  <si>
    <t xml:space="preserve">CAPTURA. Igual.</t>
  </si>
  <si>
    <t xml:space="preserve">Factor del SPECTRUM en X</t>
  </si>
  <si>
    <t xml:space="preserve">CALCULADA. Va en SPECTRUM CQC X (casos 4 y 6).</t>
  </si>
  <si>
    <t xml:space="preserve">Factor del SPECTRUM en Z</t>
  </si>
  <si>
    <t xml:space="preserve">CALCULADA. Va en SPECTRUM CQC Z (casos 5 y 7).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</si>
</sst>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%"/>
    <numFmt numFmtId="167" formatCode="0.0%"/>
    <numFmt numFmtId="168" formatCode="0"/>
    <numFmt numFmtId="169" formatCode="0.0000"/>
    <numFmt numFmtId="170" formatCode="0.0"/>
    <numFmt numFmtId="171" formatCode="0.000"/>
    <numFmt numFmtId="172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7F9FC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tecingenieria.cl/wp-content/uploads/2018/10/FIcha-Tecnica-Cortinas-Metalica-Motor-Central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customFormat="false" ht="25.5" hidden="false" customHeight="true" outlineLevel="0" collapsed="false">
      <c r="B1" s="2" t="s">
        <v>0</v>
      </c>
      <c r="C1" s="2"/>
      <c r="D1" s="2"/>
      <c r="E1" s="2"/>
      <c r="F1" s="2"/>
    </row>
    <row r="2" customFormat="false" ht="30" hidden="false" customHeight="true" outlineLevel="0" collapsed="false">
      <c r="B2" s="3" t="s">
        <v>1</v>
      </c>
      <c r="C2" s="3"/>
      <c r="D2" s="3"/>
      <c r="E2" s="3"/>
      <c r="F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2</v>
      </c>
      <c r="C4" s="4"/>
      <c r="D4" s="4"/>
      <c r="E4" s="4"/>
      <c r="F4" s="4"/>
    </row>
    <row r="5" customFormat="fals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customFormat="false" ht="26.25" hidden="false" customHeight="true" outlineLevel="0" collapsed="false">
      <c r="B6" s="6" t="s">
        <v>8</v>
      </c>
      <c r="C6" s="7" t="n">
        <v>9.32</v>
      </c>
      <c r="D6" s="8" t="s">
        <v>9</v>
      </c>
      <c r="E6" s="9" t="s">
        <v>10</v>
      </c>
      <c r="F6" s="10" t="s">
        <v>11</v>
      </c>
    </row>
    <row r="7" customFormat="false" ht="14.25" hidden="false" customHeight="true" outlineLevel="0" collapsed="false">
      <c r="B7" s="6" t="s">
        <v>12</v>
      </c>
      <c r="C7" s="7" t="n">
        <v>10</v>
      </c>
      <c r="D7" s="8" t="s">
        <v>9</v>
      </c>
      <c r="E7" s="9" t="s">
        <v>13</v>
      </c>
      <c r="F7" s="10" t="s">
        <v>14</v>
      </c>
    </row>
    <row r="8" customFormat="false" ht="22.5" hidden="false" customHeight="true" outlineLevel="0" collapsed="false">
      <c r="B8" s="6" t="s">
        <v>15</v>
      </c>
      <c r="C8" s="11" t="n">
        <f aca="false">C6+C7</f>
        <v>19.32</v>
      </c>
      <c r="D8" s="8" t="s">
        <v>9</v>
      </c>
      <c r="E8" s="9" t="s">
        <v>16</v>
      </c>
      <c r="F8" s="10" t="s">
        <v>17</v>
      </c>
    </row>
    <row r="9" customFormat="false" ht="14.25" hidden="false" customHeight="true" outlineLevel="0" collapsed="false">
      <c r="B9" s="6" t="s">
        <v>18</v>
      </c>
      <c r="C9" s="7" t="n">
        <v>5.85</v>
      </c>
      <c r="D9" s="8" t="s">
        <v>9</v>
      </c>
      <c r="E9" s="9" t="s">
        <v>19</v>
      </c>
      <c r="F9" s="10" t="s">
        <v>20</v>
      </c>
    </row>
    <row r="10" customFormat="false" ht="14.25" hidden="false" customHeight="true" outlineLevel="0" collapsed="false">
      <c r="B10" s="6" t="s">
        <v>21</v>
      </c>
      <c r="C10" s="11" t="n">
        <f aca="false">C9</f>
        <v>5.85</v>
      </c>
      <c r="D10" s="8" t="s">
        <v>9</v>
      </c>
      <c r="E10" s="9" t="s">
        <v>22</v>
      </c>
      <c r="F10" s="10" t="s">
        <v>23</v>
      </c>
    </row>
    <row r="12" customFormat="false" ht="21" hidden="false" customHeight="true" outlineLevel="0" collapsed="false">
      <c r="B12" s="4" t="s">
        <v>24</v>
      </c>
      <c r="C12" s="4"/>
      <c r="D12" s="4"/>
      <c r="E12" s="4"/>
      <c r="F12" s="4"/>
    </row>
    <row r="13" customFormat="false" ht="30" hidden="false" customHeight="true" outlineLevel="0" collapsed="false">
      <c r="B13" s="12" t="s">
        <v>25</v>
      </c>
      <c r="C13" s="12"/>
      <c r="D13" s="12"/>
      <c r="E13" s="12"/>
      <c r="F13" s="12"/>
    </row>
    <row r="14" customFormat="false" ht="30" hidden="false" customHeight="true" outlineLevel="0" collapsed="false"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</row>
    <row r="15" customFormat="false" ht="14.25" hidden="false" customHeight="true" outlineLevel="0" collapsed="false">
      <c r="B15" s="6" t="s">
        <v>26</v>
      </c>
      <c r="C15" s="7" t="n">
        <v>10.62</v>
      </c>
      <c r="D15" s="8" t="s">
        <v>27</v>
      </c>
      <c r="E15" s="9" t="s">
        <v>28</v>
      </c>
      <c r="F15" s="10" t="s">
        <v>29</v>
      </c>
    </row>
    <row r="16" customFormat="false" ht="14.25" hidden="false" customHeight="true" outlineLevel="0" collapsed="false">
      <c r="B16" s="6" t="s">
        <v>30</v>
      </c>
      <c r="C16" s="7" t="n">
        <v>9.82002</v>
      </c>
      <c r="D16" s="8" t="s">
        <v>27</v>
      </c>
      <c r="E16" s="9" t="s">
        <v>31</v>
      </c>
      <c r="F16" s="10" t="s">
        <v>29</v>
      </c>
    </row>
    <row r="17" customFormat="false" ht="14.25" hidden="false" customHeight="true" outlineLevel="0" collapsed="false">
      <c r="B17" s="6" t="s">
        <v>32</v>
      </c>
      <c r="C17" s="7" t="n">
        <v>16</v>
      </c>
      <c r="D17" s="8" t="s">
        <v>27</v>
      </c>
      <c r="E17" s="9" t="s">
        <v>33</v>
      </c>
      <c r="F17" s="10" t="s">
        <v>29</v>
      </c>
    </row>
    <row r="18" customFormat="false" ht="14.25" hidden="false" customHeight="true" outlineLevel="0" collapsed="false">
      <c r="B18" s="6" t="s">
        <v>34</v>
      </c>
      <c r="C18" s="13" t="n">
        <f aca="false">(C15-C16)/C17</f>
        <v>0.04999875</v>
      </c>
      <c r="D18" s="8" t="s">
        <v>35</v>
      </c>
      <c r="E18" s="9" t="s">
        <v>36</v>
      </c>
      <c r="F18" s="10" t="s">
        <v>37</v>
      </c>
    </row>
    <row r="19" customFormat="false" ht="14.25" hidden="false" customHeight="true" outlineLevel="0" collapsed="false">
      <c r="B19" s="6" t="s">
        <v>38</v>
      </c>
      <c r="C19" s="14" t="n">
        <f aca="false">DEGREES(ATAN(C18))</f>
        <v>2.86233378498571</v>
      </c>
      <c r="D19" s="8" t="s">
        <v>39</v>
      </c>
      <c r="E19" s="9" t="s">
        <v>40</v>
      </c>
      <c r="F19" s="10" t="s">
        <v>41</v>
      </c>
    </row>
    <row r="20" customFormat="false" ht="22.5" hidden="false" customHeight="true" outlineLevel="0" collapsed="false">
      <c r="B20" s="6" t="s">
        <v>42</v>
      </c>
      <c r="C20" s="15" t="n">
        <v>0.054</v>
      </c>
      <c r="D20" s="8" t="s">
        <v>35</v>
      </c>
      <c r="E20" s="9" t="s">
        <v>43</v>
      </c>
      <c r="F20" s="10" t="s">
        <v>44</v>
      </c>
    </row>
    <row r="21" customFormat="false" ht="26.25" hidden="false" customHeight="true" outlineLevel="0" collapsed="false">
      <c r="B21" s="6" t="s">
        <v>45</v>
      </c>
      <c r="C21" s="16" t="str">
        <f aca="false">IF(C20&gt;0.05,"i) pendiente mayor de 5%","h) pendiente no mayor de 5%")</f>
        <v>i) pendiente mayor de 5%</v>
      </c>
      <c r="D21" s="8" t="s">
        <v>41</v>
      </c>
      <c r="E21" s="9" t="s">
        <v>46</v>
      </c>
      <c r="F21" s="10" t="s">
        <v>47</v>
      </c>
    </row>
    <row r="22" customFormat="false" ht="14.25" hidden="false" customHeight="true" outlineLevel="0" collapsed="false">
      <c r="B22" s="6" t="s">
        <v>48</v>
      </c>
      <c r="C22" s="11" t="n">
        <f aca="false">IF(C20&gt;0.05,20,100)</f>
        <v>20</v>
      </c>
      <c r="D22" s="8" t="s">
        <v>9</v>
      </c>
      <c r="E22" s="9" t="s">
        <v>49</v>
      </c>
      <c r="F22" s="10" t="s">
        <v>50</v>
      </c>
    </row>
    <row r="23" customFormat="false" ht="26.25" hidden="false" customHeight="true" outlineLevel="0" collapsed="false">
      <c r="B23" s="6" t="s">
        <v>51</v>
      </c>
      <c r="C23" s="11" t="n">
        <f aca="false">IF(C20&gt;0.05,0,50)</f>
        <v>0</v>
      </c>
      <c r="D23" s="8" t="s">
        <v>9</v>
      </c>
      <c r="E23" s="9" t="s">
        <v>52</v>
      </c>
      <c r="F23" s="10" t="s">
        <v>53</v>
      </c>
    </row>
    <row r="24" customFormat="false" ht="14.25" hidden="false" customHeight="true" outlineLevel="0" collapsed="false">
      <c r="B24" s="6" t="s">
        <v>54</v>
      </c>
      <c r="C24" s="14" t="n">
        <f aca="false">IF(C20&gt;0.05,5,15)</f>
        <v>5</v>
      </c>
      <c r="D24" s="8" t="s">
        <v>9</v>
      </c>
      <c r="E24" s="9" t="s">
        <v>55</v>
      </c>
      <c r="F24" s="10" t="s">
        <v>56</v>
      </c>
    </row>
    <row r="25" customFormat="false" ht="22.5" hidden="false" customHeight="true" outlineLevel="0" collapsed="false">
      <c r="B25" s="6" t="s">
        <v>57</v>
      </c>
      <c r="C25" s="17" t="n">
        <v>100</v>
      </c>
      <c r="D25" s="8" t="s">
        <v>58</v>
      </c>
      <c r="E25" s="9" t="s">
        <v>59</v>
      </c>
      <c r="F25" s="10" t="s">
        <v>60</v>
      </c>
    </row>
    <row r="27" customFormat="false" ht="21" hidden="false" customHeight="true" outlineLevel="0" collapsed="false">
      <c r="B27" s="4" t="s">
        <v>61</v>
      </c>
      <c r="C27" s="4"/>
      <c r="D27" s="4"/>
      <c r="E27" s="4"/>
      <c r="F27" s="4"/>
    </row>
    <row r="28" customFormat="false" ht="30" hidden="false" customHeight="true" outlineLevel="0" collapsed="false">
      <c r="B28" s="5" t="s">
        <v>3</v>
      </c>
      <c r="C28" s="5" t="s">
        <v>4</v>
      </c>
      <c r="D28" s="5" t="s">
        <v>5</v>
      </c>
      <c r="E28" s="5" t="s">
        <v>6</v>
      </c>
      <c r="F28" s="5" t="s">
        <v>7</v>
      </c>
    </row>
    <row r="29" customFormat="false" ht="14.25" hidden="false" customHeight="true" outlineLevel="0" collapsed="false">
      <c r="B29" s="6" t="s">
        <v>62</v>
      </c>
      <c r="C29" s="7" t="n">
        <v>10.08</v>
      </c>
      <c r="D29" s="8" t="s">
        <v>27</v>
      </c>
      <c r="E29" s="9" t="s">
        <v>63</v>
      </c>
      <c r="F29" s="10" t="s">
        <v>64</v>
      </c>
    </row>
    <row r="30" customFormat="false" ht="26.25" hidden="false" customHeight="true" outlineLevel="0" collapsed="false">
      <c r="B30" s="6" t="s">
        <v>65</v>
      </c>
      <c r="C30" s="11" t="n">
        <f aca="false">C29/2</f>
        <v>5.04</v>
      </c>
      <c r="D30" s="8" t="s">
        <v>27</v>
      </c>
      <c r="E30" s="9" t="s">
        <v>66</v>
      </c>
      <c r="F30" s="10" t="s">
        <v>67</v>
      </c>
    </row>
    <row r="31" customFormat="false" ht="14.25" hidden="false" customHeight="true" outlineLevel="0" collapsed="false">
      <c r="B31" s="6" t="s">
        <v>68</v>
      </c>
      <c r="C31" s="7" t="n">
        <v>0</v>
      </c>
      <c r="D31" s="8" t="s">
        <v>27</v>
      </c>
      <c r="E31" s="9" t="s">
        <v>69</v>
      </c>
      <c r="F31" s="10" t="s">
        <v>70</v>
      </c>
    </row>
    <row r="32" customFormat="false" ht="14.25" hidden="false" customHeight="true" outlineLevel="0" collapsed="false">
      <c r="B32" s="6" t="s">
        <v>71</v>
      </c>
      <c r="C32" s="7" t="n">
        <v>6.75001</v>
      </c>
      <c r="D32" s="8" t="s">
        <v>27</v>
      </c>
      <c r="E32" s="9" t="s">
        <v>69</v>
      </c>
      <c r="F32" s="10" t="s">
        <v>72</v>
      </c>
    </row>
    <row r="33" customFormat="false" ht="14.25" hidden="false" customHeight="true" outlineLevel="0" collapsed="false">
      <c r="B33" s="6" t="s">
        <v>73</v>
      </c>
      <c r="C33" s="7" t="n">
        <v>13.5</v>
      </c>
      <c r="D33" s="8" t="s">
        <v>27</v>
      </c>
      <c r="E33" s="9" t="s">
        <v>69</v>
      </c>
      <c r="F33" s="10" t="s">
        <v>74</v>
      </c>
    </row>
    <row r="34" customFormat="false" ht="14.25" hidden="false" customHeight="true" outlineLevel="0" collapsed="false">
      <c r="B34" s="6" t="s">
        <v>75</v>
      </c>
      <c r="C34" s="7" t="n">
        <v>16</v>
      </c>
      <c r="D34" s="8" t="s">
        <v>27</v>
      </c>
      <c r="E34" s="9" t="s">
        <v>69</v>
      </c>
      <c r="F34" s="10" t="s">
        <v>76</v>
      </c>
    </row>
    <row r="35" customFormat="false" ht="22.5" hidden="false" customHeight="true" outlineLevel="0" collapsed="false">
      <c r="B35" s="6" t="s">
        <v>77</v>
      </c>
      <c r="C35" s="18" t="n">
        <f aca="false">1/COS(RADIANS(C19))</f>
        <v>1.0012491573038</v>
      </c>
      <c r="D35" s="8" t="s">
        <v>41</v>
      </c>
      <c r="E35" s="9" t="s">
        <v>78</v>
      </c>
      <c r="F35" s="10" t="s">
        <v>41</v>
      </c>
    </row>
    <row r="37" customFormat="false" ht="21" hidden="false" customHeight="true" outlineLevel="0" collapsed="false">
      <c r="B37" s="4" t="s">
        <v>79</v>
      </c>
      <c r="C37" s="4"/>
      <c r="D37" s="4"/>
      <c r="E37" s="4"/>
      <c r="F37" s="4"/>
    </row>
    <row r="38" customFormat="false" ht="30" hidden="false" customHeight="true" outlineLevel="0" collapsed="false">
      <c r="B38" s="19" t="s">
        <v>80</v>
      </c>
      <c r="C38" s="19"/>
      <c r="D38" s="19"/>
      <c r="E38" s="19"/>
      <c r="F38" s="19"/>
    </row>
    <row r="39" customFormat="false" ht="30" hidden="false" customHeight="true" outlineLevel="0" collapsed="false">
      <c r="B39" s="19" t="s">
        <v>81</v>
      </c>
      <c r="C39" s="19"/>
      <c r="D39" s="19"/>
      <c r="E39" s="19"/>
      <c r="F39" s="19"/>
    </row>
    <row r="40" customFormat="false" ht="30" hidden="false" customHeight="true" outlineLevel="0" collapsed="false">
      <c r="B40" s="19" t="s">
        <v>82</v>
      </c>
      <c r="C40" s="19"/>
      <c r="D40" s="19"/>
      <c r="E40" s="19"/>
      <c r="F40" s="19"/>
    </row>
    <row r="41" customFormat="false" ht="30" hidden="false" customHeight="true" outlineLevel="0" collapsed="false">
      <c r="B41" s="19" t="s">
        <v>83</v>
      </c>
      <c r="C41" s="19"/>
      <c r="D41" s="19"/>
      <c r="E41" s="19"/>
      <c r="F41" s="19"/>
    </row>
    <row r="42" customFormat="false" ht="30" hidden="false" customHeight="true" outlineLevel="0" collapsed="false">
      <c r="B42" s="19" t="s">
        <v>84</v>
      </c>
      <c r="C42" s="19"/>
      <c r="D42" s="19"/>
      <c r="E42" s="19"/>
      <c r="F42" s="19"/>
    </row>
    <row r="44" customFormat="false" ht="21" hidden="false" customHeight="true" outlineLevel="0" collapsed="false">
      <c r="B44" s="4" t="s">
        <v>85</v>
      </c>
      <c r="C44" s="4"/>
      <c r="D44" s="4"/>
      <c r="E44" s="4"/>
      <c r="F44" s="4"/>
    </row>
    <row r="45" customFormat="false" ht="30" hidden="false" customHeight="true" outlineLevel="0" collapsed="false">
      <c r="B45" s="5" t="s">
        <v>3</v>
      </c>
      <c r="C45" s="5" t="s">
        <v>4</v>
      </c>
      <c r="D45" s="5" t="s">
        <v>5</v>
      </c>
      <c r="E45" s="5" t="s">
        <v>6</v>
      </c>
      <c r="F45" s="5" t="s">
        <v>7</v>
      </c>
    </row>
    <row r="46" customFormat="false" ht="51.75" hidden="false" customHeight="true" outlineLevel="0" collapsed="false">
      <c r="B46" s="6" t="s">
        <v>86</v>
      </c>
      <c r="C46" s="7" t="n">
        <v>12</v>
      </c>
      <c r="D46" s="8" t="s">
        <v>9</v>
      </c>
      <c r="E46" s="9" t="s">
        <v>87</v>
      </c>
      <c r="F46" s="10" t="s">
        <v>88</v>
      </c>
    </row>
    <row r="47" customFormat="false" ht="30" hidden="false" customHeight="true" outlineLevel="0" collapsed="false">
      <c r="B47" s="6" t="s">
        <v>89</v>
      </c>
      <c r="C47" s="20" t="n">
        <f aca="false">ROUND((758.851-248.69)/100,4)</f>
        <v>5.1016</v>
      </c>
      <c r="D47" s="8" t="s">
        <v>27</v>
      </c>
      <c r="E47" s="9" t="s">
        <v>90</v>
      </c>
      <c r="F47" s="10" t="s">
        <v>29</v>
      </c>
    </row>
    <row r="48" customFormat="false" ht="30" hidden="false" customHeight="true" outlineLevel="0" collapsed="false">
      <c r="B48" s="6" t="s">
        <v>91</v>
      </c>
      <c r="C48" s="7" t="n">
        <v>6.33</v>
      </c>
      <c r="D48" s="8" t="s">
        <v>27</v>
      </c>
      <c r="E48" s="9" t="s">
        <v>92</v>
      </c>
      <c r="F48" s="10" t="s">
        <v>93</v>
      </c>
    </row>
    <row r="49" customFormat="false" ht="30" hidden="false" customHeight="true" outlineLevel="0" collapsed="false">
      <c r="B49" s="6" t="s">
        <v>94</v>
      </c>
      <c r="C49" s="21" t="n">
        <f aca="false">C46*C47*C48</f>
        <v>387.517536</v>
      </c>
      <c r="D49" s="8" t="s">
        <v>58</v>
      </c>
      <c r="E49" s="9" t="s">
        <v>95</v>
      </c>
      <c r="F49" s="10" t="s">
        <v>96</v>
      </c>
    </row>
    <row r="50" customFormat="false" ht="30" hidden="false" customHeight="true" outlineLevel="0" collapsed="false">
      <c r="B50" s="6" t="s">
        <v>97</v>
      </c>
      <c r="C50" s="11" t="n">
        <f aca="false">C47*100</f>
        <v>510.16</v>
      </c>
      <c r="D50" s="8" t="s">
        <v>98</v>
      </c>
      <c r="E50" s="9" t="s">
        <v>99</v>
      </c>
      <c r="F50" s="10" t="s">
        <v>100</v>
      </c>
    </row>
    <row r="51" customFormat="false" ht="30" hidden="false" customHeight="true" outlineLevel="0" collapsed="false">
      <c r="B51" s="6" t="s">
        <v>101</v>
      </c>
      <c r="C51" s="22" t="n">
        <f aca="false">C49/C50</f>
        <v>0.7596</v>
      </c>
      <c r="D51" s="8" t="s">
        <v>102</v>
      </c>
      <c r="E51" s="9" t="s">
        <v>103</v>
      </c>
      <c r="F51" s="10" t="s">
        <v>67</v>
      </c>
    </row>
    <row r="53" customFormat="false" ht="30" hidden="false" customHeight="true" outlineLevel="0" collapsed="false">
      <c r="B53" s="23" t="s">
        <v>104</v>
      </c>
      <c r="C53" s="23"/>
      <c r="D53" s="23"/>
      <c r="E53" s="23"/>
      <c r="F53" s="23"/>
    </row>
  </sheetData>
  <mergeCells count="14">
    <mergeCell ref="B1:F1"/>
    <mergeCell ref="B2:F2"/>
    <mergeCell ref="B4:F4"/>
    <mergeCell ref="B12:F12"/>
    <mergeCell ref="B13:F13"/>
    <mergeCell ref="B27:F27"/>
    <mergeCell ref="B37:F37"/>
    <mergeCell ref="B38:F38"/>
    <mergeCell ref="B39:F39"/>
    <mergeCell ref="B40:F40"/>
    <mergeCell ref="B41:F41"/>
    <mergeCell ref="B42:F42"/>
    <mergeCell ref="B44:F44"/>
    <mergeCell ref="B53:F53"/>
  </mergeCells>
  <hyperlinks>
    <hyperlink ref="F46" r:id="rId1" display="Protec Ingeniería · Ficha técnica Cortina Metálica Motor Central · https://protecingenieria.cl/wp-content/uploads/2018/10/FIcha-Tecnica-Cortinas-Metalica-Motor-Central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9" min="8" style="1" width="9"/>
    <col collapsed="false" customWidth="true" hidden="false" outlineLevel="0" max="13" min="10" style="1" width="10"/>
    <col collapsed="false" customWidth="true" hidden="false" outlineLevel="0" max="15" min="14" style="1" width="11"/>
    <col collapsed="false" customWidth="true" hidden="false" outlineLevel="0" max="16" min="16" style="1" width="22"/>
    <col collapsed="false" customWidth="true" hidden="false" outlineLevel="0" max="17" min="17" style="1" width="34"/>
  </cols>
  <sheetData>
    <row r="1" customFormat="false" ht="25.5" hidden="false" customHeight="true" outlineLevel="0" collapsed="false"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30" hidden="false" customHeight="true" outlineLevel="0" collapsed="false">
      <c r="B2" s="3" t="s">
        <v>106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107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30" hidden="false" customHeight="true" outlineLevel="0" collapsed="false">
      <c r="B5" s="5" t="s">
        <v>108</v>
      </c>
      <c r="C5" s="5" t="s">
        <v>109</v>
      </c>
      <c r="D5" s="5" t="s">
        <v>110</v>
      </c>
      <c r="E5" s="5" t="s">
        <v>111</v>
      </c>
      <c r="F5" s="5" t="s">
        <v>112</v>
      </c>
      <c r="G5" s="5" t="s">
        <v>113</v>
      </c>
      <c r="H5" s="5" t="s">
        <v>114</v>
      </c>
      <c r="I5" s="5" t="s">
        <v>115</v>
      </c>
      <c r="J5" s="5" t="s">
        <v>116</v>
      </c>
      <c r="K5" s="5" t="s">
        <v>117</v>
      </c>
      <c r="L5" s="5" t="s">
        <v>118</v>
      </c>
      <c r="M5" s="5" t="s">
        <v>119</v>
      </c>
      <c r="N5" s="5" t="s">
        <v>120</v>
      </c>
      <c r="O5" s="5" t="s">
        <v>121</v>
      </c>
      <c r="P5" s="5" t="s">
        <v>122</v>
      </c>
      <c r="Q5" s="5" t="s">
        <v>7</v>
      </c>
    </row>
    <row r="6" customFormat="false" ht="24" hidden="false" customHeight="true" outlineLevel="0" collapsed="false">
      <c r="B6" s="24"/>
      <c r="C6" s="24"/>
      <c r="D6" s="24"/>
      <c r="E6" s="24" t="s">
        <v>123</v>
      </c>
      <c r="F6" s="24" t="s">
        <v>124</v>
      </c>
      <c r="G6" s="24" t="s">
        <v>125</v>
      </c>
      <c r="H6" s="24" t="s">
        <v>126</v>
      </c>
      <c r="I6" s="24" t="s">
        <v>127</v>
      </c>
      <c r="J6" s="24" t="s">
        <v>128</v>
      </c>
      <c r="K6" s="24" t="s">
        <v>129</v>
      </c>
      <c r="L6" s="24" t="s">
        <v>130</v>
      </c>
      <c r="M6" s="24" t="s">
        <v>131</v>
      </c>
      <c r="N6" s="24" t="s">
        <v>132</v>
      </c>
      <c r="O6" s="24" t="s">
        <v>133</v>
      </c>
      <c r="P6" s="24" t="s">
        <v>134</v>
      </c>
      <c r="Q6" s="24"/>
    </row>
    <row r="7" customFormat="false" ht="14.25" hidden="false" customHeight="true" outlineLevel="0" collapsed="false">
      <c r="B7" s="25" t="s">
        <v>135</v>
      </c>
      <c r="C7" s="6" t="s">
        <v>136</v>
      </c>
      <c r="D7" s="8" t="s">
        <v>137</v>
      </c>
      <c r="E7" s="7" t="n">
        <v>0</v>
      </c>
      <c r="F7" s="26" t="n">
        <f aca="false">E7</f>
        <v>0</v>
      </c>
      <c r="G7" s="26" t="n">
        <f aca="false">(E7+E8)/2</f>
        <v>0.675</v>
      </c>
      <c r="H7" s="26" t="n">
        <f aca="false">G7-F7</f>
        <v>0.675</v>
      </c>
      <c r="I7" s="14" t="n">
        <f aca="false">DATOS!$C$29</f>
        <v>10.08</v>
      </c>
      <c r="J7" s="11" t="n">
        <f aca="false">H7*I7</f>
        <v>6.804</v>
      </c>
      <c r="K7" s="14" t="n">
        <f aca="false">DATOS!$C$8*H7</f>
        <v>13.041</v>
      </c>
      <c r="L7" s="14" t="n">
        <f aca="false">DATOS!$C$22*H7</f>
        <v>13.5</v>
      </c>
      <c r="M7" s="14" t="n">
        <f aca="false">DATOS!$C$23*H7</f>
        <v>0</v>
      </c>
      <c r="N7" s="27" t="n">
        <f aca="false">K7*I7/2</f>
        <v>65.72664</v>
      </c>
      <c r="O7" s="27" t="n">
        <f aca="false">L7*I7/2</f>
        <v>68.04</v>
      </c>
      <c r="P7" s="8" t="s">
        <v>138</v>
      </c>
      <c r="Q7" s="10" t="s">
        <v>139</v>
      </c>
    </row>
    <row r="8" customFormat="false" ht="14.25" hidden="false" customHeight="true" outlineLevel="0" collapsed="false">
      <c r="B8" s="28" t="s">
        <v>140</v>
      </c>
      <c r="C8" s="29" t="s">
        <v>141</v>
      </c>
      <c r="D8" s="30" t="s">
        <v>142</v>
      </c>
      <c r="E8" s="7" t="n">
        <v>1.35</v>
      </c>
      <c r="F8" s="31" t="n">
        <f aca="false">(E7+E8)/2</f>
        <v>0.675</v>
      </c>
      <c r="G8" s="31" t="n">
        <f aca="false">(E8+E9)/2</f>
        <v>2.025</v>
      </c>
      <c r="H8" s="31" t="n">
        <f aca="false">G8-F8</f>
        <v>1.35</v>
      </c>
      <c r="I8" s="32" t="n">
        <f aca="false">DATOS!$C$29</f>
        <v>10.08</v>
      </c>
      <c r="J8" s="11" t="n">
        <f aca="false">H8*I8</f>
        <v>13.608</v>
      </c>
      <c r="K8" s="32" t="n">
        <f aca="false">DATOS!$C$8*H8</f>
        <v>26.082</v>
      </c>
      <c r="L8" s="32" t="n">
        <f aca="false">DATOS!$C$22*H8</f>
        <v>27</v>
      </c>
      <c r="M8" s="32" t="n">
        <f aca="false">DATOS!$C$23*H8</f>
        <v>0</v>
      </c>
      <c r="N8" s="33" t="n">
        <f aca="false">K8*I8/2</f>
        <v>131.45328</v>
      </c>
      <c r="O8" s="33" t="n">
        <f aca="false">L8*I8/2</f>
        <v>136.08</v>
      </c>
      <c r="P8" s="30" t="s">
        <v>143</v>
      </c>
      <c r="Q8" s="10" t="s">
        <v>144</v>
      </c>
    </row>
    <row r="9" customFormat="false" ht="14.25" hidden="false" customHeight="true" outlineLevel="0" collapsed="false">
      <c r="B9" s="25" t="s">
        <v>145</v>
      </c>
      <c r="C9" s="6" t="s">
        <v>141</v>
      </c>
      <c r="D9" s="8" t="s">
        <v>142</v>
      </c>
      <c r="E9" s="7" t="n">
        <v>2.7</v>
      </c>
      <c r="F9" s="26" t="n">
        <f aca="false">(E8+E9)/2</f>
        <v>2.025</v>
      </c>
      <c r="G9" s="26" t="n">
        <f aca="false">(E9+E10)/2</f>
        <v>3.375</v>
      </c>
      <c r="H9" s="26" t="n">
        <f aca="false">G9-F9</f>
        <v>1.35</v>
      </c>
      <c r="I9" s="14" t="n">
        <f aca="false">DATOS!$C$29</f>
        <v>10.08</v>
      </c>
      <c r="J9" s="11" t="n">
        <f aca="false">H9*I9</f>
        <v>13.608</v>
      </c>
      <c r="K9" s="14" t="n">
        <f aca="false">DATOS!$C$8*H9</f>
        <v>26.082</v>
      </c>
      <c r="L9" s="14" t="n">
        <f aca="false">DATOS!$C$22*H9</f>
        <v>27</v>
      </c>
      <c r="M9" s="14" t="n">
        <f aca="false">DATOS!$C$23*H9</f>
        <v>0</v>
      </c>
      <c r="N9" s="27" t="n">
        <f aca="false">K9*I9/2</f>
        <v>131.45328</v>
      </c>
      <c r="O9" s="27" t="n">
        <f aca="false">L9*I9/2</f>
        <v>136.08</v>
      </c>
      <c r="P9" s="8" t="s">
        <v>146</v>
      </c>
      <c r="Q9" s="10" t="s">
        <v>147</v>
      </c>
    </row>
    <row r="10" customFormat="false" ht="14.25" hidden="false" customHeight="true" outlineLevel="0" collapsed="false">
      <c r="B10" s="28" t="s">
        <v>148</v>
      </c>
      <c r="C10" s="29" t="s">
        <v>141</v>
      </c>
      <c r="D10" s="30" t="s">
        <v>142</v>
      </c>
      <c r="E10" s="7" t="n">
        <v>4.05</v>
      </c>
      <c r="F10" s="31" t="n">
        <f aca="false">(E9+E10)/2</f>
        <v>3.375</v>
      </c>
      <c r="G10" s="31" t="n">
        <f aca="false">(E10+E11)/2</f>
        <v>4.725</v>
      </c>
      <c r="H10" s="31" t="n">
        <f aca="false">G10-F10</f>
        <v>1.35</v>
      </c>
      <c r="I10" s="32" t="n">
        <f aca="false">DATOS!$C$29</f>
        <v>10.08</v>
      </c>
      <c r="J10" s="11" t="n">
        <f aca="false">H10*I10</f>
        <v>13.608</v>
      </c>
      <c r="K10" s="32" t="n">
        <f aca="false">DATOS!$C$8*H10</f>
        <v>26.082</v>
      </c>
      <c r="L10" s="32" t="n">
        <f aca="false">DATOS!$C$22*H10</f>
        <v>27</v>
      </c>
      <c r="M10" s="32" t="n">
        <f aca="false">DATOS!$C$23*H10</f>
        <v>0</v>
      </c>
      <c r="N10" s="33" t="n">
        <f aca="false">K10*I10/2</f>
        <v>131.45328</v>
      </c>
      <c r="O10" s="33" t="n">
        <f aca="false">L10*I10/2</f>
        <v>136.08</v>
      </c>
      <c r="P10" s="30" t="s">
        <v>149</v>
      </c>
      <c r="Q10" s="10" t="s">
        <v>150</v>
      </c>
    </row>
    <row r="11" customFormat="false" ht="14.25" hidden="false" customHeight="true" outlineLevel="0" collapsed="false">
      <c r="B11" s="25" t="s">
        <v>151</v>
      </c>
      <c r="C11" s="6" t="s">
        <v>141</v>
      </c>
      <c r="D11" s="8" t="s">
        <v>142</v>
      </c>
      <c r="E11" s="7" t="n">
        <v>5.4</v>
      </c>
      <c r="F11" s="26" t="n">
        <f aca="false">(E10+E11)/2</f>
        <v>4.725</v>
      </c>
      <c r="G11" s="26" t="n">
        <f aca="false">(E11+E12)/2</f>
        <v>6.075</v>
      </c>
      <c r="H11" s="26" t="n">
        <f aca="false">G11-F11</f>
        <v>1.35</v>
      </c>
      <c r="I11" s="14" t="n">
        <f aca="false">DATOS!$C$29</f>
        <v>10.08</v>
      </c>
      <c r="J11" s="11" t="n">
        <f aca="false">H11*I11</f>
        <v>13.608</v>
      </c>
      <c r="K11" s="14" t="n">
        <f aca="false">DATOS!$C$8*H11</f>
        <v>26.082</v>
      </c>
      <c r="L11" s="14" t="n">
        <f aca="false">DATOS!$C$22*H11</f>
        <v>27</v>
      </c>
      <c r="M11" s="14" t="n">
        <f aca="false">DATOS!$C$23*H11</f>
        <v>0</v>
      </c>
      <c r="N11" s="27" t="n">
        <f aca="false">K11*I11/2</f>
        <v>131.45328</v>
      </c>
      <c r="O11" s="27" t="n">
        <f aca="false">L11*I11/2</f>
        <v>136.08</v>
      </c>
      <c r="P11" s="8" t="s">
        <v>152</v>
      </c>
      <c r="Q11" s="10" t="s">
        <v>153</v>
      </c>
    </row>
    <row r="12" customFormat="false" ht="14.25" hidden="false" customHeight="true" outlineLevel="0" collapsed="false">
      <c r="B12" s="28" t="s">
        <v>154</v>
      </c>
      <c r="C12" s="29" t="s">
        <v>155</v>
      </c>
      <c r="D12" s="30" t="s">
        <v>137</v>
      </c>
      <c r="E12" s="7" t="n">
        <v>6.75</v>
      </c>
      <c r="F12" s="31" t="n">
        <f aca="false">(E11+E12)/2</f>
        <v>6.075</v>
      </c>
      <c r="G12" s="31" t="n">
        <f aca="false">(E12+E13)/2</f>
        <v>7.425</v>
      </c>
      <c r="H12" s="31" t="n">
        <f aca="false">G12-F12</f>
        <v>1.35</v>
      </c>
      <c r="I12" s="32" t="n">
        <f aca="false">DATOS!$C$29</f>
        <v>10.08</v>
      </c>
      <c r="J12" s="11" t="n">
        <f aca="false">H12*I12</f>
        <v>13.608</v>
      </c>
      <c r="K12" s="32" t="n">
        <f aca="false">DATOS!$C$8*H12</f>
        <v>26.082</v>
      </c>
      <c r="L12" s="32" t="n">
        <f aca="false">DATOS!$C$22*H12</f>
        <v>27</v>
      </c>
      <c r="M12" s="32" t="n">
        <f aca="false">DATOS!$C$23*H12</f>
        <v>0</v>
      </c>
      <c r="N12" s="33" t="n">
        <f aca="false">K12*I12/2</f>
        <v>131.45328</v>
      </c>
      <c r="O12" s="33" t="n">
        <f aca="false">L12*I12/2</f>
        <v>136.08</v>
      </c>
      <c r="P12" s="30" t="s">
        <v>156</v>
      </c>
      <c r="Q12" s="10" t="s">
        <v>157</v>
      </c>
    </row>
    <row r="13" customFormat="false" ht="14.25" hidden="false" customHeight="true" outlineLevel="0" collapsed="false">
      <c r="B13" s="25" t="s">
        <v>158</v>
      </c>
      <c r="C13" s="6" t="s">
        <v>141</v>
      </c>
      <c r="D13" s="8" t="s">
        <v>142</v>
      </c>
      <c r="E13" s="7" t="n">
        <v>8.1</v>
      </c>
      <c r="F13" s="26" t="n">
        <f aca="false">(E12+E13)/2</f>
        <v>7.425</v>
      </c>
      <c r="G13" s="26" t="n">
        <f aca="false">(E13+E14)/2</f>
        <v>8.775</v>
      </c>
      <c r="H13" s="26" t="n">
        <f aca="false">G13-F13</f>
        <v>1.35</v>
      </c>
      <c r="I13" s="14" t="n">
        <f aca="false">DATOS!$C$29</f>
        <v>10.08</v>
      </c>
      <c r="J13" s="11" t="n">
        <f aca="false">H13*I13</f>
        <v>13.608</v>
      </c>
      <c r="K13" s="14" t="n">
        <f aca="false">DATOS!$C$8*H13</f>
        <v>26.082</v>
      </c>
      <c r="L13" s="14" t="n">
        <f aca="false">DATOS!$C$22*H13</f>
        <v>27</v>
      </c>
      <c r="M13" s="14" t="n">
        <f aca="false">DATOS!$C$23*H13</f>
        <v>0</v>
      </c>
      <c r="N13" s="27" t="n">
        <f aca="false">K13*I13/2</f>
        <v>131.45328</v>
      </c>
      <c r="O13" s="27" t="n">
        <f aca="false">L13*I13/2</f>
        <v>136.08</v>
      </c>
      <c r="P13" s="8" t="s">
        <v>159</v>
      </c>
      <c r="Q13" s="10" t="s">
        <v>160</v>
      </c>
    </row>
    <row r="14" customFormat="false" ht="14.25" hidden="false" customHeight="true" outlineLevel="0" collapsed="false">
      <c r="B14" s="28" t="s">
        <v>161</v>
      </c>
      <c r="C14" s="29" t="s">
        <v>141</v>
      </c>
      <c r="D14" s="30" t="s">
        <v>142</v>
      </c>
      <c r="E14" s="7" t="n">
        <v>9.45</v>
      </c>
      <c r="F14" s="31" t="n">
        <f aca="false">(E13+E14)/2</f>
        <v>8.775</v>
      </c>
      <c r="G14" s="31" t="n">
        <f aca="false">(E14+E15)/2</f>
        <v>10.125</v>
      </c>
      <c r="H14" s="31" t="n">
        <f aca="false">G14-F14</f>
        <v>1.35</v>
      </c>
      <c r="I14" s="32" t="n">
        <f aca="false">DATOS!$C$29</f>
        <v>10.08</v>
      </c>
      <c r="J14" s="11" t="n">
        <f aca="false">H14*I14</f>
        <v>13.608</v>
      </c>
      <c r="K14" s="32" t="n">
        <f aca="false">DATOS!$C$8*H14</f>
        <v>26.082</v>
      </c>
      <c r="L14" s="32" t="n">
        <f aca="false">DATOS!$C$22*H14</f>
        <v>27</v>
      </c>
      <c r="M14" s="32" t="n">
        <f aca="false">DATOS!$C$23*H14</f>
        <v>0</v>
      </c>
      <c r="N14" s="33" t="n">
        <f aca="false">K14*I14/2</f>
        <v>131.45328</v>
      </c>
      <c r="O14" s="33" t="n">
        <f aca="false">L14*I14/2</f>
        <v>136.08</v>
      </c>
      <c r="P14" s="30" t="s">
        <v>162</v>
      </c>
      <c r="Q14" s="10" t="s">
        <v>163</v>
      </c>
    </row>
    <row r="15" customFormat="false" ht="14.25" hidden="false" customHeight="true" outlineLevel="0" collapsed="false">
      <c r="B15" s="25" t="s">
        <v>164</v>
      </c>
      <c r="C15" s="6" t="s">
        <v>141</v>
      </c>
      <c r="D15" s="8" t="s">
        <v>142</v>
      </c>
      <c r="E15" s="7" t="n">
        <v>10.8</v>
      </c>
      <c r="F15" s="26" t="n">
        <f aca="false">(E14+E15)/2</f>
        <v>10.125</v>
      </c>
      <c r="G15" s="26" t="n">
        <f aca="false">(E15+E16)/2</f>
        <v>11.475</v>
      </c>
      <c r="H15" s="26" t="n">
        <f aca="false">G15-F15</f>
        <v>1.35</v>
      </c>
      <c r="I15" s="14" t="n">
        <f aca="false">DATOS!$C$29</f>
        <v>10.08</v>
      </c>
      <c r="J15" s="11" t="n">
        <f aca="false">H15*I15</f>
        <v>13.608</v>
      </c>
      <c r="K15" s="14" t="n">
        <f aca="false">DATOS!$C$8*H15</f>
        <v>26.082</v>
      </c>
      <c r="L15" s="14" t="n">
        <f aca="false">DATOS!$C$22*H15</f>
        <v>27</v>
      </c>
      <c r="M15" s="14" t="n">
        <f aca="false">DATOS!$C$23*H15</f>
        <v>0</v>
      </c>
      <c r="N15" s="27" t="n">
        <f aca="false">K15*I15/2</f>
        <v>131.45328</v>
      </c>
      <c r="O15" s="27" t="n">
        <f aca="false">L15*I15/2</f>
        <v>136.08</v>
      </c>
      <c r="P15" s="8" t="s">
        <v>165</v>
      </c>
      <c r="Q15" s="10" t="s">
        <v>166</v>
      </c>
    </row>
    <row r="16" customFormat="false" ht="14.25" hidden="false" customHeight="true" outlineLevel="0" collapsed="false">
      <c r="B16" s="28" t="s">
        <v>167</v>
      </c>
      <c r="C16" s="29" t="s">
        <v>141</v>
      </c>
      <c r="D16" s="30" t="s">
        <v>142</v>
      </c>
      <c r="E16" s="7" t="n">
        <v>12.15</v>
      </c>
      <c r="F16" s="31" t="n">
        <f aca="false">(E15+E16)/2</f>
        <v>11.475</v>
      </c>
      <c r="G16" s="31" t="n">
        <f aca="false">(E16+E17)/2</f>
        <v>12.825</v>
      </c>
      <c r="H16" s="31" t="n">
        <f aca="false">G16-F16</f>
        <v>1.35</v>
      </c>
      <c r="I16" s="32" t="n">
        <f aca="false">DATOS!$C$29</f>
        <v>10.08</v>
      </c>
      <c r="J16" s="11" t="n">
        <f aca="false">H16*I16</f>
        <v>13.608</v>
      </c>
      <c r="K16" s="32" t="n">
        <f aca="false">DATOS!$C$8*H16</f>
        <v>26.082</v>
      </c>
      <c r="L16" s="32" t="n">
        <f aca="false">DATOS!$C$22*H16</f>
        <v>27</v>
      </c>
      <c r="M16" s="32" t="n">
        <f aca="false">DATOS!$C$23*H16</f>
        <v>0</v>
      </c>
      <c r="N16" s="33" t="n">
        <f aca="false">K16*I16/2</f>
        <v>131.45328</v>
      </c>
      <c r="O16" s="33" t="n">
        <f aca="false">L16*I16/2</f>
        <v>136.08</v>
      </c>
      <c r="P16" s="30" t="s">
        <v>168</v>
      </c>
      <c r="Q16" s="10" t="s">
        <v>169</v>
      </c>
    </row>
    <row r="17" customFormat="false" ht="14.25" hidden="false" customHeight="true" outlineLevel="0" collapsed="false">
      <c r="B17" s="25" t="s">
        <v>170</v>
      </c>
      <c r="C17" s="6" t="s">
        <v>171</v>
      </c>
      <c r="D17" s="8" t="s">
        <v>137</v>
      </c>
      <c r="E17" s="7" t="n">
        <v>13.5</v>
      </c>
      <c r="F17" s="26" t="n">
        <f aca="false">(E16+E17)/2</f>
        <v>12.825</v>
      </c>
      <c r="G17" s="26" t="n">
        <f aca="false">(E17+E18)/2</f>
        <v>14.125</v>
      </c>
      <c r="H17" s="26" t="n">
        <f aca="false">G17-F17</f>
        <v>1.3</v>
      </c>
      <c r="I17" s="14" t="n">
        <f aca="false">DATOS!$C$29</f>
        <v>10.08</v>
      </c>
      <c r="J17" s="11" t="n">
        <f aca="false">H17*I17</f>
        <v>13.104</v>
      </c>
      <c r="K17" s="14" t="n">
        <f aca="false">DATOS!$C$8*H17</f>
        <v>25.116</v>
      </c>
      <c r="L17" s="14" t="n">
        <f aca="false">DATOS!$C$22*H17</f>
        <v>26</v>
      </c>
      <c r="M17" s="14" t="n">
        <f aca="false">DATOS!$C$23*H17</f>
        <v>0</v>
      </c>
      <c r="N17" s="27" t="n">
        <f aca="false">K17*I17/2</f>
        <v>126.58464</v>
      </c>
      <c r="O17" s="27" t="n">
        <f aca="false">L17*I17/2</f>
        <v>131.04</v>
      </c>
      <c r="P17" s="8" t="s">
        <v>172</v>
      </c>
      <c r="Q17" s="10" t="s">
        <v>173</v>
      </c>
    </row>
    <row r="18" customFormat="false" ht="14.25" hidden="false" customHeight="true" outlineLevel="0" collapsed="false">
      <c r="B18" s="28" t="s">
        <v>174</v>
      </c>
      <c r="C18" s="29" t="s">
        <v>141</v>
      </c>
      <c r="D18" s="30" t="s">
        <v>142</v>
      </c>
      <c r="E18" s="7" t="n">
        <v>14.75</v>
      </c>
      <c r="F18" s="31" t="n">
        <f aca="false">(E17+E18)/2</f>
        <v>14.125</v>
      </c>
      <c r="G18" s="31" t="n">
        <f aca="false">(E18+E19)/2</f>
        <v>15.375</v>
      </c>
      <c r="H18" s="31" t="n">
        <f aca="false">G18-F18</f>
        <v>1.25</v>
      </c>
      <c r="I18" s="32" t="n">
        <f aca="false">DATOS!$C$29</f>
        <v>10.08</v>
      </c>
      <c r="J18" s="11" t="n">
        <f aca="false">H18*I18</f>
        <v>12.6</v>
      </c>
      <c r="K18" s="32" t="n">
        <f aca="false">DATOS!$C$8*H18</f>
        <v>24.15</v>
      </c>
      <c r="L18" s="32" t="n">
        <f aca="false">DATOS!$C$22*H18</f>
        <v>25</v>
      </c>
      <c r="M18" s="32" t="n">
        <f aca="false">DATOS!$C$23*H18</f>
        <v>0</v>
      </c>
      <c r="N18" s="33" t="n">
        <f aca="false">K18*I18/2</f>
        <v>121.716</v>
      </c>
      <c r="O18" s="33" t="n">
        <f aca="false">L18*I18/2</f>
        <v>126</v>
      </c>
      <c r="P18" s="30" t="s">
        <v>175</v>
      </c>
      <c r="Q18" s="10" t="s">
        <v>176</v>
      </c>
    </row>
    <row r="19" customFormat="false" ht="14.25" hidden="false" customHeight="true" outlineLevel="0" collapsed="false">
      <c r="B19" s="25" t="s">
        <v>177</v>
      </c>
      <c r="C19" s="6" t="s">
        <v>178</v>
      </c>
      <c r="D19" s="8" t="s">
        <v>137</v>
      </c>
      <c r="E19" s="7" t="n">
        <v>16</v>
      </c>
      <c r="F19" s="26" t="n">
        <f aca="false">(E18+E19)/2</f>
        <v>15.375</v>
      </c>
      <c r="G19" s="26" t="n">
        <f aca="false">E19</f>
        <v>16</v>
      </c>
      <c r="H19" s="26" t="n">
        <f aca="false">G19-F19</f>
        <v>0.625</v>
      </c>
      <c r="I19" s="14" t="n">
        <f aca="false">DATOS!$C$29</f>
        <v>10.08</v>
      </c>
      <c r="J19" s="11" t="n">
        <f aca="false">H19*I19</f>
        <v>6.3</v>
      </c>
      <c r="K19" s="14" t="n">
        <f aca="false">DATOS!$C$8*H19</f>
        <v>12.075</v>
      </c>
      <c r="L19" s="14" t="n">
        <f aca="false">DATOS!$C$22*H19</f>
        <v>12.5</v>
      </c>
      <c r="M19" s="14" t="n">
        <f aca="false">DATOS!$C$23*H19</f>
        <v>0</v>
      </c>
      <c r="N19" s="27" t="n">
        <f aca="false">K19*I19/2</f>
        <v>60.858</v>
      </c>
      <c r="O19" s="27" t="n">
        <f aca="false">L19*I19/2</f>
        <v>63</v>
      </c>
      <c r="P19" s="8" t="s">
        <v>179</v>
      </c>
      <c r="Q19" s="10" t="s">
        <v>180</v>
      </c>
    </row>
    <row r="20" customFormat="false" ht="15" hidden="false" customHeight="true" outlineLevel="0" collapsed="false">
      <c r="B20" s="25" t="s">
        <v>181</v>
      </c>
      <c r="C20" s="34" t="s">
        <v>182</v>
      </c>
      <c r="D20" s="34"/>
      <c r="E20" s="34"/>
      <c r="F20" s="34"/>
      <c r="G20" s="34"/>
      <c r="H20" s="34"/>
      <c r="I20" s="34"/>
      <c r="J20" s="11" t="n">
        <f aca="false">SUM(J7:J19)</f>
        <v>161.28</v>
      </c>
      <c r="K20" s="25" t="str">
        <f aca="false">IF(ABS(J20-DATOS!$C$29*(DATOS!$C$34-DATOS!$C$31))&lt;0.01,"CUADRA","NO CUADRA")</f>
        <v>CUADRA</v>
      </c>
      <c r="L20" s="25"/>
    </row>
    <row r="22" customFormat="false" ht="21" hidden="false" customHeight="true" outlineLevel="0" collapsed="false">
      <c r="B22" s="4" t="s">
        <v>183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30" hidden="false" customHeight="true" outlineLevel="0" collapsed="false">
      <c r="B23" s="12" t="s">
        <v>184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customFormat="false" ht="30" hidden="false" customHeight="true" outlineLevel="0" collapsed="false">
      <c r="B24" s="5" t="s">
        <v>108</v>
      </c>
      <c r="C24" s="5" t="s">
        <v>185</v>
      </c>
      <c r="D24" s="5" t="s">
        <v>110</v>
      </c>
      <c r="E24" s="5" t="s">
        <v>186</v>
      </c>
      <c r="F24" s="5" t="s">
        <v>112</v>
      </c>
      <c r="G24" s="5" t="s">
        <v>113</v>
      </c>
      <c r="H24" s="5" t="s">
        <v>187</v>
      </c>
      <c r="I24" s="5" t="s">
        <v>188</v>
      </c>
      <c r="J24" s="5" t="s">
        <v>116</v>
      </c>
      <c r="K24" s="5" t="s">
        <v>189</v>
      </c>
      <c r="L24" s="5" t="s">
        <v>190</v>
      </c>
      <c r="M24" s="5" t="s">
        <v>191</v>
      </c>
      <c r="N24" s="5" t="s">
        <v>192</v>
      </c>
      <c r="O24" s="5" t="s">
        <v>193</v>
      </c>
      <c r="P24" s="5" t="s">
        <v>122</v>
      </c>
      <c r="Q24" s="5" t="s">
        <v>7</v>
      </c>
    </row>
    <row r="25" customFormat="false" ht="24" hidden="false" customHeight="true" outlineLevel="0" collapsed="false">
      <c r="B25" s="24"/>
      <c r="C25" s="24"/>
      <c r="D25" s="24"/>
      <c r="E25" s="24"/>
      <c r="F25" s="24" t="s">
        <v>194</v>
      </c>
      <c r="G25" s="24" t="s">
        <v>195</v>
      </c>
      <c r="H25" s="24" t="s">
        <v>126</v>
      </c>
      <c r="I25" s="24" t="s">
        <v>196</v>
      </c>
      <c r="J25" s="24" t="s">
        <v>197</v>
      </c>
      <c r="K25" s="24" t="s">
        <v>198</v>
      </c>
      <c r="L25" s="24" t="s">
        <v>199</v>
      </c>
      <c r="M25" s="24"/>
      <c r="N25" s="24" t="s">
        <v>200</v>
      </c>
      <c r="O25" s="24" t="s">
        <v>201</v>
      </c>
      <c r="P25" s="24" t="s">
        <v>134</v>
      </c>
      <c r="Q25" s="24"/>
    </row>
    <row r="26" customFormat="false" ht="14.25" hidden="false" customHeight="true" outlineLevel="0" collapsed="false">
      <c r="B26" s="25" t="s">
        <v>202</v>
      </c>
      <c r="C26" s="6" t="s">
        <v>203</v>
      </c>
      <c r="D26" s="8" t="s">
        <v>137</v>
      </c>
      <c r="E26" s="8" t="s">
        <v>204</v>
      </c>
      <c r="F26" s="26" t="n">
        <f aca="false">F8</f>
        <v>0.675</v>
      </c>
      <c r="G26" s="26" t="n">
        <f aca="false">G11</f>
        <v>6.075</v>
      </c>
      <c r="H26" s="26" t="n">
        <f aca="false">G26-F26</f>
        <v>5.4</v>
      </c>
      <c r="I26" s="14" t="n">
        <f aca="false">DATOS!$C$30</f>
        <v>5.04</v>
      </c>
      <c r="J26" s="11" t="n">
        <f aca="false">H26*I26</f>
        <v>27.216</v>
      </c>
      <c r="K26" s="27" t="n">
        <f aca="false">DATOS!$C$8*J26</f>
        <v>525.81312</v>
      </c>
      <c r="L26" s="27" t="n">
        <f aca="false">DATOS!$C$22*J26</f>
        <v>544.32</v>
      </c>
      <c r="M26" s="17" t="n">
        <v>4</v>
      </c>
      <c r="N26" s="27" t="n">
        <f aca="false">K26/M26</f>
        <v>131.45328</v>
      </c>
      <c r="O26" s="27" t="n">
        <f aca="false">L26/M26</f>
        <v>136.08</v>
      </c>
      <c r="P26" s="8" t="s">
        <v>205</v>
      </c>
      <c r="Q26" s="10" t="s">
        <v>206</v>
      </c>
    </row>
    <row r="27" customFormat="false" ht="14.25" hidden="false" customHeight="true" outlineLevel="0" collapsed="false">
      <c r="B27" s="25" t="s">
        <v>207</v>
      </c>
      <c r="C27" s="6" t="s">
        <v>208</v>
      </c>
      <c r="D27" s="8" t="s">
        <v>137</v>
      </c>
      <c r="E27" s="8" t="s">
        <v>209</v>
      </c>
      <c r="F27" s="26" t="n">
        <f aca="false">F13</f>
        <v>7.425</v>
      </c>
      <c r="G27" s="26" t="n">
        <f aca="false">G16</f>
        <v>12.825</v>
      </c>
      <c r="H27" s="26" t="n">
        <f aca="false">G27-F27</f>
        <v>5.4</v>
      </c>
      <c r="I27" s="14" t="n">
        <f aca="false">DATOS!$C$30</f>
        <v>5.04</v>
      </c>
      <c r="J27" s="11" t="n">
        <f aca="false">H27*I27</f>
        <v>27.216</v>
      </c>
      <c r="K27" s="27" t="n">
        <f aca="false">DATOS!$C$8*J27</f>
        <v>525.81312</v>
      </c>
      <c r="L27" s="27" t="n">
        <f aca="false">DATOS!$C$22*J27</f>
        <v>544.32</v>
      </c>
      <c r="M27" s="17" t="n">
        <v>4</v>
      </c>
      <c r="N27" s="27" t="n">
        <f aca="false">K27/M27</f>
        <v>131.45328</v>
      </c>
      <c r="O27" s="27" t="n">
        <f aca="false">L27/M27</f>
        <v>136.08</v>
      </c>
      <c r="P27" s="8" t="s">
        <v>210</v>
      </c>
      <c r="Q27" s="10" t="s">
        <v>211</v>
      </c>
    </row>
    <row r="28" customFormat="false" ht="14.25" hidden="false" customHeight="true" outlineLevel="0" collapsed="false">
      <c r="B28" s="25" t="s">
        <v>212</v>
      </c>
      <c r="C28" s="6" t="s">
        <v>213</v>
      </c>
      <c r="D28" s="8" t="s">
        <v>137</v>
      </c>
      <c r="E28" s="8" t="s">
        <v>174</v>
      </c>
      <c r="F28" s="26" t="n">
        <f aca="false">F18</f>
        <v>14.125</v>
      </c>
      <c r="G28" s="26" t="n">
        <f aca="false">G18</f>
        <v>15.375</v>
      </c>
      <c r="H28" s="26" t="n">
        <f aca="false">G28-F28</f>
        <v>1.25</v>
      </c>
      <c r="I28" s="14" t="n">
        <f aca="false">DATOS!$C$30</f>
        <v>5.04</v>
      </c>
      <c r="J28" s="11" t="n">
        <f aca="false">H28*I28</f>
        <v>6.3</v>
      </c>
      <c r="K28" s="27" t="n">
        <f aca="false">DATOS!$C$8*J28</f>
        <v>121.716</v>
      </c>
      <c r="L28" s="27" t="n">
        <f aca="false">DATOS!$C$22*J28</f>
        <v>126</v>
      </c>
      <c r="M28" s="17" t="n">
        <v>1</v>
      </c>
      <c r="N28" s="27" t="n">
        <f aca="false">K28/M28</f>
        <v>121.716</v>
      </c>
      <c r="O28" s="27" t="n">
        <f aca="false">L28/M28</f>
        <v>126</v>
      </c>
      <c r="P28" s="8" t="s">
        <v>214</v>
      </c>
      <c r="Q28" s="10" t="s">
        <v>215</v>
      </c>
    </row>
    <row r="29" customFormat="false" ht="14.25" hidden="false" customHeight="true" outlineLevel="0" collapsed="false">
      <c r="B29" s="25" t="s">
        <v>216</v>
      </c>
      <c r="C29" s="6" t="s">
        <v>217</v>
      </c>
      <c r="D29" s="8" t="s">
        <v>137</v>
      </c>
      <c r="E29" s="8" t="s">
        <v>204</v>
      </c>
      <c r="F29" s="26" t="n">
        <f aca="false">F8</f>
        <v>0.675</v>
      </c>
      <c r="G29" s="26" t="n">
        <f aca="false">G11</f>
        <v>6.075</v>
      </c>
      <c r="H29" s="26" t="n">
        <f aca="false">G29-F29</f>
        <v>5.4</v>
      </c>
      <c r="I29" s="14" t="n">
        <f aca="false">DATOS!$C$30</f>
        <v>5.04</v>
      </c>
      <c r="J29" s="11" t="n">
        <f aca="false">H29*I29</f>
        <v>27.216</v>
      </c>
      <c r="K29" s="27" t="n">
        <f aca="false">DATOS!$C$8*J29</f>
        <v>525.81312</v>
      </c>
      <c r="L29" s="27" t="n">
        <f aca="false">DATOS!$C$22*J29</f>
        <v>544.32</v>
      </c>
      <c r="M29" s="17" t="n">
        <v>4</v>
      </c>
      <c r="N29" s="27" t="n">
        <f aca="false">K29/M29</f>
        <v>131.45328</v>
      </c>
      <c r="O29" s="27" t="n">
        <f aca="false">L29/M29</f>
        <v>136.08</v>
      </c>
      <c r="P29" s="8" t="s">
        <v>218</v>
      </c>
      <c r="Q29" s="10" t="s">
        <v>219</v>
      </c>
    </row>
    <row r="30" customFormat="false" ht="14.25" hidden="false" customHeight="true" outlineLevel="0" collapsed="false">
      <c r="B30" s="25" t="s">
        <v>220</v>
      </c>
      <c r="C30" s="6" t="s">
        <v>221</v>
      </c>
      <c r="D30" s="8" t="s">
        <v>137</v>
      </c>
      <c r="E30" s="8" t="s">
        <v>209</v>
      </c>
      <c r="F30" s="26" t="n">
        <f aca="false">F13</f>
        <v>7.425</v>
      </c>
      <c r="G30" s="26" t="n">
        <f aca="false">G16</f>
        <v>12.825</v>
      </c>
      <c r="H30" s="26" t="n">
        <f aca="false">G30-F30</f>
        <v>5.4</v>
      </c>
      <c r="I30" s="14" t="n">
        <f aca="false">DATOS!$C$30</f>
        <v>5.04</v>
      </c>
      <c r="J30" s="11" t="n">
        <f aca="false">H30*I30</f>
        <v>27.216</v>
      </c>
      <c r="K30" s="27" t="n">
        <f aca="false">DATOS!$C$8*J30</f>
        <v>525.81312</v>
      </c>
      <c r="L30" s="27" t="n">
        <f aca="false">DATOS!$C$22*J30</f>
        <v>544.32</v>
      </c>
      <c r="M30" s="17" t="n">
        <v>4</v>
      </c>
      <c r="N30" s="27" t="n">
        <f aca="false">K30/M30</f>
        <v>131.45328</v>
      </c>
      <c r="O30" s="27" t="n">
        <f aca="false">L30/M30</f>
        <v>136.08</v>
      </c>
      <c r="P30" s="8" t="s">
        <v>222</v>
      </c>
      <c r="Q30" s="10" t="s">
        <v>223</v>
      </c>
    </row>
    <row r="31" customFormat="false" ht="14.25" hidden="false" customHeight="true" outlineLevel="0" collapsed="false">
      <c r="B31" s="25" t="s">
        <v>224</v>
      </c>
      <c r="C31" s="6" t="s">
        <v>225</v>
      </c>
      <c r="D31" s="8" t="s">
        <v>137</v>
      </c>
      <c r="E31" s="8" t="s">
        <v>174</v>
      </c>
      <c r="F31" s="26" t="n">
        <f aca="false">F18</f>
        <v>14.125</v>
      </c>
      <c r="G31" s="26" t="n">
        <f aca="false">G18</f>
        <v>15.375</v>
      </c>
      <c r="H31" s="26" t="n">
        <f aca="false">G31-F31</f>
        <v>1.25</v>
      </c>
      <c r="I31" s="14" t="n">
        <f aca="false">DATOS!$C$30</f>
        <v>5.04</v>
      </c>
      <c r="J31" s="11" t="n">
        <f aca="false">H31*I31</f>
        <v>6.3</v>
      </c>
      <c r="K31" s="27" t="n">
        <f aca="false">DATOS!$C$8*J31</f>
        <v>121.716</v>
      </c>
      <c r="L31" s="27" t="n">
        <f aca="false">DATOS!$C$22*J31</f>
        <v>126</v>
      </c>
      <c r="M31" s="17" t="n">
        <v>1</v>
      </c>
      <c r="N31" s="27" t="n">
        <f aca="false">K31/M31</f>
        <v>121.716</v>
      </c>
      <c r="O31" s="27" t="n">
        <f aca="false">L31/M31</f>
        <v>126</v>
      </c>
      <c r="P31" s="8" t="s">
        <v>226</v>
      </c>
      <c r="Q31" s="10" t="s">
        <v>227</v>
      </c>
    </row>
    <row r="32" customFormat="false" ht="15" hidden="false" customHeight="true" outlineLevel="0" collapsed="false">
      <c r="B32" s="25" t="s">
        <v>181</v>
      </c>
      <c r="C32" s="34" t="s">
        <v>228</v>
      </c>
      <c r="D32" s="34"/>
      <c r="E32" s="34"/>
      <c r="F32" s="34"/>
      <c r="G32" s="34"/>
      <c r="H32" s="34"/>
      <c r="I32" s="34"/>
      <c r="J32" s="11" t="n">
        <f aca="false">SUM(J26:J31)+J7+J12+J17+J19</f>
        <v>161.28</v>
      </c>
      <c r="K32" s="35" t="str">
        <f aca="false">IF(ABS(J32-J20)&lt;0.01,"CUADRA","NO CUADRA")</f>
        <v>CUADRA</v>
      </c>
      <c r="L32" s="35"/>
    </row>
  </sheetData>
  <mergeCells count="9">
    <mergeCell ref="B1:Q1"/>
    <mergeCell ref="B2:Q2"/>
    <mergeCell ref="B4:Q4"/>
    <mergeCell ref="C20:I20"/>
    <mergeCell ref="K20:L20"/>
    <mergeCell ref="B22:Q22"/>
    <mergeCell ref="B23:Q23"/>
    <mergeCell ref="C32:I32"/>
    <mergeCell ref="K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9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3" min="9" style="1" width="10"/>
    <col collapsed="false" customWidth="true" hidden="false" outlineLevel="0" max="15" min="14" style="1" width="9"/>
    <col collapsed="false" customWidth="true" hidden="false" outlineLevel="0" max="16" min="16" style="1" width="10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34"/>
  </cols>
  <sheetData>
    <row r="1" customFormat="false" ht="25.5" hidden="false" customHeight="true" outlineLevel="0" collapsed="false">
      <c r="B1" s="2" t="s">
        <v>229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30" hidden="false" customHeight="true" outlineLevel="0" collapsed="false">
      <c r="B2" s="3" t="s">
        <v>230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231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30" hidden="false" customHeight="true" outlineLevel="0" collapsed="false">
      <c r="B5" s="5" t="s">
        <v>108</v>
      </c>
      <c r="C5" s="5" t="s">
        <v>232</v>
      </c>
      <c r="D5" s="5" t="s">
        <v>233</v>
      </c>
      <c r="E5" s="5" t="s">
        <v>234</v>
      </c>
      <c r="F5" s="5" t="s">
        <v>235</v>
      </c>
      <c r="G5" s="5" t="s">
        <v>236</v>
      </c>
      <c r="H5" s="5" t="s">
        <v>237</v>
      </c>
      <c r="I5" s="5" t="s">
        <v>238</v>
      </c>
      <c r="J5" s="5" t="s">
        <v>239</v>
      </c>
      <c r="K5" s="5" t="s">
        <v>112</v>
      </c>
      <c r="L5" s="5" t="s">
        <v>240</v>
      </c>
      <c r="M5" s="5" t="s">
        <v>241</v>
      </c>
      <c r="N5" s="5" t="s">
        <v>242</v>
      </c>
      <c r="O5" s="5" t="s">
        <v>116</v>
      </c>
      <c r="P5" s="5" t="s">
        <v>117</v>
      </c>
      <c r="Q5" s="5" t="s">
        <v>243</v>
      </c>
      <c r="R5" s="5" t="s">
        <v>244</v>
      </c>
      <c r="S5" s="5" t="s">
        <v>7</v>
      </c>
    </row>
    <row r="6" customFormat="false" ht="24" hidden="false" customHeight="true" outlineLevel="0" collapsed="false">
      <c r="B6" s="24"/>
      <c r="C6" s="24"/>
      <c r="D6" s="24"/>
      <c r="E6" s="24" t="s">
        <v>123</v>
      </c>
      <c r="F6" s="24"/>
      <c r="G6" s="24" t="s">
        <v>123</v>
      </c>
      <c r="H6" s="24" t="s">
        <v>245</v>
      </c>
      <c r="I6" s="24" t="s">
        <v>246</v>
      </c>
      <c r="J6" s="24" t="s">
        <v>246</v>
      </c>
      <c r="K6" s="24" t="s">
        <v>247</v>
      </c>
      <c r="L6" s="24" t="s">
        <v>248</v>
      </c>
      <c r="M6" s="24" t="s">
        <v>248</v>
      </c>
      <c r="N6" s="24" t="s">
        <v>249</v>
      </c>
      <c r="O6" s="24" t="s">
        <v>250</v>
      </c>
      <c r="P6" s="24" t="s">
        <v>251</v>
      </c>
      <c r="Q6" s="24" t="s">
        <v>252</v>
      </c>
      <c r="R6" s="24" t="s">
        <v>134</v>
      </c>
      <c r="S6" s="24"/>
    </row>
    <row r="7" customFormat="false" ht="14.25" hidden="false" customHeight="true" outlineLevel="0" collapsed="false">
      <c r="B7" s="25" t="s">
        <v>253</v>
      </c>
      <c r="C7" s="8" t="s">
        <v>254</v>
      </c>
      <c r="D7" s="17" t="n">
        <v>1</v>
      </c>
      <c r="E7" s="7" t="n">
        <v>1.2</v>
      </c>
      <c r="F7" s="8" t="s">
        <v>255</v>
      </c>
      <c r="G7" s="7" t="n">
        <v>6.75001</v>
      </c>
      <c r="H7" s="7" t="n">
        <v>0</v>
      </c>
      <c r="I7" s="7" t="n">
        <v>2.4</v>
      </c>
      <c r="J7" s="7" t="n">
        <v>2.4</v>
      </c>
      <c r="K7" s="26" t="n">
        <f aca="false">(H7+E7)/2</f>
        <v>0.6</v>
      </c>
      <c r="L7" s="26" t="n">
        <f aca="false">(E7+I7)/2</f>
        <v>1.8</v>
      </c>
      <c r="M7" s="26" t="n">
        <f aca="false">(E7+J7)/2</f>
        <v>1.8</v>
      </c>
      <c r="N7" s="26" t="n">
        <f aca="false">(L7+M7)/2-K7</f>
        <v>1.2</v>
      </c>
      <c r="O7" s="11" t="n">
        <f aca="false">G7*N7</f>
        <v>8.100012</v>
      </c>
      <c r="P7" s="14" t="n">
        <f aca="false">DATOS!$C$10*N7</f>
        <v>7.02</v>
      </c>
      <c r="Q7" s="18" t="n">
        <f aca="false">-P7/100</f>
        <v>-0.0702</v>
      </c>
      <c r="R7" s="17" t="n">
        <v>261</v>
      </c>
      <c r="S7" s="10" t="s">
        <v>256</v>
      </c>
    </row>
    <row r="8" customFormat="false" ht="14.25" hidden="false" customHeight="true" outlineLevel="0" collapsed="false">
      <c r="B8" s="25" t="s">
        <v>257</v>
      </c>
      <c r="C8" s="8" t="s">
        <v>254</v>
      </c>
      <c r="D8" s="17" t="n">
        <v>1</v>
      </c>
      <c r="E8" s="7" t="n">
        <v>1.2</v>
      </c>
      <c r="F8" s="8" t="s">
        <v>258</v>
      </c>
      <c r="G8" s="7" t="n">
        <v>6.74999</v>
      </c>
      <c r="H8" s="7" t="n">
        <v>0</v>
      </c>
      <c r="I8" s="7" t="n">
        <v>2.4</v>
      </c>
      <c r="J8" s="7" t="n">
        <v>2.4</v>
      </c>
      <c r="K8" s="26" t="n">
        <f aca="false">(H8+E8)/2</f>
        <v>0.6</v>
      </c>
      <c r="L8" s="26" t="n">
        <f aca="false">(E8+I8)/2</f>
        <v>1.8</v>
      </c>
      <c r="M8" s="26" t="n">
        <f aca="false">(E8+J8)/2</f>
        <v>1.8</v>
      </c>
      <c r="N8" s="26" t="n">
        <f aca="false">(L8+M8)/2-K8</f>
        <v>1.2</v>
      </c>
      <c r="O8" s="11" t="n">
        <f aca="false">G8*N8</f>
        <v>8.099988</v>
      </c>
      <c r="P8" s="14" t="n">
        <f aca="false">DATOS!$C$10*N8</f>
        <v>7.02</v>
      </c>
      <c r="Q8" s="18" t="n">
        <f aca="false">-P8/100</f>
        <v>-0.0702</v>
      </c>
      <c r="R8" s="17" t="n">
        <v>260</v>
      </c>
      <c r="S8" s="10" t="s">
        <v>259</v>
      </c>
    </row>
    <row r="9" customFormat="false" ht="14.25" hidden="false" customHeight="true" outlineLevel="0" collapsed="false">
      <c r="B9" s="25" t="s">
        <v>260</v>
      </c>
      <c r="C9" s="8" t="s">
        <v>254</v>
      </c>
      <c r="D9" s="17" t="n">
        <v>1</v>
      </c>
      <c r="E9" s="7" t="n">
        <v>1.2</v>
      </c>
      <c r="F9" s="8" t="s">
        <v>261</v>
      </c>
      <c r="G9" s="7" t="n">
        <v>2.5</v>
      </c>
      <c r="H9" s="7" t="n">
        <v>0</v>
      </c>
      <c r="I9" s="7" t="n">
        <v>2.4</v>
      </c>
      <c r="J9" s="7" t="n">
        <v>2.4</v>
      </c>
      <c r="K9" s="26" t="n">
        <f aca="false">(H9+E9)/2</f>
        <v>0.6</v>
      </c>
      <c r="L9" s="26" t="n">
        <f aca="false">(E9+I9)/2</f>
        <v>1.8</v>
      </c>
      <c r="M9" s="26" t="n">
        <f aca="false">(E9+J9)/2</f>
        <v>1.8</v>
      </c>
      <c r="N9" s="26" t="n">
        <f aca="false">(L9+M9)/2-K9</f>
        <v>1.2</v>
      </c>
      <c r="O9" s="11" t="n">
        <f aca="false">G9*N9</f>
        <v>3</v>
      </c>
      <c r="P9" s="14" t="n">
        <f aca="false">DATOS!$C$10*N9</f>
        <v>7.02</v>
      </c>
      <c r="Q9" s="18" t="n">
        <f aca="false">-P9/100</f>
        <v>-0.0702</v>
      </c>
      <c r="R9" s="17" t="n">
        <v>259</v>
      </c>
      <c r="S9" s="10" t="s">
        <v>262</v>
      </c>
    </row>
    <row r="10" customFormat="false" ht="14.25" hidden="false" customHeight="true" outlineLevel="0" collapsed="false">
      <c r="B10" s="25" t="s">
        <v>263</v>
      </c>
      <c r="C10" s="8" t="s">
        <v>254</v>
      </c>
      <c r="D10" s="17" t="n">
        <v>2</v>
      </c>
      <c r="E10" s="7" t="n">
        <v>2.4</v>
      </c>
      <c r="F10" s="8" t="s">
        <v>255</v>
      </c>
      <c r="G10" s="7" t="n">
        <v>6.75001</v>
      </c>
      <c r="H10" s="7" t="n">
        <v>1.2</v>
      </c>
      <c r="I10" s="7" t="n">
        <v>3.6</v>
      </c>
      <c r="J10" s="7" t="n">
        <v>3.6</v>
      </c>
      <c r="K10" s="26" t="n">
        <f aca="false">(H10+E10)/2</f>
        <v>1.8</v>
      </c>
      <c r="L10" s="26" t="n">
        <f aca="false">(E10+I10)/2</f>
        <v>3</v>
      </c>
      <c r="M10" s="26" t="n">
        <f aca="false">(E10+J10)/2</f>
        <v>3</v>
      </c>
      <c r="N10" s="26" t="n">
        <f aca="false">(L10+M10)/2-K10</f>
        <v>1.2</v>
      </c>
      <c r="O10" s="11" t="n">
        <f aca="false">G10*N10</f>
        <v>8.100012</v>
      </c>
      <c r="P10" s="14" t="n">
        <f aca="false">DATOS!$C$10*N10</f>
        <v>7.02</v>
      </c>
      <c r="Q10" s="18" t="n">
        <f aca="false">-P10/100</f>
        <v>-0.0702</v>
      </c>
      <c r="R10" s="17" t="n">
        <v>270</v>
      </c>
      <c r="S10" s="10" t="s">
        <v>264</v>
      </c>
    </row>
    <row r="11" customFormat="false" ht="14.25" hidden="false" customHeight="true" outlineLevel="0" collapsed="false">
      <c r="B11" s="25" t="s">
        <v>265</v>
      </c>
      <c r="C11" s="8" t="s">
        <v>254</v>
      </c>
      <c r="D11" s="17" t="n">
        <v>2</v>
      </c>
      <c r="E11" s="7" t="n">
        <v>2.4</v>
      </c>
      <c r="F11" s="8" t="s">
        <v>258</v>
      </c>
      <c r="G11" s="7" t="n">
        <v>6.74999</v>
      </c>
      <c r="H11" s="7" t="n">
        <v>1.2</v>
      </c>
      <c r="I11" s="7" t="n">
        <v>3.6</v>
      </c>
      <c r="J11" s="7" t="n">
        <v>3.6</v>
      </c>
      <c r="K11" s="26" t="n">
        <f aca="false">(H11+E11)/2</f>
        <v>1.8</v>
      </c>
      <c r="L11" s="26" t="n">
        <f aca="false">(E11+I11)/2</f>
        <v>3</v>
      </c>
      <c r="M11" s="26" t="n">
        <f aca="false">(E11+J11)/2</f>
        <v>3</v>
      </c>
      <c r="N11" s="26" t="n">
        <f aca="false">(L11+M11)/2-K11</f>
        <v>1.2</v>
      </c>
      <c r="O11" s="11" t="n">
        <f aca="false">G11*N11</f>
        <v>8.099988</v>
      </c>
      <c r="P11" s="14" t="n">
        <f aca="false">DATOS!$C$10*N11</f>
        <v>7.02</v>
      </c>
      <c r="Q11" s="18" t="n">
        <f aca="false">-P11/100</f>
        <v>-0.0702</v>
      </c>
      <c r="R11" s="17" t="n">
        <v>269</v>
      </c>
      <c r="S11" s="10" t="s">
        <v>266</v>
      </c>
    </row>
    <row r="12" customFormat="false" ht="14.25" hidden="false" customHeight="true" outlineLevel="0" collapsed="false">
      <c r="B12" s="25" t="s">
        <v>267</v>
      </c>
      <c r="C12" s="8" t="s">
        <v>254</v>
      </c>
      <c r="D12" s="17" t="n">
        <v>2</v>
      </c>
      <c r="E12" s="7" t="n">
        <v>2.4</v>
      </c>
      <c r="F12" s="8" t="s">
        <v>261</v>
      </c>
      <c r="G12" s="7" t="n">
        <v>2.5</v>
      </c>
      <c r="H12" s="7" t="n">
        <v>1.2</v>
      </c>
      <c r="I12" s="7" t="n">
        <v>3.6</v>
      </c>
      <c r="J12" s="7" t="n">
        <v>3.6</v>
      </c>
      <c r="K12" s="26" t="n">
        <f aca="false">(H12+E12)/2</f>
        <v>1.8</v>
      </c>
      <c r="L12" s="26" t="n">
        <f aca="false">(E12+I12)/2</f>
        <v>3</v>
      </c>
      <c r="M12" s="26" t="n">
        <f aca="false">(E12+J12)/2</f>
        <v>3</v>
      </c>
      <c r="N12" s="26" t="n">
        <f aca="false">(L12+M12)/2-K12</f>
        <v>1.2</v>
      </c>
      <c r="O12" s="11" t="n">
        <f aca="false">G12*N12</f>
        <v>3</v>
      </c>
      <c r="P12" s="14" t="n">
        <f aca="false">DATOS!$C$10*N12</f>
        <v>7.02</v>
      </c>
      <c r="Q12" s="18" t="n">
        <f aca="false">-P12/100</f>
        <v>-0.0702</v>
      </c>
      <c r="R12" s="17" t="n">
        <v>268</v>
      </c>
      <c r="S12" s="10" t="s">
        <v>268</v>
      </c>
    </row>
    <row r="13" customFormat="false" ht="14.25" hidden="false" customHeight="true" outlineLevel="0" collapsed="false">
      <c r="B13" s="25" t="s">
        <v>269</v>
      </c>
      <c r="C13" s="8" t="s">
        <v>254</v>
      </c>
      <c r="D13" s="17" t="n">
        <v>3</v>
      </c>
      <c r="E13" s="7" t="n">
        <v>3.6</v>
      </c>
      <c r="F13" s="8" t="s">
        <v>255</v>
      </c>
      <c r="G13" s="7" t="n">
        <v>6.75001</v>
      </c>
      <c r="H13" s="7" t="n">
        <v>2.4</v>
      </c>
      <c r="I13" s="7" t="n">
        <v>4.8</v>
      </c>
      <c r="J13" s="7" t="n">
        <v>4.8</v>
      </c>
      <c r="K13" s="26" t="n">
        <f aca="false">(H13+E13)/2</f>
        <v>3</v>
      </c>
      <c r="L13" s="26" t="n">
        <f aca="false">(E13+I13)/2</f>
        <v>4.2</v>
      </c>
      <c r="M13" s="26" t="n">
        <f aca="false">(E13+J13)/2</f>
        <v>4.2</v>
      </c>
      <c r="N13" s="26" t="n">
        <f aca="false">(L13+M13)/2-K13</f>
        <v>1.2</v>
      </c>
      <c r="O13" s="11" t="n">
        <f aca="false">G13*N13</f>
        <v>8.100012</v>
      </c>
      <c r="P13" s="14" t="n">
        <f aca="false">DATOS!$C$10*N13</f>
        <v>7.02</v>
      </c>
      <c r="Q13" s="18" t="n">
        <f aca="false">-P13/100</f>
        <v>-0.0702</v>
      </c>
      <c r="R13" s="17" t="n">
        <v>279</v>
      </c>
      <c r="S13" s="10" t="s">
        <v>270</v>
      </c>
    </row>
    <row r="14" customFormat="false" ht="14.25" hidden="false" customHeight="true" outlineLevel="0" collapsed="false">
      <c r="B14" s="25" t="s">
        <v>271</v>
      </c>
      <c r="C14" s="8" t="s">
        <v>254</v>
      </c>
      <c r="D14" s="17" t="n">
        <v>3</v>
      </c>
      <c r="E14" s="7" t="n">
        <v>3.6</v>
      </c>
      <c r="F14" s="8" t="s">
        <v>258</v>
      </c>
      <c r="G14" s="7" t="n">
        <v>6.74999</v>
      </c>
      <c r="H14" s="7" t="n">
        <v>2.4</v>
      </c>
      <c r="I14" s="7" t="n">
        <v>4.8</v>
      </c>
      <c r="J14" s="7" t="n">
        <v>4.8</v>
      </c>
      <c r="K14" s="26" t="n">
        <f aca="false">(H14+E14)/2</f>
        <v>3</v>
      </c>
      <c r="L14" s="26" t="n">
        <f aca="false">(E14+I14)/2</f>
        <v>4.2</v>
      </c>
      <c r="M14" s="26" t="n">
        <f aca="false">(E14+J14)/2</f>
        <v>4.2</v>
      </c>
      <c r="N14" s="26" t="n">
        <f aca="false">(L14+M14)/2-K14</f>
        <v>1.2</v>
      </c>
      <c r="O14" s="11" t="n">
        <f aca="false">G14*N14</f>
        <v>8.099988</v>
      </c>
      <c r="P14" s="14" t="n">
        <f aca="false">DATOS!$C$10*N14</f>
        <v>7.02</v>
      </c>
      <c r="Q14" s="18" t="n">
        <f aca="false">-P14/100</f>
        <v>-0.0702</v>
      </c>
      <c r="R14" s="17" t="n">
        <v>278</v>
      </c>
      <c r="S14" s="10" t="s">
        <v>272</v>
      </c>
    </row>
    <row r="15" customFormat="false" ht="14.25" hidden="false" customHeight="true" outlineLevel="0" collapsed="false">
      <c r="B15" s="25" t="s">
        <v>273</v>
      </c>
      <c r="C15" s="8" t="s">
        <v>254</v>
      </c>
      <c r="D15" s="17" t="n">
        <v>3</v>
      </c>
      <c r="E15" s="7" t="n">
        <v>3.6</v>
      </c>
      <c r="F15" s="8" t="s">
        <v>261</v>
      </c>
      <c r="G15" s="7" t="n">
        <v>2.5</v>
      </c>
      <c r="H15" s="7" t="n">
        <v>2.4</v>
      </c>
      <c r="I15" s="7" t="n">
        <v>4.8</v>
      </c>
      <c r="J15" s="7" t="n">
        <v>4.8</v>
      </c>
      <c r="K15" s="26" t="n">
        <f aca="false">(H15+E15)/2</f>
        <v>3</v>
      </c>
      <c r="L15" s="26" t="n">
        <f aca="false">(E15+I15)/2</f>
        <v>4.2</v>
      </c>
      <c r="M15" s="26" t="n">
        <f aca="false">(E15+J15)/2</f>
        <v>4.2</v>
      </c>
      <c r="N15" s="26" t="n">
        <f aca="false">(L15+M15)/2-K15</f>
        <v>1.2</v>
      </c>
      <c r="O15" s="11" t="n">
        <f aca="false">G15*N15</f>
        <v>3</v>
      </c>
      <c r="P15" s="14" t="n">
        <f aca="false">DATOS!$C$10*N15</f>
        <v>7.02</v>
      </c>
      <c r="Q15" s="18" t="n">
        <f aca="false">-P15/100</f>
        <v>-0.0702</v>
      </c>
      <c r="R15" s="17" t="n">
        <v>277</v>
      </c>
      <c r="S15" s="10" t="s">
        <v>274</v>
      </c>
    </row>
    <row r="16" customFormat="false" ht="14.25" hidden="false" customHeight="true" outlineLevel="0" collapsed="false">
      <c r="B16" s="25" t="s">
        <v>275</v>
      </c>
      <c r="C16" s="8" t="s">
        <v>254</v>
      </c>
      <c r="D16" s="17" t="n">
        <v>4</v>
      </c>
      <c r="E16" s="7" t="n">
        <v>4.8</v>
      </c>
      <c r="F16" s="8" t="s">
        <v>255</v>
      </c>
      <c r="G16" s="7" t="n">
        <v>6.75001</v>
      </c>
      <c r="H16" s="7" t="n">
        <v>3.6</v>
      </c>
      <c r="I16" s="7" t="n">
        <v>6</v>
      </c>
      <c r="J16" s="7" t="n">
        <v>6</v>
      </c>
      <c r="K16" s="26" t="n">
        <f aca="false">(H16+E16)/2</f>
        <v>4.2</v>
      </c>
      <c r="L16" s="26" t="n">
        <f aca="false">(E16+I16)/2</f>
        <v>5.4</v>
      </c>
      <c r="M16" s="26" t="n">
        <f aca="false">(E16+J16)/2</f>
        <v>5.4</v>
      </c>
      <c r="N16" s="26" t="n">
        <f aca="false">(L16+M16)/2-K16</f>
        <v>1.2</v>
      </c>
      <c r="O16" s="11" t="n">
        <f aca="false">G16*N16</f>
        <v>8.100012</v>
      </c>
      <c r="P16" s="14" t="n">
        <f aca="false">DATOS!$C$10*N16</f>
        <v>7.02</v>
      </c>
      <c r="Q16" s="18" t="n">
        <f aca="false">-P16/100</f>
        <v>-0.0702</v>
      </c>
      <c r="R16" s="17" t="n">
        <v>289</v>
      </c>
      <c r="S16" s="10" t="s">
        <v>276</v>
      </c>
    </row>
    <row r="17" customFormat="false" ht="14.25" hidden="false" customHeight="true" outlineLevel="0" collapsed="false">
      <c r="B17" s="25" t="s">
        <v>277</v>
      </c>
      <c r="C17" s="8" t="s">
        <v>254</v>
      </c>
      <c r="D17" s="17" t="n">
        <v>4</v>
      </c>
      <c r="E17" s="7" t="n">
        <v>4.8</v>
      </c>
      <c r="F17" s="8" t="s">
        <v>258</v>
      </c>
      <c r="G17" s="7" t="n">
        <v>6.74999</v>
      </c>
      <c r="H17" s="7" t="n">
        <v>3.6</v>
      </c>
      <c r="I17" s="7" t="n">
        <v>6</v>
      </c>
      <c r="J17" s="7" t="n">
        <v>6</v>
      </c>
      <c r="K17" s="26" t="n">
        <f aca="false">(H17+E17)/2</f>
        <v>4.2</v>
      </c>
      <c r="L17" s="26" t="n">
        <f aca="false">(E17+I17)/2</f>
        <v>5.4</v>
      </c>
      <c r="M17" s="26" t="n">
        <f aca="false">(E17+J17)/2</f>
        <v>5.4</v>
      </c>
      <c r="N17" s="26" t="n">
        <f aca="false">(L17+M17)/2-K17</f>
        <v>1.2</v>
      </c>
      <c r="O17" s="11" t="n">
        <f aca="false">G17*N17</f>
        <v>8.099988</v>
      </c>
      <c r="P17" s="14" t="n">
        <f aca="false">DATOS!$C$10*N17</f>
        <v>7.02</v>
      </c>
      <c r="Q17" s="18" t="n">
        <f aca="false">-P17/100</f>
        <v>-0.0702</v>
      </c>
      <c r="R17" s="17" t="n">
        <v>288</v>
      </c>
      <c r="S17" s="10" t="s">
        <v>278</v>
      </c>
    </row>
    <row r="18" customFormat="false" ht="14.25" hidden="false" customHeight="true" outlineLevel="0" collapsed="false">
      <c r="B18" s="25" t="s">
        <v>279</v>
      </c>
      <c r="C18" s="8" t="s">
        <v>254</v>
      </c>
      <c r="D18" s="17" t="n">
        <v>4</v>
      </c>
      <c r="E18" s="7" t="n">
        <v>4.8</v>
      </c>
      <c r="F18" s="8" t="s">
        <v>261</v>
      </c>
      <c r="G18" s="7" t="n">
        <v>2.5</v>
      </c>
      <c r="H18" s="7" t="n">
        <v>3.6</v>
      </c>
      <c r="I18" s="7" t="n">
        <v>6</v>
      </c>
      <c r="J18" s="7" t="n">
        <v>6</v>
      </c>
      <c r="K18" s="26" t="n">
        <f aca="false">(H18+E18)/2</f>
        <v>4.2</v>
      </c>
      <c r="L18" s="26" t="n">
        <f aca="false">(E18+I18)/2</f>
        <v>5.4</v>
      </c>
      <c r="M18" s="26" t="n">
        <f aca="false">(E18+J18)/2</f>
        <v>5.4</v>
      </c>
      <c r="N18" s="26" t="n">
        <f aca="false">(L18+M18)/2-K18</f>
        <v>1.2</v>
      </c>
      <c r="O18" s="11" t="n">
        <f aca="false">G18*N18</f>
        <v>3</v>
      </c>
      <c r="P18" s="14" t="n">
        <f aca="false">DATOS!$C$10*N18</f>
        <v>7.02</v>
      </c>
      <c r="Q18" s="18" t="n">
        <f aca="false">-P18/100</f>
        <v>-0.0702</v>
      </c>
      <c r="R18" s="17" t="n">
        <v>287</v>
      </c>
      <c r="S18" s="10" t="s">
        <v>280</v>
      </c>
    </row>
    <row r="19" customFormat="false" ht="14.25" hidden="false" customHeight="true" outlineLevel="0" collapsed="false">
      <c r="B19" s="25" t="s">
        <v>281</v>
      </c>
      <c r="C19" s="8" t="s">
        <v>254</v>
      </c>
      <c r="D19" s="17" t="n">
        <v>5</v>
      </c>
      <c r="E19" s="7" t="n">
        <v>6</v>
      </c>
      <c r="F19" s="8" t="s">
        <v>255</v>
      </c>
      <c r="G19" s="7" t="n">
        <v>6.75001</v>
      </c>
      <c r="H19" s="7" t="n">
        <v>4.8</v>
      </c>
      <c r="I19" s="7" t="n">
        <v>7.2</v>
      </c>
      <c r="J19" s="7" t="n">
        <v>7.2</v>
      </c>
      <c r="K19" s="26" t="n">
        <f aca="false">(H19+E19)/2</f>
        <v>5.4</v>
      </c>
      <c r="L19" s="26" t="n">
        <f aca="false">(E19+I19)/2</f>
        <v>6.6</v>
      </c>
      <c r="M19" s="26" t="n">
        <f aca="false">(E19+J19)/2</f>
        <v>6.6</v>
      </c>
      <c r="N19" s="26" t="n">
        <f aca="false">(L19+M19)/2-K19</f>
        <v>1.2</v>
      </c>
      <c r="O19" s="11" t="n">
        <f aca="false">G19*N19</f>
        <v>8.10001199999999</v>
      </c>
      <c r="P19" s="14" t="n">
        <f aca="false">DATOS!$C$10*N19</f>
        <v>7.02</v>
      </c>
      <c r="Q19" s="18" t="n">
        <f aca="false">-P19/100</f>
        <v>-0.0702</v>
      </c>
      <c r="R19" s="17" t="n">
        <v>297</v>
      </c>
      <c r="S19" s="10" t="s">
        <v>282</v>
      </c>
    </row>
    <row r="20" customFormat="false" ht="14.25" hidden="false" customHeight="true" outlineLevel="0" collapsed="false">
      <c r="B20" s="25" t="s">
        <v>283</v>
      </c>
      <c r="C20" s="8" t="s">
        <v>254</v>
      </c>
      <c r="D20" s="17" t="n">
        <v>5</v>
      </c>
      <c r="E20" s="7" t="n">
        <v>6</v>
      </c>
      <c r="F20" s="8" t="s">
        <v>258</v>
      </c>
      <c r="G20" s="7" t="n">
        <v>6.74999</v>
      </c>
      <c r="H20" s="7" t="n">
        <v>4.8</v>
      </c>
      <c r="I20" s="7" t="n">
        <v>7.2</v>
      </c>
      <c r="J20" s="7" t="n">
        <v>7.2</v>
      </c>
      <c r="K20" s="26" t="n">
        <f aca="false">(H20+E20)/2</f>
        <v>5.4</v>
      </c>
      <c r="L20" s="26" t="n">
        <f aca="false">(E20+I20)/2</f>
        <v>6.6</v>
      </c>
      <c r="M20" s="26" t="n">
        <f aca="false">(E20+J20)/2</f>
        <v>6.6</v>
      </c>
      <c r="N20" s="26" t="n">
        <f aca="false">(L20+M20)/2-K20</f>
        <v>1.2</v>
      </c>
      <c r="O20" s="11" t="n">
        <f aca="false">G20*N20</f>
        <v>8.099988</v>
      </c>
      <c r="P20" s="14" t="n">
        <f aca="false">DATOS!$C$10*N20</f>
        <v>7.02</v>
      </c>
      <c r="Q20" s="18" t="n">
        <f aca="false">-P20/100</f>
        <v>-0.0702</v>
      </c>
      <c r="R20" s="17" t="n">
        <v>296</v>
      </c>
      <c r="S20" s="10" t="s">
        <v>284</v>
      </c>
    </row>
    <row r="21" customFormat="false" ht="14.25" hidden="false" customHeight="true" outlineLevel="0" collapsed="false">
      <c r="B21" s="25" t="s">
        <v>285</v>
      </c>
      <c r="C21" s="8" t="s">
        <v>254</v>
      </c>
      <c r="D21" s="17" t="n">
        <v>5</v>
      </c>
      <c r="E21" s="7" t="n">
        <v>6</v>
      </c>
      <c r="F21" s="8" t="s">
        <v>261</v>
      </c>
      <c r="G21" s="7" t="n">
        <v>2.5</v>
      </c>
      <c r="H21" s="7" t="n">
        <v>4.8</v>
      </c>
      <c r="I21" s="7" t="n">
        <v>7.2</v>
      </c>
      <c r="J21" s="7" t="n">
        <v>7.2</v>
      </c>
      <c r="K21" s="26" t="n">
        <f aca="false">(H21+E21)/2</f>
        <v>5.4</v>
      </c>
      <c r="L21" s="26" t="n">
        <f aca="false">(E21+I21)/2</f>
        <v>6.6</v>
      </c>
      <c r="M21" s="26" t="n">
        <f aca="false">(E21+J21)/2</f>
        <v>6.6</v>
      </c>
      <c r="N21" s="26" t="n">
        <f aca="false">(L21+M21)/2-K21</f>
        <v>1.2</v>
      </c>
      <c r="O21" s="11" t="n">
        <f aca="false">G21*N21</f>
        <v>3</v>
      </c>
      <c r="P21" s="14" t="n">
        <f aca="false">DATOS!$C$10*N21</f>
        <v>7.02</v>
      </c>
      <c r="Q21" s="18" t="n">
        <f aca="false">-P21/100</f>
        <v>-0.0702</v>
      </c>
      <c r="R21" s="17" t="n">
        <v>295</v>
      </c>
      <c r="S21" s="10" t="s">
        <v>286</v>
      </c>
    </row>
    <row r="22" customFormat="false" ht="14.25" hidden="false" customHeight="true" outlineLevel="0" collapsed="false">
      <c r="B22" s="25" t="s">
        <v>287</v>
      </c>
      <c r="C22" s="8" t="s">
        <v>254</v>
      </c>
      <c r="D22" s="17" t="n">
        <v>6</v>
      </c>
      <c r="E22" s="7" t="n">
        <v>7.2</v>
      </c>
      <c r="F22" s="8" t="s">
        <v>255</v>
      </c>
      <c r="G22" s="7" t="n">
        <v>6.75001</v>
      </c>
      <c r="H22" s="7" t="n">
        <v>6</v>
      </c>
      <c r="I22" s="7" t="n">
        <v>8.4</v>
      </c>
      <c r="J22" s="7" t="n">
        <v>8.4</v>
      </c>
      <c r="K22" s="26" t="n">
        <f aca="false">(H22+E22)/2</f>
        <v>6.6</v>
      </c>
      <c r="L22" s="26" t="n">
        <f aca="false">(E22+I22)/2</f>
        <v>7.8</v>
      </c>
      <c r="M22" s="26" t="n">
        <f aca="false">(E22+J22)/2</f>
        <v>7.8</v>
      </c>
      <c r="N22" s="26" t="n">
        <f aca="false">(L22+M22)/2-K22</f>
        <v>1.2</v>
      </c>
      <c r="O22" s="11" t="n">
        <f aca="false">G22*N22</f>
        <v>8.10001200000001</v>
      </c>
      <c r="P22" s="14" t="n">
        <f aca="false">DATOS!$C$10*N22</f>
        <v>7.02000000000001</v>
      </c>
      <c r="Q22" s="18" t="n">
        <f aca="false">-P22/100</f>
        <v>-0.0702000000000001</v>
      </c>
      <c r="R22" s="17" t="n">
        <v>305</v>
      </c>
      <c r="S22" s="10" t="s">
        <v>288</v>
      </c>
    </row>
    <row r="23" customFormat="false" ht="14.25" hidden="false" customHeight="true" outlineLevel="0" collapsed="false">
      <c r="B23" s="25" t="s">
        <v>289</v>
      </c>
      <c r="C23" s="8" t="s">
        <v>254</v>
      </c>
      <c r="D23" s="17" t="n">
        <v>6</v>
      </c>
      <c r="E23" s="7" t="n">
        <v>7.2</v>
      </c>
      <c r="F23" s="8" t="s">
        <v>258</v>
      </c>
      <c r="G23" s="7" t="n">
        <v>6.74999</v>
      </c>
      <c r="H23" s="7" t="n">
        <v>6</v>
      </c>
      <c r="I23" s="7" t="n">
        <v>8.4</v>
      </c>
      <c r="J23" s="7" t="n">
        <v>8.4</v>
      </c>
      <c r="K23" s="26" t="n">
        <f aca="false">(H23+E23)/2</f>
        <v>6.6</v>
      </c>
      <c r="L23" s="26" t="n">
        <f aca="false">(E23+I23)/2</f>
        <v>7.8</v>
      </c>
      <c r="M23" s="26" t="n">
        <f aca="false">(E23+J23)/2</f>
        <v>7.8</v>
      </c>
      <c r="N23" s="26" t="n">
        <f aca="false">(L23+M23)/2-K23</f>
        <v>1.2</v>
      </c>
      <c r="O23" s="11" t="n">
        <f aca="false">G23*N23</f>
        <v>8.09998800000001</v>
      </c>
      <c r="P23" s="14" t="n">
        <f aca="false">DATOS!$C$10*N23</f>
        <v>7.02000000000001</v>
      </c>
      <c r="Q23" s="18" t="n">
        <f aca="false">-P23/100</f>
        <v>-0.0702000000000001</v>
      </c>
      <c r="R23" s="17" t="n">
        <v>304</v>
      </c>
      <c r="S23" s="10" t="s">
        <v>290</v>
      </c>
    </row>
    <row r="24" customFormat="false" ht="14.25" hidden="false" customHeight="true" outlineLevel="0" collapsed="false">
      <c r="B24" s="25" t="s">
        <v>291</v>
      </c>
      <c r="C24" s="8" t="s">
        <v>254</v>
      </c>
      <c r="D24" s="17" t="n">
        <v>6</v>
      </c>
      <c r="E24" s="7" t="n">
        <v>7.2</v>
      </c>
      <c r="F24" s="8" t="s">
        <v>261</v>
      </c>
      <c r="G24" s="7" t="n">
        <v>2.5</v>
      </c>
      <c r="H24" s="7" t="n">
        <v>6</v>
      </c>
      <c r="I24" s="7" t="n">
        <v>8.4</v>
      </c>
      <c r="J24" s="7" t="n">
        <v>8.4</v>
      </c>
      <c r="K24" s="26" t="n">
        <f aca="false">(H24+E24)/2</f>
        <v>6.6</v>
      </c>
      <c r="L24" s="26" t="n">
        <f aca="false">(E24+I24)/2</f>
        <v>7.8</v>
      </c>
      <c r="M24" s="26" t="n">
        <f aca="false">(E24+J24)/2</f>
        <v>7.8</v>
      </c>
      <c r="N24" s="26" t="n">
        <f aca="false">(L24+M24)/2-K24</f>
        <v>1.2</v>
      </c>
      <c r="O24" s="11" t="n">
        <f aca="false">G24*N24</f>
        <v>3</v>
      </c>
      <c r="P24" s="14" t="n">
        <f aca="false">DATOS!$C$10*N24</f>
        <v>7.02000000000001</v>
      </c>
      <c r="Q24" s="18" t="n">
        <f aca="false">-P24/100</f>
        <v>-0.0702000000000001</v>
      </c>
      <c r="R24" s="17" t="n">
        <v>303</v>
      </c>
      <c r="S24" s="10" t="s">
        <v>292</v>
      </c>
    </row>
    <row r="25" customFormat="false" ht="14.25" hidden="false" customHeight="true" outlineLevel="0" collapsed="false">
      <c r="B25" s="25" t="s">
        <v>293</v>
      </c>
      <c r="C25" s="8" t="s">
        <v>254</v>
      </c>
      <c r="D25" s="17" t="n">
        <v>7</v>
      </c>
      <c r="E25" s="7" t="n">
        <v>8.4</v>
      </c>
      <c r="F25" s="8" t="s">
        <v>255</v>
      </c>
      <c r="G25" s="7" t="n">
        <v>6.75001</v>
      </c>
      <c r="H25" s="7" t="n">
        <v>7.2</v>
      </c>
      <c r="I25" s="7" t="n">
        <v>9.6</v>
      </c>
      <c r="J25" s="7" t="n">
        <v>9.6</v>
      </c>
      <c r="K25" s="26" t="n">
        <f aca="false">(H25+E25)/2</f>
        <v>7.8</v>
      </c>
      <c r="L25" s="26" t="n">
        <f aca="false">(E25+I25)/2</f>
        <v>9</v>
      </c>
      <c r="M25" s="26" t="n">
        <f aca="false">(E25+J25)/2</f>
        <v>9</v>
      </c>
      <c r="N25" s="26" t="n">
        <f aca="false">(L25+M25)/2-K25</f>
        <v>1.2</v>
      </c>
      <c r="O25" s="11" t="n">
        <f aca="false">G25*N25</f>
        <v>8.10001199999999</v>
      </c>
      <c r="P25" s="14" t="n">
        <f aca="false">DATOS!$C$10*N25</f>
        <v>7.02</v>
      </c>
      <c r="Q25" s="18" t="n">
        <f aca="false">-P25/100</f>
        <v>-0.0702</v>
      </c>
      <c r="R25" s="17" t="n">
        <v>314</v>
      </c>
      <c r="S25" s="10" t="s">
        <v>294</v>
      </c>
    </row>
    <row r="26" customFormat="false" ht="14.25" hidden="false" customHeight="true" outlineLevel="0" collapsed="false">
      <c r="B26" s="25" t="s">
        <v>295</v>
      </c>
      <c r="C26" s="8" t="s">
        <v>254</v>
      </c>
      <c r="D26" s="17" t="n">
        <v>7</v>
      </c>
      <c r="E26" s="7" t="n">
        <v>8.4</v>
      </c>
      <c r="F26" s="8" t="s">
        <v>258</v>
      </c>
      <c r="G26" s="7" t="n">
        <v>6.74999</v>
      </c>
      <c r="H26" s="7" t="n">
        <v>7.2</v>
      </c>
      <c r="I26" s="7" t="n">
        <v>9.6</v>
      </c>
      <c r="J26" s="7" t="n">
        <v>9.6</v>
      </c>
      <c r="K26" s="26" t="n">
        <f aca="false">(H26+E26)/2</f>
        <v>7.8</v>
      </c>
      <c r="L26" s="26" t="n">
        <f aca="false">(E26+I26)/2</f>
        <v>9</v>
      </c>
      <c r="M26" s="26" t="n">
        <f aca="false">(E26+J26)/2</f>
        <v>9</v>
      </c>
      <c r="N26" s="26" t="n">
        <f aca="false">(L26+M26)/2-K26</f>
        <v>1.2</v>
      </c>
      <c r="O26" s="11" t="n">
        <f aca="false">G26*N26</f>
        <v>8.099988</v>
      </c>
      <c r="P26" s="14" t="n">
        <f aca="false">DATOS!$C$10*N26</f>
        <v>7.02</v>
      </c>
      <c r="Q26" s="18" t="n">
        <f aca="false">-P26/100</f>
        <v>-0.0702</v>
      </c>
      <c r="R26" s="17" t="n">
        <v>313</v>
      </c>
      <c r="S26" s="10" t="s">
        <v>296</v>
      </c>
    </row>
    <row r="27" customFormat="false" ht="14.25" hidden="false" customHeight="true" outlineLevel="0" collapsed="false">
      <c r="B27" s="25" t="s">
        <v>297</v>
      </c>
      <c r="C27" s="8" t="s">
        <v>254</v>
      </c>
      <c r="D27" s="17" t="n">
        <v>7</v>
      </c>
      <c r="E27" s="7" t="n">
        <v>8.4</v>
      </c>
      <c r="F27" s="8" t="s">
        <v>261</v>
      </c>
      <c r="G27" s="7" t="n">
        <v>2.5</v>
      </c>
      <c r="H27" s="7" t="n">
        <v>7.2</v>
      </c>
      <c r="I27" s="7" t="n">
        <v>9.6</v>
      </c>
      <c r="J27" s="7" t="n">
        <v>9.6</v>
      </c>
      <c r="K27" s="26" t="n">
        <f aca="false">(H27+E27)/2</f>
        <v>7.8</v>
      </c>
      <c r="L27" s="26" t="n">
        <f aca="false">(E27+I27)/2</f>
        <v>9</v>
      </c>
      <c r="M27" s="26" t="n">
        <f aca="false">(E27+J27)/2</f>
        <v>9</v>
      </c>
      <c r="N27" s="26" t="n">
        <f aca="false">(L27+M27)/2-K27</f>
        <v>1.2</v>
      </c>
      <c r="O27" s="11" t="n">
        <f aca="false">G27*N27</f>
        <v>3</v>
      </c>
      <c r="P27" s="14" t="n">
        <f aca="false">DATOS!$C$10*N27</f>
        <v>7.02</v>
      </c>
      <c r="Q27" s="18" t="n">
        <f aca="false">-P27/100</f>
        <v>-0.0702</v>
      </c>
      <c r="R27" s="17" t="n">
        <v>312</v>
      </c>
      <c r="S27" s="10" t="s">
        <v>298</v>
      </c>
    </row>
    <row r="28" customFormat="false" ht="18.75" hidden="false" customHeight="true" outlineLevel="0" collapsed="false">
      <c r="B28" s="25" t="s">
        <v>299</v>
      </c>
      <c r="C28" s="8" t="s">
        <v>254</v>
      </c>
      <c r="D28" s="17" t="n">
        <v>8</v>
      </c>
      <c r="E28" s="7" t="n">
        <v>9.6</v>
      </c>
      <c r="F28" s="8" t="s">
        <v>255</v>
      </c>
      <c r="G28" s="7" t="n">
        <v>6.75001</v>
      </c>
      <c r="H28" s="7" t="n">
        <v>8.4</v>
      </c>
      <c r="I28" s="7" t="n">
        <v>10.62</v>
      </c>
      <c r="J28" s="7" t="n">
        <v>10.28</v>
      </c>
      <c r="K28" s="26" t="n">
        <f aca="false">(H28+E28)/2</f>
        <v>9</v>
      </c>
      <c r="L28" s="26" t="n">
        <f aca="false">(E28+I28)/2</f>
        <v>10.11</v>
      </c>
      <c r="M28" s="26" t="n">
        <f aca="false">(E28+J28)/2</f>
        <v>9.94</v>
      </c>
      <c r="N28" s="26" t="n">
        <f aca="false">(L28+M28)/2-K28</f>
        <v>1.025</v>
      </c>
      <c r="O28" s="11" t="n">
        <f aca="false">G28*N28</f>
        <v>6.91876024999999</v>
      </c>
      <c r="P28" s="14" t="n">
        <f aca="false">DATOS!$C$10*N28</f>
        <v>5.99624999999999</v>
      </c>
      <c r="Q28" s="18" t="n">
        <f aca="false">-P28/100</f>
        <v>-0.0599624999999999</v>
      </c>
      <c r="R28" s="17" t="n">
        <v>317</v>
      </c>
      <c r="S28" s="10" t="s">
        <v>300</v>
      </c>
    </row>
    <row r="29" customFormat="false" ht="18.75" hidden="false" customHeight="true" outlineLevel="0" collapsed="false">
      <c r="B29" s="25" t="s">
        <v>301</v>
      </c>
      <c r="C29" s="8" t="s">
        <v>254</v>
      </c>
      <c r="D29" s="17" t="n">
        <v>8</v>
      </c>
      <c r="E29" s="7" t="n">
        <v>9.6</v>
      </c>
      <c r="F29" s="8" t="s">
        <v>258</v>
      </c>
      <c r="G29" s="7" t="n">
        <v>6.74999</v>
      </c>
      <c r="H29" s="7" t="n">
        <v>8.4</v>
      </c>
      <c r="I29" s="7" t="n">
        <v>10.28</v>
      </c>
      <c r="J29" s="7" t="n">
        <v>9.94002</v>
      </c>
      <c r="K29" s="26" t="n">
        <f aca="false">(H29+E29)/2</f>
        <v>9</v>
      </c>
      <c r="L29" s="26" t="n">
        <f aca="false">(E29+I29)/2</f>
        <v>9.94</v>
      </c>
      <c r="M29" s="26" t="n">
        <f aca="false">(E29+J29)/2</f>
        <v>9.77001</v>
      </c>
      <c r="N29" s="26" t="n">
        <f aca="false">(L29+M29)/2-K29</f>
        <v>0.855004999999999</v>
      </c>
      <c r="O29" s="11" t="n">
        <f aca="false">G29*N29</f>
        <v>5.77127519994999</v>
      </c>
      <c r="P29" s="14" t="n">
        <f aca="false">DATOS!$C$10*N29</f>
        <v>5.00177924999999</v>
      </c>
      <c r="Q29" s="18" t="n">
        <f aca="false">-P29/100</f>
        <v>-0.0500177924999999</v>
      </c>
      <c r="R29" s="17" t="n">
        <v>316</v>
      </c>
      <c r="S29" s="10" t="s">
        <v>302</v>
      </c>
    </row>
    <row r="30" customFormat="false" ht="18.75" hidden="false" customHeight="true" outlineLevel="0" collapsed="false">
      <c r="B30" s="25" t="s">
        <v>303</v>
      </c>
      <c r="C30" s="8" t="s">
        <v>254</v>
      </c>
      <c r="D30" s="17" t="n">
        <v>8</v>
      </c>
      <c r="E30" s="7" t="n">
        <v>9.6</v>
      </c>
      <c r="F30" s="8" t="s">
        <v>261</v>
      </c>
      <c r="G30" s="7" t="n">
        <v>2.5</v>
      </c>
      <c r="H30" s="7" t="n">
        <v>8.4</v>
      </c>
      <c r="I30" s="7" t="n">
        <v>9.94002</v>
      </c>
      <c r="J30" s="7" t="n">
        <v>9.82002</v>
      </c>
      <c r="K30" s="26" t="n">
        <f aca="false">(H30+E30)/2</f>
        <v>9</v>
      </c>
      <c r="L30" s="26" t="n">
        <f aca="false">(E30+I30)/2</f>
        <v>9.77001</v>
      </c>
      <c r="M30" s="26" t="n">
        <f aca="false">(E30+J30)/2</f>
        <v>9.71001</v>
      </c>
      <c r="N30" s="26" t="n">
        <f aca="false">(L30+M30)/2-K30</f>
        <v>0.74001</v>
      </c>
      <c r="O30" s="11" t="n">
        <f aca="false">G30*N30</f>
        <v>1.850025</v>
      </c>
      <c r="P30" s="14" t="n">
        <f aca="false">DATOS!$C$10*N30</f>
        <v>4.3290585</v>
      </c>
      <c r="Q30" s="18" t="n">
        <f aca="false">-P30/100</f>
        <v>-0.043290585</v>
      </c>
      <c r="R30" s="17" t="n">
        <v>315</v>
      </c>
      <c r="S30" s="10" t="s">
        <v>304</v>
      </c>
    </row>
    <row r="31" customFormat="false" ht="14.25" hidden="false" customHeight="true" outlineLevel="0" collapsed="false">
      <c r="B31" s="25" t="s">
        <v>305</v>
      </c>
      <c r="C31" s="8" t="s">
        <v>306</v>
      </c>
      <c r="D31" s="17" t="n">
        <v>1</v>
      </c>
      <c r="E31" s="7" t="n">
        <v>1.2</v>
      </c>
      <c r="F31" s="8" t="s">
        <v>255</v>
      </c>
      <c r="G31" s="7" t="n">
        <v>6.75001</v>
      </c>
      <c r="H31" s="7" t="n">
        <v>0</v>
      </c>
      <c r="I31" s="7" t="n">
        <v>2.4</v>
      </c>
      <c r="J31" s="7" t="n">
        <v>2.4</v>
      </c>
      <c r="K31" s="26" t="n">
        <f aca="false">(H31+E31)/2</f>
        <v>0.6</v>
      </c>
      <c r="L31" s="26" t="n">
        <f aca="false">(E31+I31)/2</f>
        <v>1.8</v>
      </c>
      <c r="M31" s="26" t="n">
        <f aca="false">(E31+J31)/2</f>
        <v>1.8</v>
      </c>
      <c r="N31" s="26" t="n">
        <f aca="false">(L31+M31)/2-K31</f>
        <v>1.2</v>
      </c>
      <c r="O31" s="11" t="n">
        <f aca="false">G31*N31</f>
        <v>8.100012</v>
      </c>
      <c r="P31" s="14" t="n">
        <f aca="false">DATOS!$C$10*N31</f>
        <v>7.02</v>
      </c>
      <c r="Q31" s="18" t="n">
        <f aca="false">-P31/100</f>
        <v>-0.0702</v>
      </c>
      <c r="R31" s="17" t="n">
        <v>265</v>
      </c>
      <c r="S31" s="10" t="s">
        <v>307</v>
      </c>
    </row>
    <row r="32" customFormat="false" ht="14.25" hidden="false" customHeight="true" outlineLevel="0" collapsed="false">
      <c r="B32" s="25" t="s">
        <v>308</v>
      </c>
      <c r="C32" s="8" t="s">
        <v>306</v>
      </c>
      <c r="D32" s="17" t="n">
        <v>1</v>
      </c>
      <c r="E32" s="7" t="n">
        <v>1.2</v>
      </c>
      <c r="F32" s="8" t="s">
        <v>258</v>
      </c>
      <c r="G32" s="7" t="n">
        <v>6.74999</v>
      </c>
      <c r="H32" s="7" t="n">
        <v>0</v>
      </c>
      <c r="I32" s="7" t="n">
        <v>2.4</v>
      </c>
      <c r="J32" s="7" t="n">
        <v>2.4</v>
      </c>
      <c r="K32" s="26" t="n">
        <f aca="false">(H32+E32)/2</f>
        <v>0.6</v>
      </c>
      <c r="L32" s="26" t="n">
        <f aca="false">(E32+I32)/2</f>
        <v>1.8</v>
      </c>
      <c r="M32" s="26" t="n">
        <f aca="false">(E32+J32)/2</f>
        <v>1.8</v>
      </c>
      <c r="N32" s="26" t="n">
        <f aca="false">(L32+M32)/2-K32</f>
        <v>1.2</v>
      </c>
      <c r="O32" s="11" t="n">
        <f aca="false">G32*N32</f>
        <v>8.099988</v>
      </c>
      <c r="P32" s="14" t="n">
        <f aca="false">DATOS!$C$10*N32</f>
        <v>7.02</v>
      </c>
      <c r="Q32" s="18" t="n">
        <f aca="false">-P32/100</f>
        <v>-0.0702</v>
      </c>
      <c r="R32" s="17" t="n">
        <v>266</v>
      </c>
      <c r="S32" s="10" t="s">
        <v>309</v>
      </c>
    </row>
    <row r="33" customFormat="false" ht="14.25" hidden="false" customHeight="true" outlineLevel="0" collapsed="false">
      <c r="B33" s="25" t="s">
        <v>310</v>
      </c>
      <c r="C33" s="8" t="s">
        <v>306</v>
      </c>
      <c r="D33" s="17" t="n">
        <v>1</v>
      </c>
      <c r="E33" s="7" t="n">
        <v>1.2</v>
      </c>
      <c r="F33" s="8" t="s">
        <v>261</v>
      </c>
      <c r="G33" s="7" t="n">
        <v>2.5</v>
      </c>
      <c r="H33" s="7" t="n">
        <v>0</v>
      </c>
      <c r="I33" s="7" t="n">
        <v>2.4</v>
      </c>
      <c r="J33" s="7" t="n">
        <v>2.4</v>
      </c>
      <c r="K33" s="26" t="n">
        <f aca="false">(H33+E33)/2</f>
        <v>0.6</v>
      </c>
      <c r="L33" s="26" t="n">
        <f aca="false">(E33+I33)/2</f>
        <v>1.8</v>
      </c>
      <c r="M33" s="26" t="n">
        <f aca="false">(E33+J33)/2</f>
        <v>1.8</v>
      </c>
      <c r="N33" s="26" t="n">
        <f aca="false">(L33+M33)/2-K33</f>
        <v>1.2</v>
      </c>
      <c r="O33" s="11" t="n">
        <f aca="false">G33*N33</f>
        <v>3</v>
      </c>
      <c r="P33" s="14" t="n">
        <f aca="false">DATOS!$C$10*N33</f>
        <v>7.02</v>
      </c>
      <c r="Q33" s="18" t="n">
        <f aca="false">-P33/100</f>
        <v>-0.0702</v>
      </c>
      <c r="R33" s="17" t="n">
        <v>267</v>
      </c>
      <c r="S33" s="10" t="s">
        <v>311</v>
      </c>
    </row>
    <row r="34" customFormat="false" ht="14.25" hidden="false" customHeight="true" outlineLevel="0" collapsed="false">
      <c r="B34" s="25" t="s">
        <v>312</v>
      </c>
      <c r="C34" s="8" t="s">
        <v>306</v>
      </c>
      <c r="D34" s="17" t="n">
        <v>2</v>
      </c>
      <c r="E34" s="7" t="n">
        <v>2.4</v>
      </c>
      <c r="F34" s="8" t="s">
        <v>255</v>
      </c>
      <c r="G34" s="7" t="n">
        <v>6.75001</v>
      </c>
      <c r="H34" s="7" t="n">
        <v>1.2</v>
      </c>
      <c r="I34" s="7" t="n">
        <v>3.6</v>
      </c>
      <c r="J34" s="7" t="n">
        <v>3.6</v>
      </c>
      <c r="K34" s="26" t="n">
        <f aca="false">(H34+E34)/2</f>
        <v>1.8</v>
      </c>
      <c r="L34" s="26" t="n">
        <f aca="false">(E34+I34)/2</f>
        <v>3</v>
      </c>
      <c r="M34" s="26" t="n">
        <f aca="false">(E34+J34)/2</f>
        <v>3</v>
      </c>
      <c r="N34" s="26" t="n">
        <f aca="false">(L34+M34)/2-K34</f>
        <v>1.2</v>
      </c>
      <c r="O34" s="11" t="n">
        <f aca="false">G34*N34</f>
        <v>8.100012</v>
      </c>
      <c r="P34" s="14" t="n">
        <f aca="false">DATOS!$C$10*N34</f>
        <v>7.02</v>
      </c>
      <c r="Q34" s="18" t="n">
        <f aca="false">-P34/100</f>
        <v>-0.0702</v>
      </c>
      <c r="R34" s="17" t="n">
        <v>274</v>
      </c>
      <c r="S34" s="10" t="s">
        <v>313</v>
      </c>
    </row>
    <row r="35" customFormat="false" ht="14.25" hidden="false" customHeight="true" outlineLevel="0" collapsed="false">
      <c r="B35" s="25" t="s">
        <v>314</v>
      </c>
      <c r="C35" s="8" t="s">
        <v>306</v>
      </c>
      <c r="D35" s="17" t="n">
        <v>2</v>
      </c>
      <c r="E35" s="7" t="n">
        <v>2.4</v>
      </c>
      <c r="F35" s="8" t="s">
        <v>258</v>
      </c>
      <c r="G35" s="7" t="n">
        <v>6.74999</v>
      </c>
      <c r="H35" s="7" t="n">
        <v>1.2</v>
      </c>
      <c r="I35" s="7" t="n">
        <v>3.6</v>
      </c>
      <c r="J35" s="7" t="n">
        <v>3.6</v>
      </c>
      <c r="K35" s="26" t="n">
        <f aca="false">(H35+E35)/2</f>
        <v>1.8</v>
      </c>
      <c r="L35" s="26" t="n">
        <f aca="false">(E35+I35)/2</f>
        <v>3</v>
      </c>
      <c r="M35" s="26" t="n">
        <f aca="false">(E35+J35)/2</f>
        <v>3</v>
      </c>
      <c r="N35" s="26" t="n">
        <f aca="false">(L35+M35)/2-K35</f>
        <v>1.2</v>
      </c>
      <c r="O35" s="11" t="n">
        <f aca="false">G35*N35</f>
        <v>8.099988</v>
      </c>
      <c r="P35" s="14" t="n">
        <f aca="false">DATOS!$C$10*N35</f>
        <v>7.02</v>
      </c>
      <c r="Q35" s="18" t="n">
        <f aca="false">-P35/100</f>
        <v>-0.0702</v>
      </c>
      <c r="R35" s="17" t="n">
        <v>275</v>
      </c>
      <c r="S35" s="10" t="s">
        <v>315</v>
      </c>
    </row>
    <row r="36" customFormat="false" ht="14.25" hidden="false" customHeight="true" outlineLevel="0" collapsed="false">
      <c r="B36" s="25" t="s">
        <v>316</v>
      </c>
      <c r="C36" s="8" t="s">
        <v>306</v>
      </c>
      <c r="D36" s="17" t="n">
        <v>2</v>
      </c>
      <c r="E36" s="7" t="n">
        <v>2.4</v>
      </c>
      <c r="F36" s="8" t="s">
        <v>261</v>
      </c>
      <c r="G36" s="7" t="n">
        <v>2.5</v>
      </c>
      <c r="H36" s="7" t="n">
        <v>1.2</v>
      </c>
      <c r="I36" s="7" t="n">
        <v>3.6</v>
      </c>
      <c r="J36" s="7" t="n">
        <v>3.6</v>
      </c>
      <c r="K36" s="26" t="n">
        <f aca="false">(H36+E36)/2</f>
        <v>1.8</v>
      </c>
      <c r="L36" s="26" t="n">
        <f aca="false">(E36+I36)/2</f>
        <v>3</v>
      </c>
      <c r="M36" s="26" t="n">
        <f aca="false">(E36+J36)/2</f>
        <v>3</v>
      </c>
      <c r="N36" s="26" t="n">
        <f aca="false">(L36+M36)/2-K36</f>
        <v>1.2</v>
      </c>
      <c r="O36" s="11" t="n">
        <f aca="false">G36*N36</f>
        <v>3</v>
      </c>
      <c r="P36" s="14" t="n">
        <f aca="false">DATOS!$C$10*N36</f>
        <v>7.02</v>
      </c>
      <c r="Q36" s="18" t="n">
        <f aca="false">-P36/100</f>
        <v>-0.0702</v>
      </c>
      <c r="R36" s="17" t="n">
        <v>276</v>
      </c>
      <c r="S36" s="10" t="s">
        <v>317</v>
      </c>
    </row>
    <row r="37" customFormat="false" ht="14.25" hidden="false" customHeight="true" outlineLevel="0" collapsed="false">
      <c r="B37" s="25" t="s">
        <v>318</v>
      </c>
      <c r="C37" s="8" t="s">
        <v>306</v>
      </c>
      <c r="D37" s="17" t="n">
        <v>3</v>
      </c>
      <c r="E37" s="7" t="n">
        <v>3.6</v>
      </c>
      <c r="F37" s="8" t="s">
        <v>255</v>
      </c>
      <c r="G37" s="7" t="n">
        <v>6.75001</v>
      </c>
      <c r="H37" s="7" t="n">
        <v>2.4</v>
      </c>
      <c r="I37" s="7" t="n">
        <v>4.8</v>
      </c>
      <c r="J37" s="7" t="n">
        <v>4.8</v>
      </c>
      <c r="K37" s="26" t="n">
        <f aca="false">(H37+E37)/2</f>
        <v>3</v>
      </c>
      <c r="L37" s="26" t="n">
        <f aca="false">(E37+I37)/2</f>
        <v>4.2</v>
      </c>
      <c r="M37" s="26" t="n">
        <f aca="false">(E37+J37)/2</f>
        <v>4.2</v>
      </c>
      <c r="N37" s="26" t="n">
        <f aca="false">(L37+M37)/2-K37</f>
        <v>1.2</v>
      </c>
      <c r="O37" s="11" t="n">
        <f aca="false">G37*N37</f>
        <v>8.100012</v>
      </c>
      <c r="P37" s="14" t="n">
        <f aca="false">DATOS!$C$10*N37</f>
        <v>7.02</v>
      </c>
      <c r="Q37" s="18" t="n">
        <f aca="false">-P37/100</f>
        <v>-0.0702</v>
      </c>
      <c r="R37" s="17" t="n">
        <v>283</v>
      </c>
      <c r="S37" s="10" t="s">
        <v>319</v>
      </c>
    </row>
    <row r="38" customFormat="false" ht="14.25" hidden="false" customHeight="true" outlineLevel="0" collapsed="false">
      <c r="B38" s="25" t="s">
        <v>320</v>
      </c>
      <c r="C38" s="8" t="s">
        <v>306</v>
      </c>
      <c r="D38" s="17" t="n">
        <v>3</v>
      </c>
      <c r="E38" s="7" t="n">
        <v>3.6</v>
      </c>
      <c r="F38" s="8" t="s">
        <v>258</v>
      </c>
      <c r="G38" s="7" t="n">
        <v>6.74999</v>
      </c>
      <c r="H38" s="7" t="n">
        <v>2.4</v>
      </c>
      <c r="I38" s="7" t="n">
        <v>4.8</v>
      </c>
      <c r="J38" s="7" t="n">
        <v>4.8</v>
      </c>
      <c r="K38" s="26" t="n">
        <f aca="false">(H38+E38)/2</f>
        <v>3</v>
      </c>
      <c r="L38" s="26" t="n">
        <f aca="false">(E38+I38)/2</f>
        <v>4.2</v>
      </c>
      <c r="M38" s="26" t="n">
        <f aca="false">(E38+J38)/2</f>
        <v>4.2</v>
      </c>
      <c r="N38" s="26" t="n">
        <f aca="false">(L38+M38)/2-K38</f>
        <v>1.2</v>
      </c>
      <c r="O38" s="11" t="n">
        <f aca="false">G38*N38</f>
        <v>8.099988</v>
      </c>
      <c r="P38" s="14" t="n">
        <f aca="false">DATOS!$C$10*N38</f>
        <v>7.02</v>
      </c>
      <c r="Q38" s="18" t="n">
        <f aca="false">-P38/100</f>
        <v>-0.0702</v>
      </c>
      <c r="R38" s="17" t="n">
        <v>284</v>
      </c>
      <c r="S38" s="10" t="s">
        <v>321</v>
      </c>
    </row>
    <row r="39" customFormat="false" ht="14.25" hidden="false" customHeight="true" outlineLevel="0" collapsed="false">
      <c r="B39" s="25" t="s">
        <v>322</v>
      </c>
      <c r="C39" s="8" t="s">
        <v>306</v>
      </c>
      <c r="D39" s="17" t="n">
        <v>3</v>
      </c>
      <c r="E39" s="7" t="n">
        <v>3.6</v>
      </c>
      <c r="F39" s="8" t="s">
        <v>261</v>
      </c>
      <c r="G39" s="7" t="n">
        <v>2.5</v>
      </c>
      <c r="H39" s="7" t="n">
        <v>2.4</v>
      </c>
      <c r="I39" s="7" t="n">
        <v>4.8</v>
      </c>
      <c r="J39" s="7" t="n">
        <v>4.8</v>
      </c>
      <c r="K39" s="26" t="n">
        <f aca="false">(H39+E39)/2</f>
        <v>3</v>
      </c>
      <c r="L39" s="26" t="n">
        <f aca="false">(E39+I39)/2</f>
        <v>4.2</v>
      </c>
      <c r="M39" s="26" t="n">
        <f aca="false">(E39+J39)/2</f>
        <v>4.2</v>
      </c>
      <c r="N39" s="26" t="n">
        <f aca="false">(L39+M39)/2-K39</f>
        <v>1.2</v>
      </c>
      <c r="O39" s="11" t="n">
        <f aca="false">G39*N39</f>
        <v>3</v>
      </c>
      <c r="P39" s="14" t="n">
        <f aca="false">DATOS!$C$10*N39</f>
        <v>7.02</v>
      </c>
      <c r="Q39" s="18" t="n">
        <f aca="false">-P39/100</f>
        <v>-0.0702</v>
      </c>
      <c r="R39" s="17" t="n">
        <v>285</v>
      </c>
      <c r="S39" s="10" t="s">
        <v>323</v>
      </c>
    </row>
    <row r="40" customFormat="false" ht="14.25" hidden="false" customHeight="true" outlineLevel="0" collapsed="false">
      <c r="B40" s="25" t="s">
        <v>324</v>
      </c>
      <c r="C40" s="8" t="s">
        <v>306</v>
      </c>
      <c r="D40" s="17" t="n">
        <v>4</v>
      </c>
      <c r="E40" s="7" t="n">
        <v>4.8</v>
      </c>
      <c r="F40" s="8" t="s">
        <v>255</v>
      </c>
      <c r="G40" s="7" t="n">
        <v>6.75001</v>
      </c>
      <c r="H40" s="7" t="n">
        <v>3.6</v>
      </c>
      <c r="I40" s="7" t="n">
        <v>6</v>
      </c>
      <c r="J40" s="7" t="n">
        <v>6</v>
      </c>
      <c r="K40" s="26" t="n">
        <f aca="false">(H40+E40)/2</f>
        <v>4.2</v>
      </c>
      <c r="L40" s="26" t="n">
        <f aca="false">(E40+I40)/2</f>
        <v>5.4</v>
      </c>
      <c r="M40" s="26" t="n">
        <f aca="false">(E40+J40)/2</f>
        <v>5.4</v>
      </c>
      <c r="N40" s="26" t="n">
        <f aca="false">(L40+M40)/2-K40</f>
        <v>1.2</v>
      </c>
      <c r="O40" s="11" t="n">
        <f aca="false">G40*N40</f>
        <v>8.100012</v>
      </c>
      <c r="P40" s="14" t="n">
        <f aca="false">DATOS!$C$10*N40</f>
        <v>7.02</v>
      </c>
      <c r="Q40" s="18" t="n">
        <f aca="false">-P40/100</f>
        <v>-0.0702</v>
      </c>
      <c r="R40" s="17" t="n">
        <v>292</v>
      </c>
      <c r="S40" s="10" t="s">
        <v>325</v>
      </c>
    </row>
    <row r="41" customFormat="false" ht="14.25" hidden="false" customHeight="true" outlineLevel="0" collapsed="false">
      <c r="B41" s="25" t="s">
        <v>326</v>
      </c>
      <c r="C41" s="8" t="s">
        <v>306</v>
      </c>
      <c r="D41" s="17" t="n">
        <v>4</v>
      </c>
      <c r="E41" s="7" t="n">
        <v>4.8</v>
      </c>
      <c r="F41" s="8" t="s">
        <v>258</v>
      </c>
      <c r="G41" s="7" t="n">
        <v>6.74999</v>
      </c>
      <c r="H41" s="7" t="n">
        <v>3.6</v>
      </c>
      <c r="I41" s="7" t="n">
        <v>6</v>
      </c>
      <c r="J41" s="7" t="n">
        <v>6</v>
      </c>
      <c r="K41" s="26" t="n">
        <f aca="false">(H41+E41)/2</f>
        <v>4.2</v>
      </c>
      <c r="L41" s="26" t="n">
        <f aca="false">(E41+I41)/2</f>
        <v>5.4</v>
      </c>
      <c r="M41" s="26" t="n">
        <f aca="false">(E41+J41)/2</f>
        <v>5.4</v>
      </c>
      <c r="N41" s="26" t="n">
        <f aca="false">(L41+M41)/2-K41</f>
        <v>1.2</v>
      </c>
      <c r="O41" s="11" t="n">
        <f aca="false">G41*N41</f>
        <v>8.099988</v>
      </c>
      <c r="P41" s="14" t="n">
        <f aca="false">DATOS!$C$10*N41</f>
        <v>7.02</v>
      </c>
      <c r="Q41" s="18" t="n">
        <f aca="false">-P41/100</f>
        <v>-0.0702</v>
      </c>
      <c r="R41" s="17" t="n">
        <v>293</v>
      </c>
      <c r="S41" s="10" t="s">
        <v>327</v>
      </c>
    </row>
    <row r="42" customFormat="false" ht="14.25" hidden="false" customHeight="true" outlineLevel="0" collapsed="false">
      <c r="B42" s="25" t="s">
        <v>328</v>
      </c>
      <c r="C42" s="8" t="s">
        <v>306</v>
      </c>
      <c r="D42" s="17" t="n">
        <v>4</v>
      </c>
      <c r="E42" s="7" t="n">
        <v>4.8</v>
      </c>
      <c r="F42" s="8" t="s">
        <v>261</v>
      </c>
      <c r="G42" s="7" t="n">
        <v>2.5</v>
      </c>
      <c r="H42" s="7" t="n">
        <v>3.6</v>
      </c>
      <c r="I42" s="7" t="n">
        <v>6</v>
      </c>
      <c r="J42" s="7" t="n">
        <v>6</v>
      </c>
      <c r="K42" s="26" t="n">
        <f aca="false">(H42+E42)/2</f>
        <v>4.2</v>
      </c>
      <c r="L42" s="26" t="n">
        <f aca="false">(E42+I42)/2</f>
        <v>5.4</v>
      </c>
      <c r="M42" s="26" t="n">
        <f aca="false">(E42+J42)/2</f>
        <v>5.4</v>
      </c>
      <c r="N42" s="26" t="n">
        <f aca="false">(L42+M42)/2-K42</f>
        <v>1.2</v>
      </c>
      <c r="O42" s="11" t="n">
        <f aca="false">G42*N42</f>
        <v>3</v>
      </c>
      <c r="P42" s="14" t="n">
        <f aca="false">DATOS!$C$10*N42</f>
        <v>7.02</v>
      </c>
      <c r="Q42" s="18" t="n">
        <f aca="false">-P42/100</f>
        <v>-0.0702</v>
      </c>
      <c r="R42" s="17" t="n">
        <v>294</v>
      </c>
      <c r="S42" s="10" t="s">
        <v>329</v>
      </c>
    </row>
    <row r="43" customFormat="false" ht="14.25" hidden="false" customHeight="true" outlineLevel="0" collapsed="false">
      <c r="B43" s="25" t="s">
        <v>330</v>
      </c>
      <c r="C43" s="8" t="s">
        <v>306</v>
      </c>
      <c r="D43" s="17" t="n">
        <v>5</v>
      </c>
      <c r="E43" s="7" t="n">
        <v>6</v>
      </c>
      <c r="F43" s="8" t="s">
        <v>255</v>
      </c>
      <c r="G43" s="7" t="n">
        <v>6.75001</v>
      </c>
      <c r="H43" s="7" t="n">
        <v>4.8</v>
      </c>
      <c r="I43" s="7" t="n">
        <v>7.2</v>
      </c>
      <c r="J43" s="7" t="n">
        <v>7.2</v>
      </c>
      <c r="K43" s="26" t="n">
        <f aca="false">(H43+E43)/2</f>
        <v>5.4</v>
      </c>
      <c r="L43" s="26" t="n">
        <f aca="false">(E43+I43)/2</f>
        <v>6.6</v>
      </c>
      <c r="M43" s="26" t="n">
        <f aca="false">(E43+J43)/2</f>
        <v>6.6</v>
      </c>
      <c r="N43" s="26" t="n">
        <f aca="false">(L43+M43)/2-K43</f>
        <v>1.2</v>
      </c>
      <c r="O43" s="11" t="n">
        <f aca="false">G43*N43</f>
        <v>8.10001199999999</v>
      </c>
      <c r="P43" s="14" t="n">
        <f aca="false">DATOS!$C$10*N43</f>
        <v>7.02</v>
      </c>
      <c r="Q43" s="18" t="n">
        <f aca="false">-P43/100</f>
        <v>-0.0702</v>
      </c>
      <c r="R43" s="17" t="n">
        <v>300</v>
      </c>
      <c r="S43" s="10" t="s">
        <v>331</v>
      </c>
    </row>
    <row r="44" customFormat="false" ht="14.25" hidden="false" customHeight="true" outlineLevel="0" collapsed="false">
      <c r="B44" s="25" t="s">
        <v>332</v>
      </c>
      <c r="C44" s="8" t="s">
        <v>306</v>
      </c>
      <c r="D44" s="17" t="n">
        <v>5</v>
      </c>
      <c r="E44" s="7" t="n">
        <v>6</v>
      </c>
      <c r="F44" s="8" t="s">
        <v>258</v>
      </c>
      <c r="G44" s="7" t="n">
        <v>6.74999</v>
      </c>
      <c r="H44" s="7" t="n">
        <v>4.8</v>
      </c>
      <c r="I44" s="7" t="n">
        <v>7.2</v>
      </c>
      <c r="J44" s="7" t="n">
        <v>7.2</v>
      </c>
      <c r="K44" s="26" t="n">
        <f aca="false">(H44+E44)/2</f>
        <v>5.4</v>
      </c>
      <c r="L44" s="26" t="n">
        <f aca="false">(E44+I44)/2</f>
        <v>6.6</v>
      </c>
      <c r="M44" s="26" t="n">
        <f aca="false">(E44+J44)/2</f>
        <v>6.6</v>
      </c>
      <c r="N44" s="26" t="n">
        <f aca="false">(L44+M44)/2-K44</f>
        <v>1.2</v>
      </c>
      <c r="O44" s="11" t="n">
        <f aca="false">G44*N44</f>
        <v>8.099988</v>
      </c>
      <c r="P44" s="14" t="n">
        <f aca="false">DATOS!$C$10*N44</f>
        <v>7.02</v>
      </c>
      <c r="Q44" s="18" t="n">
        <f aca="false">-P44/100</f>
        <v>-0.0702</v>
      </c>
      <c r="R44" s="17" t="n">
        <v>301</v>
      </c>
      <c r="S44" s="10" t="s">
        <v>333</v>
      </c>
    </row>
    <row r="45" customFormat="false" ht="14.25" hidden="false" customHeight="true" outlineLevel="0" collapsed="false">
      <c r="B45" s="25" t="s">
        <v>334</v>
      </c>
      <c r="C45" s="8" t="s">
        <v>306</v>
      </c>
      <c r="D45" s="17" t="n">
        <v>5</v>
      </c>
      <c r="E45" s="7" t="n">
        <v>6</v>
      </c>
      <c r="F45" s="8" t="s">
        <v>261</v>
      </c>
      <c r="G45" s="7" t="n">
        <v>2.5</v>
      </c>
      <c r="H45" s="7" t="n">
        <v>4.8</v>
      </c>
      <c r="I45" s="7" t="n">
        <v>7.2</v>
      </c>
      <c r="J45" s="7" t="n">
        <v>7.2</v>
      </c>
      <c r="K45" s="26" t="n">
        <f aca="false">(H45+E45)/2</f>
        <v>5.4</v>
      </c>
      <c r="L45" s="26" t="n">
        <f aca="false">(E45+I45)/2</f>
        <v>6.6</v>
      </c>
      <c r="M45" s="26" t="n">
        <f aca="false">(E45+J45)/2</f>
        <v>6.6</v>
      </c>
      <c r="N45" s="26" t="n">
        <f aca="false">(L45+M45)/2-K45</f>
        <v>1.2</v>
      </c>
      <c r="O45" s="11" t="n">
        <f aca="false">G45*N45</f>
        <v>3</v>
      </c>
      <c r="P45" s="14" t="n">
        <f aca="false">DATOS!$C$10*N45</f>
        <v>7.02</v>
      </c>
      <c r="Q45" s="18" t="n">
        <f aca="false">-P45/100</f>
        <v>-0.0702</v>
      </c>
      <c r="R45" s="17" t="n">
        <v>302</v>
      </c>
      <c r="S45" s="10" t="s">
        <v>335</v>
      </c>
    </row>
    <row r="46" customFormat="false" ht="14.25" hidden="false" customHeight="true" outlineLevel="0" collapsed="false">
      <c r="B46" s="25" t="s">
        <v>336</v>
      </c>
      <c r="C46" s="8" t="s">
        <v>306</v>
      </c>
      <c r="D46" s="17" t="n">
        <v>6</v>
      </c>
      <c r="E46" s="7" t="n">
        <v>7.2</v>
      </c>
      <c r="F46" s="8" t="s">
        <v>255</v>
      </c>
      <c r="G46" s="7" t="n">
        <v>6.75001</v>
      </c>
      <c r="H46" s="7" t="n">
        <v>6</v>
      </c>
      <c r="I46" s="7" t="n">
        <v>8.4</v>
      </c>
      <c r="J46" s="7" t="n">
        <v>8.4</v>
      </c>
      <c r="K46" s="26" t="n">
        <f aca="false">(H46+E46)/2</f>
        <v>6.6</v>
      </c>
      <c r="L46" s="26" t="n">
        <f aca="false">(E46+I46)/2</f>
        <v>7.8</v>
      </c>
      <c r="M46" s="26" t="n">
        <f aca="false">(E46+J46)/2</f>
        <v>7.8</v>
      </c>
      <c r="N46" s="26" t="n">
        <f aca="false">(L46+M46)/2-K46</f>
        <v>1.2</v>
      </c>
      <c r="O46" s="11" t="n">
        <f aca="false">G46*N46</f>
        <v>8.10001200000001</v>
      </c>
      <c r="P46" s="14" t="n">
        <f aca="false">DATOS!$C$10*N46</f>
        <v>7.02000000000001</v>
      </c>
      <c r="Q46" s="18" t="n">
        <f aca="false">-P46/100</f>
        <v>-0.0702000000000001</v>
      </c>
      <c r="R46" s="17" t="n">
        <v>307</v>
      </c>
      <c r="S46" s="10" t="s">
        <v>337</v>
      </c>
    </row>
    <row r="47" customFormat="false" ht="14.25" hidden="false" customHeight="true" outlineLevel="0" collapsed="false">
      <c r="B47" s="25" t="s">
        <v>338</v>
      </c>
      <c r="C47" s="8" t="s">
        <v>306</v>
      </c>
      <c r="D47" s="17" t="n">
        <v>6</v>
      </c>
      <c r="E47" s="7" t="n">
        <v>7.2</v>
      </c>
      <c r="F47" s="8" t="s">
        <v>258</v>
      </c>
      <c r="G47" s="7" t="n">
        <v>6.74999</v>
      </c>
      <c r="H47" s="7" t="n">
        <v>6</v>
      </c>
      <c r="I47" s="7" t="n">
        <v>8.4</v>
      </c>
      <c r="J47" s="7" t="n">
        <v>8.4</v>
      </c>
      <c r="K47" s="26" t="n">
        <f aca="false">(H47+E47)/2</f>
        <v>6.6</v>
      </c>
      <c r="L47" s="26" t="n">
        <f aca="false">(E47+I47)/2</f>
        <v>7.8</v>
      </c>
      <c r="M47" s="26" t="n">
        <f aca="false">(E47+J47)/2</f>
        <v>7.8</v>
      </c>
      <c r="N47" s="26" t="n">
        <f aca="false">(L47+M47)/2-K47</f>
        <v>1.2</v>
      </c>
      <c r="O47" s="11" t="n">
        <f aca="false">G47*N47</f>
        <v>8.09998800000001</v>
      </c>
      <c r="P47" s="14" t="n">
        <f aca="false">DATOS!$C$10*N47</f>
        <v>7.02000000000001</v>
      </c>
      <c r="Q47" s="18" t="n">
        <f aca="false">-P47/100</f>
        <v>-0.0702000000000001</v>
      </c>
      <c r="R47" s="17" t="n">
        <v>308</v>
      </c>
      <c r="S47" s="10" t="s">
        <v>339</v>
      </c>
    </row>
    <row r="48" customFormat="false" ht="14.25" hidden="false" customHeight="true" outlineLevel="0" collapsed="false">
      <c r="B48" s="25" t="s">
        <v>340</v>
      </c>
      <c r="C48" s="8" t="s">
        <v>306</v>
      </c>
      <c r="D48" s="17" t="n">
        <v>6</v>
      </c>
      <c r="E48" s="7" t="n">
        <v>7.2</v>
      </c>
      <c r="F48" s="8" t="s">
        <v>261</v>
      </c>
      <c r="G48" s="7" t="n">
        <v>2.5</v>
      </c>
      <c r="H48" s="7" t="n">
        <v>6</v>
      </c>
      <c r="I48" s="7" t="n">
        <v>8.4</v>
      </c>
      <c r="J48" s="7" t="n">
        <v>8.4</v>
      </c>
      <c r="K48" s="26" t="n">
        <f aca="false">(H48+E48)/2</f>
        <v>6.6</v>
      </c>
      <c r="L48" s="26" t="n">
        <f aca="false">(E48+I48)/2</f>
        <v>7.8</v>
      </c>
      <c r="M48" s="26" t="n">
        <f aca="false">(E48+J48)/2</f>
        <v>7.8</v>
      </c>
      <c r="N48" s="26" t="n">
        <f aca="false">(L48+M48)/2-K48</f>
        <v>1.2</v>
      </c>
      <c r="O48" s="11" t="n">
        <f aca="false">G48*N48</f>
        <v>3</v>
      </c>
      <c r="P48" s="14" t="n">
        <f aca="false">DATOS!$C$10*N48</f>
        <v>7.02000000000001</v>
      </c>
      <c r="Q48" s="18" t="n">
        <f aca="false">-P48/100</f>
        <v>-0.0702000000000001</v>
      </c>
      <c r="R48" s="17" t="n">
        <v>309</v>
      </c>
      <c r="S48" s="10" t="s">
        <v>341</v>
      </c>
    </row>
    <row r="49" customFormat="false" ht="14.25" hidden="false" customHeight="true" outlineLevel="0" collapsed="false">
      <c r="B49" s="25" t="s">
        <v>342</v>
      </c>
      <c r="C49" s="8" t="s">
        <v>306</v>
      </c>
      <c r="D49" s="17" t="n">
        <v>7</v>
      </c>
      <c r="E49" s="7" t="n">
        <v>8.4</v>
      </c>
      <c r="F49" s="8" t="s">
        <v>255</v>
      </c>
      <c r="G49" s="7" t="n">
        <v>6.75001</v>
      </c>
      <c r="H49" s="7" t="n">
        <v>7.2</v>
      </c>
      <c r="I49" s="7" t="n">
        <v>9.6</v>
      </c>
      <c r="J49" s="7" t="n">
        <v>9.6</v>
      </c>
      <c r="K49" s="26" t="n">
        <f aca="false">(H49+E49)/2</f>
        <v>7.8</v>
      </c>
      <c r="L49" s="26" t="n">
        <f aca="false">(E49+I49)/2</f>
        <v>9</v>
      </c>
      <c r="M49" s="26" t="n">
        <f aca="false">(E49+J49)/2</f>
        <v>9</v>
      </c>
      <c r="N49" s="26" t="n">
        <f aca="false">(L49+M49)/2-K49</f>
        <v>1.2</v>
      </c>
      <c r="O49" s="11" t="n">
        <f aca="false">G49*N49</f>
        <v>8.10001199999999</v>
      </c>
      <c r="P49" s="14" t="n">
        <f aca="false">DATOS!$C$10*N49</f>
        <v>7.02</v>
      </c>
      <c r="Q49" s="18" t="n">
        <f aca="false">-P49/100</f>
        <v>-0.0702</v>
      </c>
      <c r="R49" s="17" t="n">
        <v>318</v>
      </c>
      <c r="S49" s="10" t="s">
        <v>343</v>
      </c>
    </row>
    <row r="50" customFormat="false" ht="14.25" hidden="false" customHeight="true" outlineLevel="0" collapsed="false">
      <c r="B50" s="25" t="s">
        <v>344</v>
      </c>
      <c r="C50" s="8" t="s">
        <v>306</v>
      </c>
      <c r="D50" s="17" t="n">
        <v>7</v>
      </c>
      <c r="E50" s="7" t="n">
        <v>8.4</v>
      </c>
      <c r="F50" s="8" t="s">
        <v>258</v>
      </c>
      <c r="G50" s="7" t="n">
        <v>6.74999</v>
      </c>
      <c r="H50" s="7" t="n">
        <v>7.2</v>
      </c>
      <c r="I50" s="7" t="n">
        <v>9.6</v>
      </c>
      <c r="J50" s="7" t="n">
        <v>9.6</v>
      </c>
      <c r="K50" s="26" t="n">
        <f aca="false">(H50+E50)/2</f>
        <v>7.8</v>
      </c>
      <c r="L50" s="26" t="n">
        <f aca="false">(E50+I50)/2</f>
        <v>9</v>
      </c>
      <c r="M50" s="26" t="n">
        <f aca="false">(E50+J50)/2</f>
        <v>9</v>
      </c>
      <c r="N50" s="26" t="n">
        <f aca="false">(L50+M50)/2-K50</f>
        <v>1.2</v>
      </c>
      <c r="O50" s="11" t="n">
        <f aca="false">G50*N50</f>
        <v>8.099988</v>
      </c>
      <c r="P50" s="14" t="n">
        <f aca="false">DATOS!$C$10*N50</f>
        <v>7.02</v>
      </c>
      <c r="Q50" s="18" t="n">
        <f aca="false">-P50/100</f>
        <v>-0.0702</v>
      </c>
      <c r="R50" s="17" t="n">
        <v>311</v>
      </c>
      <c r="S50" s="10" t="s">
        <v>345</v>
      </c>
    </row>
    <row r="51" customFormat="false" ht="14.25" hidden="false" customHeight="true" outlineLevel="0" collapsed="false">
      <c r="B51" s="25" t="s">
        <v>346</v>
      </c>
      <c r="C51" s="8" t="s">
        <v>306</v>
      </c>
      <c r="D51" s="17" t="n">
        <v>7</v>
      </c>
      <c r="E51" s="7" t="n">
        <v>8.4</v>
      </c>
      <c r="F51" s="8" t="s">
        <v>261</v>
      </c>
      <c r="G51" s="7" t="n">
        <v>2.5</v>
      </c>
      <c r="H51" s="7" t="n">
        <v>7.2</v>
      </c>
      <c r="I51" s="7" t="n">
        <v>9.6</v>
      </c>
      <c r="J51" s="7" t="n">
        <v>9.6</v>
      </c>
      <c r="K51" s="26" t="n">
        <f aca="false">(H51+E51)/2</f>
        <v>7.8</v>
      </c>
      <c r="L51" s="26" t="n">
        <f aca="false">(E51+I51)/2</f>
        <v>9</v>
      </c>
      <c r="M51" s="26" t="n">
        <f aca="false">(E51+J51)/2</f>
        <v>9</v>
      </c>
      <c r="N51" s="26" t="n">
        <f aca="false">(L51+M51)/2-K51</f>
        <v>1.2</v>
      </c>
      <c r="O51" s="11" t="n">
        <f aca="false">G51*N51</f>
        <v>3</v>
      </c>
      <c r="P51" s="14" t="n">
        <f aca="false">DATOS!$C$10*N51</f>
        <v>7.02</v>
      </c>
      <c r="Q51" s="18" t="n">
        <f aca="false">-P51/100</f>
        <v>-0.0702</v>
      </c>
      <c r="R51" s="17" t="n">
        <v>310</v>
      </c>
      <c r="S51" s="10" t="s">
        <v>347</v>
      </c>
    </row>
    <row r="52" customFormat="false" ht="18.75" hidden="false" customHeight="true" outlineLevel="0" collapsed="false">
      <c r="B52" s="25" t="s">
        <v>348</v>
      </c>
      <c r="C52" s="8" t="s">
        <v>306</v>
      </c>
      <c r="D52" s="17" t="n">
        <v>8</v>
      </c>
      <c r="E52" s="7" t="n">
        <v>9.6</v>
      </c>
      <c r="F52" s="8" t="s">
        <v>255</v>
      </c>
      <c r="G52" s="7" t="n">
        <v>6.75001</v>
      </c>
      <c r="H52" s="7" t="n">
        <v>8.4</v>
      </c>
      <c r="I52" s="7" t="n">
        <v>10.62</v>
      </c>
      <c r="J52" s="7" t="n">
        <v>10.28</v>
      </c>
      <c r="K52" s="26" t="n">
        <f aca="false">(H52+E52)/2</f>
        <v>9</v>
      </c>
      <c r="L52" s="26" t="n">
        <f aca="false">(E52+I52)/2</f>
        <v>10.11</v>
      </c>
      <c r="M52" s="26" t="n">
        <f aca="false">(E52+J52)/2</f>
        <v>9.94</v>
      </c>
      <c r="N52" s="26" t="n">
        <f aca="false">(L52+M52)/2-K52</f>
        <v>1.025</v>
      </c>
      <c r="O52" s="11" t="n">
        <f aca="false">G52*N52</f>
        <v>6.91876024999999</v>
      </c>
      <c r="P52" s="14" t="n">
        <f aca="false">DATOS!$C$10*N52</f>
        <v>5.99624999999999</v>
      </c>
      <c r="Q52" s="18" t="n">
        <f aca="false">-P52/100</f>
        <v>-0.0599624999999999</v>
      </c>
      <c r="R52" s="17" t="n">
        <v>321</v>
      </c>
      <c r="S52" s="10" t="s">
        <v>349</v>
      </c>
    </row>
    <row r="53" customFormat="false" ht="18.75" hidden="false" customHeight="true" outlineLevel="0" collapsed="false">
      <c r="B53" s="25" t="s">
        <v>350</v>
      </c>
      <c r="C53" s="8" t="s">
        <v>306</v>
      </c>
      <c r="D53" s="17" t="n">
        <v>8</v>
      </c>
      <c r="E53" s="7" t="n">
        <v>9.6</v>
      </c>
      <c r="F53" s="8" t="s">
        <v>258</v>
      </c>
      <c r="G53" s="7" t="n">
        <v>6.74999</v>
      </c>
      <c r="H53" s="7" t="n">
        <v>8.4</v>
      </c>
      <c r="I53" s="7" t="n">
        <v>10.28</v>
      </c>
      <c r="J53" s="7" t="n">
        <v>9.94002</v>
      </c>
      <c r="K53" s="26" t="n">
        <f aca="false">(H53+E53)/2</f>
        <v>9</v>
      </c>
      <c r="L53" s="26" t="n">
        <f aca="false">(E53+I53)/2</f>
        <v>9.94</v>
      </c>
      <c r="M53" s="26" t="n">
        <f aca="false">(E53+J53)/2</f>
        <v>9.77001</v>
      </c>
      <c r="N53" s="26" t="n">
        <f aca="false">(L53+M53)/2-K53</f>
        <v>0.855004999999999</v>
      </c>
      <c r="O53" s="11" t="n">
        <f aca="false">G53*N53</f>
        <v>5.77127519994999</v>
      </c>
      <c r="P53" s="14" t="n">
        <f aca="false">DATOS!$C$10*N53</f>
        <v>5.00177924999999</v>
      </c>
      <c r="Q53" s="18" t="n">
        <f aca="false">-P53/100</f>
        <v>-0.0500177924999999</v>
      </c>
      <c r="R53" s="17" t="n">
        <v>320</v>
      </c>
      <c r="S53" s="10" t="s">
        <v>351</v>
      </c>
    </row>
    <row r="54" customFormat="false" ht="18.75" hidden="false" customHeight="true" outlineLevel="0" collapsed="false">
      <c r="B54" s="25" t="s">
        <v>352</v>
      </c>
      <c r="C54" s="8" t="s">
        <v>306</v>
      </c>
      <c r="D54" s="17" t="n">
        <v>8</v>
      </c>
      <c r="E54" s="7" t="n">
        <v>9.6</v>
      </c>
      <c r="F54" s="8" t="s">
        <v>261</v>
      </c>
      <c r="G54" s="7" t="n">
        <v>2.5</v>
      </c>
      <c r="H54" s="7" t="n">
        <v>8.4</v>
      </c>
      <c r="I54" s="7" t="n">
        <v>9.94002</v>
      </c>
      <c r="J54" s="7" t="n">
        <v>9.82002</v>
      </c>
      <c r="K54" s="26" t="n">
        <f aca="false">(H54+E54)/2</f>
        <v>9</v>
      </c>
      <c r="L54" s="26" t="n">
        <f aca="false">(E54+I54)/2</f>
        <v>9.77001</v>
      </c>
      <c r="M54" s="26" t="n">
        <f aca="false">(E54+J54)/2</f>
        <v>9.71001</v>
      </c>
      <c r="N54" s="26" t="n">
        <f aca="false">(L54+M54)/2-K54</f>
        <v>0.74001</v>
      </c>
      <c r="O54" s="11" t="n">
        <f aca="false">G54*N54</f>
        <v>1.850025</v>
      </c>
      <c r="P54" s="14" t="n">
        <f aca="false">DATOS!$C$10*N54</f>
        <v>4.3290585</v>
      </c>
      <c r="Q54" s="18" t="n">
        <f aca="false">-P54/100</f>
        <v>-0.043290585</v>
      </c>
      <c r="R54" s="17" t="n">
        <v>319</v>
      </c>
      <c r="S54" s="10" t="s">
        <v>353</v>
      </c>
    </row>
    <row r="55" customFormat="false" ht="15" hidden="false" customHeight="true" outlineLevel="0" collapsed="false">
      <c r="B55" s="25" t="s">
        <v>181</v>
      </c>
      <c r="C55" s="34" t="s">
        <v>354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11" t="n">
        <f aca="false">SUM(O7:O54)</f>
        <v>297.8801208999</v>
      </c>
    </row>
    <row r="57" customFormat="false" ht="21" hidden="false" customHeight="true" outlineLevel="0" collapsed="false">
      <c r="B57" s="4" t="s">
        <v>355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30" hidden="false" customHeight="true" outlineLevel="0" collapsed="false">
      <c r="B58" s="12" t="s">
        <v>356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customFormat="false" ht="30" hidden="false" customHeight="true" outlineLevel="0" collapsed="false">
      <c r="B59" s="5" t="s">
        <v>357</v>
      </c>
      <c r="C59" s="5" t="s">
        <v>232</v>
      </c>
      <c r="D59" s="5"/>
      <c r="E59" s="5" t="s">
        <v>244</v>
      </c>
      <c r="F59" s="5" t="s">
        <v>358</v>
      </c>
      <c r="G59" s="5" t="s">
        <v>359</v>
      </c>
      <c r="H59" s="5" t="s">
        <v>236</v>
      </c>
      <c r="I59" s="5" t="s">
        <v>360</v>
      </c>
      <c r="J59" s="5" t="s">
        <v>361</v>
      </c>
      <c r="K59" s="5" t="s">
        <v>362</v>
      </c>
      <c r="L59" s="5" t="s">
        <v>363</v>
      </c>
      <c r="M59" s="5" t="s">
        <v>364</v>
      </c>
      <c r="N59" s="5" t="s">
        <v>242</v>
      </c>
      <c r="O59" s="5" t="s">
        <v>116</v>
      </c>
      <c r="P59" s="5" t="s">
        <v>117</v>
      </c>
      <c r="Q59" s="5" t="s">
        <v>243</v>
      </c>
      <c r="R59" s="5"/>
      <c r="S59" s="5" t="s">
        <v>7</v>
      </c>
    </row>
    <row r="60" customFormat="false" ht="24" hidden="false" customHeight="true" outlineLevel="0" collapsed="false">
      <c r="B60" s="24"/>
      <c r="C60" s="24"/>
      <c r="D60" s="24"/>
      <c r="E60" s="24" t="s">
        <v>134</v>
      </c>
      <c r="F60" s="24" t="s">
        <v>123</v>
      </c>
      <c r="G60" s="24" t="s">
        <v>123</v>
      </c>
      <c r="H60" s="24" t="s">
        <v>365</v>
      </c>
      <c r="I60" s="24" t="s">
        <v>123</v>
      </c>
      <c r="J60" s="24" t="s">
        <v>123</v>
      </c>
      <c r="K60" s="24" t="s">
        <v>123</v>
      </c>
      <c r="L60" s="24" t="s">
        <v>366</v>
      </c>
      <c r="M60" s="24" t="s">
        <v>366</v>
      </c>
      <c r="N60" s="24" t="s">
        <v>249</v>
      </c>
      <c r="O60" s="24" t="s">
        <v>250</v>
      </c>
      <c r="P60" s="24" t="s">
        <v>251</v>
      </c>
      <c r="Q60" s="24" t="s">
        <v>252</v>
      </c>
      <c r="R60" s="24"/>
      <c r="S60" s="24"/>
    </row>
    <row r="61" customFormat="false" ht="14.25" hidden="false" customHeight="true" outlineLevel="0" collapsed="false">
      <c r="B61" s="25" t="s">
        <v>202</v>
      </c>
      <c r="C61" s="8" t="s">
        <v>254</v>
      </c>
      <c r="D61" s="8"/>
      <c r="E61" s="17" t="n">
        <v>60</v>
      </c>
      <c r="F61" s="7" t="n">
        <v>0</v>
      </c>
      <c r="G61" s="7" t="n">
        <v>1.35</v>
      </c>
      <c r="H61" s="14" t="n">
        <f aca="false">G61-F61</f>
        <v>1.35</v>
      </c>
      <c r="I61" s="36" t="n">
        <v>10.62</v>
      </c>
      <c r="J61" s="36" t="n">
        <v>10.552</v>
      </c>
      <c r="K61" s="7" t="n">
        <v>9.6</v>
      </c>
      <c r="L61" s="26" t="n">
        <f aca="false">(I61-K61)/2</f>
        <v>0.51</v>
      </c>
      <c r="M61" s="26" t="n">
        <f aca="false">(J61-K61)/2</f>
        <v>0.476</v>
      </c>
      <c r="N61" s="26" t="n">
        <f aca="false">(L61+M61)/2</f>
        <v>0.493</v>
      </c>
      <c r="O61" s="37" t="n">
        <f aca="false">H61*N61</f>
        <v>0.66555</v>
      </c>
      <c r="P61" s="14" t="n">
        <f aca="false">DATOS!$C$10*N61</f>
        <v>2.88405</v>
      </c>
      <c r="Q61" s="18" t="n">
        <f aca="false">-P61/100</f>
        <v>-0.0288405</v>
      </c>
      <c r="R61" s="8"/>
      <c r="S61" s="10" t="s">
        <v>367</v>
      </c>
    </row>
    <row r="62" customFormat="false" ht="14.25" hidden="false" customHeight="true" outlineLevel="0" collapsed="false">
      <c r="B62" s="25" t="s">
        <v>202</v>
      </c>
      <c r="C62" s="8" t="s">
        <v>254</v>
      </c>
      <c r="D62" s="8"/>
      <c r="E62" s="17" t="n">
        <v>59</v>
      </c>
      <c r="F62" s="7" t="n">
        <v>1.35</v>
      </c>
      <c r="G62" s="7" t="n">
        <v>2.7</v>
      </c>
      <c r="H62" s="14" t="n">
        <f aca="false">G62-F62</f>
        <v>1.35</v>
      </c>
      <c r="I62" s="36" t="n">
        <v>10.552</v>
      </c>
      <c r="J62" s="36" t="n">
        <v>10.484</v>
      </c>
      <c r="K62" s="7" t="n">
        <v>9.6</v>
      </c>
      <c r="L62" s="26" t="n">
        <f aca="false">(I62-K62)/2</f>
        <v>0.476</v>
      </c>
      <c r="M62" s="26" t="n">
        <f aca="false">(J62-K62)/2</f>
        <v>0.442</v>
      </c>
      <c r="N62" s="26" t="n">
        <f aca="false">(L62+M62)/2</f>
        <v>0.459</v>
      </c>
      <c r="O62" s="37" t="n">
        <f aca="false">H62*N62</f>
        <v>0.61965</v>
      </c>
      <c r="P62" s="14" t="n">
        <f aca="false">DATOS!$C$10*N62</f>
        <v>2.68515</v>
      </c>
      <c r="Q62" s="18" t="n">
        <f aca="false">-P62/100</f>
        <v>-0.0268515</v>
      </c>
      <c r="R62" s="8"/>
      <c r="S62" s="10" t="s">
        <v>368</v>
      </c>
    </row>
    <row r="63" customFormat="false" ht="14.25" hidden="false" customHeight="true" outlineLevel="0" collapsed="false">
      <c r="B63" s="25" t="s">
        <v>202</v>
      </c>
      <c r="C63" s="8" t="s">
        <v>254</v>
      </c>
      <c r="D63" s="8"/>
      <c r="E63" s="17" t="n">
        <v>58</v>
      </c>
      <c r="F63" s="7" t="n">
        <v>2.7</v>
      </c>
      <c r="G63" s="7" t="n">
        <v>4.05001</v>
      </c>
      <c r="H63" s="14" t="n">
        <f aca="false">G63-F63</f>
        <v>1.35001</v>
      </c>
      <c r="I63" s="36" t="n">
        <v>10.484</v>
      </c>
      <c r="J63" s="36" t="n">
        <v>10.416</v>
      </c>
      <c r="K63" s="7" t="n">
        <v>9.6</v>
      </c>
      <c r="L63" s="26" t="n">
        <f aca="false">(I63-K63)/2</f>
        <v>0.442</v>
      </c>
      <c r="M63" s="26" t="n">
        <f aca="false">(J63-K63)/2</f>
        <v>0.408</v>
      </c>
      <c r="N63" s="26" t="n">
        <f aca="false">(L63+M63)/2</f>
        <v>0.425</v>
      </c>
      <c r="O63" s="37" t="n">
        <f aca="false">H63*N63</f>
        <v>0.573754250000001</v>
      </c>
      <c r="P63" s="14" t="n">
        <f aca="false">DATOS!$C$10*N63</f>
        <v>2.48625</v>
      </c>
      <c r="Q63" s="18" t="n">
        <f aca="false">-P63/100</f>
        <v>-0.0248625</v>
      </c>
      <c r="R63" s="8"/>
      <c r="S63" s="10" t="s">
        <v>369</v>
      </c>
    </row>
    <row r="64" customFormat="false" ht="14.25" hidden="false" customHeight="true" outlineLevel="0" collapsed="false">
      <c r="B64" s="25" t="s">
        <v>202</v>
      </c>
      <c r="C64" s="8" t="s">
        <v>254</v>
      </c>
      <c r="D64" s="8"/>
      <c r="E64" s="17" t="n">
        <v>57</v>
      </c>
      <c r="F64" s="7" t="n">
        <v>4.05001</v>
      </c>
      <c r="G64" s="7" t="n">
        <v>5.40001</v>
      </c>
      <c r="H64" s="14" t="n">
        <f aca="false">G64-F64</f>
        <v>1.35</v>
      </c>
      <c r="I64" s="36" t="n">
        <v>10.416</v>
      </c>
      <c r="J64" s="36" t="n">
        <v>10.348</v>
      </c>
      <c r="K64" s="7" t="n">
        <v>9.6</v>
      </c>
      <c r="L64" s="26" t="n">
        <f aca="false">(I64-K64)/2</f>
        <v>0.408</v>
      </c>
      <c r="M64" s="26" t="n">
        <f aca="false">(J64-K64)/2</f>
        <v>0.374000000000001</v>
      </c>
      <c r="N64" s="26" t="n">
        <f aca="false">(L64+M64)/2</f>
        <v>0.391</v>
      </c>
      <c r="O64" s="37" t="n">
        <f aca="false">H64*N64</f>
        <v>0.527850000000001</v>
      </c>
      <c r="P64" s="14" t="n">
        <f aca="false">DATOS!$C$10*N64</f>
        <v>2.28735</v>
      </c>
      <c r="Q64" s="18" t="n">
        <f aca="false">-P64/100</f>
        <v>-0.0228735</v>
      </c>
      <c r="R64" s="8"/>
      <c r="S64" s="10" t="s">
        <v>370</v>
      </c>
    </row>
    <row r="65" customFormat="false" ht="14.25" hidden="false" customHeight="true" outlineLevel="0" collapsed="false">
      <c r="B65" s="25" t="s">
        <v>202</v>
      </c>
      <c r="C65" s="8" t="s">
        <v>254</v>
      </c>
      <c r="D65" s="8"/>
      <c r="E65" s="17" t="n">
        <v>10</v>
      </c>
      <c r="F65" s="7" t="n">
        <v>5.40001</v>
      </c>
      <c r="G65" s="7" t="n">
        <v>6.75001</v>
      </c>
      <c r="H65" s="14" t="n">
        <f aca="false">G65-F65</f>
        <v>1.35</v>
      </c>
      <c r="I65" s="36" t="n">
        <v>10.348</v>
      </c>
      <c r="J65" s="36" t="n">
        <v>10.28</v>
      </c>
      <c r="K65" s="7" t="n">
        <v>9.6</v>
      </c>
      <c r="L65" s="26" t="n">
        <f aca="false">(I65-K65)/2</f>
        <v>0.374000000000001</v>
      </c>
      <c r="M65" s="26" t="n">
        <f aca="false">(J65-K65)/2</f>
        <v>0.34</v>
      </c>
      <c r="N65" s="26" t="n">
        <f aca="false">(L65+M65)/2</f>
        <v>0.357</v>
      </c>
      <c r="O65" s="37" t="n">
        <f aca="false">H65*N65</f>
        <v>0.48195</v>
      </c>
      <c r="P65" s="14" t="n">
        <f aca="false">DATOS!$C$10*N65</f>
        <v>2.08845</v>
      </c>
      <c r="Q65" s="18" t="n">
        <f aca="false">-P65/100</f>
        <v>-0.0208845</v>
      </c>
      <c r="R65" s="8"/>
      <c r="S65" s="10" t="s">
        <v>371</v>
      </c>
    </row>
    <row r="66" customFormat="false" ht="14.25" hidden="false" customHeight="true" outlineLevel="0" collapsed="false">
      <c r="B66" s="25" t="s">
        <v>207</v>
      </c>
      <c r="C66" s="8" t="s">
        <v>254</v>
      </c>
      <c r="D66" s="8"/>
      <c r="E66" s="17" t="n">
        <v>68</v>
      </c>
      <c r="F66" s="7" t="n">
        <v>6.75001</v>
      </c>
      <c r="G66" s="7" t="n">
        <v>8.10001</v>
      </c>
      <c r="H66" s="14" t="n">
        <f aca="false">G66-F66</f>
        <v>1.35</v>
      </c>
      <c r="I66" s="36" t="n">
        <v>10.28</v>
      </c>
      <c r="J66" s="36" t="n">
        <v>10.212</v>
      </c>
      <c r="K66" s="7" t="n">
        <v>9.6</v>
      </c>
      <c r="L66" s="26" t="n">
        <f aca="false">(I66-K66)/2</f>
        <v>0.34</v>
      </c>
      <c r="M66" s="26" t="n">
        <f aca="false">(J66-K66)/2</f>
        <v>0.306</v>
      </c>
      <c r="N66" s="26" t="n">
        <f aca="false">(L66+M66)/2</f>
        <v>0.323</v>
      </c>
      <c r="O66" s="37" t="n">
        <f aca="false">H66*N66</f>
        <v>0.43605</v>
      </c>
      <c r="P66" s="14" t="n">
        <f aca="false">DATOS!$C$10*N66</f>
        <v>1.88955</v>
      </c>
      <c r="Q66" s="18" t="n">
        <f aca="false">-P66/100</f>
        <v>-0.0188955</v>
      </c>
      <c r="R66" s="8"/>
      <c r="S66" s="10" t="s">
        <v>372</v>
      </c>
    </row>
    <row r="67" customFormat="false" ht="14.25" hidden="false" customHeight="true" outlineLevel="0" collapsed="false">
      <c r="B67" s="25" t="s">
        <v>207</v>
      </c>
      <c r="C67" s="8" t="s">
        <v>254</v>
      </c>
      <c r="D67" s="8"/>
      <c r="E67" s="17" t="n">
        <v>67</v>
      </c>
      <c r="F67" s="7" t="n">
        <v>8.10001</v>
      </c>
      <c r="G67" s="7" t="n">
        <v>9.45001</v>
      </c>
      <c r="H67" s="14" t="n">
        <f aca="false">G67-F67</f>
        <v>1.35</v>
      </c>
      <c r="I67" s="36" t="n">
        <v>10.212</v>
      </c>
      <c r="J67" s="36" t="n">
        <v>10.144</v>
      </c>
      <c r="K67" s="7" t="n">
        <v>9.6</v>
      </c>
      <c r="L67" s="26" t="n">
        <f aca="false">(I67-K67)/2</f>
        <v>0.306</v>
      </c>
      <c r="M67" s="26" t="n">
        <f aca="false">(J67-K67)/2</f>
        <v>0.272</v>
      </c>
      <c r="N67" s="26" t="n">
        <f aca="false">(L67+M67)/2</f>
        <v>0.289</v>
      </c>
      <c r="O67" s="37" t="n">
        <f aca="false">H67*N67</f>
        <v>0.390150000000001</v>
      </c>
      <c r="P67" s="14" t="n">
        <f aca="false">DATOS!$C$10*N67</f>
        <v>1.69065</v>
      </c>
      <c r="Q67" s="18" t="n">
        <f aca="false">-P67/100</f>
        <v>-0.0169065</v>
      </c>
      <c r="R67" s="8"/>
      <c r="S67" s="10" t="s">
        <v>373</v>
      </c>
    </row>
    <row r="68" customFormat="false" ht="14.25" hidden="false" customHeight="true" outlineLevel="0" collapsed="false">
      <c r="B68" s="25" t="s">
        <v>207</v>
      </c>
      <c r="C68" s="8" t="s">
        <v>254</v>
      </c>
      <c r="D68" s="8"/>
      <c r="E68" s="17" t="n">
        <v>66</v>
      </c>
      <c r="F68" s="7" t="n">
        <v>9.45001</v>
      </c>
      <c r="G68" s="7" t="n">
        <v>10.8</v>
      </c>
      <c r="H68" s="14" t="n">
        <f aca="false">G68-F68</f>
        <v>1.34999</v>
      </c>
      <c r="I68" s="36" t="n">
        <v>10.144</v>
      </c>
      <c r="J68" s="36" t="n">
        <v>10.076</v>
      </c>
      <c r="K68" s="7" t="n">
        <v>9.6</v>
      </c>
      <c r="L68" s="26" t="n">
        <f aca="false">(I68-K68)/2</f>
        <v>0.272</v>
      </c>
      <c r="M68" s="26" t="n">
        <f aca="false">(J68-K68)/2</f>
        <v>0.238</v>
      </c>
      <c r="N68" s="26" t="n">
        <f aca="false">(L68+M68)/2</f>
        <v>0.255</v>
      </c>
      <c r="O68" s="37" t="n">
        <f aca="false">H68*N68</f>
        <v>0.34424745</v>
      </c>
      <c r="P68" s="14" t="n">
        <f aca="false">DATOS!$C$10*N68</f>
        <v>1.49175</v>
      </c>
      <c r="Q68" s="18" t="n">
        <f aca="false">-P68/100</f>
        <v>-0.0149175</v>
      </c>
      <c r="R68" s="8"/>
      <c r="S68" s="10" t="s">
        <v>374</v>
      </c>
    </row>
    <row r="69" customFormat="false" ht="14.25" hidden="false" customHeight="true" outlineLevel="0" collapsed="false">
      <c r="B69" s="25" t="s">
        <v>207</v>
      </c>
      <c r="C69" s="8" t="s">
        <v>254</v>
      </c>
      <c r="D69" s="8"/>
      <c r="E69" s="17" t="n">
        <v>65</v>
      </c>
      <c r="F69" s="7" t="n">
        <v>10.8</v>
      </c>
      <c r="G69" s="7" t="n">
        <v>12.15</v>
      </c>
      <c r="H69" s="14" t="n">
        <f aca="false">G69-F69</f>
        <v>1.35</v>
      </c>
      <c r="I69" s="36" t="n">
        <v>10.076</v>
      </c>
      <c r="J69" s="36" t="n">
        <v>10.008</v>
      </c>
      <c r="K69" s="7" t="n">
        <v>9.6</v>
      </c>
      <c r="L69" s="26" t="n">
        <f aca="false">(I69-K69)/2</f>
        <v>0.238</v>
      </c>
      <c r="M69" s="26" t="n">
        <f aca="false">(J69-K69)/2</f>
        <v>0.204</v>
      </c>
      <c r="N69" s="26" t="n">
        <f aca="false">(L69+M69)/2</f>
        <v>0.221</v>
      </c>
      <c r="O69" s="37" t="n">
        <f aca="false">H69*N69</f>
        <v>0.29835</v>
      </c>
      <c r="P69" s="14" t="n">
        <f aca="false">DATOS!$C$10*N69</f>
        <v>1.29285</v>
      </c>
      <c r="Q69" s="18" t="n">
        <f aca="false">-P69/100</f>
        <v>-0.0129285</v>
      </c>
      <c r="R69" s="8"/>
      <c r="S69" s="10" t="s">
        <v>375</v>
      </c>
    </row>
    <row r="70" customFormat="false" ht="14.25" hidden="false" customHeight="true" outlineLevel="0" collapsed="false">
      <c r="B70" s="25" t="s">
        <v>207</v>
      </c>
      <c r="C70" s="8" t="s">
        <v>254</v>
      </c>
      <c r="D70" s="8"/>
      <c r="E70" s="17" t="n">
        <v>43</v>
      </c>
      <c r="F70" s="7" t="n">
        <v>12.15</v>
      </c>
      <c r="G70" s="7" t="n">
        <v>13.5</v>
      </c>
      <c r="H70" s="14" t="n">
        <f aca="false">G70-F70</f>
        <v>1.35</v>
      </c>
      <c r="I70" s="36" t="n">
        <v>10.008</v>
      </c>
      <c r="J70" s="36" t="n">
        <v>9.94002</v>
      </c>
      <c r="K70" s="7" t="n">
        <v>9.6</v>
      </c>
      <c r="L70" s="26" t="n">
        <f aca="false">(I70-K70)/2</f>
        <v>0.204</v>
      </c>
      <c r="M70" s="26" t="n">
        <f aca="false">(J70-K70)/2</f>
        <v>0.17001</v>
      </c>
      <c r="N70" s="26" t="n">
        <f aca="false">(L70+M70)/2</f>
        <v>0.187005</v>
      </c>
      <c r="O70" s="37" t="n">
        <f aca="false">H70*N70</f>
        <v>0.25245675</v>
      </c>
      <c r="P70" s="14" t="n">
        <f aca="false">DATOS!$C$10*N70</f>
        <v>1.09397925</v>
      </c>
      <c r="Q70" s="18" t="n">
        <f aca="false">-P70/100</f>
        <v>-0.0109397925</v>
      </c>
      <c r="R70" s="8"/>
      <c r="S70" s="10" t="s">
        <v>376</v>
      </c>
    </row>
    <row r="71" customFormat="false" ht="14.25" hidden="false" customHeight="true" outlineLevel="0" collapsed="false">
      <c r="B71" s="25" t="s">
        <v>212</v>
      </c>
      <c r="C71" s="8" t="s">
        <v>254</v>
      </c>
      <c r="D71" s="8"/>
      <c r="E71" s="17" t="n">
        <v>47</v>
      </c>
      <c r="F71" s="7" t="n">
        <v>13.5</v>
      </c>
      <c r="G71" s="7" t="n">
        <v>14.75</v>
      </c>
      <c r="H71" s="14" t="n">
        <f aca="false">G71-F71</f>
        <v>1.25</v>
      </c>
      <c r="I71" s="36" t="n">
        <v>9.94002</v>
      </c>
      <c r="J71" s="36" t="n">
        <v>9.88002</v>
      </c>
      <c r="K71" s="7" t="n">
        <v>9.6</v>
      </c>
      <c r="L71" s="26" t="n">
        <f aca="false">(I71-K71)/2</f>
        <v>0.17001</v>
      </c>
      <c r="M71" s="26" t="n">
        <f aca="false">(J71-K71)/2</f>
        <v>0.14001</v>
      </c>
      <c r="N71" s="26" t="n">
        <f aca="false">(L71+M71)/2</f>
        <v>0.15501</v>
      </c>
      <c r="O71" s="37" t="n">
        <f aca="false">H71*N71</f>
        <v>0.1937625</v>
      </c>
      <c r="P71" s="14" t="n">
        <f aca="false">DATOS!$C$10*N71</f>
        <v>0.906808500000002</v>
      </c>
      <c r="Q71" s="18" t="n">
        <f aca="false">-P71/100</f>
        <v>-0.00906808500000002</v>
      </c>
      <c r="R71" s="8"/>
      <c r="S71" s="10" t="s">
        <v>377</v>
      </c>
    </row>
    <row r="72" customFormat="false" ht="14.25" hidden="false" customHeight="true" outlineLevel="0" collapsed="false">
      <c r="B72" s="25" t="s">
        <v>212</v>
      </c>
      <c r="C72" s="8" t="s">
        <v>254</v>
      </c>
      <c r="D72" s="8"/>
      <c r="E72" s="17" t="n">
        <v>54</v>
      </c>
      <c r="F72" s="7" t="n">
        <v>14.75</v>
      </c>
      <c r="G72" s="7" t="n">
        <v>16</v>
      </c>
      <c r="H72" s="14" t="n">
        <f aca="false">G72-F72</f>
        <v>1.25</v>
      </c>
      <c r="I72" s="36" t="n">
        <v>9.88002</v>
      </c>
      <c r="J72" s="36" t="n">
        <v>9.82002</v>
      </c>
      <c r="K72" s="7" t="n">
        <v>9.6</v>
      </c>
      <c r="L72" s="26" t="n">
        <f aca="false">(I72-K72)/2</f>
        <v>0.14001</v>
      </c>
      <c r="M72" s="26" t="n">
        <f aca="false">(J72-K72)/2</f>
        <v>0.11001</v>
      </c>
      <c r="N72" s="26" t="n">
        <f aca="false">(L72+M72)/2</f>
        <v>0.12501</v>
      </c>
      <c r="O72" s="37" t="n">
        <f aca="false">H72*N72</f>
        <v>0.1562625</v>
      </c>
      <c r="P72" s="14" t="n">
        <f aca="false">DATOS!$C$10*N72</f>
        <v>0.7313085</v>
      </c>
      <c r="Q72" s="18" t="n">
        <f aca="false">-P72/100</f>
        <v>-0.007313085</v>
      </c>
      <c r="R72" s="8"/>
      <c r="S72" s="10" t="s">
        <v>378</v>
      </c>
    </row>
    <row r="73" customFormat="false" ht="14.25" hidden="false" customHeight="true" outlineLevel="0" collapsed="false">
      <c r="B73" s="25" t="s">
        <v>216</v>
      </c>
      <c r="C73" s="8" t="s">
        <v>306</v>
      </c>
      <c r="D73" s="8"/>
      <c r="E73" s="17" t="n">
        <v>64</v>
      </c>
      <c r="F73" s="7" t="n">
        <v>0</v>
      </c>
      <c r="G73" s="7" t="n">
        <v>1.35</v>
      </c>
      <c r="H73" s="14" t="n">
        <f aca="false">G73-F73</f>
        <v>1.35</v>
      </c>
      <c r="I73" s="36" t="n">
        <v>10.62</v>
      </c>
      <c r="J73" s="36" t="n">
        <v>10.552</v>
      </c>
      <c r="K73" s="7" t="n">
        <v>9.6</v>
      </c>
      <c r="L73" s="26" t="n">
        <f aca="false">(I73-K73)/2</f>
        <v>0.51</v>
      </c>
      <c r="M73" s="26" t="n">
        <f aca="false">(J73-K73)/2</f>
        <v>0.476</v>
      </c>
      <c r="N73" s="26" t="n">
        <f aca="false">(L73+M73)/2</f>
        <v>0.493</v>
      </c>
      <c r="O73" s="37" t="n">
        <f aca="false">H73*N73</f>
        <v>0.66555</v>
      </c>
      <c r="P73" s="14" t="n">
        <f aca="false">DATOS!$C$10*N73</f>
        <v>2.88405</v>
      </c>
      <c r="Q73" s="18" t="n">
        <f aca="false">-P73/100</f>
        <v>-0.0288405</v>
      </c>
      <c r="R73" s="8"/>
      <c r="S73" s="10" t="s">
        <v>379</v>
      </c>
    </row>
    <row r="74" customFormat="false" ht="14.25" hidden="false" customHeight="true" outlineLevel="0" collapsed="false">
      <c r="B74" s="25" t="s">
        <v>216</v>
      </c>
      <c r="C74" s="8" t="s">
        <v>306</v>
      </c>
      <c r="D74" s="8"/>
      <c r="E74" s="17" t="n">
        <v>63</v>
      </c>
      <c r="F74" s="7" t="n">
        <v>1.35</v>
      </c>
      <c r="G74" s="7" t="n">
        <v>2.7</v>
      </c>
      <c r="H74" s="14" t="n">
        <f aca="false">G74-F74</f>
        <v>1.35</v>
      </c>
      <c r="I74" s="36" t="n">
        <v>10.552</v>
      </c>
      <c r="J74" s="36" t="n">
        <v>10.484</v>
      </c>
      <c r="K74" s="7" t="n">
        <v>9.6</v>
      </c>
      <c r="L74" s="26" t="n">
        <f aca="false">(I74-K74)/2</f>
        <v>0.476</v>
      </c>
      <c r="M74" s="26" t="n">
        <f aca="false">(J74-K74)/2</f>
        <v>0.442</v>
      </c>
      <c r="N74" s="26" t="n">
        <f aca="false">(L74+M74)/2</f>
        <v>0.459</v>
      </c>
      <c r="O74" s="37" t="n">
        <f aca="false">H74*N74</f>
        <v>0.61965</v>
      </c>
      <c r="P74" s="14" t="n">
        <f aca="false">DATOS!$C$10*N74</f>
        <v>2.68515</v>
      </c>
      <c r="Q74" s="18" t="n">
        <f aca="false">-P74/100</f>
        <v>-0.0268515</v>
      </c>
      <c r="R74" s="8"/>
      <c r="S74" s="10" t="s">
        <v>380</v>
      </c>
    </row>
    <row r="75" customFormat="false" ht="14.25" hidden="false" customHeight="true" outlineLevel="0" collapsed="false">
      <c r="B75" s="25" t="s">
        <v>216</v>
      </c>
      <c r="C75" s="8" t="s">
        <v>306</v>
      </c>
      <c r="D75" s="8"/>
      <c r="E75" s="17" t="n">
        <v>62</v>
      </c>
      <c r="F75" s="7" t="n">
        <v>2.7</v>
      </c>
      <c r="G75" s="7" t="n">
        <v>4.05001</v>
      </c>
      <c r="H75" s="14" t="n">
        <f aca="false">G75-F75</f>
        <v>1.35001</v>
      </c>
      <c r="I75" s="36" t="n">
        <v>10.484</v>
      </c>
      <c r="J75" s="36" t="n">
        <v>10.416</v>
      </c>
      <c r="K75" s="7" t="n">
        <v>9.6</v>
      </c>
      <c r="L75" s="26" t="n">
        <f aca="false">(I75-K75)/2</f>
        <v>0.442</v>
      </c>
      <c r="M75" s="26" t="n">
        <f aca="false">(J75-K75)/2</f>
        <v>0.408</v>
      </c>
      <c r="N75" s="26" t="n">
        <f aca="false">(L75+M75)/2</f>
        <v>0.425</v>
      </c>
      <c r="O75" s="37" t="n">
        <f aca="false">H75*N75</f>
        <v>0.573754250000001</v>
      </c>
      <c r="P75" s="14" t="n">
        <f aca="false">DATOS!$C$10*N75</f>
        <v>2.48625</v>
      </c>
      <c r="Q75" s="18" t="n">
        <f aca="false">-P75/100</f>
        <v>-0.0248625</v>
      </c>
      <c r="R75" s="8"/>
      <c r="S75" s="10" t="s">
        <v>381</v>
      </c>
    </row>
    <row r="76" customFormat="false" ht="14.25" hidden="false" customHeight="true" outlineLevel="0" collapsed="false">
      <c r="B76" s="25" t="s">
        <v>216</v>
      </c>
      <c r="C76" s="8" t="s">
        <v>306</v>
      </c>
      <c r="D76" s="8"/>
      <c r="E76" s="17" t="n">
        <v>61</v>
      </c>
      <c r="F76" s="7" t="n">
        <v>4.05001</v>
      </c>
      <c r="G76" s="7" t="n">
        <v>5.40001</v>
      </c>
      <c r="H76" s="14" t="n">
        <f aca="false">G76-F76</f>
        <v>1.35</v>
      </c>
      <c r="I76" s="36" t="n">
        <v>10.416</v>
      </c>
      <c r="J76" s="36" t="n">
        <v>10.348</v>
      </c>
      <c r="K76" s="7" t="n">
        <v>9.6</v>
      </c>
      <c r="L76" s="26" t="n">
        <f aca="false">(I76-K76)/2</f>
        <v>0.408</v>
      </c>
      <c r="M76" s="26" t="n">
        <f aca="false">(J76-K76)/2</f>
        <v>0.374000000000001</v>
      </c>
      <c r="N76" s="26" t="n">
        <f aca="false">(L76+M76)/2</f>
        <v>0.391</v>
      </c>
      <c r="O76" s="37" t="n">
        <f aca="false">H76*N76</f>
        <v>0.527850000000001</v>
      </c>
      <c r="P76" s="14" t="n">
        <f aca="false">DATOS!$C$10*N76</f>
        <v>2.28735</v>
      </c>
      <c r="Q76" s="18" t="n">
        <f aca="false">-P76/100</f>
        <v>-0.0228735</v>
      </c>
      <c r="R76" s="8"/>
      <c r="S76" s="10" t="s">
        <v>382</v>
      </c>
    </row>
    <row r="77" customFormat="false" ht="14.25" hidden="false" customHeight="true" outlineLevel="0" collapsed="false">
      <c r="B77" s="25" t="s">
        <v>216</v>
      </c>
      <c r="C77" s="8" t="s">
        <v>306</v>
      </c>
      <c r="D77" s="8"/>
      <c r="E77" s="17" t="n">
        <v>12</v>
      </c>
      <c r="F77" s="7" t="n">
        <v>5.40001</v>
      </c>
      <c r="G77" s="7" t="n">
        <v>6.75001</v>
      </c>
      <c r="H77" s="14" t="n">
        <f aca="false">G77-F77</f>
        <v>1.35</v>
      </c>
      <c r="I77" s="36" t="n">
        <v>10.348</v>
      </c>
      <c r="J77" s="36" t="n">
        <v>10.28</v>
      </c>
      <c r="K77" s="7" t="n">
        <v>9.6</v>
      </c>
      <c r="L77" s="26" t="n">
        <f aca="false">(I77-K77)/2</f>
        <v>0.374000000000001</v>
      </c>
      <c r="M77" s="26" t="n">
        <f aca="false">(J77-K77)/2</f>
        <v>0.34</v>
      </c>
      <c r="N77" s="26" t="n">
        <f aca="false">(L77+M77)/2</f>
        <v>0.357</v>
      </c>
      <c r="O77" s="37" t="n">
        <f aca="false">H77*N77</f>
        <v>0.48195</v>
      </c>
      <c r="P77" s="14" t="n">
        <f aca="false">DATOS!$C$10*N77</f>
        <v>2.08845</v>
      </c>
      <c r="Q77" s="18" t="n">
        <f aca="false">-P77/100</f>
        <v>-0.0208845</v>
      </c>
      <c r="R77" s="8"/>
      <c r="S77" s="10" t="s">
        <v>383</v>
      </c>
    </row>
    <row r="78" customFormat="false" ht="14.25" hidden="false" customHeight="true" outlineLevel="0" collapsed="false">
      <c r="B78" s="25" t="s">
        <v>220</v>
      </c>
      <c r="C78" s="8" t="s">
        <v>306</v>
      </c>
      <c r="D78" s="8"/>
      <c r="E78" s="17" t="n">
        <v>72</v>
      </c>
      <c r="F78" s="7" t="n">
        <v>6.75001</v>
      </c>
      <c r="G78" s="7" t="n">
        <v>8.10001</v>
      </c>
      <c r="H78" s="14" t="n">
        <f aca="false">G78-F78</f>
        <v>1.35</v>
      </c>
      <c r="I78" s="36" t="n">
        <v>10.28</v>
      </c>
      <c r="J78" s="36" t="n">
        <v>10.212</v>
      </c>
      <c r="K78" s="7" t="n">
        <v>9.6</v>
      </c>
      <c r="L78" s="26" t="n">
        <f aca="false">(I78-K78)/2</f>
        <v>0.34</v>
      </c>
      <c r="M78" s="26" t="n">
        <f aca="false">(J78-K78)/2</f>
        <v>0.306</v>
      </c>
      <c r="N78" s="26" t="n">
        <f aca="false">(L78+M78)/2</f>
        <v>0.323</v>
      </c>
      <c r="O78" s="37" t="n">
        <f aca="false">H78*N78</f>
        <v>0.43605</v>
      </c>
      <c r="P78" s="14" t="n">
        <f aca="false">DATOS!$C$10*N78</f>
        <v>1.88955</v>
      </c>
      <c r="Q78" s="18" t="n">
        <f aca="false">-P78/100</f>
        <v>-0.0188955</v>
      </c>
      <c r="R78" s="8"/>
      <c r="S78" s="10" t="s">
        <v>384</v>
      </c>
    </row>
    <row r="79" customFormat="false" ht="14.25" hidden="false" customHeight="true" outlineLevel="0" collapsed="false">
      <c r="B79" s="25" t="s">
        <v>220</v>
      </c>
      <c r="C79" s="8" t="s">
        <v>306</v>
      </c>
      <c r="D79" s="8"/>
      <c r="E79" s="17" t="n">
        <v>71</v>
      </c>
      <c r="F79" s="7" t="n">
        <v>8.10001</v>
      </c>
      <c r="G79" s="7" t="n">
        <v>9.45001</v>
      </c>
      <c r="H79" s="14" t="n">
        <f aca="false">G79-F79</f>
        <v>1.35</v>
      </c>
      <c r="I79" s="36" t="n">
        <v>10.212</v>
      </c>
      <c r="J79" s="36" t="n">
        <v>10.144</v>
      </c>
      <c r="K79" s="7" t="n">
        <v>9.6</v>
      </c>
      <c r="L79" s="26" t="n">
        <f aca="false">(I79-K79)/2</f>
        <v>0.306</v>
      </c>
      <c r="M79" s="26" t="n">
        <f aca="false">(J79-K79)/2</f>
        <v>0.272</v>
      </c>
      <c r="N79" s="26" t="n">
        <f aca="false">(L79+M79)/2</f>
        <v>0.289</v>
      </c>
      <c r="O79" s="37" t="n">
        <f aca="false">H79*N79</f>
        <v>0.390150000000001</v>
      </c>
      <c r="P79" s="14" t="n">
        <f aca="false">DATOS!$C$10*N79</f>
        <v>1.69065</v>
      </c>
      <c r="Q79" s="18" t="n">
        <f aca="false">-P79/100</f>
        <v>-0.0169065</v>
      </c>
      <c r="R79" s="8"/>
      <c r="S79" s="10" t="s">
        <v>385</v>
      </c>
    </row>
    <row r="80" customFormat="false" ht="14.25" hidden="false" customHeight="true" outlineLevel="0" collapsed="false">
      <c r="B80" s="25" t="s">
        <v>220</v>
      </c>
      <c r="C80" s="8" t="s">
        <v>306</v>
      </c>
      <c r="D80" s="8"/>
      <c r="E80" s="17" t="n">
        <v>70</v>
      </c>
      <c r="F80" s="7" t="n">
        <v>9.45001</v>
      </c>
      <c r="G80" s="7" t="n">
        <v>10.8</v>
      </c>
      <c r="H80" s="14" t="n">
        <f aca="false">G80-F80</f>
        <v>1.34999</v>
      </c>
      <c r="I80" s="36" t="n">
        <v>10.144</v>
      </c>
      <c r="J80" s="36" t="n">
        <v>10.076</v>
      </c>
      <c r="K80" s="7" t="n">
        <v>9.6</v>
      </c>
      <c r="L80" s="26" t="n">
        <f aca="false">(I80-K80)/2</f>
        <v>0.272</v>
      </c>
      <c r="M80" s="26" t="n">
        <f aca="false">(J80-K80)/2</f>
        <v>0.238</v>
      </c>
      <c r="N80" s="26" t="n">
        <f aca="false">(L80+M80)/2</f>
        <v>0.255</v>
      </c>
      <c r="O80" s="37" t="n">
        <f aca="false">H80*N80</f>
        <v>0.34424745</v>
      </c>
      <c r="P80" s="14" t="n">
        <f aca="false">DATOS!$C$10*N80</f>
        <v>1.49175</v>
      </c>
      <c r="Q80" s="18" t="n">
        <f aca="false">-P80/100</f>
        <v>-0.0149175</v>
      </c>
      <c r="R80" s="8"/>
      <c r="S80" s="10" t="s">
        <v>386</v>
      </c>
    </row>
    <row r="81" customFormat="false" ht="14.25" hidden="false" customHeight="true" outlineLevel="0" collapsed="false">
      <c r="B81" s="25" t="s">
        <v>220</v>
      </c>
      <c r="C81" s="8" t="s">
        <v>306</v>
      </c>
      <c r="D81" s="8"/>
      <c r="E81" s="17" t="n">
        <v>69</v>
      </c>
      <c r="F81" s="7" t="n">
        <v>10.8</v>
      </c>
      <c r="G81" s="7" t="n">
        <v>12.15</v>
      </c>
      <c r="H81" s="14" t="n">
        <f aca="false">G81-F81</f>
        <v>1.35</v>
      </c>
      <c r="I81" s="36" t="n">
        <v>10.076</v>
      </c>
      <c r="J81" s="36" t="n">
        <v>10.008</v>
      </c>
      <c r="K81" s="7" t="n">
        <v>9.6</v>
      </c>
      <c r="L81" s="26" t="n">
        <f aca="false">(I81-K81)/2</f>
        <v>0.238</v>
      </c>
      <c r="M81" s="26" t="n">
        <f aca="false">(J81-K81)/2</f>
        <v>0.204</v>
      </c>
      <c r="N81" s="26" t="n">
        <f aca="false">(L81+M81)/2</f>
        <v>0.221</v>
      </c>
      <c r="O81" s="37" t="n">
        <f aca="false">H81*N81</f>
        <v>0.29835</v>
      </c>
      <c r="P81" s="14" t="n">
        <f aca="false">DATOS!$C$10*N81</f>
        <v>1.29285</v>
      </c>
      <c r="Q81" s="18" t="n">
        <f aca="false">-P81/100</f>
        <v>-0.0129285</v>
      </c>
      <c r="R81" s="8"/>
      <c r="S81" s="10" t="s">
        <v>387</v>
      </c>
    </row>
    <row r="82" customFormat="false" ht="14.25" hidden="false" customHeight="true" outlineLevel="0" collapsed="false">
      <c r="B82" s="25" t="s">
        <v>220</v>
      </c>
      <c r="C82" s="8" t="s">
        <v>306</v>
      </c>
      <c r="D82" s="8"/>
      <c r="E82" s="17" t="n">
        <v>50</v>
      </c>
      <c r="F82" s="7" t="n">
        <v>12.15</v>
      </c>
      <c r="G82" s="7" t="n">
        <v>13.5</v>
      </c>
      <c r="H82" s="14" t="n">
        <f aca="false">G82-F82</f>
        <v>1.35</v>
      </c>
      <c r="I82" s="36" t="n">
        <v>10.008</v>
      </c>
      <c r="J82" s="36" t="n">
        <v>9.94002</v>
      </c>
      <c r="K82" s="7" t="n">
        <v>9.6</v>
      </c>
      <c r="L82" s="26" t="n">
        <f aca="false">(I82-K82)/2</f>
        <v>0.204</v>
      </c>
      <c r="M82" s="26" t="n">
        <f aca="false">(J82-K82)/2</f>
        <v>0.17001</v>
      </c>
      <c r="N82" s="26" t="n">
        <f aca="false">(L82+M82)/2</f>
        <v>0.187005</v>
      </c>
      <c r="O82" s="37" t="n">
        <f aca="false">H82*N82</f>
        <v>0.25245675</v>
      </c>
      <c r="P82" s="14" t="n">
        <f aca="false">DATOS!$C$10*N82</f>
        <v>1.09397925</v>
      </c>
      <c r="Q82" s="18" t="n">
        <f aca="false">-P82/100</f>
        <v>-0.0109397925</v>
      </c>
      <c r="R82" s="8"/>
      <c r="S82" s="10" t="s">
        <v>388</v>
      </c>
    </row>
    <row r="83" customFormat="false" ht="14.25" hidden="false" customHeight="true" outlineLevel="0" collapsed="false">
      <c r="B83" s="25" t="s">
        <v>224</v>
      </c>
      <c r="C83" s="8" t="s">
        <v>306</v>
      </c>
      <c r="D83" s="8"/>
      <c r="E83" s="17" t="n">
        <v>53</v>
      </c>
      <c r="F83" s="7" t="n">
        <v>13.5</v>
      </c>
      <c r="G83" s="7" t="n">
        <v>14.75</v>
      </c>
      <c r="H83" s="14" t="n">
        <f aca="false">G83-F83</f>
        <v>1.25</v>
      </c>
      <c r="I83" s="36" t="n">
        <v>9.94002</v>
      </c>
      <c r="J83" s="36" t="n">
        <v>9.88002</v>
      </c>
      <c r="K83" s="7" t="n">
        <v>9.6</v>
      </c>
      <c r="L83" s="26" t="n">
        <f aca="false">(I83-K83)/2</f>
        <v>0.17001</v>
      </c>
      <c r="M83" s="26" t="n">
        <f aca="false">(J83-K83)/2</f>
        <v>0.14001</v>
      </c>
      <c r="N83" s="26" t="n">
        <f aca="false">(L83+M83)/2</f>
        <v>0.15501</v>
      </c>
      <c r="O83" s="37" t="n">
        <f aca="false">H83*N83</f>
        <v>0.1937625</v>
      </c>
      <c r="P83" s="14" t="n">
        <f aca="false">DATOS!$C$10*N83</f>
        <v>0.906808500000002</v>
      </c>
      <c r="Q83" s="18" t="n">
        <f aca="false">-P83/100</f>
        <v>-0.00906808500000002</v>
      </c>
      <c r="R83" s="8"/>
      <c r="S83" s="10" t="s">
        <v>389</v>
      </c>
    </row>
    <row r="84" customFormat="false" ht="14.25" hidden="false" customHeight="true" outlineLevel="0" collapsed="false">
      <c r="B84" s="25" t="s">
        <v>224</v>
      </c>
      <c r="C84" s="8" t="s">
        <v>306</v>
      </c>
      <c r="D84" s="8"/>
      <c r="E84" s="17" t="n">
        <v>55</v>
      </c>
      <c r="F84" s="7" t="n">
        <v>14.75</v>
      </c>
      <c r="G84" s="7" t="n">
        <v>16</v>
      </c>
      <c r="H84" s="14" t="n">
        <f aca="false">G84-F84</f>
        <v>1.25</v>
      </c>
      <c r="I84" s="36" t="n">
        <v>9.88002</v>
      </c>
      <c r="J84" s="36" t="n">
        <v>9.82002</v>
      </c>
      <c r="K84" s="7" t="n">
        <v>9.6</v>
      </c>
      <c r="L84" s="26" t="n">
        <f aca="false">(I84-K84)/2</f>
        <v>0.14001</v>
      </c>
      <c r="M84" s="26" t="n">
        <f aca="false">(J84-K84)/2</f>
        <v>0.11001</v>
      </c>
      <c r="N84" s="26" t="n">
        <f aca="false">(L84+M84)/2</f>
        <v>0.12501</v>
      </c>
      <c r="O84" s="37" t="n">
        <f aca="false">H84*N84</f>
        <v>0.1562625</v>
      </c>
      <c r="P84" s="14" t="n">
        <f aca="false">DATOS!$C$10*N84</f>
        <v>0.7313085</v>
      </c>
      <c r="Q84" s="18" t="n">
        <f aca="false">-P84/100</f>
        <v>-0.007313085</v>
      </c>
      <c r="R84" s="8"/>
      <c r="S84" s="10" t="s">
        <v>390</v>
      </c>
    </row>
    <row r="85" customFormat="false" ht="15" hidden="false" customHeight="true" outlineLevel="0" collapsed="false">
      <c r="B85" s="25" t="s">
        <v>181</v>
      </c>
      <c r="C85" s="34" t="s">
        <v>391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11" t="n">
        <f aca="false">SUM(O61:O84)</f>
        <v>9.88006690000001</v>
      </c>
    </row>
    <row r="87" customFormat="false" ht="21" hidden="false" customHeight="true" outlineLevel="0" collapsed="false">
      <c r="B87" s="4" t="s">
        <v>392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Format="false" ht="30" hidden="false" customHeight="true" outlineLevel="0" collapsed="false">
      <c r="B88" s="12" t="s">
        <v>393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customFormat="false" ht="30" hidden="false" customHeight="true" outlineLevel="0" collapsed="false">
      <c r="B89" s="5" t="s">
        <v>108</v>
      </c>
      <c r="C89" s="5" t="s">
        <v>233</v>
      </c>
      <c r="D89" s="5" t="s">
        <v>110</v>
      </c>
      <c r="E89" s="5" t="s">
        <v>394</v>
      </c>
      <c r="F89" s="5" t="s">
        <v>395</v>
      </c>
      <c r="G89" s="5" t="s">
        <v>396</v>
      </c>
      <c r="H89" s="5" t="s">
        <v>236</v>
      </c>
      <c r="I89" s="5" t="s">
        <v>237</v>
      </c>
      <c r="J89" s="5" t="s">
        <v>397</v>
      </c>
      <c r="K89" s="5" t="s">
        <v>112</v>
      </c>
      <c r="L89" s="5" t="s">
        <v>113</v>
      </c>
      <c r="M89" s="5" t="s">
        <v>242</v>
      </c>
      <c r="N89" s="5" t="s">
        <v>116</v>
      </c>
      <c r="O89" s="5" t="s">
        <v>117</v>
      </c>
      <c r="P89" s="5" t="s">
        <v>243</v>
      </c>
      <c r="Q89" s="5" t="s">
        <v>244</v>
      </c>
      <c r="R89" s="5"/>
      <c r="S89" s="5" t="s">
        <v>7</v>
      </c>
    </row>
    <row r="90" customFormat="false" ht="24" hidden="false" customHeight="true" outlineLevel="0" collapsed="false">
      <c r="B90" s="24"/>
      <c r="C90" s="24"/>
      <c r="D90" s="24"/>
      <c r="E90" s="24" t="s">
        <v>123</v>
      </c>
      <c r="F90" s="24" t="s">
        <v>123</v>
      </c>
      <c r="G90" s="24" t="s">
        <v>123</v>
      </c>
      <c r="H90" s="24" t="s">
        <v>126</v>
      </c>
      <c r="I90" s="24" t="s">
        <v>398</v>
      </c>
      <c r="J90" s="24" t="s">
        <v>246</v>
      </c>
      <c r="K90" s="24" t="s">
        <v>247</v>
      </c>
      <c r="L90" s="24" t="s">
        <v>248</v>
      </c>
      <c r="M90" s="24" t="s">
        <v>126</v>
      </c>
      <c r="N90" s="24" t="s">
        <v>250</v>
      </c>
      <c r="O90" s="24" t="s">
        <v>251</v>
      </c>
      <c r="P90" s="24" t="s">
        <v>252</v>
      </c>
      <c r="Q90" s="24" t="s">
        <v>134</v>
      </c>
      <c r="R90" s="24"/>
      <c r="S90" s="24"/>
    </row>
    <row r="91" customFormat="false" ht="26.25" hidden="false" customHeight="true" outlineLevel="0" collapsed="false">
      <c r="B91" s="25" t="s">
        <v>399</v>
      </c>
      <c r="C91" s="17" t="n">
        <v>1</v>
      </c>
      <c r="D91" s="8" t="s">
        <v>142</v>
      </c>
      <c r="E91" s="7" t="n">
        <v>1.2</v>
      </c>
      <c r="F91" s="7" t="n">
        <v>0</v>
      </c>
      <c r="G91" s="7" t="n">
        <v>0.6425</v>
      </c>
      <c r="H91" s="14" t="n">
        <f aca="false">G91-F91</f>
        <v>0.6425</v>
      </c>
      <c r="I91" s="7" t="n">
        <v>0</v>
      </c>
      <c r="J91" s="7" t="n">
        <v>2.4</v>
      </c>
      <c r="K91" s="26" t="n">
        <f aca="false">(I91+E91)/2</f>
        <v>0.6</v>
      </c>
      <c r="L91" s="26" t="n">
        <f aca="false">(E91+J91)/2</f>
        <v>1.8</v>
      </c>
      <c r="M91" s="26" t="n">
        <f aca="false">L91-K91</f>
        <v>1.2</v>
      </c>
      <c r="N91" s="11" t="n">
        <f aca="false">H91*M91</f>
        <v>0.771</v>
      </c>
      <c r="O91" s="14" t="n">
        <f aca="false">DATOS!$C$10*M91</f>
        <v>7.02</v>
      </c>
      <c r="P91" s="18" t="n">
        <f aca="false">-O91/100</f>
        <v>-0.0702</v>
      </c>
      <c r="Q91" s="17" t="n">
        <v>262</v>
      </c>
      <c r="R91" s="8"/>
      <c r="S91" s="10" t="s">
        <v>400</v>
      </c>
    </row>
    <row r="92" customFormat="false" ht="26.25" hidden="false" customHeight="true" outlineLevel="0" collapsed="false">
      <c r="B92" s="25" t="s">
        <v>401</v>
      </c>
      <c r="C92" s="17" t="n">
        <v>1</v>
      </c>
      <c r="D92" s="8" t="s">
        <v>142</v>
      </c>
      <c r="E92" s="7" t="n">
        <v>1.2</v>
      </c>
      <c r="F92" s="7" t="n">
        <v>1.9439</v>
      </c>
      <c r="G92" s="7" t="n">
        <v>2.4869</v>
      </c>
      <c r="H92" s="14" t="n">
        <f aca="false">G92-F92</f>
        <v>0.543</v>
      </c>
      <c r="I92" s="7" t="n">
        <v>0</v>
      </c>
      <c r="J92" s="7" t="n">
        <v>2.4</v>
      </c>
      <c r="K92" s="26" t="n">
        <f aca="false">(I92+E92)/2</f>
        <v>0.6</v>
      </c>
      <c r="L92" s="26" t="n">
        <f aca="false">(E92+J92)/2</f>
        <v>1.8</v>
      </c>
      <c r="M92" s="26" t="n">
        <f aca="false">L92-K92</f>
        <v>1.2</v>
      </c>
      <c r="N92" s="11" t="n">
        <f aca="false">H92*M92</f>
        <v>0.6516</v>
      </c>
      <c r="O92" s="14" t="n">
        <f aca="false">DATOS!$C$10*M92</f>
        <v>7.02</v>
      </c>
      <c r="P92" s="18" t="n">
        <f aca="false">-O92/100</f>
        <v>-0.0702</v>
      </c>
      <c r="Q92" s="17" t="n">
        <v>263</v>
      </c>
      <c r="R92" s="8"/>
      <c r="S92" s="10" t="s">
        <v>402</v>
      </c>
    </row>
    <row r="93" customFormat="false" ht="26.25" hidden="false" customHeight="true" outlineLevel="0" collapsed="false">
      <c r="B93" s="25" t="s">
        <v>403</v>
      </c>
      <c r="C93" s="17" t="n">
        <v>1</v>
      </c>
      <c r="D93" s="8" t="s">
        <v>142</v>
      </c>
      <c r="E93" s="7" t="n">
        <v>1.2</v>
      </c>
      <c r="F93" s="7" t="n">
        <v>7.58851</v>
      </c>
      <c r="G93" s="7" t="n">
        <v>10.08</v>
      </c>
      <c r="H93" s="14" t="n">
        <f aca="false">G93-F93</f>
        <v>2.49149</v>
      </c>
      <c r="I93" s="7" t="n">
        <v>0</v>
      </c>
      <c r="J93" s="7" t="n">
        <v>2.4</v>
      </c>
      <c r="K93" s="26" t="n">
        <f aca="false">(I93+E93)/2</f>
        <v>0.6</v>
      </c>
      <c r="L93" s="26" t="n">
        <f aca="false">(E93+J93)/2</f>
        <v>1.8</v>
      </c>
      <c r="M93" s="26" t="n">
        <f aca="false">L93-K93</f>
        <v>1.2</v>
      </c>
      <c r="N93" s="11" t="n">
        <f aca="false">H93*M93</f>
        <v>2.989788</v>
      </c>
      <c r="O93" s="14" t="n">
        <f aca="false">DATOS!$C$10*M93</f>
        <v>7.02</v>
      </c>
      <c r="P93" s="18" t="n">
        <f aca="false">-O93/100</f>
        <v>-0.0702</v>
      </c>
      <c r="Q93" s="17" t="n">
        <v>264</v>
      </c>
      <c r="R93" s="8"/>
      <c r="S93" s="10" t="s">
        <v>404</v>
      </c>
    </row>
    <row r="94" customFormat="false" ht="26.25" hidden="false" customHeight="true" outlineLevel="0" collapsed="false">
      <c r="B94" s="25" t="s">
        <v>405</v>
      </c>
      <c r="C94" s="17" t="n">
        <v>2</v>
      </c>
      <c r="D94" s="8" t="s">
        <v>142</v>
      </c>
      <c r="E94" s="7" t="n">
        <v>2.4</v>
      </c>
      <c r="F94" s="7" t="n">
        <v>0</v>
      </c>
      <c r="G94" s="7" t="n">
        <v>0.6425</v>
      </c>
      <c r="H94" s="14" t="n">
        <f aca="false">G94-F94</f>
        <v>0.6425</v>
      </c>
      <c r="I94" s="7" t="n">
        <v>1.2</v>
      </c>
      <c r="J94" s="7" t="n">
        <v>3.6</v>
      </c>
      <c r="K94" s="26" t="n">
        <f aca="false">(I94+E94)/2</f>
        <v>1.8</v>
      </c>
      <c r="L94" s="26" t="n">
        <f aca="false">(E94+J94)/2</f>
        <v>3</v>
      </c>
      <c r="M94" s="26" t="n">
        <f aca="false">L94-K94</f>
        <v>1.2</v>
      </c>
      <c r="N94" s="11" t="n">
        <f aca="false">H94*M94</f>
        <v>0.771</v>
      </c>
      <c r="O94" s="14" t="n">
        <f aca="false">DATOS!$C$10*M94</f>
        <v>7.02</v>
      </c>
      <c r="P94" s="18" t="n">
        <f aca="false">-O94/100</f>
        <v>-0.0702</v>
      </c>
      <c r="Q94" s="17" t="n">
        <v>271</v>
      </c>
      <c r="R94" s="8"/>
      <c r="S94" s="10" t="s">
        <v>406</v>
      </c>
    </row>
    <row r="95" customFormat="false" ht="26.25" hidden="false" customHeight="true" outlineLevel="0" collapsed="false">
      <c r="B95" s="25" t="s">
        <v>407</v>
      </c>
      <c r="C95" s="17" t="n">
        <v>2</v>
      </c>
      <c r="D95" s="8" t="s">
        <v>142</v>
      </c>
      <c r="E95" s="7" t="n">
        <v>2.4</v>
      </c>
      <c r="F95" s="7" t="n">
        <v>0.6425</v>
      </c>
      <c r="G95" s="7" t="n">
        <v>1.9439</v>
      </c>
      <c r="H95" s="14" t="n">
        <f aca="false">G95-F95</f>
        <v>1.3014</v>
      </c>
      <c r="I95" s="7" t="n">
        <v>2.4</v>
      </c>
      <c r="J95" s="7" t="n">
        <v>3.6</v>
      </c>
      <c r="K95" s="26" t="n">
        <f aca="false">(I95+E95)/2</f>
        <v>2.4</v>
      </c>
      <c r="L95" s="26" t="n">
        <f aca="false">(E95+J95)/2</f>
        <v>3</v>
      </c>
      <c r="M95" s="26" t="n">
        <f aca="false">L95-K95</f>
        <v>0.6</v>
      </c>
      <c r="N95" s="11" t="n">
        <f aca="false">H95*M95</f>
        <v>0.78084</v>
      </c>
      <c r="O95" s="14" t="n">
        <f aca="false">DATOS!$C$10*M95</f>
        <v>3.51</v>
      </c>
      <c r="P95" s="18" t="n">
        <f aca="false">-O95/100</f>
        <v>-0.0351</v>
      </c>
      <c r="Q95" s="17" t="n">
        <v>286</v>
      </c>
      <c r="R95" s="8"/>
      <c r="S95" s="10" t="s">
        <v>408</v>
      </c>
    </row>
    <row r="96" customFormat="false" ht="26.25" hidden="false" customHeight="true" outlineLevel="0" collapsed="false">
      <c r="B96" s="25" t="s">
        <v>409</v>
      </c>
      <c r="C96" s="17" t="n">
        <v>2</v>
      </c>
      <c r="D96" s="8" t="s">
        <v>142</v>
      </c>
      <c r="E96" s="7" t="n">
        <v>2.4</v>
      </c>
      <c r="F96" s="7" t="n">
        <v>1.9439</v>
      </c>
      <c r="G96" s="7" t="n">
        <v>2.4869</v>
      </c>
      <c r="H96" s="14" t="n">
        <f aca="false">G96-F96</f>
        <v>0.543</v>
      </c>
      <c r="I96" s="7" t="n">
        <v>1.2</v>
      </c>
      <c r="J96" s="7" t="n">
        <v>3.6</v>
      </c>
      <c r="K96" s="26" t="n">
        <f aca="false">(I96+E96)/2</f>
        <v>1.8</v>
      </c>
      <c r="L96" s="26" t="n">
        <f aca="false">(E96+J96)/2</f>
        <v>3</v>
      </c>
      <c r="M96" s="26" t="n">
        <f aca="false">L96-K96</f>
        <v>1.2</v>
      </c>
      <c r="N96" s="11" t="n">
        <f aca="false">H96*M96</f>
        <v>0.6516</v>
      </c>
      <c r="O96" s="14" t="n">
        <f aca="false">DATOS!$C$10*M96</f>
        <v>7.02</v>
      </c>
      <c r="P96" s="18" t="n">
        <f aca="false">-O96/100</f>
        <v>-0.0702</v>
      </c>
      <c r="Q96" s="17" t="n">
        <v>272</v>
      </c>
      <c r="R96" s="8"/>
      <c r="S96" s="10" t="s">
        <v>410</v>
      </c>
    </row>
    <row r="97" customFormat="false" ht="26.25" hidden="false" customHeight="true" outlineLevel="0" collapsed="false">
      <c r="B97" s="25" t="s">
        <v>411</v>
      </c>
      <c r="C97" s="17" t="n">
        <v>2</v>
      </c>
      <c r="D97" s="8" t="s">
        <v>142</v>
      </c>
      <c r="E97" s="7" t="n">
        <v>2.4</v>
      </c>
      <c r="F97" s="7" t="n">
        <v>7.58851</v>
      </c>
      <c r="G97" s="7" t="n">
        <v>10.08</v>
      </c>
      <c r="H97" s="14" t="n">
        <f aca="false">G97-F97</f>
        <v>2.49149</v>
      </c>
      <c r="I97" s="7" t="n">
        <v>1.2</v>
      </c>
      <c r="J97" s="7" t="n">
        <v>3.6</v>
      </c>
      <c r="K97" s="26" t="n">
        <f aca="false">(I97+E97)/2</f>
        <v>1.8</v>
      </c>
      <c r="L97" s="26" t="n">
        <f aca="false">(E97+J97)/2</f>
        <v>3</v>
      </c>
      <c r="M97" s="26" t="n">
        <f aca="false">L97-K97</f>
        <v>1.2</v>
      </c>
      <c r="N97" s="11" t="n">
        <f aca="false">H97*M97</f>
        <v>2.989788</v>
      </c>
      <c r="O97" s="14" t="n">
        <f aca="false">DATOS!$C$10*M97</f>
        <v>7.02</v>
      </c>
      <c r="P97" s="18" t="n">
        <f aca="false">-O97/100</f>
        <v>-0.0702</v>
      </c>
      <c r="Q97" s="17" t="n">
        <v>273</v>
      </c>
      <c r="R97" s="8"/>
      <c r="S97" s="10" t="s">
        <v>412</v>
      </c>
    </row>
    <row r="98" customFormat="false" ht="26.25" hidden="false" customHeight="true" outlineLevel="0" collapsed="false">
      <c r="B98" s="25" t="s">
        <v>413</v>
      </c>
      <c r="C98" s="17" t="n">
        <v>3</v>
      </c>
      <c r="D98" s="8" t="s">
        <v>142</v>
      </c>
      <c r="E98" s="7" t="n">
        <v>3.6</v>
      </c>
      <c r="F98" s="7" t="n">
        <v>0</v>
      </c>
      <c r="G98" s="7" t="n">
        <v>2.4869</v>
      </c>
      <c r="H98" s="14" t="n">
        <f aca="false">G98-F98</f>
        <v>2.4869</v>
      </c>
      <c r="I98" s="7" t="n">
        <v>2.4</v>
      </c>
      <c r="J98" s="7" t="n">
        <v>4.8</v>
      </c>
      <c r="K98" s="26" t="n">
        <f aca="false">(I98+E98)/2</f>
        <v>3</v>
      </c>
      <c r="L98" s="26" t="n">
        <f aca="false">(E98+J98)/2</f>
        <v>4.2</v>
      </c>
      <c r="M98" s="26" t="n">
        <f aca="false">L98-K98</f>
        <v>1.2</v>
      </c>
      <c r="N98" s="11" t="n">
        <f aca="false">H98*M98</f>
        <v>2.98428</v>
      </c>
      <c r="O98" s="14" t="n">
        <f aca="false">DATOS!$C$10*M98</f>
        <v>7.02</v>
      </c>
      <c r="P98" s="18" t="n">
        <f aca="false">-O98/100</f>
        <v>-0.0702</v>
      </c>
      <c r="Q98" s="17" t="n">
        <v>280</v>
      </c>
      <c r="R98" s="8"/>
      <c r="S98" s="10" t="s">
        <v>414</v>
      </c>
    </row>
    <row r="99" customFormat="false" ht="26.25" hidden="false" customHeight="true" outlineLevel="0" collapsed="false">
      <c r="B99" s="25" t="s">
        <v>415</v>
      </c>
      <c r="C99" s="17" t="n">
        <v>3</v>
      </c>
      <c r="D99" s="8" t="s">
        <v>142</v>
      </c>
      <c r="E99" s="7" t="n">
        <v>3.6</v>
      </c>
      <c r="F99" s="7" t="n">
        <v>7.58851</v>
      </c>
      <c r="G99" s="7" t="n">
        <v>10.08</v>
      </c>
      <c r="H99" s="14" t="n">
        <f aca="false">G99-F99</f>
        <v>2.49149</v>
      </c>
      <c r="I99" s="7" t="n">
        <v>2.4</v>
      </c>
      <c r="J99" s="7" t="n">
        <v>4.8</v>
      </c>
      <c r="K99" s="26" t="n">
        <f aca="false">(I99+E99)/2</f>
        <v>3</v>
      </c>
      <c r="L99" s="26" t="n">
        <f aca="false">(E99+J99)/2</f>
        <v>4.2</v>
      </c>
      <c r="M99" s="26" t="n">
        <f aca="false">L99-K99</f>
        <v>1.2</v>
      </c>
      <c r="N99" s="11" t="n">
        <f aca="false">H99*M99</f>
        <v>2.989788</v>
      </c>
      <c r="O99" s="14" t="n">
        <f aca="false">DATOS!$C$10*M99</f>
        <v>7.02</v>
      </c>
      <c r="P99" s="18" t="n">
        <f aca="false">-O99/100</f>
        <v>-0.0702</v>
      </c>
      <c r="Q99" s="17" t="n">
        <v>282</v>
      </c>
      <c r="R99" s="8"/>
      <c r="S99" s="10" t="s">
        <v>416</v>
      </c>
    </row>
    <row r="100" customFormat="false" ht="26.25" hidden="false" customHeight="true" outlineLevel="0" collapsed="false">
      <c r="B100" s="25" t="s">
        <v>417</v>
      </c>
      <c r="C100" s="17" t="n">
        <v>4</v>
      </c>
      <c r="D100" s="8" t="s">
        <v>142</v>
      </c>
      <c r="E100" s="7" t="n">
        <v>4.8</v>
      </c>
      <c r="F100" s="7" t="n">
        <v>0</v>
      </c>
      <c r="G100" s="7" t="n">
        <v>2.4869</v>
      </c>
      <c r="H100" s="14" t="n">
        <f aca="false">G100-F100</f>
        <v>2.4869</v>
      </c>
      <c r="I100" s="7" t="n">
        <v>3.6</v>
      </c>
      <c r="J100" s="7" t="n">
        <v>6</v>
      </c>
      <c r="K100" s="26" t="n">
        <f aca="false">(I100+E100)/2</f>
        <v>4.2</v>
      </c>
      <c r="L100" s="26" t="n">
        <f aca="false">(E100+J100)/2</f>
        <v>5.4</v>
      </c>
      <c r="M100" s="26" t="n">
        <f aca="false">L100-K100</f>
        <v>1.2</v>
      </c>
      <c r="N100" s="11" t="n">
        <f aca="false">H100*M100</f>
        <v>2.98428</v>
      </c>
      <c r="O100" s="14" t="n">
        <f aca="false">DATOS!$C$10*M100</f>
        <v>7.02</v>
      </c>
      <c r="P100" s="18" t="n">
        <f aca="false">-O100/100</f>
        <v>-0.0702</v>
      </c>
      <c r="Q100" s="17" t="n">
        <v>290</v>
      </c>
      <c r="R100" s="8"/>
      <c r="S100" s="10" t="s">
        <v>418</v>
      </c>
    </row>
    <row r="101" customFormat="false" ht="26.25" hidden="false" customHeight="true" outlineLevel="0" collapsed="false">
      <c r="B101" s="25" t="s">
        <v>419</v>
      </c>
      <c r="C101" s="17" t="n">
        <v>4</v>
      </c>
      <c r="D101" s="8" t="s">
        <v>142</v>
      </c>
      <c r="E101" s="7" t="n">
        <v>4.8</v>
      </c>
      <c r="F101" s="7" t="n">
        <v>7.58851</v>
      </c>
      <c r="G101" s="7" t="n">
        <v>10.08</v>
      </c>
      <c r="H101" s="14" t="n">
        <f aca="false">G101-F101</f>
        <v>2.49149</v>
      </c>
      <c r="I101" s="7" t="n">
        <v>3.6</v>
      </c>
      <c r="J101" s="7" t="n">
        <v>6</v>
      </c>
      <c r="K101" s="26" t="n">
        <f aca="false">(I101+E101)/2</f>
        <v>4.2</v>
      </c>
      <c r="L101" s="26" t="n">
        <f aca="false">(E101+J101)/2</f>
        <v>5.4</v>
      </c>
      <c r="M101" s="26" t="n">
        <f aca="false">L101-K101</f>
        <v>1.2</v>
      </c>
      <c r="N101" s="11" t="n">
        <f aca="false">H101*M101</f>
        <v>2.989788</v>
      </c>
      <c r="O101" s="14" t="n">
        <f aca="false">DATOS!$C$10*M101</f>
        <v>7.02</v>
      </c>
      <c r="P101" s="18" t="n">
        <f aca="false">-O101/100</f>
        <v>-0.0702</v>
      </c>
      <c r="Q101" s="17" t="n">
        <v>291</v>
      </c>
      <c r="R101" s="8"/>
      <c r="S101" s="10" t="s">
        <v>420</v>
      </c>
    </row>
    <row r="102" customFormat="false" ht="26.25" hidden="false" customHeight="true" outlineLevel="0" collapsed="false">
      <c r="B102" s="25" t="s">
        <v>421</v>
      </c>
      <c r="C102" s="17" t="n">
        <v>5</v>
      </c>
      <c r="D102" s="8" t="s">
        <v>142</v>
      </c>
      <c r="E102" s="7" t="n">
        <v>6</v>
      </c>
      <c r="F102" s="7" t="n">
        <v>0</v>
      </c>
      <c r="G102" s="7" t="n">
        <v>2.4869</v>
      </c>
      <c r="H102" s="14" t="n">
        <f aca="false">G102-F102</f>
        <v>2.4869</v>
      </c>
      <c r="I102" s="7" t="n">
        <v>4.8</v>
      </c>
      <c r="J102" s="7" t="n">
        <v>6.33</v>
      </c>
      <c r="K102" s="26" t="n">
        <f aca="false">(I102+E102)/2</f>
        <v>5.4</v>
      </c>
      <c r="L102" s="26" t="n">
        <f aca="false">(E102+J102)/2</f>
        <v>6.165</v>
      </c>
      <c r="M102" s="26" t="n">
        <f aca="false">L102-K102</f>
        <v>0.765</v>
      </c>
      <c r="N102" s="11" t="n">
        <f aca="false">H102*M102</f>
        <v>1.9024785</v>
      </c>
      <c r="O102" s="14" t="n">
        <f aca="false">DATOS!$C$10*M102</f>
        <v>4.47525</v>
      </c>
      <c r="P102" s="18" t="n">
        <f aca="false">-O102/100</f>
        <v>-0.0447525</v>
      </c>
      <c r="Q102" s="17" t="n">
        <v>298</v>
      </c>
      <c r="R102" s="8"/>
      <c r="S102" s="10" t="s">
        <v>422</v>
      </c>
    </row>
    <row r="103" customFormat="false" ht="26.25" hidden="false" customHeight="true" outlineLevel="0" collapsed="false">
      <c r="B103" s="25" t="s">
        <v>423</v>
      </c>
      <c r="C103" s="17" t="n">
        <v>5</v>
      </c>
      <c r="D103" s="8" t="s">
        <v>142</v>
      </c>
      <c r="E103" s="7" t="n">
        <v>6</v>
      </c>
      <c r="F103" s="7" t="n">
        <v>7.58851</v>
      </c>
      <c r="G103" s="7" t="n">
        <v>10.08</v>
      </c>
      <c r="H103" s="14" t="n">
        <f aca="false">G103-F103</f>
        <v>2.49149</v>
      </c>
      <c r="I103" s="7" t="n">
        <v>4.8</v>
      </c>
      <c r="J103" s="7" t="n">
        <v>6.33</v>
      </c>
      <c r="K103" s="26" t="n">
        <f aca="false">(I103+E103)/2</f>
        <v>5.4</v>
      </c>
      <c r="L103" s="26" t="n">
        <f aca="false">(E103+J103)/2</f>
        <v>6.165</v>
      </c>
      <c r="M103" s="26" t="n">
        <f aca="false">L103-K103</f>
        <v>0.765</v>
      </c>
      <c r="N103" s="11" t="n">
        <f aca="false">H103*M103</f>
        <v>1.90598985</v>
      </c>
      <c r="O103" s="14" t="n">
        <f aca="false">DATOS!$C$10*M103</f>
        <v>4.47525</v>
      </c>
      <c r="P103" s="18" t="n">
        <f aca="false">-O103/100</f>
        <v>-0.0447525</v>
      </c>
      <c r="Q103" s="17" t="n">
        <v>299</v>
      </c>
      <c r="R103" s="8"/>
      <c r="S103" s="10" t="s">
        <v>424</v>
      </c>
    </row>
    <row r="104" customFormat="false" ht="26.25" hidden="false" customHeight="true" outlineLevel="0" collapsed="false">
      <c r="B104" s="25" t="s">
        <v>425</v>
      </c>
      <c r="C104" s="17" t="n">
        <v>6</v>
      </c>
      <c r="D104" s="8" t="s">
        <v>137</v>
      </c>
      <c r="E104" s="7" t="n">
        <v>6.33</v>
      </c>
      <c r="F104" s="7" t="n">
        <v>0</v>
      </c>
      <c r="G104" s="7" t="n">
        <v>2.4869</v>
      </c>
      <c r="H104" s="14" t="n">
        <f aca="false">G104-F104</f>
        <v>2.4869</v>
      </c>
      <c r="I104" s="7" t="n">
        <v>6</v>
      </c>
      <c r="J104" s="7" t="n">
        <v>7.2</v>
      </c>
      <c r="K104" s="26" t="n">
        <f aca="false">(I104+E104)/2</f>
        <v>6.165</v>
      </c>
      <c r="L104" s="26" t="n">
        <f aca="false">(E104+J104)/2</f>
        <v>6.765</v>
      </c>
      <c r="M104" s="26" t="n">
        <f aca="false">L104-K104</f>
        <v>0.600000000000001</v>
      </c>
      <c r="N104" s="11" t="n">
        <f aca="false">H104*M104</f>
        <v>1.49214</v>
      </c>
      <c r="O104" s="14" t="n">
        <f aca="false">DATOS!$C$10*M104</f>
        <v>3.51</v>
      </c>
      <c r="P104" s="18" t="n">
        <f aca="false">-O104/100</f>
        <v>-0.0351</v>
      </c>
      <c r="Q104" s="17" t="n">
        <v>326</v>
      </c>
      <c r="R104" s="8"/>
      <c r="S104" s="10" t="s">
        <v>426</v>
      </c>
    </row>
    <row r="105" customFormat="false" ht="26.25" hidden="false" customHeight="true" outlineLevel="0" collapsed="false">
      <c r="B105" s="25" t="s">
        <v>427</v>
      </c>
      <c r="C105" s="17" t="n">
        <v>6</v>
      </c>
      <c r="D105" s="8" t="s">
        <v>137</v>
      </c>
      <c r="E105" s="7" t="n">
        <v>6.33</v>
      </c>
      <c r="F105" s="7" t="n">
        <v>2.4869</v>
      </c>
      <c r="G105" s="7" t="n">
        <v>7.58851</v>
      </c>
      <c r="H105" s="14" t="n">
        <f aca="false">G105-F105</f>
        <v>5.10161</v>
      </c>
      <c r="I105" s="7" t="n">
        <v>6.33</v>
      </c>
      <c r="J105" s="7" t="n">
        <v>7.2</v>
      </c>
      <c r="K105" s="26" t="n">
        <f aca="false">(I105+E105)/2</f>
        <v>6.33</v>
      </c>
      <c r="L105" s="26" t="n">
        <f aca="false">(E105+J105)/2</f>
        <v>6.765</v>
      </c>
      <c r="M105" s="26" t="n">
        <f aca="false">L105-K105</f>
        <v>0.435000000000001</v>
      </c>
      <c r="N105" s="11" t="n">
        <f aca="false">H105*M105</f>
        <v>2.21920035</v>
      </c>
      <c r="O105" s="14" t="n">
        <f aca="false">DATOS!$C$10*M105</f>
        <v>2.54475</v>
      </c>
      <c r="P105" s="18" t="n">
        <f aca="false">-O105/100</f>
        <v>-0.0254475</v>
      </c>
      <c r="Q105" s="17" t="n">
        <v>25</v>
      </c>
      <c r="R105" s="8"/>
      <c r="S105" s="10" t="s">
        <v>428</v>
      </c>
    </row>
    <row r="106" customFormat="false" ht="26.25" hidden="false" customHeight="true" outlineLevel="0" collapsed="false">
      <c r="B106" s="25" t="s">
        <v>429</v>
      </c>
      <c r="C106" s="17" t="n">
        <v>6</v>
      </c>
      <c r="D106" s="8" t="s">
        <v>137</v>
      </c>
      <c r="E106" s="7" t="n">
        <v>6.33</v>
      </c>
      <c r="F106" s="7" t="n">
        <v>7.58851</v>
      </c>
      <c r="G106" s="7" t="n">
        <v>10.08</v>
      </c>
      <c r="H106" s="14" t="n">
        <f aca="false">G106-F106</f>
        <v>2.49149</v>
      </c>
      <c r="I106" s="7" t="n">
        <v>6</v>
      </c>
      <c r="J106" s="7" t="n">
        <v>7.2</v>
      </c>
      <c r="K106" s="26" t="n">
        <f aca="false">(I106+E106)/2</f>
        <v>6.165</v>
      </c>
      <c r="L106" s="26" t="n">
        <f aca="false">(E106+J106)/2</f>
        <v>6.765</v>
      </c>
      <c r="M106" s="26" t="n">
        <f aca="false">L106-K106</f>
        <v>0.600000000000001</v>
      </c>
      <c r="N106" s="11" t="n">
        <f aca="false">H106*M106</f>
        <v>1.494894</v>
      </c>
      <c r="O106" s="14" t="n">
        <f aca="false">DATOS!$C$10*M106</f>
        <v>3.51</v>
      </c>
      <c r="P106" s="18" t="n">
        <f aca="false">-O106/100</f>
        <v>-0.0351</v>
      </c>
      <c r="Q106" s="17" t="n">
        <v>327</v>
      </c>
      <c r="R106" s="8"/>
      <c r="S106" s="10" t="s">
        <v>430</v>
      </c>
    </row>
    <row r="107" customFormat="false" ht="26.25" hidden="false" customHeight="true" outlineLevel="0" collapsed="false">
      <c r="B107" s="25" t="s">
        <v>431</v>
      </c>
      <c r="C107" s="17" t="n">
        <v>7</v>
      </c>
      <c r="D107" s="8" t="s">
        <v>142</v>
      </c>
      <c r="E107" s="7" t="n">
        <v>7.2</v>
      </c>
      <c r="F107" s="7" t="n">
        <v>0</v>
      </c>
      <c r="G107" s="7" t="n">
        <v>10.08</v>
      </c>
      <c r="H107" s="14" t="n">
        <f aca="false">G107-F107</f>
        <v>10.08</v>
      </c>
      <c r="I107" s="7" t="n">
        <v>6.33001</v>
      </c>
      <c r="J107" s="7" t="n">
        <v>8.4</v>
      </c>
      <c r="K107" s="26" t="n">
        <f aca="false">(I107+E107)/2</f>
        <v>6.765005</v>
      </c>
      <c r="L107" s="26" t="n">
        <f aca="false">(E107+J107)/2</f>
        <v>7.8</v>
      </c>
      <c r="M107" s="26" t="n">
        <f aca="false">L107-K107</f>
        <v>1.034995</v>
      </c>
      <c r="N107" s="11" t="n">
        <f aca="false">H107*M107</f>
        <v>10.4327496</v>
      </c>
      <c r="O107" s="14" t="n">
        <f aca="false">DATOS!$C$10*M107</f>
        <v>6.05472075</v>
      </c>
      <c r="P107" s="18" t="n">
        <f aca="false">-O107/100</f>
        <v>-0.0605472075</v>
      </c>
      <c r="Q107" s="17" t="n">
        <v>306</v>
      </c>
      <c r="R107" s="8"/>
      <c r="S107" s="10" t="s">
        <v>432</v>
      </c>
    </row>
    <row r="108" customFormat="false" ht="26.25" hidden="false" customHeight="true" outlineLevel="0" collapsed="false">
      <c r="B108" s="25" t="s">
        <v>433</v>
      </c>
      <c r="C108" s="17" t="n">
        <v>8</v>
      </c>
      <c r="D108" s="8" t="s">
        <v>142</v>
      </c>
      <c r="E108" s="7" t="n">
        <v>8.4</v>
      </c>
      <c r="F108" s="7" t="n">
        <v>0</v>
      </c>
      <c r="G108" s="7" t="n">
        <v>10.08</v>
      </c>
      <c r="H108" s="14" t="n">
        <f aca="false">G108-F108</f>
        <v>10.08</v>
      </c>
      <c r="I108" s="7" t="n">
        <v>7.20001</v>
      </c>
      <c r="J108" s="7" t="n">
        <v>9.6</v>
      </c>
      <c r="K108" s="26" t="n">
        <f aca="false">(I108+E108)/2</f>
        <v>7.800005</v>
      </c>
      <c r="L108" s="26" t="n">
        <f aca="false">(E108+J108)/2</f>
        <v>9</v>
      </c>
      <c r="M108" s="26" t="n">
        <f aca="false">L108-K108</f>
        <v>1.199995</v>
      </c>
      <c r="N108" s="11" t="n">
        <f aca="false">H108*M108</f>
        <v>12.0959496</v>
      </c>
      <c r="O108" s="14" t="n">
        <f aca="false">DATOS!$C$10*M108</f>
        <v>7.01997075</v>
      </c>
      <c r="P108" s="18" t="n">
        <f aca="false">-O108/100</f>
        <v>-0.0701997075</v>
      </c>
      <c r="Q108" s="17" t="n">
        <v>322</v>
      </c>
      <c r="R108" s="8"/>
      <c r="S108" s="10" t="s">
        <v>434</v>
      </c>
    </row>
    <row r="109" customFormat="false" ht="26.25" hidden="false" customHeight="true" outlineLevel="0" collapsed="false">
      <c r="B109" s="25" t="s">
        <v>435</v>
      </c>
      <c r="C109" s="17" t="n">
        <v>9</v>
      </c>
      <c r="D109" s="8" t="s">
        <v>142</v>
      </c>
      <c r="E109" s="7" t="n">
        <v>9.6</v>
      </c>
      <c r="F109" s="7" t="n">
        <v>0</v>
      </c>
      <c r="G109" s="7" t="n">
        <v>10.08</v>
      </c>
      <c r="H109" s="14" t="n">
        <f aca="false">G109-F109</f>
        <v>10.08</v>
      </c>
      <c r="I109" s="7" t="n">
        <v>8.40002</v>
      </c>
      <c r="J109" s="7" t="n">
        <v>10.62</v>
      </c>
      <c r="K109" s="26" t="n">
        <f aca="false">(I109+E109)/2</f>
        <v>9.00001</v>
      </c>
      <c r="L109" s="26" t="n">
        <f aca="false">(E109+J109)/2</f>
        <v>10.11</v>
      </c>
      <c r="M109" s="26" t="n">
        <f aca="false">L109-K109</f>
        <v>1.10999</v>
      </c>
      <c r="N109" s="11" t="n">
        <f aca="false">H109*M109</f>
        <v>11.1886992</v>
      </c>
      <c r="O109" s="14" t="n">
        <f aca="false">DATOS!$C$10*M109</f>
        <v>6.4934415</v>
      </c>
      <c r="P109" s="18" t="n">
        <f aca="false">-O109/100</f>
        <v>-0.064934415</v>
      </c>
      <c r="Q109" s="17" t="n">
        <v>323</v>
      </c>
      <c r="R109" s="8"/>
      <c r="S109" s="10" t="s">
        <v>436</v>
      </c>
    </row>
    <row r="110" customFormat="false" ht="26.25" hidden="false" customHeight="true" outlineLevel="0" collapsed="false">
      <c r="B110" s="25" t="s">
        <v>135</v>
      </c>
      <c r="C110" s="8" t="s">
        <v>437</v>
      </c>
      <c r="D110" s="8" t="s">
        <v>137</v>
      </c>
      <c r="E110" s="7" t="n">
        <v>10.62</v>
      </c>
      <c r="F110" s="7" t="n">
        <v>0</v>
      </c>
      <c r="G110" s="7" t="n">
        <v>10.08</v>
      </c>
      <c r="H110" s="14" t="n">
        <f aca="false">G110-F110</f>
        <v>10.08</v>
      </c>
      <c r="I110" s="7" t="n">
        <v>9.6</v>
      </c>
      <c r="J110" s="7" t="n">
        <v>10.62</v>
      </c>
      <c r="K110" s="26" t="n">
        <f aca="false">(I110+E110)/2</f>
        <v>10.11</v>
      </c>
      <c r="L110" s="26" t="n">
        <f aca="false">E110</f>
        <v>10.62</v>
      </c>
      <c r="M110" s="26" t="n">
        <f aca="false">L110-K110</f>
        <v>0.51</v>
      </c>
      <c r="N110" s="11" t="n">
        <f aca="false">H110*M110</f>
        <v>5.1408</v>
      </c>
      <c r="O110" s="14" t="n">
        <f aca="false">DATOS!$C$10*M110</f>
        <v>2.9835</v>
      </c>
      <c r="P110" s="18" t="n">
        <f aca="false">-O110/100</f>
        <v>-0.029835</v>
      </c>
      <c r="Q110" s="8" t="s">
        <v>138</v>
      </c>
      <c r="R110" s="8"/>
      <c r="S110" s="10" t="s">
        <v>438</v>
      </c>
    </row>
    <row r="111" customFormat="false" ht="15" hidden="false" customHeight="true" outlineLevel="0" collapsed="false">
      <c r="B111" s="25" t="s">
        <v>181</v>
      </c>
      <c r="C111" s="34" t="s">
        <v>439</v>
      </c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11" t="n">
        <f aca="false">SUM(N91:N110)</f>
        <v>69.4266531</v>
      </c>
    </row>
    <row r="112" customFormat="false" ht="15" hidden="false" customHeight="true" outlineLevel="0" collapsed="false">
      <c r="B112" s="25" t="s">
        <v>440</v>
      </c>
      <c r="C112" s="38" t="s">
        <v>441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14" t="n">
        <f aca="false">10.08*10.62-(1.9439-0.642501)*2.4-(7.58851-2.4869)*6.33001-0.6*(0.642501+(2.4869-1.9439)+(10.08-7.58851))</f>
        <v>69.4268054839</v>
      </c>
      <c r="O112" s="25" t="str">
        <f aca="false">IF(ABS(N112-N111)&lt;0.02,"CUADRA","NO CUADRA")</f>
        <v>CUADRA</v>
      </c>
      <c r="P112" s="25"/>
    </row>
  </sheetData>
  <mergeCells count="12">
    <mergeCell ref="B1:S1"/>
    <mergeCell ref="B2:S2"/>
    <mergeCell ref="B4:S4"/>
    <mergeCell ref="C55:N55"/>
    <mergeCell ref="B57:S57"/>
    <mergeCell ref="B58:S58"/>
    <mergeCell ref="C85:N85"/>
    <mergeCell ref="B87:S87"/>
    <mergeCell ref="B88:S88"/>
    <mergeCell ref="C111:M111"/>
    <mergeCell ref="C112:M112"/>
    <mergeCell ref="O112:P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10" min="6" style="1" width="11"/>
    <col collapsed="false" customWidth="true" hidden="false" outlineLevel="0" max="12" min="11" style="1" width="12"/>
    <col collapsed="false" customWidth="true" hidden="false" outlineLevel="0" max="14" min="13" style="1" width="13"/>
    <col collapsed="false" customWidth="true" hidden="false" outlineLevel="0" max="16" min="15" style="0" width="20"/>
    <col collapsed="false" customWidth="true" hidden="false" outlineLevel="0" max="17" min="17" style="0" width="46"/>
  </cols>
  <sheetData>
    <row r="1" customFormat="false" ht="25.5" hidden="false" customHeight="true" outlineLevel="0" collapsed="false">
      <c r="B1" s="2" t="s">
        <v>442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30" hidden="false" customHeight="true" outlineLevel="0" collapsed="false">
      <c r="B2" s="3" t="s">
        <v>443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1" hidden="false" customHeight="true" outlineLevel="0" collapsed="false">
      <c r="B4" s="4" t="s">
        <v>444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30" hidden="false" customHeight="true" outlineLevel="0" collapsed="false">
      <c r="B5" s="5" t="s">
        <v>108</v>
      </c>
      <c r="C5" s="5" t="s">
        <v>445</v>
      </c>
      <c r="D5" s="5" t="s">
        <v>446</v>
      </c>
      <c r="E5" s="5" t="s">
        <v>447</v>
      </c>
      <c r="F5" s="5" t="s">
        <v>395</v>
      </c>
      <c r="G5" s="5" t="s">
        <v>396</v>
      </c>
      <c r="H5" s="5" t="s">
        <v>448</v>
      </c>
      <c r="I5" s="5" t="s">
        <v>449</v>
      </c>
      <c r="J5" s="5" t="s">
        <v>116</v>
      </c>
      <c r="K5" s="5" t="s">
        <v>450</v>
      </c>
      <c r="L5" s="5" t="s">
        <v>451</v>
      </c>
      <c r="M5" s="5" t="s">
        <v>452</v>
      </c>
      <c r="N5" s="5" t="s">
        <v>453</v>
      </c>
      <c r="O5" s="5" t="s">
        <v>454</v>
      </c>
      <c r="P5" s="5" t="s">
        <v>455</v>
      </c>
      <c r="Q5" s="5" t="s">
        <v>7</v>
      </c>
    </row>
    <row r="6" customFormat="false" ht="24" hidden="false" customHeight="true" outlineLevel="0" collapsed="false">
      <c r="B6" s="9"/>
      <c r="C6" s="9" t="s">
        <v>134</v>
      </c>
      <c r="D6" s="9"/>
      <c r="E6" s="9"/>
      <c r="F6" s="9" t="s">
        <v>456</v>
      </c>
      <c r="G6" s="9" t="s">
        <v>457</v>
      </c>
      <c r="H6" s="9" t="s">
        <v>124</v>
      </c>
      <c r="I6" s="9" t="s">
        <v>125</v>
      </c>
      <c r="J6" s="9" t="s">
        <v>458</v>
      </c>
      <c r="K6" s="9" t="s">
        <v>198</v>
      </c>
      <c r="L6" s="9" t="s">
        <v>459</v>
      </c>
      <c r="M6" s="9" t="s">
        <v>460</v>
      </c>
      <c r="N6" s="9" t="s">
        <v>199</v>
      </c>
      <c r="O6" s="9" t="s">
        <v>461</v>
      </c>
      <c r="P6" s="9" t="s">
        <v>462</v>
      </c>
      <c r="Q6" s="9"/>
    </row>
    <row r="7" customFormat="false" ht="24" hidden="false" customHeight="true" outlineLevel="0" collapsed="false">
      <c r="B7" s="25" t="s">
        <v>463</v>
      </c>
      <c r="C7" s="39" t="n">
        <v>20</v>
      </c>
      <c r="D7" s="17" t="n">
        <v>1</v>
      </c>
      <c r="E7" s="14" t="s">
        <v>464</v>
      </c>
      <c r="F7" s="14" t="n">
        <v>0</v>
      </c>
      <c r="G7" s="14" t="n">
        <f aca="false">DATOS!$C$30</f>
        <v>5.04</v>
      </c>
      <c r="H7" s="26" t="n">
        <f aca="false">DATOS!$C$31</f>
        <v>0</v>
      </c>
      <c r="I7" s="26" t="n">
        <f aca="false">(DATOS!$C$31+DATOS!$C$32)/2</f>
        <v>3.375005</v>
      </c>
      <c r="J7" s="11" t="n">
        <f aca="false">(G7-F7)*(I7-H7)</f>
        <v>17.0100252</v>
      </c>
      <c r="K7" s="27" t="n">
        <f aca="false">DATOS!$C$8*J7</f>
        <v>328.633686864</v>
      </c>
      <c r="L7" s="27" t="n">
        <f aca="false">DATOS!$C$23*J7</f>
        <v>0</v>
      </c>
      <c r="M7" s="21" t="n">
        <f aca="false">K7+L7</f>
        <v>328.633686864</v>
      </c>
      <c r="N7" s="21" t="n">
        <f aca="false">DATOS!$C$22*J7</f>
        <v>340.200504</v>
      </c>
      <c r="O7" s="16" t="str">
        <f aca="false">C7&amp;" FY "&amp;TEXT(-K7,"0.0")</f>
        <v>20 FY -328.6</v>
      </c>
      <c r="P7" s="16" t="str">
        <f aca="false">C7&amp;" FY "&amp;TEXT(-N7,"0.0")</f>
        <v>20 FY -340.2</v>
      </c>
      <c r="Q7" s="10" t="s">
        <v>465</v>
      </c>
    </row>
    <row r="8" customFormat="false" ht="24" hidden="false" customHeight="true" outlineLevel="0" collapsed="false">
      <c r="B8" s="25" t="s">
        <v>466</v>
      </c>
      <c r="C8" s="39" t="n">
        <v>21</v>
      </c>
      <c r="D8" s="17" t="n">
        <v>1</v>
      </c>
      <c r="E8" s="14" t="s">
        <v>467</v>
      </c>
      <c r="F8" s="14" t="n">
        <f aca="false">DATOS!$C$30</f>
        <v>5.04</v>
      </c>
      <c r="G8" s="14" t="n">
        <f aca="false">DATOS!$C$29</f>
        <v>10.08</v>
      </c>
      <c r="H8" s="26" t="n">
        <f aca="false">DATOS!$C$31</f>
        <v>0</v>
      </c>
      <c r="I8" s="26" t="n">
        <f aca="false">(DATOS!$C$31+DATOS!$C$32)/2</f>
        <v>3.375005</v>
      </c>
      <c r="J8" s="11" t="n">
        <f aca="false">(G8-F8)*(I8-H8)</f>
        <v>17.0100252</v>
      </c>
      <c r="K8" s="27" t="n">
        <f aca="false">DATOS!$C$8*J8</f>
        <v>328.633686864</v>
      </c>
      <c r="L8" s="27" t="n">
        <f aca="false">DATOS!$C$23*J8</f>
        <v>0</v>
      </c>
      <c r="M8" s="21" t="n">
        <f aca="false">K8+L8</f>
        <v>328.633686864</v>
      </c>
      <c r="N8" s="21" t="n">
        <f aca="false">DATOS!$C$22*J8</f>
        <v>340.200504</v>
      </c>
      <c r="O8" s="16" t="str">
        <f aca="false">C8&amp;" FY "&amp;TEXT(-K8,"0.0")</f>
        <v>21 FY -328.6</v>
      </c>
      <c r="P8" s="16" t="str">
        <f aca="false">C8&amp;" FY "&amp;TEXT(-N8,"0.0")</f>
        <v>21 FY -340.2</v>
      </c>
      <c r="Q8" s="10" t="s">
        <v>468</v>
      </c>
    </row>
    <row r="9" customFormat="false" ht="24" hidden="false" customHeight="true" outlineLevel="0" collapsed="false">
      <c r="B9" s="25" t="s">
        <v>469</v>
      </c>
      <c r="C9" s="39" t="n">
        <v>18</v>
      </c>
      <c r="D9" s="17" t="n">
        <v>2</v>
      </c>
      <c r="E9" s="14" t="s">
        <v>464</v>
      </c>
      <c r="F9" s="14" t="n">
        <v>0</v>
      </c>
      <c r="G9" s="14" t="n">
        <f aca="false">DATOS!$C$30</f>
        <v>5.04</v>
      </c>
      <c r="H9" s="26" t="n">
        <f aca="false">(DATOS!$C$31+DATOS!$C$32)/2</f>
        <v>3.375005</v>
      </c>
      <c r="I9" s="26" t="n">
        <f aca="false">(DATOS!$C$32+DATOS!$C$33)/2</f>
        <v>10.125005</v>
      </c>
      <c r="J9" s="11" t="n">
        <f aca="false">(G9-F9)*(I9-H9)</f>
        <v>34.02</v>
      </c>
      <c r="K9" s="27" t="n">
        <f aca="false">DATOS!$C$8*J9</f>
        <v>657.2664</v>
      </c>
      <c r="L9" s="27" t="n">
        <f aca="false">DATOS!$C$23*J9</f>
        <v>0</v>
      </c>
      <c r="M9" s="21" t="n">
        <f aca="false">K9+L9</f>
        <v>657.2664</v>
      </c>
      <c r="N9" s="21" t="n">
        <f aca="false">DATOS!$C$22*J9</f>
        <v>680.4</v>
      </c>
      <c r="O9" s="16" t="str">
        <f aca="false">C9&amp;" FY "&amp;TEXT(-K9,"0.0")</f>
        <v>18 FY -657.3</v>
      </c>
      <c r="P9" s="16" t="str">
        <f aca="false">C9&amp;" FY "&amp;TEXT(-N9,"0.0")</f>
        <v>18 FY -680.4</v>
      </c>
      <c r="Q9" s="10" t="s">
        <v>470</v>
      </c>
    </row>
    <row r="10" customFormat="false" ht="24" hidden="false" customHeight="true" outlineLevel="0" collapsed="false">
      <c r="B10" s="25" t="s">
        <v>471</v>
      </c>
      <c r="C10" s="39" t="n">
        <v>19</v>
      </c>
      <c r="D10" s="17" t="n">
        <v>2</v>
      </c>
      <c r="E10" s="14" t="s">
        <v>467</v>
      </c>
      <c r="F10" s="14" t="n">
        <f aca="false">DATOS!$C$30</f>
        <v>5.04</v>
      </c>
      <c r="G10" s="14" t="n">
        <f aca="false">DATOS!$C$29</f>
        <v>10.08</v>
      </c>
      <c r="H10" s="26" t="n">
        <f aca="false">(DATOS!$C$31+DATOS!$C$32)/2</f>
        <v>3.375005</v>
      </c>
      <c r="I10" s="26" t="n">
        <f aca="false">(DATOS!$C$32+DATOS!$C$33)/2</f>
        <v>10.125005</v>
      </c>
      <c r="J10" s="11" t="n">
        <f aca="false">(G10-F10)*(I10-H10)</f>
        <v>34.02</v>
      </c>
      <c r="K10" s="27" t="n">
        <f aca="false">DATOS!$C$8*J10</f>
        <v>657.2664</v>
      </c>
      <c r="L10" s="27" t="n">
        <f aca="false">DATOS!$C$23*J10</f>
        <v>0</v>
      </c>
      <c r="M10" s="21" t="n">
        <f aca="false">K10+L10</f>
        <v>657.2664</v>
      </c>
      <c r="N10" s="21" t="n">
        <f aca="false">DATOS!$C$22*J10</f>
        <v>680.4</v>
      </c>
      <c r="O10" s="16" t="str">
        <f aca="false">C10&amp;" FY "&amp;TEXT(-K10,"0.0")</f>
        <v>19 FY -657.3</v>
      </c>
      <c r="P10" s="16" t="str">
        <f aca="false">C10&amp;" FY "&amp;TEXT(-N10,"0.0")</f>
        <v>19 FY -680.4</v>
      </c>
      <c r="Q10" s="10" t="s">
        <v>472</v>
      </c>
    </row>
    <row r="11" customFormat="false" ht="24" hidden="false" customHeight="true" outlineLevel="0" collapsed="false">
      <c r="B11" s="25" t="s">
        <v>473</v>
      </c>
      <c r="C11" s="39" t="n">
        <v>14</v>
      </c>
      <c r="D11" s="17" t="n">
        <v>3</v>
      </c>
      <c r="E11" s="14" t="s">
        <v>464</v>
      </c>
      <c r="F11" s="14" t="n">
        <v>0</v>
      </c>
      <c r="G11" s="14" t="n">
        <f aca="false">DATOS!$C$30</f>
        <v>5.04</v>
      </c>
      <c r="H11" s="26" t="n">
        <f aca="false">(DATOS!$C$32+DATOS!$C$33)/2</f>
        <v>10.125005</v>
      </c>
      <c r="I11" s="26" t="n">
        <f aca="false">(DATOS!$C$33+DATOS!$C$34)/2</f>
        <v>14.75</v>
      </c>
      <c r="J11" s="11" t="n">
        <f aca="false">(G11-F11)*(I11-H11)</f>
        <v>23.3099748</v>
      </c>
      <c r="K11" s="27" t="n">
        <f aca="false">DATOS!$C$8*J11</f>
        <v>450.348713136</v>
      </c>
      <c r="L11" s="27" t="n">
        <f aca="false">DATOS!$C$23*J11</f>
        <v>0</v>
      </c>
      <c r="M11" s="21" t="n">
        <f aca="false">K11+L11</f>
        <v>450.348713136</v>
      </c>
      <c r="N11" s="21" t="n">
        <f aca="false">DATOS!$C$22*J11</f>
        <v>466.199496</v>
      </c>
      <c r="O11" s="16" t="str">
        <f aca="false">C11&amp;" FY "&amp;TEXT(-K11,"0.0")</f>
        <v>14 FY -450.3</v>
      </c>
      <c r="P11" s="16" t="str">
        <f aca="false">C11&amp;" FY "&amp;TEXT(-N11,"0.0")</f>
        <v>14 FY -466.2</v>
      </c>
      <c r="Q11" s="10" t="s">
        <v>474</v>
      </c>
    </row>
    <row r="12" customFormat="false" ht="24" hidden="false" customHeight="true" outlineLevel="0" collapsed="false">
      <c r="B12" s="25" t="s">
        <v>475</v>
      </c>
      <c r="C12" s="39" t="n">
        <v>15</v>
      </c>
      <c r="D12" s="17" t="n">
        <v>3</v>
      </c>
      <c r="E12" s="14" t="s">
        <v>467</v>
      </c>
      <c r="F12" s="14" t="n">
        <f aca="false">DATOS!$C$30</f>
        <v>5.04</v>
      </c>
      <c r="G12" s="14" t="n">
        <f aca="false">DATOS!$C$29</f>
        <v>10.08</v>
      </c>
      <c r="H12" s="26" t="n">
        <f aca="false">(DATOS!$C$32+DATOS!$C$33)/2</f>
        <v>10.125005</v>
      </c>
      <c r="I12" s="26" t="n">
        <f aca="false">(DATOS!$C$33+DATOS!$C$34)/2</f>
        <v>14.75</v>
      </c>
      <c r="J12" s="11" t="n">
        <f aca="false">(G12-F12)*(I12-H12)</f>
        <v>23.3099748</v>
      </c>
      <c r="K12" s="27" t="n">
        <f aca="false">DATOS!$C$8*J12</f>
        <v>450.348713136</v>
      </c>
      <c r="L12" s="27" t="n">
        <f aca="false">DATOS!$C$23*J12</f>
        <v>0</v>
      </c>
      <c r="M12" s="21" t="n">
        <f aca="false">K12+L12</f>
        <v>450.348713136</v>
      </c>
      <c r="N12" s="21" t="n">
        <f aca="false">DATOS!$C$22*J12</f>
        <v>466.199496</v>
      </c>
      <c r="O12" s="16" t="str">
        <f aca="false">C12&amp;" FY "&amp;TEXT(-K12,"0.0")</f>
        <v>15 FY -450.3</v>
      </c>
      <c r="P12" s="16" t="str">
        <f aca="false">C12&amp;" FY "&amp;TEXT(-N12,"0.0")</f>
        <v>15 FY -466.2</v>
      </c>
      <c r="Q12" s="10" t="s">
        <v>476</v>
      </c>
    </row>
    <row r="13" customFormat="false" ht="24" hidden="false" customHeight="true" outlineLevel="0" collapsed="false">
      <c r="B13" s="25" t="s">
        <v>477</v>
      </c>
      <c r="C13" s="39" t="n">
        <v>16</v>
      </c>
      <c r="D13" s="17" t="n">
        <v>4</v>
      </c>
      <c r="E13" s="14" t="s">
        <v>464</v>
      </c>
      <c r="F13" s="14" t="n">
        <v>0</v>
      </c>
      <c r="G13" s="14" t="n">
        <f aca="false">DATOS!$C$30</f>
        <v>5.04</v>
      </c>
      <c r="H13" s="26" t="n">
        <f aca="false">(DATOS!$C$33+DATOS!$C$34)/2</f>
        <v>14.75</v>
      </c>
      <c r="I13" s="26" t="n">
        <f aca="false">DATOS!$C$34</f>
        <v>16</v>
      </c>
      <c r="J13" s="11" t="n">
        <f aca="false">(G13-F13)*(I13-H13)</f>
        <v>6.3</v>
      </c>
      <c r="K13" s="27" t="n">
        <f aca="false">DATOS!$C$8*J13</f>
        <v>121.716</v>
      </c>
      <c r="L13" s="27" t="n">
        <f aca="false">DATOS!$C$23*J13</f>
        <v>0</v>
      </c>
      <c r="M13" s="21" t="n">
        <f aca="false">K13+L13</f>
        <v>121.716</v>
      </c>
      <c r="N13" s="21" t="n">
        <f aca="false">DATOS!$C$22*J13</f>
        <v>126</v>
      </c>
      <c r="O13" s="16" t="str">
        <f aca="false">C13&amp;" FY "&amp;TEXT(-K13,"0.0")</f>
        <v>16 FY -121.7</v>
      </c>
      <c r="P13" s="16" t="str">
        <f aca="false">C13&amp;" FY "&amp;TEXT(-N13,"0.0")</f>
        <v>16 FY -126.0</v>
      </c>
      <c r="Q13" s="10" t="s">
        <v>478</v>
      </c>
    </row>
    <row r="14" customFormat="false" ht="24" hidden="false" customHeight="true" outlineLevel="0" collapsed="false">
      <c r="B14" s="25" t="s">
        <v>479</v>
      </c>
      <c r="C14" s="39" t="n">
        <v>13</v>
      </c>
      <c r="D14" s="17" t="n">
        <v>4</v>
      </c>
      <c r="E14" s="14" t="s">
        <v>467</v>
      </c>
      <c r="F14" s="14" t="n">
        <f aca="false">DATOS!$C$30</f>
        <v>5.04</v>
      </c>
      <c r="G14" s="14" t="n">
        <f aca="false">DATOS!$C$29</f>
        <v>10.08</v>
      </c>
      <c r="H14" s="26" t="n">
        <f aca="false">(DATOS!$C$33+DATOS!$C$34)/2</f>
        <v>14.75</v>
      </c>
      <c r="I14" s="26" t="n">
        <f aca="false">DATOS!$C$34</f>
        <v>16</v>
      </c>
      <c r="J14" s="11" t="n">
        <f aca="false">(G14-F14)*(I14-H14)</f>
        <v>6.3</v>
      </c>
      <c r="K14" s="27" t="n">
        <f aca="false">DATOS!$C$8*J14</f>
        <v>121.716</v>
      </c>
      <c r="L14" s="27" t="n">
        <f aca="false">DATOS!$C$23*J14</f>
        <v>0</v>
      </c>
      <c r="M14" s="21" t="n">
        <f aca="false">K14+L14</f>
        <v>121.716</v>
      </c>
      <c r="N14" s="21" t="n">
        <f aca="false">DATOS!$C$22*J14</f>
        <v>126</v>
      </c>
      <c r="O14" s="16" t="str">
        <f aca="false">C14&amp;" FY "&amp;TEXT(-K14,"0.0")</f>
        <v>13 FY -121.7</v>
      </c>
      <c r="P14" s="16" t="str">
        <f aca="false">C14&amp;" FY "&amp;TEXT(-N14,"0.0")</f>
        <v>13 FY -126.0</v>
      </c>
      <c r="Q14" s="10" t="s">
        <v>480</v>
      </c>
    </row>
    <row r="15" customFormat="false" ht="24" hidden="false" customHeight="true" outlineLevel="0" collapsed="false">
      <c r="B15" s="25" t="s">
        <v>181</v>
      </c>
      <c r="C15" s="35" t="s">
        <v>182</v>
      </c>
      <c r="D15" s="35"/>
      <c r="E15" s="35"/>
      <c r="F15" s="35"/>
      <c r="G15" s="35"/>
      <c r="H15" s="35"/>
      <c r="I15" s="35"/>
      <c r="J15" s="11" t="n">
        <f aca="false">SUM(J7:J14)</f>
        <v>161.28</v>
      </c>
      <c r="K15" s="21" t="n">
        <f aca="false">SUM(K7:K14)</f>
        <v>3115.9296</v>
      </c>
      <c r="L15" s="21" t="n">
        <f aca="false">SUM(L7:L14)</f>
        <v>0</v>
      </c>
      <c r="M15" s="21" t="n">
        <f aca="false">SUM(M7:M14)</f>
        <v>3115.9296</v>
      </c>
      <c r="N15" s="21" t="n">
        <f aca="false">SUM(N7:N14)</f>
        <v>3225.6</v>
      </c>
      <c r="O15" s="21"/>
      <c r="P15" s="21"/>
      <c r="Q15" s="25" t="str">
        <f aca="false">IF(AND(ABS(J15-TECHO!$J$20)&lt;0.01,ABS(N15-RESUMEN!$C$16)&lt;0.5),"CUADRA","NO CUADRA")</f>
        <v>CUADRA</v>
      </c>
    </row>
  </sheetData>
  <mergeCells count="4">
    <mergeCell ref="B1:Q1"/>
    <mergeCell ref="B2:Q2"/>
    <mergeCell ref="B4:Q4"/>
    <mergeCell ref="C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8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11"/>
    <col collapsed="false" customWidth="true" hidden="false" outlineLevel="0" max="10" min="8" style="1" width="12"/>
    <col collapsed="false" customWidth="true" hidden="false" outlineLevel="0" max="11" min="11" style="1" width="44"/>
    <col collapsed="false" customWidth="true" hidden="false" outlineLevel="0" max="12" min="12" style="1" width="40"/>
  </cols>
  <sheetData>
    <row r="1" customFormat="false" ht="25.5" hidden="false" customHeight="true" outlineLevel="0" collapsed="false">
      <c r="B1" s="2" t="s">
        <v>481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B2" s="3" t="s">
        <v>482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" hidden="false" customHeight="true" outlineLevel="0" collapsed="false">
      <c r="B4" s="4" t="s">
        <v>483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0" hidden="false" customHeight="true" outlineLevel="0" collapsed="false">
      <c r="B5" s="5" t="s">
        <v>108</v>
      </c>
      <c r="C5" s="5" t="s">
        <v>232</v>
      </c>
      <c r="D5" s="5" t="s">
        <v>233</v>
      </c>
      <c r="E5" s="5" t="s">
        <v>484</v>
      </c>
      <c r="F5" s="5" t="s">
        <v>485</v>
      </c>
      <c r="G5" s="5" t="s">
        <v>236</v>
      </c>
      <c r="H5" s="5" t="s">
        <v>486</v>
      </c>
      <c r="I5" s="5" t="s">
        <v>487</v>
      </c>
      <c r="J5" s="5" t="s">
        <v>116</v>
      </c>
      <c r="K5" s="5" t="s">
        <v>488</v>
      </c>
      <c r="L5" s="5" t="s">
        <v>7</v>
      </c>
    </row>
    <row r="6" customFormat="false" ht="24" hidden="false" customHeight="true" outlineLevel="0" collapsed="false">
      <c r="B6" s="9"/>
      <c r="C6" s="9"/>
      <c r="D6" s="9"/>
      <c r="E6" s="9" t="s">
        <v>134</v>
      </c>
      <c r="F6" s="9" t="s">
        <v>134</v>
      </c>
      <c r="G6" s="9" t="s">
        <v>489</v>
      </c>
      <c r="H6" s="9" t="s">
        <v>490</v>
      </c>
      <c r="I6" s="9" t="s">
        <v>491</v>
      </c>
      <c r="J6" s="9" t="s">
        <v>492</v>
      </c>
      <c r="K6" s="9" t="s">
        <v>493</v>
      </c>
      <c r="L6" s="9"/>
    </row>
    <row r="7" customFormat="false" ht="19.5" hidden="false" customHeight="true" outlineLevel="0" collapsed="false">
      <c r="B7" s="25" t="s">
        <v>253</v>
      </c>
      <c r="C7" s="14" t="s">
        <v>494</v>
      </c>
      <c r="D7" s="17" t="n">
        <v>1</v>
      </c>
      <c r="E7" s="39" t="n">
        <v>108</v>
      </c>
      <c r="F7" s="39" t="n">
        <v>110</v>
      </c>
      <c r="G7" s="36" t="n">
        <v>6.75</v>
      </c>
      <c r="H7" s="36" t="n">
        <v>1.2</v>
      </c>
      <c r="I7" s="36" t="n">
        <v>1.2</v>
      </c>
      <c r="J7" s="37" t="n">
        <f aca="false">G7*(H7+I7)/2</f>
        <v>8.1</v>
      </c>
      <c r="K7" s="27" t="n">
        <f aca="false">DATOS!$C$10*J7</f>
        <v>47.385</v>
      </c>
      <c r="L7" s="10" t="s">
        <v>495</v>
      </c>
    </row>
    <row r="8" customFormat="false" ht="19.5" hidden="false" customHeight="true" outlineLevel="0" collapsed="false">
      <c r="B8" s="25" t="s">
        <v>257</v>
      </c>
      <c r="C8" s="14" t="s">
        <v>494</v>
      </c>
      <c r="D8" s="17" t="n">
        <v>1</v>
      </c>
      <c r="E8" s="39" t="n">
        <v>110</v>
      </c>
      <c r="F8" s="39" t="n">
        <v>111</v>
      </c>
      <c r="G8" s="36" t="n">
        <v>6.75</v>
      </c>
      <c r="H8" s="36" t="n">
        <v>1.2</v>
      </c>
      <c r="I8" s="36" t="n">
        <v>1.2</v>
      </c>
      <c r="J8" s="37" t="n">
        <f aca="false">G8*(H8+I8)/2</f>
        <v>8.1</v>
      </c>
      <c r="K8" s="27" t="n">
        <f aca="false">DATOS!$C$10*J8</f>
        <v>47.385</v>
      </c>
      <c r="L8" s="10" t="s">
        <v>496</v>
      </c>
    </row>
    <row r="9" customFormat="false" ht="19.5" hidden="false" customHeight="true" outlineLevel="0" collapsed="false">
      <c r="B9" s="25" t="s">
        <v>260</v>
      </c>
      <c r="C9" s="14" t="s">
        <v>494</v>
      </c>
      <c r="D9" s="17" t="n">
        <v>1</v>
      </c>
      <c r="E9" s="39" t="n">
        <v>111</v>
      </c>
      <c r="F9" s="39" t="n">
        <v>112</v>
      </c>
      <c r="G9" s="36" t="n">
        <v>2.5</v>
      </c>
      <c r="H9" s="36" t="n">
        <v>1.2</v>
      </c>
      <c r="I9" s="36" t="n">
        <v>1.2</v>
      </c>
      <c r="J9" s="37" t="n">
        <f aca="false">G9*(H9+I9)/2</f>
        <v>3</v>
      </c>
      <c r="K9" s="27" t="n">
        <f aca="false">DATOS!$C$10*J9</f>
        <v>17.55</v>
      </c>
      <c r="L9" s="10" t="s">
        <v>497</v>
      </c>
    </row>
    <row r="10" customFormat="false" ht="19.5" hidden="false" customHeight="true" outlineLevel="0" collapsed="false">
      <c r="B10" s="25" t="s">
        <v>263</v>
      </c>
      <c r="C10" s="14" t="s">
        <v>494</v>
      </c>
      <c r="D10" s="17" t="n">
        <v>2</v>
      </c>
      <c r="E10" s="39" t="n">
        <v>120</v>
      </c>
      <c r="F10" s="39" t="n">
        <v>122</v>
      </c>
      <c r="G10" s="36" t="n">
        <v>6.75</v>
      </c>
      <c r="H10" s="36" t="n">
        <v>1.2</v>
      </c>
      <c r="I10" s="36" t="n">
        <v>1.2</v>
      </c>
      <c r="J10" s="37" t="n">
        <f aca="false">G10*(H10+I10)/2</f>
        <v>8.1</v>
      </c>
      <c r="K10" s="27" t="n">
        <f aca="false">DATOS!$C$10*J10</f>
        <v>47.385</v>
      </c>
      <c r="L10" s="10" t="s">
        <v>498</v>
      </c>
    </row>
    <row r="11" customFormat="false" ht="19.5" hidden="false" customHeight="true" outlineLevel="0" collapsed="false">
      <c r="B11" s="25" t="s">
        <v>265</v>
      </c>
      <c r="C11" s="14" t="s">
        <v>494</v>
      </c>
      <c r="D11" s="17" t="n">
        <v>2</v>
      </c>
      <c r="E11" s="39" t="n">
        <v>122</v>
      </c>
      <c r="F11" s="39" t="n">
        <v>123</v>
      </c>
      <c r="G11" s="36" t="n">
        <v>6.75</v>
      </c>
      <c r="H11" s="36" t="n">
        <v>1.2</v>
      </c>
      <c r="I11" s="36" t="n">
        <v>1.2</v>
      </c>
      <c r="J11" s="37" t="n">
        <f aca="false">G11*(H11+I11)/2</f>
        <v>8.1</v>
      </c>
      <c r="K11" s="27" t="n">
        <f aca="false">DATOS!$C$10*J11</f>
        <v>47.385</v>
      </c>
      <c r="L11" s="10" t="s">
        <v>499</v>
      </c>
    </row>
    <row r="12" customFormat="false" ht="19.5" hidden="false" customHeight="true" outlineLevel="0" collapsed="false">
      <c r="B12" s="25" t="s">
        <v>267</v>
      </c>
      <c r="C12" s="14" t="s">
        <v>494</v>
      </c>
      <c r="D12" s="17" t="n">
        <v>2</v>
      </c>
      <c r="E12" s="39" t="n">
        <v>123</v>
      </c>
      <c r="F12" s="39" t="n">
        <v>124</v>
      </c>
      <c r="G12" s="36" t="n">
        <v>2.5</v>
      </c>
      <c r="H12" s="36" t="n">
        <v>1.2</v>
      </c>
      <c r="I12" s="36" t="n">
        <v>1.2</v>
      </c>
      <c r="J12" s="37" t="n">
        <f aca="false">G12*(H12+I12)/2</f>
        <v>3</v>
      </c>
      <c r="K12" s="27" t="n">
        <f aca="false">DATOS!$C$10*J12</f>
        <v>17.55</v>
      </c>
      <c r="L12" s="10" t="s">
        <v>500</v>
      </c>
    </row>
    <row r="13" customFormat="false" ht="19.5" hidden="false" customHeight="true" outlineLevel="0" collapsed="false">
      <c r="B13" s="25" t="s">
        <v>269</v>
      </c>
      <c r="C13" s="14" t="s">
        <v>494</v>
      </c>
      <c r="D13" s="17" t="n">
        <v>3</v>
      </c>
      <c r="E13" s="39" t="n">
        <v>132</v>
      </c>
      <c r="F13" s="39" t="n">
        <v>134</v>
      </c>
      <c r="G13" s="36" t="n">
        <v>6.75</v>
      </c>
      <c r="H13" s="36" t="n">
        <v>1.2</v>
      </c>
      <c r="I13" s="36" t="n">
        <v>1.2</v>
      </c>
      <c r="J13" s="37" t="n">
        <f aca="false">G13*(H13+I13)/2</f>
        <v>8.1</v>
      </c>
      <c r="K13" s="27" t="n">
        <f aca="false">DATOS!$C$10*J13</f>
        <v>47.385</v>
      </c>
      <c r="L13" s="10" t="s">
        <v>501</v>
      </c>
    </row>
    <row r="14" customFormat="false" ht="19.5" hidden="false" customHeight="true" outlineLevel="0" collapsed="false">
      <c r="B14" s="25" t="s">
        <v>271</v>
      </c>
      <c r="C14" s="14" t="s">
        <v>494</v>
      </c>
      <c r="D14" s="17" t="n">
        <v>3</v>
      </c>
      <c r="E14" s="39" t="n">
        <v>134</v>
      </c>
      <c r="F14" s="39" t="n">
        <v>135</v>
      </c>
      <c r="G14" s="36" t="n">
        <v>6.75</v>
      </c>
      <c r="H14" s="36" t="n">
        <v>1.2</v>
      </c>
      <c r="I14" s="36" t="n">
        <v>1.2</v>
      </c>
      <c r="J14" s="37" t="n">
        <f aca="false">G14*(H14+I14)/2</f>
        <v>8.1</v>
      </c>
      <c r="K14" s="27" t="n">
        <f aca="false">DATOS!$C$10*J14</f>
        <v>47.385</v>
      </c>
      <c r="L14" s="10" t="s">
        <v>502</v>
      </c>
    </row>
    <row r="15" customFormat="false" ht="19.5" hidden="false" customHeight="true" outlineLevel="0" collapsed="false">
      <c r="B15" s="25" t="s">
        <v>273</v>
      </c>
      <c r="C15" s="14" t="s">
        <v>494</v>
      </c>
      <c r="D15" s="17" t="n">
        <v>3</v>
      </c>
      <c r="E15" s="39" t="n">
        <v>135</v>
      </c>
      <c r="F15" s="39" t="n">
        <v>136</v>
      </c>
      <c r="G15" s="36" t="n">
        <v>2.5</v>
      </c>
      <c r="H15" s="36" t="n">
        <v>1.2</v>
      </c>
      <c r="I15" s="36" t="n">
        <v>1.2</v>
      </c>
      <c r="J15" s="37" t="n">
        <f aca="false">G15*(H15+I15)/2</f>
        <v>3</v>
      </c>
      <c r="K15" s="27" t="n">
        <f aca="false">DATOS!$C$10*J15</f>
        <v>17.55</v>
      </c>
      <c r="L15" s="10" t="s">
        <v>503</v>
      </c>
    </row>
    <row r="16" customFormat="false" ht="19.5" hidden="false" customHeight="true" outlineLevel="0" collapsed="false">
      <c r="B16" s="25" t="s">
        <v>275</v>
      </c>
      <c r="C16" s="14" t="s">
        <v>494</v>
      </c>
      <c r="D16" s="17" t="n">
        <v>4</v>
      </c>
      <c r="E16" s="39" t="n">
        <v>144</v>
      </c>
      <c r="F16" s="39" t="n">
        <v>146</v>
      </c>
      <c r="G16" s="36" t="n">
        <v>6.75</v>
      </c>
      <c r="H16" s="36" t="n">
        <v>1.2</v>
      </c>
      <c r="I16" s="36" t="n">
        <v>1.2</v>
      </c>
      <c r="J16" s="37" t="n">
        <f aca="false">G16*(H16+I16)/2</f>
        <v>8.1</v>
      </c>
      <c r="K16" s="27" t="n">
        <f aca="false">DATOS!$C$10*J16</f>
        <v>47.385</v>
      </c>
      <c r="L16" s="10" t="s">
        <v>504</v>
      </c>
    </row>
    <row r="17" customFormat="false" ht="19.5" hidden="false" customHeight="true" outlineLevel="0" collapsed="false">
      <c r="B17" s="25" t="s">
        <v>277</v>
      </c>
      <c r="C17" s="14" t="s">
        <v>494</v>
      </c>
      <c r="D17" s="17" t="n">
        <v>4</v>
      </c>
      <c r="E17" s="39" t="n">
        <v>146</v>
      </c>
      <c r="F17" s="39" t="n">
        <v>147</v>
      </c>
      <c r="G17" s="36" t="n">
        <v>6.75</v>
      </c>
      <c r="H17" s="36" t="n">
        <v>1.2</v>
      </c>
      <c r="I17" s="36" t="n">
        <v>1.2</v>
      </c>
      <c r="J17" s="37" t="n">
        <f aca="false">G17*(H17+I17)/2</f>
        <v>8.1</v>
      </c>
      <c r="K17" s="27" t="n">
        <f aca="false">DATOS!$C$10*J17</f>
        <v>47.385</v>
      </c>
      <c r="L17" s="10" t="s">
        <v>505</v>
      </c>
    </row>
    <row r="18" customFormat="false" ht="19.5" hidden="false" customHeight="true" outlineLevel="0" collapsed="false">
      <c r="B18" s="25" t="s">
        <v>279</v>
      </c>
      <c r="C18" s="14" t="s">
        <v>494</v>
      </c>
      <c r="D18" s="17" t="n">
        <v>4</v>
      </c>
      <c r="E18" s="39" t="n">
        <v>147</v>
      </c>
      <c r="F18" s="39" t="n">
        <v>148</v>
      </c>
      <c r="G18" s="36" t="n">
        <v>2.5</v>
      </c>
      <c r="H18" s="36" t="n">
        <v>1.2</v>
      </c>
      <c r="I18" s="36" t="n">
        <v>1.2</v>
      </c>
      <c r="J18" s="37" t="n">
        <f aca="false">G18*(H18+I18)/2</f>
        <v>3</v>
      </c>
      <c r="K18" s="27" t="n">
        <f aca="false">DATOS!$C$10*J18</f>
        <v>17.55</v>
      </c>
      <c r="L18" s="10" t="s">
        <v>506</v>
      </c>
    </row>
    <row r="19" customFormat="false" ht="19.5" hidden="false" customHeight="true" outlineLevel="0" collapsed="false">
      <c r="B19" s="25" t="s">
        <v>281</v>
      </c>
      <c r="C19" s="14" t="s">
        <v>494</v>
      </c>
      <c r="D19" s="17" t="n">
        <v>5</v>
      </c>
      <c r="E19" s="39" t="n">
        <v>156</v>
      </c>
      <c r="F19" s="39" t="n">
        <v>158</v>
      </c>
      <c r="G19" s="36" t="n">
        <v>6.75</v>
      </c>
      <c r="H19" s="36" t="n">
        <v>1.2</v>
      </c>
      <c r="I19" s="36" t="n">
        <v>1.2</v>
      </c>
      <c r="J19" s="37" t="n">
        <f aca="false">G19*(H19+I19)/2</f>
        <v>8.1</v>
      </c>
      <c r="K19" s="27" t="n">
        <f aca="false">DATOS!$C$10*J19</f>
        <v>47.385</v>
      </c>
      <c r="L19" s="10" t="s">
        <v>507</v>
      </c>
    </row>
    <row r="20" customFormat="false" ht="19.5" hidden="false" customHeight="true" outlineLevel="0" collapsed="false">
      <c r="B20" s="25" t="s">
        <v>283</v>
      </c>
      <c r="C20" s="14" t="s">
        <v>494</v>
      </c>
      <c r="D20" s="17" t="n">
        <v>5</v>
      </c>
      <c r="E20" s="39" t="n">
        <v>158</v>
      </c>
      <c r="F20" s="39" t="n">
        <v>159</v>
      </c>
      <c r="G20" s="36" t="n">
        <v>6.75</v>
      </c>
      <c r="H20" s="36" t="n">
        <v>1.2</v>
      </c>
      <c r="I20" s="36" t="n">
        <v>1.2</v>
      </c>
      <c r="J20" s="37" t="n">
        <f aca="false">G20*(H20+I20)/2</f>
        <v>8.1</v>
      </c>
      <c r="K20" s="27" t="n">
        <f aca="false">DATOS!$C$10*J20</f>
        <v>47.385</v>
      </c>
      <c r="L20" s="10" t="s">
        <v>508</v>
      </c>
    </row>
    <row r="21" customFormat="false" ht="19.5" hidden="false" customHeight="true" outlineLevel="0" collapsed="false">
      <c r="B21" s="25" t="s">
        <v>285</v>
      </c>
      <c r="C21" s="14" t="s">
        <v>494</v>
      </c>
      <c r="D21" s="17" t="n">
        <v>5</v>
      </c>
      <c r="E21" s="39" t="n">
        <v>159</v>
      </c>
      <c r="F21" s="39" t="n">
        <v>160</v>
      </c>
      <c r="G21" s="36" t="n">
        <v>2.5</v>
      </c>
      <c r="H21" s="36" t="n">
        <v>1.2</v>
      </c>
      <c r="I21" s="36" t="n">
        <v>1.2</v>
      </c>
      <c r="J21" s="37" t="n">
        <f aca="false">G21*(H21+I21)/2</f>
        <v>3</v>
      </c>
      <c r="K21" s="27" t="n">
        <f aca="false">DATOS!$C$10*J21</f>
        <v>17.55</v>
      </c>
      <c r="L21" s="10" t="s">
        <v>509</v>
      </c>
    </row>
    <row r="22" customFormat="false" ht="19.5" hidden="false" customHeight="true" outlineLevel="0" collapsed="false">
      <c r="B22" s="25" t="s">
        <v>287</v>
      </c>
      <c r="C22" s="14" t="s">
        <v>494</v>
      </c>
      <c r="D22" s="17" t="n">
        <v>6</v>
      </c>
      <c r="E22" s="39" t="n">
        <v>168</v>
      </c>
      <c r="F22" s="39" t="n">
        <v>170</v>
      </c>
      <c r="G22" s="36" t="n">
        <v>6.75</v>
      </c>
      <c r="H22" s="36" t="n">
        <v>1.2</v>
      </c>
      <c r="I22" s="36" t="n">
        <v>1.2</v>
      </c>
      <c r="J22" s="37" t="n">
        <f aca="false">G22*(H22+I22)/2</f>
        <v>8.1</v>
      </c>
      <c r="K22" s="27" t="n">
        <f aca="false">DATOS!$C$10*J22</f>
        <v>47.385</v>
      </c>
      <c r="L22" s="10" t="s">
        <v>510</v>
      </c>
    </row>
    <row r="23" customFormat="false" ht="19.5" hidden="false" customHeight="true" outlineLevel="0" collapsed="false">
      <c r="B23" s="25" t="s">
        <v>289</v>
      </c>
      <c r="C23" s="14" t="s">
        <v>494</v>
      </c>
      <c r="D23" s="17" t="n">
        <v>6</v>
      </c>
      <c r="E23" s="39" t="n">
        <v>170</v>
      </c>
      <c r="F23" s="39" t="n">
        <v>171</v>
      </c>
      <c r="G23" s="36" t="n">
        <v>6.75</v>
      </c>
      <c r="H23" s="36" t="n">
        <v>1.2</v>
      </c>
      <c r="I23" s="36" t="n">
        <v>1.2</v>
      </c>
      <c r="J23" s="37" t="n">
        <f aca="false">G23*(H23+I23)/2</f>
        <v>8.1</v>
      </c>
      <c r="K23" s="27" t="n">
        <f aca="false">DATOS!$C$10*J23</f>
        <v>47.385</v>
      </c>
      <c r="L23" s="10" t="s">
        <v>511</v>
      </c>
    </row>
    <row r="24" customFormat="false" ht="19.5" hidden="false" customHeight="true" outlineLevel="0" collapsed="false">
      <c r="B24" s="25" t="s">
        <v>291</v>
      </c>
      <c r="C24" s="14" t="s">
        <v>494</v>
      </c>
      <c r="D24" s="17" t="n">
        <v>6</v>
      </c>
      <c r="E24" s="39" t="n">
        <v>171</v>
      </c>
      <c r="F24" s="39" t="n">
        <v>172</v>
      </c>
      <c r="G24" s="36" t="n">
        <v>2.5</v>
      </c>
      <c r="H24" s="36" t="n">
        <v>1.2</v>
      </c>
      <c r="I24" s="36" t="n">
        <v>1.2</v>
      </c>
      <c r="J24" s="37" t="n">
        <f aca="false">G24*(H24+I24)/2</f>
        <v>3</v>
      </c>
      <c r="K24" s="27" t="n">
        <f aca="false">DATOS!$C$10*J24</f>
        <v>17.55</v>
      </c>
      <c r="L24" s="10" t="s">
        <v>512</v>
      </c>
    </row>
    <row r="25" customFormat="false" ht="19.5" hidden="false" customHeight="true" outlineLevel="0" collapsed="false">
      <c r="B25" s="25" t="s">
        <v>293</v>
      </c>
      <c r="C25" s="14" t="s">
        <v>494</v>
      </c>
      <c r="D25" s="17" t="n">
        <v>7</v>
      </c>
      <c r="E25" s="39" t="n">
        <v>180</v>
      </c>
      <c r="F25" s="39" t="n">
        <v>182</v>
      </c>
      <c r="G25" s="36" t="n">
        <v>6.75</v>
      </c>
      <c r="H25" s="36" t="n">
        <v>1.2</v>
      </c>
      <c r="I25" s="36" t="n">
        <v>1.2</v>
      </c>
      <c r="J25" s="37" t="n">
        <f aca="false">G25*(H25+I25)/2</f>
        <v>8.1</v>
      </c>
      <c r="K25" s="27" t="n">
        <f aca="false">DATOS!$C$10*J25</f>
        <v>47.385</v>
      </c>
      <c r="L25" s="10" t="s">
        <v>513</v>
      </c>
    </row>
    <row r="26" customFormat="false" ht="19.5" hidden="false" customHeight="true" outlineLevel="0" collapsed="false">
      <c r="B26" s="25" t="s">
        <v>295</v>
      </c>
      <c r="C26" s="14" t="s">
        <v>494</v>
      </c>
      <c r="D26" s="17" t="n">
        <v>7</v>
      </c>
      <c r="E26" s="39" t="n">
        <v>182</v>
      </c>
      <c r="F26" s="39" t="n">
        <v>183</v>
      </c>
      <c r="G26" s="36" t="n">
        <v>6.75</v>
      </c>
      <c r="H26" s="36" t="n">
        <v>1.2</v>
      </c>
      <c r="I26" s="36" t="n">
        <v>1.2</v>
      </c>
      <c r="J26" s="37" t="n">
        <f aca="false">G26*(H26+I26)/2</f>
        <v>8.1</v>
      </c>
      <c r="K26" s="27" t="n">
        <f aca="false">DATOS!$C$10*J26</f>
        <v>47.385</v>
      </c>
      <c r="L26" s="10" t="s">
        <v>514</v>
      </c>
    </row>
    <row r="27" customFormat="false" ht="19.5" hidden="false" customHeight="true" outlineLevel="0" collapsed="false">
      <c r="B27" s="25" t="s">
        <v>297</v>
      </c>
      <c r="C27" s="14" t="s">
        <v>494</v>
      </c>
      <c r="D27" s="17" t="n">
        <v>7</v>
      </c>
      <c r="E27" s="39" t="n">
        <v>183</v>
      </c>
      <c r="F27" s="39" t="n">
        <v>184</v>
      </c>
      <c r="G27" s="36" t="n">
        <v>2.5</v>
      </c>
      <c r="H27" s="36" t="n">
        <v>1.2</v>
      </c>
      <c r="I27" s="36" t="n">
        <v>1.2</v>
      </c>
      <c r="J27" s="37" t="n">
        <f aca="false">G27*(H27+I27)/2</f>
        <v>3</v>
      </c>
      <c r="K27" s="27" t="n">
        <f aca="false">DATOS!$C$10*J27</f>
        <v>17.55</v>
      </c>
      <c r="L27" s="10" t="s">
        <v>515</v>
      </c>
    </row>
    <row r="28" customFormat="false" ht="19.5" hidden="false" customHeight="true" outlineLevel="0" collapsed="false">
      <c r="B28" s="25" t="s">
        <v>299</v>
      </c>
      <c r="C28" s="14" t="s">
        <v>494</v>
      </c>
      <c r="D28" s="17" t="n">
        <v>8</v>
      </c>
      <c r="E28" s="39" t="n">
        <v>192</v>
      </c>
      <c r="F28" s="39" t="n">
        <v>194</v>
      </c>
      <c r="G28" s="36" t="n">
        <v>6.75</v>
      </c>
      <c r="H28" s="36" t="n">
        <v>1.11</v>
      </c>
      <c r="I28" s="36" t="n">
        <v>0.94</v>
      </c>
      <c r="J28" s="37" t="n">
        <f aca="false">G28*(H28+I28)/2</f>
        <v>6.91875</v>
      </c>
      <c r="K28" s="27" t="n">
        <f aca="false">DATOS!$C$10*J28</f>
        <v>40.4746875</v>
      </c>
      <c r="L28" s="10" t="s">
        <v>516</v>
      </c>
    </row>
    <row r="29" customFormat="false" ht="19.5" hidden="false" customHeight="true" outlineLevel="0" collapsed="false">
      <c r="B29" s="25" t="s">
        <v>301</v>
      </c>
      <c r="C29" s="14" t="s">
        <v>494</v>
      </c>
      <c r="D29" s="17" t="n">
        <v>8</v>
      </c>
      <c r="E29" s="39" t="n">
        <v>194</v>
      </c>
      <c r="F29" s="39" t="n">
        <v>195</v>
      </c>
      <c r="G29" s="36" t="n">
        <v>6.75</v>
      </c>
      <c r="H29" s="36" t="n">
        <v>0.94</v>
      </c>
      <c r="I29" s="36" t="n">
        <v>0.77</v>
      </c>
      <c r="J29" s="37" t="n">
        <f aca="false">G29*(H29+I29)/2</f>
        <v>5.77125</v>
      </c>
      <c r="K29" s="27" t="n">
        <f aca="false">DATOS!$C$10*J29</f>
        <v>33.7618125</v>
      </c>
      <c r="L29" s="10" t="s">
        <v>517</v>
      </c>
    </row>
    <row r="30" customFormat="false" ht="19.5" hidden="false" customHeight="true" outlineLevel="0" collapsed="false">
      <c r="B30" s="25" t="s">
        <v>303</v>
      </c>
      <c r="C30" s="14" t="s">
        <v>494</v>
      </c>
      <c r="D30" s="17" t="n">
        <v>8</v>
      </c>
      <c r="E30" s="39" t="n">
        <v>195</v>
      </c>
      <c r="F30" s="39" t="n">
        <v>196</v>
      </c>
      <c r="G30" s="36" t="n">
        <v>2.5</v>
      </c>
      <c r="H30" s="36" t="n">
        <v>0.77</v>
      </c>
      <c r="I30" s="36" t="n">
        <v>0.71</v>
      </c>
      <c r="J30" s="37" t="n">
        <f aca="false">G30*(H30+I30)/2</f>
        <v>1.85</v>
      </c>
      <c r="K30" s="27" t="n">
        <f aca="false">DATOS!$C$10*J30</f>
        <v>10.8225</v>
      </c>
      <c r="L30" s="10" t="s">
        <v>518</v>
      </c>
    </row>
    <row r="31" customFormat="false" ht="19.5" hidden="false" customHeight="true" outlineLevel="0" collapsed="false">
      <c r="B31" s="25" t="s">
        <v>519</v>
      </c>
      <c r="C31" s="14" t="s">
        <v>494</v>
      </c>
      <c r="D31" s="17" t="n">
        <v>9</v>
      </c>
      <c r="E31" s="39" t="n">
        <v>20</v>
      </c>
      <c r="F31" s="39" t="n">
        <v>18</v>
      </c>
      <c r="G31" s="36" t="n">
        <v>6.75</v>
      </c>
      <c r="H31" s="36" t="n">
        <v>0.51</v>
      </c>
      <c r="I31" s="36" t="n">
        <v>0.34</v>
      </c>
      <c r="J31" s="37" t="n">
        <f aca="false">G31*(H31+I31)/2</f>
        <v>2.86875</v>
      </c>
      <c r="K31" s="27" t="n">
        <f aca="false">DATOS!$C$10*J31</f>
        <v>16.7821875</v>
      </c>
      <c r="L31" s="10" t="s">
        <v>520</v>
      </c>
    </row>
    <row r="32" customFormat="false" ht="19.5" hidden="false" customHeight="true" outlineLevel="0" collapsed="false">
      <c r="B32" s="25" t="s">
        <v>521</v>
      </c>
      <c r="C32" s="14" t="s">
        <v>494</v>
      </c>
      <c r="D32" s="17" t="n">
        <v>9</v>
      </c>
      <c r="E32" s="39" t="n">
        <v>18</v>
      </c>
      <c r="F32" s="39" t="n">
        <v>14</v>
      </c>
      <c r="G32" s="36" t="n">
        <v>6.75</v>
      </c>
      <c r="H32" s="36" t="n">
        <v>0.34</v>
      </c>
      <c r="I32" s="36" t="n">
        <v>0.17</v>
      </c>
      <c r="J32" s="37" t="n">
        <f aca="false">G32*(H32+I32)/2</f>
        <v>1.72125</v>
      </c>
      <c r="K32" s="27" t="n">
        <f aca="false">DATOS!$C$10*J32</f>
        <v>10.0693125</v>
      </c>
      <c r="L32" s="10" t="s">
        <v>520</v>
      </c>
    </row>
    <row r="33" customFormat="false" ht="19.5" hidden="false" customHeight="true" outlineLevel="0" collapsed="false">
      <c r="B33" s="25" t="s">
        <v>522</v>
      </c>
      <c r="C33" s="14" t="s">
        <v>494</v>
      </c>
      <c r="D33" s="17" t="n">
        <v>9</v>
      </c>
      <c r="E33" s="39" t="n">
        <v>14</v>
      </c>
      <c r="F33" s="39" t="n">
        <v>16</v>
      </c>
      <c r="G33" s="36" t="n">
        <v>2.5</v>
      </c>
      <c r="H33" s="36" t="n">
        <v>0.17</v>
      </c>
      <c r="I33" s="36" t="n">
        <v>0.11</v>
      </c>
      <c r="J33" s="37" t="n">
        <f aca="false">G33*(H33+I33)/2</f>
        <v>0.35</v>
      </c>
      <c r="K33" s="27" t="n">
        <f aca="false">DATOS!$C$10*J33</f>
        <v>2.0475</v>
      </c>
      <c r="L33" s="10" t="s">
        <v>520</v>
      </c>
    </row>
    <row r="34" customFormat="false" ht="19.5" hidden="false" customHeight="true" outlineLevel="0" collapsed="false">
      <c r="B34" s="25" t="s">
        <v>305</v>
      </c>
      <c r="C34" s="14" t="s">
        <v>523</v>
      </c>
      <c r="D34" s="17" t="n">
        <v>1</v>
      </c>
      <c r="E34" s="39" t="n">
        <v>109</v>
      </c>
      <c r="F34" s="39" t="n">
        <v>113</v>
      </c>
      <c r="G34" s="36" t="n">
        <v>6.75</v>
      </c>
      <c r="H34" s="36" t="n">
        <v>1.2</v>
      </c>
      <c r="I34" s="36" t="n">
        <v>1.2</v>
      </c>
      <c r="J34" s="37" t="n">
        <f aca="false">G34*(H34+I34)/2</f>
        <v>8.1</v>
      </c>
      <c r="K34" s="27" t="n">
        <f aca="false">DATOS!$C$10*J34</f>
        <v>47.385</v>
      </c>
      <c r="L34" s="10" t="s">
        <v>524</v>
      </c>
    </row>
    <row r="35" customFormat="false" ht="19.5" hidden="false" customHeight="true" outlineLevel="0" collapsed="false">
      <c r="B35" s="25" t="s">
        <v>308</v>
      </c>
      <c r="C35" s="14" t="s">
        <v>523</v>
      </c>
      <c r="D35" s="17" t="n">
        <v>1</v>
      </c>
      <c r="E35" s="39" t="n">
        <v>113</v>
      </c>
      <c r="F35" s="39" t="n">
        <v>114</v>
      </c>
      <c r="G35" s="36" t="n">
        <v>6.75</v>
      </c>
      <c r="H35" s="36" t="n">
        <v>1.2</v>
      </c>
      <c r="I35" s="36" t="n">
        <v>1.2</v>
      </c>
      <c r="J35" s="37" t="n">
        <f aca="false">G35*(H35+I35)/2</f>
        <v>8.1</v>
      </c>
      <c r="K35" s="27" t="n">
        <f aca="false">DATOS!$C$10*J35</f>
        <v>47.385</v>
      </c>
      <c r="L35" s="10" t="s">
        <v>525</v>
      </c>
    </row>
    <row r="36" customFormat="false" ht="19.5" hidden="false" customHeight="true" outlineLevel="0" collapsed="false">
      <c r="B36" s="25" t="s">
        <v>310</v>
      </c>
      <c r="C36" s="14" t="s">
        <v>523</v>
      </c>
      <c r="D36" s="17" t="n">
        <v>1</v>
      </c>
      <c r="E36" s="39" t="n">
        <v>114</v>
      </c>
      <c r="F36" s="39" t="n">
        <v>115</v>
      </c>
      <c r="G36" s="36" t="n">
        <v>2.5</v>
      </c>
      <c r="H36" s="36" t="n">
        <v>1.2</v>
      </c>
      <c r="I36" s="36" t="n">
        <v>1.2</v>
      </c>
      <c r="J36" s="37" t="n">
        <f aca="false">G36*(H36+I36)/2</f>
        <v>3</v>
      </c>
      <c r="K36" s="27" t="n">
        <f aca="false">DATOS!$C$10*J36</f>
        <v>17.55</v>
      </c>
      <c r="L36" s="10" t="s">
        <v>526</v>
      </c>
    </row>
    <row r="37" customFormat="false" ht="19.5" hidden="false" customHeight="true" outlineLevel="0" collapsed="false">
      <c r="B37" s="25" t="s">
        <v>312</v>
      </c>
      <c r="C37" s="14" t="s">
        <v>523</v>
      </c>
      <c r="D37" s="17" t="n">
        <v>2</v>
      </c>
      <c r="E37" s="39" t="n">
        <v>121</v>
      </c>
      <c r="F37" s="39" t="n">
        <v>125</v>
      </c>
      <c r="G37" s="36" t="n">
        <v>6.75</v>
      </c>
      <c r="H37" s="36" t="n">
        <v>1.2</v>
      </c>
      <c r="I37" s="36" t="n">
        <v>1.2</v>
      </c>
      <c r="J37" s="37" t="n">
        <f aca="false">G37*(H37+I37)/2</f>
        <v>8.1</v>
      </c>
      <c r="K37" s="27" t="n">
        <f aca="false">DATOS!$C$10*J37</f>
        <v>47.385</v>
      </c>
      <c r="L37" s="10" t="s">
        <v>527</v>
      </c>
    </row>
    <row r="38" customFormat="false" ht="19.5" hidden="false" customHeight="true" outlineLevel="0" collapsed="false">
      <c r="B38" s="25" t="s">
        <v>314</v>
      </c>
      <c r="C38" s="14" t="s">
        <v>523</v>
      </c>
      <c r="D38" s="17" t="n">
        <v>2</v>
      </c>
      <c r="E38" s="39" t="n">
        <v>125</v>
      </c>
      <c r="F38" s="39" t="n">
        <v>126</v>
      </c>
      <c r="G38" s="36" t="n">
        <v>6.75</v>
      </c>
      <c r="H38" s="36" t="n">
        <v>1.2</v>
      </c>
      <c r="I38" s="36" t="n">
        <v>1.2</v>
      </c>
      <c r="J38" s="37" t="n">
        <f aca="false">G38*(H38+I38)/2</f>
        <v>8.1</v>
      </c>
      <c r="K38" s="27" t="n">
        <f aca="false">DATOS!$C$10*J38</f>
        <v>47.385</v>
      </c>
      <c r="L38" s="10" t="s">
        <v>528</v>
      </c>
    </row>
    <row r="39" customFormat="false" ht="19.5" hidden="false" customHeight="true" outlineLevel="0" collapsed="false">
      <c r="B39" s="25" t="s">
        <v>316</v>
      </c>
      <c r="C39" s="14" t="s">
        <v>523</v>
      </c>
      <c r="D39" s="17" t="n">
        <v>2</v>
      </c>
      <c r="E39" s="39" t="n">
        <v>126</v>
      </c>
      <c r="F39" s="39" t="n">
        <v>127</v>
      </c>
      <c r="G39" s="36" t="n">
        <v>2.5</v>
      </c>
      <c r="H39" s="36" t="n">
        <v>1.2</v>
      </c>
      <c r="I39" s="36" t="n">
        <v>1.2</v>
      </c>
      <c r="J39" s="37" t="n">
        <f aca="false">G39*(H39+I39)/2</f>
        <v>3</v>
      </c>
      <c r="K39" s="27" t="n">
        <f aca="false">DATOS!$C$10*J39</f>
        <v>17.55</v>
      </c>
      <c r="L39" s="10" t="s">
        <v>529</v>
      </c>
    </row>
    <row r="40" customFormat="false" ht="19.5" hidden="false" customHeight="true" outlineLevel="0" collapsed="false">
      <c r="B40" s="25" t="s">
        <v>318</v>
      </c>
      <c r="C40" s="14" t="s">
        <v>523</v>
      </c>
      <c r="D40" s="17" t="n">
        <v>3</v>
      </c>
      <c r="E40" s="39" t="n">
        <v>133</v>
      </c>
      <c r="F40" s="39" t="n">
        <v>137</v>
      </c>
      <c r="G40" s="36" t="n">
        <v>6.75</v>
      </c>
      <c r="H40" s="36" t="n">
        <v>1.2</v>
      </c>
      <c r="I40" s="36" t="n">
        <v>1.2</v>
      </c>
      <c r="J40" s="37" t="n">
        <f aca="false">G40*(H40+I40)/2</f>
        <v>8.1</v>
      </c>
      <c r="K40" s="27" t="n">
        <f aca="false">DATOS!$C$10*J40</f>
        <v>47.385</v>
      </c>
      <c r="L40" s="10" t="s">
        <v>530</v>
      </c>
    </row>
    <row r="41" customFormat="false" ht="19.5" hidden="false" customHeight="true" outlineLevel="0" collapsed="false">
      <c r="B41" s="25" t="s">
        <v>320</v>
      </c>
      <c r="C41" s="14" t="s">
        <v>523</v>
      </c>
      <c r="D41" s="17" t="n">
        <v>3</v>
      </c>
      <c r="E41" s="39" t="n">
        <v>137</v>
      </c>
      <c r="F41" s="39" t="n">
        <v>138</v>
      </c>
      <c r="G41" s="36" t="n">
        <v>6.75</v>
      </c>
      <c r="H41" s="36" t="n">
        <v>1.2</v>
      </c>
      <c r="I41" s="36" t="n">
        <v>1.2</v>
      </c>
      <c r="J41" s="37" t="n">
        <f aca="false">G41*(H41+I41)/2</f>
        <v>8.1</v>
      </c>
      <c r="K41" s="27" t="n">
        <f aca="false">DATOS!$C$10*J41</f>
        <v>47.385</v>
      </c>
      <c r="L41" s="10" t="s">
        <v>531</v>
      </c>
    </row>
    <row r="42" customFormat="false" ht="19.5" hidden="false" customHeight="true" outlineLevel="0" collapsed="false">
      <c r="B42" s="25" t="s">
        <v>322</v>
      </c>
      <c r="C42" s="14" t="s">
        <v>523</v>
      </c>
      <c r="D42" s="17" t="n">
        <v>3</v>
      </c>
      <c r="E42" s="39" t="n">
        <v>138</v>
      </c>
      <c r="F42" s="39" t="n">
        <v>139</v>
      </c>
      <c r="G42" s="36" t="n">
        <v>2.5</v>
      </c>
      <c r="H42" s="36" t="n">
        <v>1.2</v>
      </c>
      <c r="I42" s="36" t="n">
        <v>1.2</v>
      </c>
      <c r="J42" s="37" t="n">
        <f aca="false">G42*(H42+I42)/2</f>
        <v>3</v>
      </c>
      <c r="K42" s="27" t="n">
        <f aca="false">DATOS!$C$10*J42</f>
        <v>17.55</v>
      </c>
      <c r="L42" s="10" t="s">
        <v>532</v>
      </c>
    </row>
    <row r="43" customFormat="false" ht="19.5" hidden="false" customHeight="true" outlineLevel="0" collapsed="false">
      <c r="B43" s="25" t="s">
        <v>324</v>
      </c>
      <c r="C43" s="14" t="s">
        <v>523</v>
      </c>
      <c r="D43" s="17" t="n">
        <v>4</v>
      </c>
      <c r="E43" s="39" t="n">
        <v>145</v>
      </c>
      <c r="F43" s="39" t="n">
        <v>149</v>
      </c>
      <c r="G43" s="36" t="n">
        <v>6.75</v>
      </c>
      <c r="H43" s="36" t="n">
        <v>1.2</v>
      </c>
      <c r="I43" s="36" t="n">
        <v>1.2</v>
      </c>
      <c r="J43" s="37" t="n">
        <f aca="false">G43*(H43+I43)/2</f>
        <v>8.1</v>
      </c>
      <c r="K43" s="27" t="n">
        <f aca="false">DATOS!$C$10*J43</f>
        <v>47.385</v>
      </c>
      <c r="L43" s="10" t="s">
        <v>533</v>
      </c>
    </row>
    <row r="44" customFormat="false" ht="19.5" hidden="false" customHeight="true" outlineLevel="0" collapsed="false">
      <c r="B44" s="25" t="s">
        <v>326</v>
      </c>
      <c r="C44" s="14" t="s">
        <v>523</v>
      </c>
      <c r="D44" s="17" t="n">
        <v>4</v>
      </c>
      <c r="E44" s="39" t="n">
        <v>149</v>
      </c>
      <c r="F44" s="39" t="n">
        <v>150</v>
      </c>
      <c r="G44" s="36" t="n">
        <v>6.75</v>
      </c>
      <c r="H44" s="36" t="n">
        <v>1.2</v>
      </c>
      <c r="I44" s="36" t="n">
        <v>1.2</v>
      </c>
      <c r="J44" s="37" t="n">
        <f aca="false">G44*(H44+I44)/2</f>
        <v>8.1</v>
      </c>
      <c r="K44" s="27" t="n">
        <f aca="false">DATOS!$C$10*J44</f>
        <v>47.385</v>
      </c>
      <c r="L44" s="10" t="s">
        <v>534</v>
      </c>
    </row>
    <row r="45" customFormat="false" ht="19.5" hidden="false" customHeight="true" outlineLevel="0" collapsed="false">
      <c r="B45" s="25" t="s">
        <v>328</v>
      </c>
      <c r="C45" s="14" t="s">
        <v>523</v>
      </c>
      <c r="D45" s="17" t="n">
        <v>4</v>
      </c>
      <c r="E45" s="39" t="n">
        <v>150</v>
      </c>
      <c r="F45" s="39" t="n">
        <v>151</v>
      </c>
      <c r="G45" s="36" t="n">
        <v>2.5</v>
      </c>
      <c r="H45" s="36" t="n">
        <v>1.2</v>
      </c>
      <c r="I45" s="36" t="n">
        <v>1.2</v>
      </c>
      <c r="J45" s="37" t="n">
        <f aca="false">G45*(H45+I45)/2</f>
        <v>3</v>
      </c>
      <c r="K45" s="27" t="n">
        <f aca="false">DATOS!$C$10*J45</f>
        <v>17.55</v>
      </c>
      <c r="L45" s="10" t="s">
        <v>535</v>
      </c>
    </row>
    <row r="46" customFormat="false" ht="19.5" hidden="false" customHeight="true" outlineLevel="0" collapsed="false">
      <c r="B46" s="25" t="s">
        <v>330</v>
      </c>
      <c r="C46" s="14" t="s">
        <v>523</v>
      </c>
      <c r="D46" s="17" t="n">
        <v>5</v>
      </c>
      <c r="E46" s="39" t="n">
        <v>157</v>
      </c>
      <c r="F46" s="39" t="n">
        <v>161</v>
      </c>
      <c r="G46" s="36" t="n">
        <v>6.75</v>
      </c>
      <c r="H46" s="36" t="n">
        <v>1.2</v>
      </c>
      <c r="I46" s="36" t="n">
        <v>1.2</v>
      </c>
      <c r="J46" s="37" t="n">
        <f aca="false">G46*(H46+I46)/2</f>
        <v>8.1</v>
      </c>
      <c r="K46" s="27" t="n">
        <f aca="false">DATOS!$C$10*J46</f>
        <v>47.385</v>
      </c>
      <c r="L46" s="10" t="s">
        <v>536</v>
      </c>
    </row>
    <row r="47" customFormat="false" ht="19.5" hidden="false" customHeight="true" outlineLevel="0" collapsed="false">
      <c r="B47" s="25" t="s">
        <v>332</v>
      </c>
      <c r="C47" s="14" t="s">
        <v>523</v>
      </c>
      <c r="D47" s="17" t="n">
        <v>5</v>
      </c>
      <c r="E47" s="39" t="n">
        <v>161</v>
      </c>
      <c r="F47" s="39" t="n">
        <v>162</v>
      </c>
      <c r="G47" s="36" t="n">
        <v>6.75</v>
      </c>
      <c r="H47" s="36" t="n">
        <v>1.2</v>
      </c>
      <c r="I47" s="36" t="n">
        <v>1.2</v>
      </c>
      <c r="J47" s="37" t="n">
        <f aca="false">G47*(H47+I47)/2</f>
        <v>8.1</v>
      </c>
      <c r="K47" s="27" t="n">
        <f aca="false">DATOS!$C$10*J47</f>
        <v>47.385</v>
      </c>
      <c r="L47" s="10" t="s">
        <v>537</v>
      </c>
    </row>
    <row r="48" customFormat="false" ht="19.5" hidden="false" customHeight="true" outlineLevel="0" collapsed="false">
      <c r="B48" s="25" t="s">
        <v>334</v>
      </c>
      <c r="C48" s="14" t="s">
        <v>523</v>
      </c>
      <c r="D48" s="17" t="n">
        <v>5</v>
      </c>
      <c r="E48" s="39" t="n">
        <v>162</v>
      </c>
      <c r="F48" s="39" t="n">
        <v>163</v>
      </c>
      <c r="G48" s="36" t="n">
        <v>2.5</v>
      </c>
      <c r="H48" s="36" t="n">
        <v>1.2</v>
      </c>
      <c r="I48" s="36" t="n">
        <v>1.2</v>
      </c>
      <c r="J48" s="37" t="n">
        <f aca="false">G48*(H48+I48)/2</f>
        <v>3</v>
      </c>
      <c r="K48" s="27" t="n">
        <f aca="false">DATOS!$C$10*J48</f>
        <v>17.55</v>
      </c>
      <c r="L48" s="10" t="s">
        <v>538</v>
      </c>
    </row>
    <row r="49" customFormat="false" ht="19.5" hidden="false" customHeight="true" outlineLevel="0" collapsed="false">
      <c r="B49" s="25" t="s">
        <v>336</v>
      </c>
      <c r="C49" s="14" t="s">
        <v>523</v>
      </c>
      <c r="D49" s="17" t="n">
        <v>6</v>
      </c>
      <c r="E49" s="39" t="n">
        <v>169</v>
      </c>
      <c r="F49" s="39" t="n">
        <v>173</v>
      </c>
      <c r="G49" s="36" t="n">
        <v>6.75</v>
      </c>
      <c r="H49" s="36" t="n">
        <v>1.2</v>
      </c>
      <c r="I49" s="36" t="n">
        <v>1.2</v>
      </c>
      <c r="J49" s="37" t="n">
        <f aca="false">G49*(H49+I49)/2</f>
        <v>8.1</v>
      </c>
      <c r="K49" s="27" t="n">
        <f aca="false">DATOS!$C$10*J49</f>
        <v>47.385</v>
      </c>
      <c r="L49" s="10" t="s">
        <v>539</v>
      </c>
    </row>
    <row r="50" customFormat="false" ht="19.5" hidden="false" customHeight="true" outlineLevel="0" collapsed="false">
      <c r="B50" s="25" t="s">
        <v>338</v>
      </c>
      <c r="C50" s="14" t="s">
        <v>523</v>
      </c>
      <c r="D50" s="17" t="n">
        <v>6</v>
      </c>
      <c r="E50" s="39" t="n">
        <v>173</v>
      </c>
      <c r="F50" s="39" t="n">
        <v>174</v>
      </c>
      <c r="G50" s="36" t="n">
        <v>6.75</v>
      </c>
      <c r="H50" s="36" t="n">
        <v>1.2</v>
      </c>
      <c r="I50" s="36" t="n">
        <v>1.2</v>
      </c>
      <c r="J50" s="37" t="n">
        <f aca="false">G50*(H50+I50)/2</f>
        <v>8.1</v>
      </c>
      <c r="K50" s="27" t="n">
        <f aca="false">DATOS!$C$10*J50</f>
        <v>47.385</v>
      </c>
      <c r="L50" s="10" t="s">
        <v>540</v>
      </c>
    </row>
    <row r="51" customFormat="false" ht="19.5" hidden="false" customHeight="true" outlineLevel="0" collapsed="false">
      <c r="B51" s="25" t="s">
        <v>340</v>
      </c>
      <c r="C51" s="14" t="s">
        <v>523</v>
      </c>
      <c r="D51" s="17" t="n">
        <v>6</v>
      </c>
      <c r="E51" s="39" t="n">
        <v>174</v>
      </c>
      <c r="F51" s="39" t="n">
        <v>175</v>
      </c>
      <c r="G51" s="36" t="n">
        <v>2.5</v>
      </c>
      <c r="H51" s="36" t="n">
        <v>1.2</v>
      </c>
      <c r="I51" s="36" t="n">
        <v>1.2</v>
      </c>
      <c r="J51" s="37" t="n">
        <f aca="false">G51*(H51+I51)/2</f>
        <v>3</v>
      </c>
      <c r="K51" s="27" t="n">
        <f aca="false">DATOS!$C$10*J51</f>
        <v>17.55</v>
      </c>
      <c r="L51" s="10" t="s">
        <v>541</v>
      </c>
    </row>
    <row r="52" customFormat="false" ht="19.5" hidden="false" customHeight="true" outlineLevel="0" collapsed="false">
      <c r="B52" s="25" t="s">
        <v>342</v>
      </c>
      <c r="C52" s="14" t="s">
        <v>523</v>
      </c>
      <c r="D52" s="17" t="n">
        <v>7</v>
      </c>
      <c r="E52" s="39" t="n">
        <v>181</v>
      </c>
      <c r="F52" s="39" t="n">
        <v>185</v>
      </c>
      <c r="G52" s="36" t="n">
        <v>6.75</v>
      </c>
      <c r="H52" s="36" t="n">
        <v>1.2</v>
      </c>
      <c r="I52" s="36" t="n">
        <v>1.2</v>
      </c>
      <c r="J52" s="37" t="n">
        <f aca="false">G52*(H52+I52)/2</f>
        <v>8.1</v>
      </c>
      <c r="K52" s="27" t="n">
        <f aca="false">DATOS!$C$10*J52</f>
        <v>47.385</v>
      </c>
      <c r="L52" s="10" t="s">
        <v>542</v>
      </c>
    </row>
    <row r="53" customFormat="false" ht="19.5" hidden="false" customHeight="true" outlineLevel="0" collapsed="false">
      <c r="B53" s="25" t="s">
        <v>344</v>
      </c>
      <c r="C53" s="14" t="s">
        <v>523</v>
      </c>
      <c r="D53" s="17" t="n">
        <v>7</v>
      </c>
      <c r="E53" s="39" t="n">
        <v>185</v>
      </c>
      <c r="F53" s="39" t="n">
        <v>186</v>
      </c>
      <c r="G53" s="36" t="n">
        <v>6.75</v>
      </c>
      <c r="H53" s="36" t="n">
        <v>1.2</v>
      </c>
      <c r="I53" s="36" t="n">
        <v>1.2</v>
      </c>
      <c r="J53" s="37" t="n">
        <f aca="false">G53*(H53+I53)/2</f>
        <v>8.1</v>
      </c>
      <c r="K53" s="27" t="n">
        <f aca="false">DATOS!$C$10*J53</f>
        <v>47.385</v>
      </c>
      <c r="L53" s="10" t="s">
        <v>543</v>
      </c>
    </row>
    <row r="54" customFormat="false" ht="19.5" hidden="false" customHeight="true" outlineLevel="0" collapsed="false">
      <c r="B54" s="25" t="s">
        <v>346</v>
      </c>
      <c r="C54" s="14" t="s">
        <v>523</v>
      </c>
      <c r="D54" s="17" t="n">
        <v>7</v>
      </c>
      <c r="E54" s="39" t="n">
        <v>186</v>
      </c>
      <c r="F54" s="39" t="n">
        <v>187</v>
      </c>
      <c r="G54" s="36" t="n">
        <v>2.5</v>
      </c>
      <c r="H54" s="36" t="n">
        <v>1.2</v>
      </c>
      <c r="I54" s="36" t="n">
        <v>1.2</v>
      </c>
      <c r="J54" s="37" t="n">
        <f aca="false">G54*(H54+I54)/2</f>
        <v>3</v>
      </c>
      <c r="K54" s="27" t="n">
        <f aca="false">DATOS!$C$10*J54</f>
        <v>17.55</v>
      </c>
      <c r="L54" s="10" t="s">
        <v>544</v>
      </c>
    </row>
    <row r="55" customFormat="false" ht="19.5" hidden="false" customHeight="true" outlineLevel="0" collapsed="false">
      <c r="B55" s="25" t="s">
        <v>348</v>
      </c>
      <c r="C55" s="14" t="s">
        <v>523</v>
      </c>
      <c r="D55" s="17" t="n">
        <v>8</v>
      </c>
      <c r="E55" s="39" t="n">
        <v>193</v>
      </c>
      <c r="F55" s="39" t="n">
        <v>197</v>
      </c>
      <c r="G55" s="36" t="n">
        <v>6.75</v>
      </c>
      <c r="H55" s="36" t="n">
        <v>1.11</v>
      </c>
      <c r="I55" s="36" t="n">
        <v>0.94</v>
      </c>
      <c r="J55" s="37" t="n">
        <f aca="false">G55*(H55+I55)/2</f>
        <v>6.91875</v>
      </c>
      <c r="K55" s="27" t="n">
        <f aca="false">DATOS!$C$10*J55</f>
        <v>40.4746875</v>
      </c>
      <c r="L55" s="10" t="s">
        <v>545</v>
      </c>
    </row>
    <row r="56" customFormat="false" ht="19.5" hidden="false" customHeight="true" outlineLevel="0" collapsed="false">
      <c r="B56" s="25" t="s">
        <v>350</v>
      </c>
      <c r="C56" s="14" t="s">
        <v>523</v>
      </c>
      <c r="D56" s="17" t="n">
        <v>8</v>
      </c>
      <c r="E56" s="39" t="n">
        <v>197</v>
      </c>
      <c r="F56" s="39" t="n">
        <v>198</v>
      </c>
      <c r="G56" s="36" t="n">
        <v>6.75</v>
      </c>
      <c r="H56" s="36" t="n">
        <v>0.94</v>
      </c>
      <c r="I56" s="36" t="n">
        <v>0.77</v>
      </c>
      <c r="J56" s="37" t="n">
        <f aca="false">G56*(H56+I56)/2</f>
        <v>5.77125</v>
      </c>
      <c r="K56" s="27" t="n">
        <f aca="false">DATOS!$C$10*J56</f>
        <v>33.7618125</v>
      </c>
      <c r="L56" s="10" t="s">
        <v>546</v>
      </c>
    </row>
    <row r="57" customFormat="false" ht="19.5" hidden="false" customHeight="true" outlineLevel="0" collapsed="false">
      <c r="B57" s="25" t="s">
        <v>352</v>
      </c>
      <c r="C57" s="14" t="s">
        <v>523</v>
      </c>
      <c r="D57" s="17" t="n">
        <v>8</v>
      </c>
      <c r="E57" s="39" t="n">
        <v>198</v>
      </c>
      <c r="F57" s="39" t="n">
        <v>199</v>
      </c>
      <c r="G57" s="36" t="n">
        <v>2.5</v>
      </c>
      <c r="H57" s="36" t="n">
        <v>0.77</v>
      </c>
      <c r="I57" s="36" t="n">
        <v>0.71</v>
      </c>
      <c r="J57" s="37" t="n">
        <f aca="false">G57*(H57+I57)/2</f>
        <v>1.85</v>
      </c>
      <c r="K57" s="27" t="n">
        <f aca="false">DATOS!$C$10*J57</f>
        <v>10.8225</v>
      </c>
      <c r="L57" s="10" t="s">
        <v>547</v>
      </c>
    </row>
    <row r="58" customFormat="false" ht="19.5" hidden="false" customHeight="true" outlineLevel="0" collapsed="false">
      <c r="B58" s="25" t="s">
        <v>548</v>
      </c>
      <c r="C58" s="14" t="s">
        <v>523</v>
      </c>
      <c r="D58" s="17" t="n">
        <v>9</v>
      </c>
      <c r="E58" s="39" t="n">
        <v>21</v>
      </c>
      <c r="F58" s="39" t="n">
        <v>19</v>
      </c>
      <c r="G58" s="36" t="n">
        <v>6.75</v>
      </c>
      <c r="H58" s="36" t="n">
        <v>0.51</v>
      </c>
      <c r="I58" s="36" t="n">
        <v>0.34</v>
      </c>
      <c r="J58" s="37" t="n">
        <f aca="false">G58*(H58+I58)/2</f>
        <v>2.86875</v>
      </c>
      <c r="K58" s="27" t="n">
        <f aca="false">DATOS!$C$10*J58</f>
        <v>16.7821875</v>
      </c>
      <c r="L58" s="10" t="s">
        <v>520</v>
      </c>
    </row>
    <row r="59" customFormat="false" ht="19.5" hidden="false" customHeight="true" outlineLevel="0" collapsed="false">
      <c r="B59" s="25" t="s">
        <v>549</v>
      </c>
      <c r="C59" s="14" t="s">
        <v>523</v>
      </c>
      <c r="D59" s="17" t="n">
        <v>9</v>
      </c>
      <c r="E59" s="39" t="n">
        <v>19</v>
      </c>
      <c r="F59" s="39" t="n">
        <v>15</v>
      </c>
      <c r="G59" s="36" t="n">
        <v>6.75</v>
      </c>
      <c r="H59" s="36" t="n">
        <v>0.34</v>
      </c>
      <c r="I59" s="36" t="n">
        <v>0.17</v>
      </c>
      <c r="J59" s="37" t="n">
        <f aca="false">G59*(H59+I59)/2</f>
        <v>1.72125</v>
      </c>
      <c r="K59" s="27" t="n">
        <f aca="false">DATOS!$C$10*J59</f>
        <v>10.0693125</v>
      </c>
      <c r="L59" s="10" t="s">
        <v>520</v>
      </c>
    </row>
    <row r="60" customFormat="false" ht="19.5" hidden="false" customHeight="true" outlineLevel="0" collapsed="false">
      <c r="B60" s="25" t="s">
        <v>550</v>
      </c>
      <c r="C60" s="14" t="s">
        <v>523</v>
      </c>
      <c r="D60" s="17" t="n">
        <v>9</v>
      </c>
      <c r="E60" s="39" t="n">
        <v>15</v>
      </c>
      <c r="F60" s="39" t="n">
        <v>13</v>
      </c>
      <c r="G60" s="36" t="n">
        <v>2.5</v>
      </c>
      <c r="H60" s="36" t="n">
        <v>0.17</v>
      </c>
      <c r="I60" s="36" t="n">
        <v>0.11</v>
      </c>
      <c r="J60" s="37" t="n">
        <f aca="false">G60*(H60+I60)/2</f>
        <v>0.35</v>
      </c>
      <c r="K60" s="27" t="n">
        <f aca="false">DATOS!$C$10*J60</f>
        <v>2.0475</v>
      </c>
      <c r="L60" s="10" t="s">
        <v>520</v>
      </c>
    </row>
    <row r="61" customFormat="false" ht="19.5" hidden="false" customHeight="true" outlineLevel="0" collapsed="false">
      <c r="B61" s="25" t="s">
        <v>399</v>
      </c>
      <c r="C61" s="14" t="s">
        <v>551</v>
      </c>
      <c r="D61" s="17" t="n">
        <v>1</v>
      </c>
      <c r="E61" s="39" t="n">
        <v>108</v>
      </c>
      <c r="F61" s="39" t="n">
        <v>116</v>
      </c>
      <c r="G61" s="36" t="n">
        <v>0.6425</v>
      </c>
      <c r="H61" s="36" t="n">
        <v>1.2</v>
      </c>
      <c r="I61" s="36" t="n">
        <v>1.2</v>
      </c>
      <c r="J61" s="37" t="n">
        <f aca="false">G61*(H61+I61)/2</f>
        <v>0.771</v>
      </c>
      <c r="K61" s="27" t="n">
        <f aca="false">DATOS!$C$10*J61</f>
        <v>4.51035</v>
      </c>
      <c r="L61" s="10" t="s">
        <v>552</v>
      </c>
    </row>
    <row r="62" customFormat="false" ht="19.5" hidden="false" customHeight="true" outlineLevel="0" collapsed="false">
      <c r="B62" s="25" t="s">
        <v>401</v>
      </c>
      <c r="C62" s="14" t="s">
        <v>551</v>
      </c>
      <c r="D62" s="17" t="n">
        <v>1</v>
      </c>
      <c r="E62" s="39" t="n">
        <v>117</v>
      </c>
      <c r="F62" s="39" t="n">
        <v>118</v>
      </c>
      <c r="G62" s="36" t="n">
        <v>0.543</v>
      </c>
      <c r="H62" s="36" t="n">
        <v>1.2</v>
      </c>
      <c r="I62" s="36" t="n">
        <v>1.2</v>
      </c>
      <c r="J62" s="37" t="n">
        <f aca="false">G62*(H62+I62)/2</f>
        <v>0.6516</v>
      </c>
      <c r="K62" s="27" t="n">
        <f aca="false">DATOS!$C$10*J62</f>
        <v>3.81186</v>
      </c>
      <c r="L62" s="10" t="s">
        <v>553</v>
      </c>
    </row>
    <row r="63" customFormat="false" ht="19.5" hidden="false" customHeight="true" outlineLevel="0" collapsed="false">
      <c r="B63" s="25" t="s">
        <v>403</v>
      </c>
      <c r="C63" s="14" t="s">
        <v>551</v>
      </c>
      <c r="D63" s="17" t="n">
        <v>1</v>
      </c>
      <c r="E63" s="39" t="n">
        <v>119</v>
      </c>
      <c r="F63" s="39" t="n">
        <v>109</v>
      </c>
      <c r="G63" s="36" t="n">
        <v>2.4915</v>
      </c>
      <c r="H63" s="36" t="n">
        <v>1.2</v>
      </c>
      <c r="I63" s="36" t="n">
        <v>1.2</v>
      </c>
      <c r="J63" s="37" t="n">
        <f aca="false">G63*(H63+I63)/2</f>
        <v>2.9898</v>
      </c>
      <c r="K63" s="27" t="n">
        <f aca="false">DATOS!$C$10*J63</f>
        <v>17.49033</v>
      </c>
      <c r="L63" s="10" t="s">
        <v>554</v>
      </c>
    </row>
    <row r="64" customFormat="false" ht="19.5" hidden="false" customHeight="true" outlineLevel="0" collapsed="false">
      <c r="B64" s="25" t="s">
        <v>405</v>
      </c>
      <c r="C64" s="14" t="s">
        <v>551</v>
      </c>
      <c r="D64" s="17" t="n">
        <v>2</v>
      </c>
      <c r="E64" s="39" t="n">
        <v>120</v>
      </c>
      <c r="F64" s="39" t="n">
        <v>128</v>
      </c>
      <c r="G64" s="36" t="n">
        <v>0.6425</v>
      </c>
      <c r="H64" s="36" t="n">
        <v>1.2</v>
      </c>
      <c r="I64" s="36" t="n">
        <v>1.2</v>
      </c>
      <c r="J64" s="37" t="n">
        <f aca="false">G64*(H64+I64)/2</f>
        <v>0.771</v>
      </c>
      <c r="K64" s="27" t="n">
        <f aca="false">DATOS!$C$10*J64</f>
        <v>4.51035</v>
      </c>
      <c r="L64" s="10" t="s">
        <v>555</v>
      </c>
    </row>
    <row r="65" customFormat="false" ht="19.5" hidden="false" customHeight="true" outlineLevel="0" collapsed="false">
      <c r="B65" s="25" t="s">
        <v>407</v>
      </c>
      <c r="C65" s="14" t="s">
        <v>551</v>
      </c>
      <c r="D65" s="17" t="n">
        <v>2</v>
      </c>
      <c r="E65" s="39" t="n">
        <v>128</v>
      </c>
      <c r="F65" s="39" t="n">
        <v>129</v>
      </c>
      <c r="G65" s="36" t="n">
        <v>1.3014</v>
      </c>
      <c r="H65" s="36" t="n">
        <v>0.6</v>
      </c>
      <c r="I65" s="36" t="n">
        <v>0.6</v>
      </c>
      <c r="J65" s="37" t="n">
        <f aca="false">G65*(H65+I65)/2</f>
        <v>0.78084</v>
      </c>
      <c r="K65" s="27" t="n">
        <f aca="false">DATOS!$C$10*J65</f>
        <v>4.567914</v>
      </c>
      <c r="L65" s="10" t="s">
        <v>556</v>
      </c>
    </row>
    <row r="66" customFormat="false" ht="19.5" hidden="false" customHeight="true" outlineLevel="0" collapsed="false">
      <c r="B66" s="25" t="s">
        <v>409</v>
      </c>
      <c r="C66" s="14" t="s">
        <v>551</v>
      </c>
      <c r="D66" s="17" t="n">
        <v>2</v>
      </c>
      <c r="E66" s="39" t="n">
        <v>129</v>
      </c>
      <c r="F66" s="39" t="n">
        <v>130</v>
      </c>
      <c r="G66" s="36" t="n">
        <v>0.543</v>
      </c>
      <c r="H66" s="36" t="n">
        <v>1.2</v>
      </c>
      <c r="I66" s="36" t="n">
        <v>1.2</v>
      </c>
      <c r="J66" s="37" t="n">
        <f aca="false">G66*(H66+I66)/2</f>
        <v>0.6516</v>
      </c>
      <c r="K66" s="27" t="n">
        <f aca="false">DATOS!$C$10*J66</f>
        <v>3.81186</v>
      </c>
      <c r="L66" s="10" t="s">
        <v>557</v>
      </c>
    </row>
    <row r="67" customFormat="false" ht="19.5" hidden="false" customHeight="true" outlineLevel="0" collapsed="false">
      <c r="B67" s="25" t="s">
        <v>411</v>
      </c>
      <c r="C67" s="14" t="s">
        <v>551</v>
      </c>
      <c r="D67" s="17" t="n">
        <v>2</v>
      </c>
      <c r="E67" s="39" t="n">
        <v>131</v>
      </c>
      <c r="F67" s="39" t="n">
        <v>121</v>
      </c>
      <c r="G67" s="36" t="n">
        <v>2.4915</v>
      </c>
      <c r="H67" s="36" t="n">
        <v>1.2</v>
      </c>
      <c r="I67" s="36" t="n">
        <v>1.2</v>
      </c>
      <c r="J67" s="37" t="n">
        <f aca="false">G67*(H67+I67)/2</f>
        <v>2.9898</v>
      </c>
      <c r="K67" s="27" t="n">
        <f aca="false">DATOS!$C$10*J67</f>
        <v>17.49033</v>
      </c>
      <c r="L67" s="10" t="s">
        <v>558</v>
      </c>
    </row>
    <row r="68" customFormat="false" ht="19.5" hidden="false" customHeight="true" outlineLevel="0" collapsed="false">
      <c r="B68" s="25" t="s">
        <v>413</v>
      </c>
      <c r="C68" s="14" t="s">
        <v>551</v>
      </c>
      <c r="D68" s="17" t="n">
        <v>3</v>
      </c>
      <c r="E68" s="39" t="n">
        <v>132</v>
      </c>
      <c r="F68" s="39" t="n">
        <v>142</v>
      </c>
      <c r="G68" s="36" t="n">
        <v>2.4869</v>
      </c>
      <c r="H68" s="36" t="n">
        <v>1.2</v>
      </c>
      <c r="I68" s="36" t="n">
        <v>1.2</v>
      </c>
      <c r="J68" s="37" t="n">
        <f aca="false">G68*(H68+I68)/2</f>
        <v>2.98428</v>
      </c>
      <c r="K68" s="27" t="n">
        <f aca="false">DATOS!$C$10*J68</f>
        <v>17.458038</v>
      </c>
      <c r="L68" s="10" t="s">
        <v>559</v>
      </c>
    </row>
    <row r="69" customFormat="false" ht="19.5" hidden="false" customHeight="true" outlineLevel="0" collapsed="false">
      <c r="B69" s="25" t="s">
        <v>415</v>
      </c>
      <c r="C69" s="14" t="s">
        <v>551</v>
      </c>
      <c r="D69" s="17" t="n">
        <v>3</v>
      </c>
      <c r="E69" s="39" t="n">
        <v>143</v>
      </c>
      <c r="F69" s="39" t="n">
        <v>133</v>
      </c>
      <c r="G69" s="36" t="n">
        <v>2.4915</v>
      </c>
      <c r="H69" s="36" t="n">
        <v>1.2</v>
      </c>
      <c r="I69" s="36" t="n">
        <v>1.2</v>
      </c>
      <c r="J69" s="37" t="n">
        <f aca="false">G69*(H69+I69)/2</f>
        <v>2.9898</v>
      </c>
      <c r="K69" s="27" t="n">
        <f aca="false">DATOS!$C$10*J69</f>
        <v>17.49033</v>
      </c>
      <c r="L69" s="10" t="s">
        <v>560</v>
      </c>
    </row>
    <row r="70" customFormat="false" ht="19.5" hidden="false" customHeight="true" outlineLevel="0" collapsed="false">
      <c r="B70" s="25" t="s">
        <v>417</v>
      </c>
      <c r="C70" s="14" t="s">
        <v>551</v>
      </c>
      <c r="D70" s="17" t="n">
        <v>4</v>
      </c>
      <c r="E70" s="39" t="n">
        <v>144</v>
      </c>
      <c r="F70" s="39" t="n">
        <v>154</v>
      </c>
      <c r="G70" s="36" t="n">
        <v>2.4869</v>
      </c>
      <c r="H70" s="36" t="n">
        <v>1.2</v>
      </c>
      <c r="I70" s="36" t="n">
        <v>1.2</v>
      </c>
      <c r="J70" s="37" t="n">
        <f aca="false">G70*(H70+I70)/2</f>
        <v>2.98428</v>
      </c>
      <c r="K70" s="27" t="n">
        <f aca="false">DATOS!$C$10*J70</f>
        <v>17.458038</v>
      </c>
      <c r="L70" s="10" t="s">
        <v>561</v>
      </c>
    </row>
    <row r="71" customFormat="false" ht="19.5" hidden="false" customHeight="true" outlineLevel="0" collapsed="false">
      <c r="B71" s="25" t="s">
        <v>419</v>
      </c>
      <c r="C71" s="14" t="s">
        <v>551</v>
      </c>
      <c r="D71" s="17" t="n">
        <v>4</v>
      </c>
      <c r="E71" s="39" t="n">
        <v>155</v>
      </c>
      <c r="F71" s="39" t="n">
        <v>145</v>
      </c>
      <c r="G71" s="36" t="n">
        <v>2.4915</v>
      </c>
      <c r="H71" s="36" t="n">
        <v>1.2</v>
      </c>
      <c r="I71" s="36" t="n">
        <v>1.2</v>
      </c>
      <c r="J71" s="37" t="n">
        <f aca="false">G71*(H71+I71)/2</f>
        <v>2.9898</v>
      </c>
      <c r="K71" s="27" t="n">
        <f aca="false">DATOS!$C$10*J71</f>
        <v>17.49033</v>
      </c>
      <c r="L71" s="10" t="s">
        <v>562</v>
      </c>
    </row>
    <row r="72" customFormat="false" ht="19.5" hidden="false" customHeight="true" outlineLevel="0" collapsed="false">
      <c r="B72" s="25" t="s">
        <v>421</v>
      </c>
      <c r="C72" s="14" t="s">
        <v>551</v>
      </c>
      <c r="D72" s="17" t="n">
        <v>5</v>
      </c>
      <c r="E72" s="39" t="n">
        <v>156</v>
      </c>
      <c r="F72" s="39" t="n">
        <v>166</v>
      </c>
      <c r="G72" s="36" t="n">
        <v>2.4869</v>
      </c>
      <c r="H72" s="36" t="n">
        <v>0.765</v>
      </c>
      <c r="I72" s="36" t="n">
        <v>0.765</v>
      </c>
      <c r="J72" s="37" t="n">
        <f aca="false">G72*(H72+I72)/2</f>
        <v>1.9024785</v>
      </c>
      <c r="K72" s="27" t="n">
        <f aca="false">DATOS!$C$10*J72</f>
        <v>11.129499225</v>
      </c>
      <c r="L72" s="10" t="s">
        <v>563</v>
      </c>
    </row>
    <row r="73" customFormat="false" ht="19.5" hidden="false" customHeight="true" outlineLevel="0" collapsed="false">
      <c r="B73" s="25" t="s">
        <v>423</v>
      </c>
      <c r="C73" s="14" t="s">
        <v>551</v>
      </c>
      <c r="D73" s="17" t="n">
        <v>5</v>
      </c>
      <c r="E73" s="39" t="n">
        <v>167</v>
      </c>
      <c r="F73" s="39" t="n">
        <v>157</v>
      </c>
      <c r="G73" s="36" t="n">
        <v>2.4915</v>
      </c>
      <c r="H73" s="36" t="n">
        <v>0.765</v>
      </c>
      <c r="I73" s="36" t="n">
        <v>0.765</v>
      </c>
      <c r="J73" s="37" t="n">
        <f aca="false">G73*(H73+I73)/2</f>
        <v>1.9059975</v>
      </c>
      <c r="K73" s="27" t="n">
        <f aca="false">DATOS!$C$10*J73</f>
        <v>11.150085375</v>
      </c>
      <c r="L73" s="10" t="s">
        <v>564</v>
      </c>
    </row>
    <row r="74" customFormat="false" ht="19.5" hidden="false" customHeight="true" outlineLevel="0" collapsed="false">
      <c r="B74" s="25" t="s">
        <v>425</v>
      </c>
      <c r="C74" s="14" t="s">
        <v>551</v>
      </c>
      <c r="D74" s="17" t="n">
        <v>6</v>
      </c>
      <c r="E74" s="39" t="n">
        <v>200</v>
      </c>
      <c r="F74" s="39" t="n">
        <v>26</v>
      </c>
      <c r="G74" s="36" t="n">
        <v>2.4869</v>
      </c>
      <c r="H74" s="36" t="n">
        <v>0.6</v>
      </c>
      <c r="I74" s="36" t="n">
        <v>0.6</v>
      </c>
      <c r="J74" s="37" t="n">
        <f aca="false">G74*(H74+I74)/2</f>
        <v>1.49214</v>
      </c>
      <c r="K74" s="27" t="n">
        <f aca="false">DATOS!$C$10*J74</f>
        <v>8.729019</v>
      </c>
      <c r="L74" s="10" t="s">
        <v>565</v>
      </c>
    </row>
    <row r="75" customFormat="false" ht="19.5" hidden="false" customHeight="true" outlineLevel="0" collapsed="false">
      <c r="B75" s="25" t="s">
        <v>427</v>
      </c>
      <c r="C75" s="14" t="s">
        <v>551</v>
      </c>
      <c r="D75" s="17" t="n">
        <v>6</v>
      </c>
      <c r="E75" s="39" t="n">
        <v>26</v>
      </c>
      <c r="F75" s="39" t="n">
        <v>27</v>
      </c>
      <c r="G75" s="36" t="n">
        <v>5.1016</v>
      </c>
      <c r="H75" s="36" t="n">
        <v>0.435</v>
      </c>
      <c r="I75" s="36" t="n">
        <v>0.435</v>
      </c>
      <c r="J75" s="37" t="n">
        <f aca="false">G75*(H75+I75)/2</f>
        <v>2.219196</v>
      </c>
      <c r="K75" s="27" t="n">
        <f aca="false">DATOS!$C$10*J75</f>
        <v>12.9822966</v>
      </c>
      <c r="L75" s="10" t="s">
        <v>566</v>
      </c>
    </row>
    <row r="76" customFormat="false" ht="19.5" hidden="false" customHeight="true" outlineLevel="0" collapsed="false">
      <c r="B76" s="25" t="s">
        <v>429</v>
      </c>
      <c r="C76" s="14" t="s">
        <v>551</v>
      </c>
      <c r="D76" s="17" t="n">
        <v>6</v>
      </c>
      <c r="E76" s="39" t="n">
        <v>27</v>
      </c>
      <c r="F76" s="39" t="n">
        <v>201</v>
      </c>
      <c r="G76" s="36" t="n">
        <v>2.4915</v>
      </c>
      <c r="H76" s="36" t="n">
        <v>0.6</v>
      </c>
      <c r="I76" s="36" t="n">
        <v>0.6</v>
      </c>
      <c r="J76" s="37" t="n">
        <f aca="false">G76*(H76+I76)/2</f>
        <v>1.4949</v>
      </c>
      <c r="K76" s="27" t="n">
        <f aca="false">DATOS!$C$10*J76</f>
        <v>8.745165</v>
      </c>
      <c r="L76" s="10" t="s">
        <v>567</v>
      </c>
    </row>
    <row r="77" customFormat="false" ht="19.5" hidden="false" customHeight="true" outlineLevel="0" collapsed="false">
      <c r="B77" s="25" t="s">
        <v>431</v>
      </c>
      <c r="C77" s="14" t="s">
        <v>551</v>
      </c>
      <c r="D77" s="17" t="n">
        <v>7</v>
      </c>
      <c r="E77" s="39" t="n">
        <v>168</v>
      </c>
      <c r="F77" s="39" t="n">
        <v>169</v>
      </c>
      <c r="G77" s="36" t="n">
        <v>10.08</v>
      </c>
      <c r="H77" s="36" t="n">
        <v>1.035</v>
      </c>
      <c r="I77" s="36" t="n">
        <v>1.035</v>
      </c>
      <c r="J77" s="37" t="n">
        <f aca="false">G77*(H77+I77)/2</f>
        <v>10.4328</v>
      </c>
      <c r="K77" s="27" t="n">
        <f aca="false">DATOS!$C$10*J77</f>
        <v>61.03188</v>
      </c>
      <c r="L77" s="10" t="s">
        <v>568</v>
      </c>
    </row>
    <row r="78" customFormat="false" ht="19.5" hidden="false" customHeight="true" outlineLevel="0" collapsed="false">
      <c r="B78" s="25" t="s">
        <v>433</v>
      </c>
      <c r="C78" s="14" t="s">
        <v>551</v>
      </c>
      <c r="D78" s="17" t="n">
        <v>8</v>
      </c>
      <c r="E78" s="39" t="n">
        <v>180</v>
      </c>
      <c r="F78" s="39" t="n">
        <v>181</v>
      </c>
      <c r="G78" s="36" t="n">
        <v>10.08</v>
      </c>
      <c r="H78" s="36" t="n">
        <v>1.2</v>
      </c>
      <c r="I78" s="36" t="n">
        <v>1.2</v>
      </c>
      <c r="J78" s="37" t="n">
        <f aca="false">G78*(H78+I78)/2</f>
        <v>12.096</v>
      </c>
      <c r="K78" s="27" t="n">
        <f aca="false">DATOS!$C$10*J78</f>
        <v>70.7616</v>
      </c>
      <c r="L78" s="10" t="s">
        <v>569</v>
      </c>
    </row>
    <row r="79" customFormat="false" ht="19.5" hidden="false" customHeight="true" outlineLevel="0" collapsed="false">
      <c r="B79" s="25" t="s">
        <v>435</v>
      </c>
      <c r="C79" s="14" t="s">
        <v>551</v>
      </c>
      <c r="D79" s="17" t="n">
        <v>9</v>
      </c>
      <c r="E79" s="39" t="n">
        <v>192</v>
      </c>
      <c r="F79" s="39" t="n">
        <v>193</v>
      </c>
      <c r="G79" s="36" t="n">
        <v>10.08</v>
      </c>
      <c r="H79" s="36" t="n">
        <v>1.11</v>
      </c>
      <c r="I79" s="36" t="n">
        <v>1.11</v>
      </c>
      <c r="J79" s="37" t="n">
        <f aca="false">G79*(H79+I79)/2</f>
        <v>11.1888</v>
      </c>
      <c r="K79" s="27" t="n">
        <f aca="false">DATOS!$C$10*J79</f>
        <v>65.45448</v>
      </c>
      <c r="L79" s="10" t="s">
        <v>570</v>
      </c>
    </row>
    <row r="80" customFormat="false" ht="19.5" hidden="false" customHeight="true" outlineLevel="0" collapsed="false">
      <c r="B80" s="25" t="s">
        <v>571</v>
      </c>
      <c r="C80" s="14" t="s">
        <v>551</v>
      </c>
      <c r="D80" s="17" t="n">
        <v>10</v>
      </c>
      <c r="E80" s="39" t="n">
        <v>20</v>
      </c>
      <c r="F80" s="39" t="n">
        <v>21</v>
      </c>
      <c r="G80" s="36" t="n">
        <v>10.08</v>
      </c>
      <c r="H80" s="36" t="n">
        <v>0.51</v>
      </c>
      <c r="I80" s="36" t="n">
        <v>0.51</v>
      </c>
      <c r="J80" s="37" t="n">
        <f aca="false">G80*(H80+I80)/2</f>
        <v>5.1408</v>
      </c>
      <c r="K80" s="27" t="n">
        <f aca="false">DATOS!$C$10*J80</f>
        <v>30.07368</v>
      </c>
      <c r="L80" s="10" t="s">
        <v>520</v>
      </c>
    </row>
    <row r="81" customFormat="false" ht="24" hidden="false" customHeight="true" outlineLevel="0" collapsed="false">
      <c r="B81" s="25" t="s">
        <v>181</v>
      </c>
      <c r="C81" s="35" t="s">
        <v>572</v>
      </c>
      <c r="D81" s="35"/>
      <c r="E81" s="35"/>
      <c r="F81" s="35"/>
      <c r="G81" s="35"/>
      <c r="H81" s="35"/>
      <c r="I81" s="35"/>
      <c r="J81" s="37" t="n">
        <f aca="false">SUM(J7:J80)</f>
        <v>377.186912</v>
      </c>
      <c r="K81" s="21" t="n">
        <f aca="false">SUM(K7:K80)</f>
        <v>2206.5434352</v>
      </c>
      <c r="L81" s="25" t="str">
        <f aca="false">IF(ABS(J81-(MUROS!$O$55+MUROS!$O$85+MUROS!$N$111))&lt;0.02,"CUADRA","NO CUADRA")</f>
        <v>CUADRA</v>
      </c>
    </row>
    <row r="83" customFormat="false" ht="21" hidden="false" customHeight="true" outlineLevel="0" collapsed="false">
      <c r="B83" s="4" t="s">
        <v>573</v>
      </c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30" hidden="false" customHeight="true" outlineLevel="0" collapsed="false">
      <c r="B84" s="5" t="s">
        <v>574</v>
      </c>
      <c r="C84" s="5" t="s">
        <v>575</v>
      </c>
      <c r="D84" s="5" t="s">
        <v>394</v>
      </c>
      <c r="E84" s="5" t="s">
        <v>111</v>
      </c>
      <c r="F84" s="5" t="s">
        <v>576</v>
      </c>
      <c r="G84" s="5" t="s">
        <v>577</v>
      </c>
      <c r="H84" s="5" t="s">
        <v>578</v>
      </c>
      <c r="I84" s="5" t="s">
        <v>452</v>
      </c>
      <c r="J84" s="5" t="s">
        <v>579</v>
      </c>
      <c r="K84" s="5" t="s">
        <v>580</v>
      </c>
      <c r="L84" s="5" t="s">
        <v>7</v>
      </c>
    </row>
    <row r="85" customFormat="false" ht="24" hidden="false" customHeight="true" outlineLevel="0" collapsed="false">
      <c r="B85" s="9"/>
      <c r="C85" s="9" t="s">
        <v>134</v>
      </c>
      <c r="D85" s="9" t="s">
        <v>134</v>
      </c>
      <c r="E85" s="9" t="s">
        <v>134</v>
      </c>
      <c r="F85" s="9"/>
      <c r="G85" s="9" t="s">
        <v>581</v>
      </c>
      <c r="H85" s="9" t="s">
        <v>493</v>
      </c>
      <c r="I85" s="9" t="s">
        <v>582</v>
      </c>
      <c r="J85" s="9" t="s">
        <v>583</v>
      </c>
      <c r="K85" s="9" t="s">
        <v>584</v>
      </c>
      <c r="L85" s="9"/>
    </row>
    <row r="86" customFormat="false" ht="19.5" hidden="false" customHeight="true" outlineLevel="0" collapsed="false">
      <c r="B86" s="39" t="n">
        <v>13</v>
      </c>
      <c r="C86" s="26" t="n">
        <v>10.08</v>
      </c>
      <c r="D86" s="26" t="n">
        <v>9.82</v>
      </c>
      <c r="E86" s="26" t="n">
        <v>16</v>
      </c>
      <c r="F86" s="14" t="s">
        <v>585</v>
      </c>
      <c r="G86" s="26" t="n">
        <f aca="false">0.5*(SUMIF($E$7:$E$80,B86,$J$7:$J$80)+SUMIF($F$7:$F$80,B86,$J$7:$J$80))</f>
        <v>0.175</v>
      </c>
      <c r="H86" s="27" t="n">
        <f aca="false">DATOS!$C$10*G86</f>
        <v>1.02375</v>
      </c>
      <c r="I86" s="27" t="n">
        <f aca="false">SUMIF(NODOS_TECHO!$C$7:$C$14,B86,NODOS_TECHO!$M$7:$M$14)</f>
        <v>121.716</v>
      </c>
      <c r="J86" s="21" t="n">
        <f aca="false">H86+I86</f>
        <v>122.73975</v>
      </c>
      <c r="K86" s="14" t="str">
        <f aca="false">B86&amp;" FX "&amp;TEXT(J86,"0.0")&amp;" FZ "&amp;TEXT(J86,"0.0")</f>
        <v>13 FX 122.7 FZ 122.7</v>
      </c>
      <c r="L86" s="10" t="s">
        <v>586</v>
      </c>
    </row>
    <row r="87" customFormat="false" ht="19.5" hidden="false" customHeight="true" outlineLevel="0" collapsed="false">
      <c r="B87" s="39" t="n">
        <v>14</v>
      </c>
      <c r="C87" s="26" t="n">
        <v>0</v>
      </c>
      <c r="D87" s="26" t="n">
        <v>9.94</v>
      </c>
      <c r="E87" s="26" t="n">
        <v>13.5</v>
      </c>
      <c r="F87" s="14" t="s">
        <v>587</v>
      </c>
      <c r="G87" s="26" t="n">
        <f aca="false">0.5*(SUMIF($E$7:$E$80,B87,$J$7:$J$80)+SUMIF($F$7:$F$80,B87,$J$7:$J$80))</f>
        <v>1.035625</v>
      </c>
      <c r="H87" s="27" t="n">
        <f aca="false">DATOS!$C$10*G87</f>
        <v>6.05840625</v>
      </c>
      <c r="I87" s="27" t="n">
        <f aca="false">SUMIF(NODOS_TECHO!$C$7:$C$14,B87,NODOS_TECHO!$M$7:$M$14)</f>
        <v>450.348713136</v>
      </c>
      <c r="J87" s="21" t="n">
        <f aca="false">H87+I87</f>
        <v>456.407119386</v>
      </c>
      <c r="K87" s="14" t="str">
        <f aca="false">B87&amp;" FX "&amp;TEXT(J87,"0.0")&amp;" FZ "&amp;TEXT(J87,"0.0")</f>
        <v>14 FX 456.4 FZ 456.4</v>
      </c>
      <c r="L87" s="10" t="s">
        <v>586</v>
      </c>
    </row>
    <row r="88" customFormat="false" ht="19.5" hidden="false" customHeight="true" outlineLevel="0" collapsed="false">
      <c r="B88" s="39" t="n">
        <v>15</v>
      </c>
      <c r="C88" s="26" t="n">
        <v>10.08</v>
      </c>
      <c r="D88" s="26" t="n">
        <v>9.94</v>
      </c>
      <c r="E88" s="26" t="n">
        <v>13.5</v>
      </c>
      <c r="F88" s="14" t="s">
        <v>588</v>
      </c>
      <c r="G88" s="26" t="n">
        <f aca="false">0.5*(SUMIF($E$7:$E$80,B88,$J$7:$J$80)+SUMIF($F$7:$F$80,B88,$J$7:$J$80))</f>
        <v>1.035625</v>
      </c>
      <c r="H88" s="27" t="n">
        <f aca="false">DATOS!$C$10*G88</f>
        <v>6.05840625</v>
      </c>
      <c r="I88" s="27" t="n">
        <f aca="false">SUMIF(NODOS_TECHO!$C$7:$C$14,B88,NODOS_TECHO!$M$7:$M$14)</f>
        <v>450.348713136</v>
      </c>
      <c r="J88" s="21" t="n">
        <f aca="false">H88+I88</f>
        <v>456.407119386</v>
      </c>
      <c r="K88" s="14" t="str">
        <f aca="false">B88&amp;" FX "&amp;TEXT(J88,"0.0")&amp;" FZ "&amp;TEXT(J88,"0.0")</f>
        <v>15 FX 456.4 FZ 456.4</v>
      </c>
      <c r="L88" s="10" t="s">
        <v>586</v>
      </c>
    </row>
    <row r="89" customFormat="false" ht="19.5" hidden="false" customHeight="true" outlineLevel="0" collapsed="false">
      <c r="B89" s="39" t="n">
        <v>16</v>
      </c>
      <c r="C89" s="26" t="n">
        <v>0</v>
      </c>
      <c r="D89" s="26" t="n">
        <v>9.82</v>
      </c>
      <c r="E89" s="26" t="n">
        <v>16</v>
      </c>
      <c r="F89" s="14" t="s">
        <v>589</v>
      </c>
      <c r="G89" s="26" t="n">
        <f aca="false">0.5*(SUMIF($E$7:$E$80,B89,$J$7:$J$80)+SUMIF($F$7:$F$80,B89,$J$7:$J$80))</f>
        <v>0.175</v>
      </c>
      <c r="H89" s="27" t="n">
        <f aca="false">DATOS!$C$10*G89</f>
        <v>1.02375</v>
      </c>
      <c r="I89" s="27" t="n">
        <f aca="false">SUMIF(NODOS_TECHO!$C$7:$C$14,B89,NODOS_TECHO!$M$7:$M$14)</f>
        <v>121.716</v>
      </c>
      <c r="J89" s="21" t="n">
        <f aca="false">H89+I89</f>
        <v>122.73975</v>
      </c>
      <c r="K89" s="14" t="str">
        <f aca="false">B89&amp;" FX "&amp;TEXT(J89,"0.0")&amp;" FZ "&amp;TEXT(J89,"0.0")</f>
        <v>16 FX 122.7 FZ 122.7</v>
      </c>
      <c r="L89" s="10" t="s">
        <v>586</v>
      </c>
    </row>
    <row r="90" customFormat="false" ht="19.5" hidden="false" customHeight="true" outlineLevel="0" collapsed="false">
      <c r="B90" s="39" t="n">
        <v>18</v>
      </c>
      <c r="C90" s="26" t="n">
        <v>0</v>
      </c>
      <c r="D90" s="26" t="n">
        <v>10.28</v>
      </c>
      <c r="E90" s="26" t="n">
        <v>6.75</v>
      </c>
      <c r="F90" s="14" t="s">
        <v>590</v>
      </c>
      <c r="G90" s="26" t="n">
        <f aca="false">0.5*(SUMIF($E$7:$E$80,B90,$J$7:$J$80)+SUMIF($F$7:$F$80,B90,$J$7:$J$80))</f>
        <v>2.295</v>
      </c>
      <c r="H90" s="27" t="n">
        <f aca="false">DATOS!$C$10*G90</f>
        <v>13.42575</v>
      </c>
      <c r="I90" s="27" t="n">
        <f aca="false">SUMIF(NODOS_TECHO!$C$7:$C$14,B90,NODOS_TECHO!$M$7:$M$14)</f>
        <v>657.2664</v>
      </c>
      <c r="J90" s="21" t="n">
        <f aca="false">H90+I90</f>
        <v>670.69215</v>
      </c>
      <c r="K90" s="14" t="str">
        <f aca="false">B90&amp;" FX "&amp;TEXT(J90,"0.0")&amp;" FZ "&amp;TEXT(J90,"0.0")</f>
        <v>18 FX 670.7 FZ 670.7</v>
      </c>
      <c r="L90" s="10" t="s">
        <v>586</v>
      </c>
    </row>
    <row r="91" customFormat="false" ht="19.5" hidden="false" customHeight="true" outlineLevel="0" collapsed="false">
      <c r="B91" s="39" t="n">
        <v>19</v>
      </c>
      <c r="C91" s="26" t="n">
        <v>10.08</v>
      </c>
      <c r="D91" s="26" t="n">
        <v>10.28</v>
      </c>
      <c r="E91" s="26" t="n">
        <v>6.75</v>
      </c>
      <c r="F91" s="14" t="s">
        <v>591</v>
      </c>
      <c r="G91" s="26" t="n">
        <f aca="false">0.5*(SUMIF($E$7:$E$80,B91,$J$7:$J$80)+SUMIF($F$7:$F$80,B91,$J$7:$J$80))</f>
        <v>2.295</v>
      </c>
      <c r="H91" s="27" t="n">
        <f aca="false">DATOS!$C$10*G91</f>
        <v>13.42575</v>
      </c>
      <c r="I91" s="27" t="n">
        <f aca="false">SUMIF(NODOS_TECHO!$C$7:$C$14,B91,NODOS_TECHO!$M$7:$M$14)</f>
        <v>657.2664</v>
      </c>
      <c r="J91" s="21" t="n">
        <f aca="false">H91+I91</f>
        <v>670.69215</v>
      </c>
      <c r="K91" s="14" t="str">
        <f aca="false">B91&amp;" FX "&amp;TEXT(J91,"0.0")&amp;" FZ "&amp;TEXT(J91,"0.0")</f>
        <v>19 FX 670.7 FZ 670.7</v>
      </c>
      <c r="L91" s="10" t="s">
        <v>586</v>
      </c>
    </row>
    <row r="92" customFormat="false" ht="19.5" hidden="false" customHeight="true" outlineLevel="0" collapsed="false">
      <c r="B92" s="39" t="n">
        <v>20</v>
      </c>
      <c r="C92" s="26" t="n">
        <v>0</v>
      </c>
      <c r="D92" s="26" t="n">
        <v>10.62</v>
      </c>
      <c r="E92" s="26" t="n">
        <v>0</v>
      </c>
      <c r="F92" s="14" t="s">
        <v>592</v>
      </c>
      <c r="G92" s="26" t="n">
        <f aca="false">0.5*(SUMIF($E$7:$E$80,B92,$J$7:$J$80)+SUMIF($F$7:$F$80,B92,$J$7:$J$80))</f>
        <v>4.004775</v>
      </c>
      <c r="H92" s="27" t="n">
        <f aca="false">DATOS!$C$10*G92</f>
        <v>23.42793375</v>
      </c>
      <c r="I92" s="27" t="n">
        <f aca="false">SUMIF(NODOS_TECHO!$C$7:$C$14,B92,NODOS_TECHO!$M$7:$M$14)</f>
        <v>328.633686864</v>
      </c>
      <c r="J92" s="21" t="n">
        <f aca="false">H92+I92</f>
        <v>352.061620614</v>
      </c>
      <c r="K92" s="14" t="str">
        <f aca="false">B92&amp;" FX "&amp;TEXT(J92,"0.0")&amp;" FZ "&amp;TEXT(J92,"0.0")</f>
        <v>20 FX 352.1 FZ 352.1</v>
      </c>
      <c r="L92" s="10" t="s">
        <v>586</v>
      </c>
    </row>
    <row r="93" customFormat="false" ht="19.5" hidden="false" customHeight="true" outlineLevel="0" collapsed="false">
      <c r="B93" s="39" t="n">
        <v>21</v>
      </c>
      <c r="C93" s="26" t="n">
        <v>10.08</v>
      </c>
      <c r="D93" s="26" t="n">
        <v>10.62</v>
      </c>
      <c r="E93" s="26" t="n">
        <v>0</v>
      </c>
      <c r="F93" s="14" t="s">
        <v>593</v>
      </c>
      <c r="G93" s="26" t="n">
        <f aca="false">0.5*(SUMIF($E$7:$E$80,B93,$J$7:$J$80)+SUMIF($F$7:$F$80,B93,$J$7:$J$80))</f>
        <v>4.004775</v>
      </c>
      <c r="H93" s="27" t="n">
        <f aca="false">DATOS!$C$10*G93</f>
        <v>23.42793375</v>
      </c>
      <c r="I93" s="27" t="n">
        <f aca="false">SUMIF(NODOS_TECHO!$C$7:$C$14,B93,NODOS_TECHO!$M$7:$M$14)</f>
        <v>328.633686864</v>
      </c>
      <c r="J93" s="21" t="n">
        <f aca="false">H93+I93</f>
        <v>352.061620614</v>
      </c>
      <c r="K93" s="14" t="str">
        <f aca="false">B93&amp;" FX "&amp;TEXT(J93,"0.0")&amp;" FZ "&amp;TEXT(J93,"0.0")</f>
        <v>21 FX 352.1 FZ 352.1</v>
      </c>
      <c r="L93" s="10" t="s">
        <v>586</v>
      </c>
    </row>
    <row r="94" customFormat="false" ht="19.5" hidden="false" customHeight="true" outlineLevel="0" collapsed="false">
      <c r="B94" s="39" t="n">
        <v>26</v>
      </c>
      <c r="C94" s="26" t="n">
        <v>2.487</v>
      </c>
      <c r="D94" s="26" t="n">
        <v>6.33</v>
      </c>
      <c r="E94" s="26" t="n">
        <v>0</v>
      </c>
      <c r="F94" s="14" t="s">
        <v>594</v>
      </c>
      <c r="G94" s="26" t="n">
        <f aca="false">0.5*(SUMIF($E$7:$E$80,B94,$J$7:$J$80)+SUMIF($F$7:$F$80,B94,$J$7:$J$80))</f>
        <v>1.855668</v>
      </c>
      <c r="H94" s="27" t="n">
        <f aca="false">DATOS!$C$10*G94</f>
        <v>10.8556578</v>
      </c>
      <c r="I94" s="27" t="n">
        <f aca="false">SUMIF(NODOS_TECHO!$C$7:$C$14,B94,NODOS_TECHO!$M$7:$M$14)</f>
        <v>0</v>
      </c>
      <c r="J94" s="21" t="n">
        <f aca="false">H94+I94</f>
        <v>10.8556578</v>
      </c>
      <c r="K94" s="14" t="str">
        <f aca="false">B94&amp;" FX "&amp;TEXT(J94,"0.0")&amp;" FZ "&amp;TEXT(J94,"0.0")</f>
        <v>26 FX 10.9 FZ 10.9</v>
      </c>
      <c r="L94" s="10" t="s">
        <v>586</v>
      </c>
    </row>
    <row r="95" customFormat="false" ht="19.5" hidden="false" customHeight="true" outlineLevel="0" collapsed="false">
      <c r="B95" s="39" t="n">
        <v>27</v>
      </c>
      <c r="C95" s="26" t="n">
        <v>7.589</v>
      </c>
      <c r="D95" s="26" t="n">
        <v>6.33</v>
      </c>
      <c r="E95" s="26" t="n">
        <v>0</v>
      </c>
      <c r="F95" s="14" t="s">
        <v>595</v>
      </c>
      <c r="G95" s="26" t="n">
        <f aca="false">0.5*(SUMIF($E$7:$E$80,B95,$J$7:$J$80)+SUMIF($F$7:$F$80,B95,$J$7:$J$80))</f>
        <v>1.857048</v>
      </c>
      <c r="H95" s="27" t="n">
        <f aca="false">DATOS!$C$10*G95</f>
        <v>10.8637308</v>
      </c>
      <c r="I95" s="27" t="n">
        <f aca="false">SUMIF(NODOS_TECHO!$C$7:$C$14,B95,NODOS_TECHO!$M$7:$M$14)</f>
        <v>0</v>
      </c>
      <c r="J95" s="21" t="n">
        <f aca="false">H95+I95</f>
        <v>10.8637308</v>
      </c>
      <c r="K95" s="14" t="str">
        <f aca="false">B95&amp;" FX "&amp;TEXT(J95,"0.0")&amp;" FZ "&amp;TEXT(J95,"0.0")</f>
        <v>27 FX 10.9 FZ 10.9</v>
      </c>
      <c r="L95" s="10" t="s">
        <v>586</v>
      </c>
    </row>
    <row r="96" customFormat="false" ht="19.5" hidden="false" customHeight="true" outlineLevel="0" collapsed="false">
      <c r="B96" s="39" t="n">
        <v>108</v>
      </c>
      <c r="C96" s="26" t="n">
        <v>0</v>
      </c>
      <c r="D96" s="26" t="n">
        <v>1.2</v>
      </c>
      <c r="E96" s="26" t="n">
        <v>0</v>
      </c>
      <c r="F96" s="14" t="s">
        <v>592</v>
      </c>
      <c r="G96" s="26" t="n">
        <f aca="false">0.5*(SUMIF($E$7:$E$80,B96,$J$7:$J$80)+SUMIF($F$7:$F$80,B96,$J$7:$J$80))</f>
        <v>4.4355</v>
      </c>
      <c r="H96" s="27" t="n">
        <f aca="false">DATOS!$C$10*G96</f>
        <v>25.947675</v>
      </c>
      <c r="I96" s="27" t="n">
        <f aca="false">SUMIF(NODOS_TECHO!$C$7:$C$14,B96,NODOS_TECHO!$M$7:$M$14)</f>
        <v>0</v>
      </c>
      <c r="J96" s="21" t="n">
        <f aca="false">H96+I96</f>
        <v>25.947675</v>
      </c>
      <c r="K96" s="14" t="str">
        <f aca="false">B96&amp;" FX "&amp;TEXT(J96,"0.0")&amp;" FZ "&amp;TEXT(J96,"0.0")</f>
        <v>108 FX 25.9 FZ 25.9</v>
      </c>
      <c r="L96" s="10" t="s">
        <v>586</v>
      </c>
    </row>
    <row r="97" customFormat="false" ht="19.5" hidden="false" customHeight="true" outlineLevel="0" collapsed="false">
      <c r="B97" s="39" t="n">
        <v>109</v>
      </c>
      <c r="C97" s="26" t="n">
        <v>10.08</v>
      </c>
      <c r="D97" s="26" t="n">
        <v>1.2</v>
      </c>
      <c r="E97" s="26" t="n">
        <v>0</v>
      </c>
      <c r="F97" s="14" t="s">
        <v>593</v>
      </c>
      <c r="G97" s="26" t="n">
        <f aca="false">0.5*(SUMIF($E$7:$E$80,B97,$J$7:$J$80)+SUMIF($F$7:$F$80,B97,$J$7:$J$80))</f>
        <v>5.5449</v>
      </c>
      <c r="H97" s="27" t="n">
        <f aca="false">DATOS!$C$10*G97</f>
        <v>32.437665</v>
      </c>
      <c r="I97" s="27" t="n">
        <f aca="false">SUMIF(NODOS_TECHO!$C$7:$C$14,B97,NODOS_TECHO!$M$7:$M$14)</f>
        <v>0</v>
      </c>
      <c r="J97" s="21" t="n">
        <f aca="false">H97+I97</f>
        <v>32.437665</v>
      </c>
      <c r="K97" s="14" t="str">
        <f aca="false">B97&amp;" FX "&amp;TEXT(J97,"0.0")&amp;" FZ "&amp;TEXT(J97,"0.0")</f>
        <v>109 FX 32.4 FZ 32.4</v>
      </c>
      <c r="L97" s="10" t="s">
        <v>586</v>
      </c>
    </row>
    <row r="98" customFormat="false" ht="19.5" hidden="false" customHeight="true" outlineLevel="0" collapsed="false">
      <c r="B98" s="39" t="n">
        <v>110</v>
      </c>
      <c r="C98" s="26" t="n">
        <v>0</v>
      </c>
      <c r="D98" s="26" t="n">
        <v>1.2</v>
      </c>
      <c r="E98" s="26" t="n">
        <v>6.75</v>
      </c>
      <c r="F98" s="14" t="s">
        <v>590</v>
      </c>
      <c r="G98" s="26" t="n">
        <f aca="false">0.5*(SUMIF($E$7:$E$80,B98,$J$7:$J$80)+SUMIF($F$7:$F$80,B98,$J$7:$J$80))</f>
        <v>8.1</v>
      </c>
      <c r="H98" s="27" t="n">
        <f aca="false">DATOS!$C$10*G98</f>
        <v>47.385</v>
      </c>
      <c r="I98" s="27" t="n">
        <f aca="false">SUMIF(NODOS_TECHO!$C$7:$C$14,B98,NODOS_TECHO!$M$7:$M$14)</f>
        <v>0</v>
      </c>
      <c r="J98" s="21" t="n">
        <f aca="false">H98+I98</f>
        <v>47.385</v>
      </c>
      <c r="K98" s="14" t="str">
        <f aca="false">B98&amp;" FX "&amp;TEXT(J98,"0.0")&amp;" FZ "&amp;TEXT(J98,"0.0")</f>
        <v>110 FX 47.4 FZ 47.4</v>
      </c>
      <c r="L98" s="10" t="s">
        <v>586</v>
      </c>
    </row>
    <row r="99" customFormat="false" ht="19.5" hidden="false" customHeight="true" outlineLevel="0" collapsed="false">
      <c r="B99" s="39" t="n">
        <v>111</v>
      </c>
      <c r="C99" s="26" t="n">
        <v>0</v>
      </c>
      <c r="D99" s="26" t="n">
        <v>1.2</v>
      </c>
      <c r="E99" s="26" t="n">
        <v>13.5</v>
      </c>
      <c r="F99" s="14" t="s">
        <v>587</v>
      </c>
      <c r="G99" s="26" t="n">
        <f aca="false">0.5*(SUMIF($E$7:$E$80,B99,$J$7:$J$80)+SUMIF($F$7:$F$80,B99,$J$7:$J$80))</f>
        <v>5.55</v>
      </c>
      <c r="H99" s="27" t="n">
        <f aca="false">DATOS!$C$10*G99</f>
        <v>32.4675</v>
      </c>
      <c r="I99" s="27" t="n">
        <f aca="false">SUMIF(NODOS_TECHO!$C$7:$C$14,B99,NODOS_TECHO!$M$7:$M$14)</f>
        <v>0</v>
      </c>
      <c r="J99" s="21" t="n">
        <f aca="false">H99+I99</f>
        <v>32.4675</v>
      </c>
      <c r="K99" s="14" t="str">
        <f aca="false">B99&amp;" FX "&amp;TEXT(J99,"0.0")&amp;" FZ "&amp;TEXT(J99,"0.0")</f>
        <v>111 FX 32.5 FZ 32.5</v>
      </c>
      <c r="L99" s="10" t="s">
        <v>586</v>
      </c>
    </row>
    <row r="100" customFormat="false" ht="19.5" hidden="false" customHeight="true" outlineLevel="0" collapsed="false">
      <c r="B100" s="39" t="n">
        <v>112</v>
      </c>
      <c r="C100" s="26" t="n">
        <v>0</v>
      </c>
      <c r="D100" s="26" t="n">
        <v>1.2</v>
      </c>
      <c r="E100" s="26" t="n">
        <v>16</v>
      </c>
      <c r="F100" s="14" t="s">
        <v>589</v>
      </c>
      <c r="G100" s="26" t="n">
        <f aca="false">0.5*(SUMIF($E$7:$E$80,B100,$J$7:$J$80)+SUMIF($F$7:$F$80,B100,$J$7:$J$80))</f>
        <v>1.5</v>
      </c>
      <c r="H100" s="27" t="n">
        <f aca="false">DATOS!$C$10*G100</f>
        <v>8.775</v>
      </c>
      <c r="I100" s="27" t="n">
        <f aca="false">SUMIF(NODOS_TECHO!$C$7:$C$14,B100,NODOS_TECHO!$M$7:$M$14)</f>
        <v>0</v>
      </c>
      <c r="J100" s="21" t="n">
        <f aca="false">H100+I100</f>
        <v>8.775</v>
      </c>
      <c r="K100" s="14" t="str">
        <f aca="false">B100&amp;" FX "&amp;TEXT(J100,"0.0")&amp;" FZ "&amp;TEXT(J100,"0.0")</f>
        <v>112 FX 8.8 FZ 8.8</v>
      </c>
      <c r="L100" s="10" t="s">
        <v>586</v>
      </c>
    </row>
    <row r="101" customFormat="false" ht="19.5" hidden="false" customHeight="true" outlineLevel="0" collapsed="false">
      <c r="B101" s="39" t="n">
        <v>113</v>
      </c>
      <c r="C101" s="26" t="n">
        <v>10.08</v>
      </c>
      <c r="D101" s="26" t="n">
        <v>1.2</v>
      </c>
      <c r="E101" s="26" t="n">
        <v>6.75</v>
      </c>
      <c r="F101" s="14" t="s">
        <v>591</v>
      </c>
      <c r="G101" s="26" t="n">
        <f aca="false">0.5*(SUMIF($E$7:$E$80,B101,$J$7:$J$80)+SUMIF($F$7:$F$80,B101,$J$7:$J$80))</f>
        <v>8.1</v>
      </c>
      <c r="H101" s="27" t="n">
        <f aca="false">DATOS!$C$10*G101</f>
        <v>47.385</v>
      </c>
      <c r="I101" s="27" t="n">
        <f aca="false">SUMIF(NODOS_TECHO!$C$7:$C$14,B101,NODOS_TECHO!$M$7:$M$14)</f>
        <v>0</v>
      </c>
      <c r="J101" s="21" t="n">
        <f aca="false">H101+I101</f>
        <v>47.385</v>
      </c>
      <c r="K101" s="14" t="str">
        <f aca="false">B101&amp;" FX "&amp;TEXT(J101,"0.0")&amp;" FZ "&amp;TEXT(J101,"0.0")</f>
        <v>113 FX 47.4 FZ 47.4</v>
      </c>
      <c r="L101" s="10" t="s">
        <v>586</v>
      </c>
    </row>
    <row r="102" customFormat="false" ht="19.5" hidden="false" customHeight="true" outlineLevel="0" collapsed="false">
      <c r="B102" s="39" t="n">
        <v>114</v>
      </c>
      <c r="C102" s="26" t="n">
        <v>10.08</v>
      </c>
      <c r="D102" s="26" t="n">
        <v>1.2</v>
      </c>
      <c r="E102" s="26" t="n">
        <v>13.5</v>
      </c>
      <c r="F102" s="14" t="s">
        <v>588</v>
      </c>
      <c r="G102" s="26" t="n">
        <f aca="false">0.5*(SUMIF($E$7:$E$80,B102,$J$7:$J$80)+SUMIF($F$7:$F$80,B102,$J$7:$J$80))</f>
        <v>5.55</v>
      </c>
      <c r="H102" s="27" t="n">
        <f aca="false">DATOS!$C$10*G102</f>
        <v>32.4675</v>
      </c>
      <c r="I102" s="27" t="n">
        <f aca="false">SUMIF(NODOS_TECHO!$C$7:$C$14,B102,NODOS_TECHO!$M$7:$M$14)</f>
        <v>0</v>
      </c>
      <c r="J102" s="21" t="n">
        <f aca="false">H102+I102</f>
        <v>32.4675</v>
      </c>
      <c r="K102" s="14" t="str">
        <f aca="false">B102&amp;" FX "&amp;TEXT(J102,"0.0")&amp;" FZ "&amp;TEXT(J102,"0.0")</f>
        <v>114 FX 32.5 FZ 32.5</v>
      </c>
      <c r="L102" s="10" t="s">
        <v>586</v>
      </c>
    </row>
    <row r="103" customFormat="false" ht="19.5" hidden="false" customHeight="true" outlineLevel="0" collapsed="false">
      <c r="B103" s="39" t="n">
        <v>115</v>
      </c>
      <c r="C103" s="26" t="n">
        <v>10.08</v>
      </c>
      <c r="D103" s="26" t="n">
        <v>1.2</v>
      </c>
      <c r="E103" s="26" t="n">
        <v>16</v>
      </c>
      <c r="F103" s="14" t="s">
        <v>585</v>
      </c>
      <c r="G103" s="26" t="n">
        <f aca="false">0.5*(SUMIF($E$7:$E$80,B103,$J$7:$J$80)+SUMIF($F$7:$F$80,B103,$J$7:$J$80))</f>
        <v>1.5</v>
      </c>
      <c r="H103" s="27" t="n">
        <f aca="false">DATOS!$C$10*G103</f>
        <v>8.775</v>
      </c>
      <c r="I103" s="27" t="n">
        <f aca="false">SUMIF(NODOS_TECHO!$C$7:$C$14,B103,NODOS_TECHO!$M$7:$M$14)</f>
        <v>0</v>
      </c>
      <c r="J103" s="21" t="n">
        <f aca="false">H103+I103</f>
        <v>8.775</v>
      </c>
      <c r="K103" s="14" t="str">
        <f aca="false">B103&amp;" FX "&amp;TEXT(J103,"0.0")&amp;" FZ "&amp;TEXT(J103,"0.0")</f>
        <v>115 FX 8.8 FZ 8.8</v>
      </c>
      <c r="L103" s="10" t="s">
        <v>586</v>
      </c>
    </row>
    <row r="104" customFormat="false" ht="19.5" hidden="false" customHeight="true" outlineLevel="0" collapsed="false">
      <c r="B104" s="39" t="n">
        <v>116</v>
      </c>
      <c r="C104" s="26" t="n">
        <v>0.643</v>
      </c>
      <c r="D104" s="26" t="n">
        <v>1.2</v>
      </c>
      <c r="E104" s="26" t="n">
        <v>0</v>
      </c>
      <c r="F104" s="14" t="s">
        <v>596</v>
      </c>
      <c r="G104" s="26" t="n">
        <f aca="false">0.5*(SUMIF($E$7:$E$80,B104,$J$7:$J$80)+SUMIF($F$7:$F$80,B104,$J$7:$J$80))</f>
        <v>0.3855</v>
      </c>
      <c r="H104" s="27" t="n">
        <f aca="false">DATOS!$C$10*G104</f>
        <v>2.255175</v>
      </c>
      <c r="I104" s="27" t="n">
        <f aca="false">SUMIF(NODOS_TECHO!$C$7:$C$14,B104,NODOS_TECHO!$M$7:$M$14)</f>
        <v>0</v>
      </c>
      <c r="J104" s="21" t="n">
        <f aca="false">H104+I104</f>
        <v>2.255175</v>
      </c>
      <c r="K104" s="14" t="str">
        <f aca="false">B104&amp;" FX "&amp;TEXT(J104,"0.0")&amp;" FZ "&amp;TEXT(J104,"0.0")</f>
        <v>116 FX 2.3 FZ 2.3</v>
      </c>
      <c r="L104" s="10" t="s">
        <v>586</v>
      </c>
    </row>
    <row r="105" customFormat="false" ht="19.5" hidden="false" customHeight="true" outlineLevel="0" collapsed="false">
      <c r="B105" s="39" t="n">
        <v>117</v>
      </c>
      <c r="C105" s="26" t="n">
        <v>1.944</v>
      </c>
      <c r="D105" s="26" t="n">
        <v>1.2</v>
      </c>
      <c r="E105" s="26" t="n">
        <v>0</v>
      </c>
      <c r="F105" s="14" t="s">
        <v>597</v>
      </c>
      <c r="G105" s="26" t="n">
        <f aca="false">0.5*(SUMIF($E$7:$E$80,B105,$J$7:$J$80)+SUMIF($F$7:$F$80,B105,$J$7:$J$80))</f>
        <v>0.3258</v>
      </c>
      <c r="H105" s="27" t="n">
        <f aca="false">DATOS!$C$10*G105</f>
        <v>1.90593</v>
      </c>
      <c r="I105" s="27" t="n">
        <f aca="false">SUMIF(NODOS_TECHO!$C$7:$C$14,B105,NODOS_TECHO!$M$7:$M$14)</f>
        <v>0</v>
      </c>
      <c r="J105" s="21" t="n">
        <f aca="false">H105+I105</f>
        <v>1.90593</v>
      </c>
      <c r="K105" s="14" t="str">
        <f aca="false">B105&amp;" FX "&amp;TEXT(J105,"0.0")&amp;" FZ "&amp;TEXT(J105,"0.0")</f>
        <v>117 FX 1.9 FZ 1.9</v>
      </c>
      <c r="L105" s="10" t="s">
        <v>586</v>
      </c>
    </row>
    <row r="106" customFormat="false" ht="19.5" hidden="false" customHeight="true" outlineLevel="0" collapsed="false">
      <c r="B106" s="39" t="n">
        <v>118</v>
      </c>
      <c r="C106" s="26" t="n">
        <v>2.487</v>
      </c>
      <c r="D106" s="26" t="n">
        <v>1.2</v>
      </c>
      <c r="E106" s="26" t="n">
        <v>0</v>
      </c>
      <c r="F106" s="14" t="s">
        <v>594</v>
      </c>
      <c r="G106" s="26" t="n">
        <f aca="false">0.5*(SUMIF($E$7:$E$80,B106,$J$7:$J$80)+SUMIF($F$7:$F$80,B106,$J$7:$J$80))</f>
        <v>0.3258</v>
      </c>
      <c r="H106" s="27" t="n">
        <f aca="false">DATOS!$C$10*G106</f>
        <v>1.90593</v>
      </c>
      <c r="I106" s="27" t="n">
        <f aca="false">SUMIF(NODOS_TECHO!$C$7:$C$14,B106,NODOS_TECHO!$M$7:$M$14)</f>
        <v>0</v>
      </c>
      <c r="J106" s="21" t="n">
        <f aca="false">H106+I106</f>
        <v>1.90593</v>
      </c>
      <c r="K106" s="14" t="str">
        <f aca="false">B106&amp;" FX "&amp;TEXT(J106,"0.0")&amp;" FZ "&amp;TEXT(J106,"0.0")</f>
        <v>118 FX 1.9 FZ 1.9</v>
      </c>
      <c r="L106" s="10" t="s">
        <v>586</v>
      </c>
    </row>
    <row r="107" customFormat="false" ht="19.5" hidden="false" customHeight="true" outlineLevel="0" collapsed="false">
      <c r="B107" s="39" t="n">
        <v>119</v>
      </c>
      <c r="C107" s="26" t="n">
        <v>7.589</v>
      </c>
      <c r="D107" s="26" t="n">
        <v>1.2</v>
      </c>
      <c r="E107" s="26" t="n">
        <v>0</v>
      </c>
      <c r="F107" s="14" t="s">
        <v>595</v>
      </c>
      <c r="G107" s="26" t="n">
        <f aca="false">0.5*(SUMIF($E$7:$E$80,B107,$J$7:$J$80)+SUMIF($F$7:$F$80,B107,$J$7:$J$80))</f>
        <v>1.4949</v>
      </c>
      <c r="H107" s="27" t="n">
        <f aca="false">DATOS!$C$10*G107</f>
        <v>8.745165</v>
      </c>
      <c r="I107" s="27" t="n">
        <f aca="false">SUMIF(NODOS_TECHO!$C$7:$C$14,B107,NODOS_TECHO!$M$7:$M$14)</f>
        <v>0</v>
      </c>
      <c r="J107" s="21" t="n">
        <f aca="false">H107+I107</f>
        <v>8.745165</v>
      </c>
      <c r="K107" s="14" t="str">
        <f aca="false">B107&amp;" FX "&amp;TEXT(J107,"0.0")&amp;" FZ "&amp;TEXT(J107,"0.0")</f>
        <v>119 FX 8.7 FZ 8.7</v>
      </c>
      <c r="L107" s="10" t="s">
        <v>586</v>
      </c>
    </row>
    <row r="108" customFormat="false" ht="19.5" hidden="false" customHeight="true" outlineLevel="0" collapsed="false">
      <c r="B108" s="39" t="n">
        <v>120</v>
      </c>
      <c r="C108" s="26" t="n">
        <v>0</v>
      </c>
      <c r="D108" s="26" t="n">
        <v>2.4</v>
      </c>
      <c r="E108" s="26" t="n">
        <v>0</v>
      </c>
      <c r="F108" s="14" t="s">
        <v>592</v>
      </c>
      <c r="G108" s="26" t="n">
        <f aca="false">0.5*(SUMIF($E$7:$E$80,B108,$J$7:$J$80)+SUMIF($F$7:$F$80,B108,$J$7:$J$80))</f>
        <v>4.4355</v>
      </c>
      <c r="H108" s="27" t="n">
        <f aca="false">DATOS!$C$10*G108</f>
        <v>25.947675</v>
      </c>
      <c r="I108" s="27" t="n">
        <f aca="false">SUMIF(NODOS_TECHO!$C$7:$C$14,B108,NODOS_TECHO!$M$7:$M$14)</f>
        <v>0</v>
      </c>
      <c r="J108" s="21" t="n">
        <f aca="false">H108+I108</f>
        <v>25.947675</v>
      </c>
      <c r="K108" s="14" t="str">
        <f aca="false">B108&amp;" FX "&amp;TEXT(J108,"0.0")&amp;" FZ "&amp;TEXT(J108,"0.0")</f>
        <v>120 FX 25.9 FZ 25.9</v>
      </c>
      <c r="L108" s="10" t="s">
        <v>586</v>
      </c>
    </row>
    <row r="109" customFormat="false" ht="19.5" hidden="false" customHeight="true" outlineLevel="0" collapsed="false">
      <c r="B109" s="39" t="n">
        <v>121</v>
      </c>
      <c r="C109" s="26" t="n">
        <v>10.08</v>
      </c>
      <c r="D109" s="26" t="n">
        <v>2.4</v>
      </c>
      <c r="E109" s="26" t="n">
        <v>0</v>
      </c>
      <c r="F109" s="14" t="s">
        <v>593</v>
      </c>
      <c r="G109" s="26" t="n">
        <f aca="false">0.5*(SUMIF($E$7:$E$80,B109,$J$7:$J$80)+SUMIF($F$7:$F$80,B109,$J$7:$J$80))</f>
        <v>5.5449</v>
      </c>
      <c r="H109" s="27" t="n">
        <f aca="false">DATOS!$C$10*G109</f>
        <v>32.437665</v>
      </c>
      <c r="I109" s="27" t="n">
        <f aca="false">SUMIF(NODOS_TECHO!$C$7:$C$14,B109,NODOS_TECHO!$M$7:$M$14)</f>
        <v>0</v>
      </c>
      <c r="J109" s="21" t="n">
        <f aca="false">H109+I109</f>
        <v>32.437665</v>
      </c>
      <c r="K109" s="14" t="str">
        <f aca="false">B109&amp;" FX "&amp;TEXT(J109,"0.0")&amp;" FZ "&amp;TEXT(J109,"0.0")</f>
        <v>121 FX 32.4 FZ 32.4</v>
      </c>
      <c r="L109" s="10" t="s">
        <v>586</v>
      </c>
    </row>
    <row r="110" customFormat="false" ht="19.5" hidden="false" customHeight="true" outlineLevel="0" collapsed="false">
      <c r="B110" s="39" t="n">
        <v>122</v>
      </c>
      <c r="C110" s="26" t="n">
        <v>0</v>
      </c>
      <c r="D110" s="26" t="n">
        <v>2.4</v>
      </c>
      <c r="E110" s="26" t="n">
        <v>6.75</v>
      </c>
      <c r="F110" s="14" t="s">
        <v>590</v>
      </c>
      <c r="G110" s="26" t="n">
        <f aca="false">0.5*(SUMIF($E$7:$E$80,B110,$J$7:$J$80)+SUMIF($F$7:$F$80,B110,$J$7:$J$80))</f>
        <v>8.1</v>
      </c>
      <c r="H110" s="27" t="n">
        <f aca="false">DATOS!$C$10*G110</f>
        <v>47.385</v>
      </c>
      <c r="I110" s="27" t="n">
        <f aca="false">SUMIF(NODOS_TECHO!$C$7:$C$14,B110,NODOS_TECHO!$M$7:$M$14)</f>
        <v>0</v>
      </c>
      <c r="J110" s="21" t="n">
        <f aca="false">H110+I110</f>
        <v>47.385</v>
      </c>
      <c r="K110" s="14" t="str">
        <f aca="false">B110&amp;" FX "&amp;TEXT(J110,"0.0")&amp;" FZ "&amp;TEXT(J110,"0.0")</f>
        <v>122 FX 47.4 FZ 47.4</v>
      </c>
      <c r="L110" s="10" t="s">
        <v>586</v>
      </c>
    </row>
    <row r="111" customFormat="false" ht="19.5" hidden="false" customHeight="true" outlineLevel="0" collapsed="false">
      <c r="B111" s="39" t="n">
        <v>123</v>
      </c>
      <c r="C111" s="26" t="n">
        <v>0</v>
      </c>
      <c r="D111" s="26" t="n">
        <v>2.4</v>
      </c>
      <c r="E111" s="26" t="n">
        <v>13.5</v>
      </c>
      <c r="F111" s="14" t="s">
        <v>587</v>
      </c>
      <c r="G111" s="26" t="n">
        <f aca="false">0.5*(SUMIF($E$7:$E$80,B111,$J$7:$J$80)+SUMIF($F$7:$F$80,B111,$J$7:$J$80))</f>
        <v>5.55</v>
      </c>
      <c r="H111" s="27" t="n">
        <f aca="false">DATOS!$C$10*G111</f>
        <v>32.4675</v>
      </c>
      <c r="I111" s="27" t="n">
        <f aca="false">SUMIF(NODOS_TECHO!$C$7:$C$14,B111,NODOS_TECHO!$M$7:$M$14)</f>
        <v>0</v>
      </c>
      <c r="J111" s="21" t="n">
        <f aca="false">H111+I111</f>
        <v>32.4675</v>
      </c>
      <c r="K111" s="14" t="str">
        <f aca="false">B111&amp;" FX "&amp;TEXT(J111,"0.0")&amp;" FZ "&amp;TEXT(J111,"0.0")</f>
        <v>123 FX 32.5 FZ 32.5</v>
      </c>
      <c r="L111" s="10" t="s">
        <v>586</v>
      </c>
    </row>
    <row r="112" customFormat="false" ht="19.5" hidden="false" customHeight="true" outlineLevel="0" collapsed="false">
      <c r="B112" s="39" t="n">
        <v>124</v>
      </c>
      <c r="C112" s="26" t="n">
        <v>0</v>
      </c>
      <c r="D112" s="26" t="n">
        <v>2.4</v>
      </c>
      <c r="E112" s="26" t="n">
        <v>16</v>
      </c>
      <c r="F112" s="14" t="s">
        <v>589</v>
      </c>
      <c r="G112" s="26" t="n">
        <f aca="false">0.5*(SUMIF($E$7:$E$80,B112,$J$7:$J$80)+SUMIF($F$7:$F$80,B112,$J$7:$J$80))</f>
        <v>1.5</v>
      </c>
      <c r="H112" s="27" t="n">
        <f aca="false">DATOS!$C$10*G112</f>
        <v>8.775</v>
      </c>
      <c r="I112" s="27" t="n">
        <f aca="false">SUMIF(NODOS_TECHO!$C$7:$C$14,B112,NODOS_TECHO!$M$7:$M$14)</f>
        <v>0</v>
      </c>
      <c r="J112" s="21" t="n">
        <f aca="false">H112+I112</f>
        <v>8.775</v>
      </c>
      <c r="K112" s="14" t="str">
        <f aca="false">B112&amp;" FX "&amp;TEXT(J112,"0.0")&amp;" FZ "&amp;TEXT(J112,"0.0")</f>
        <v>124 FX 8.8 FZ 8.8</v>
      </c>
      <c r="L112" s="10" t="s">
        <v>586</v>
      </c>
    </row>
    <row r="113" customFormat="false" ht="19.5" hidden="false" customHeight="true" outlineLevel="0" collapsed="false">
      <c r="B113" s="39" t="n">
        <v>125</v>
      </c>
      <c r="C113" s="26" t="n">
        <v>10.08</v>
      </c>
      <c r="D113" s="26" t="n">
        <v>2.4</v>
      </c>
      <c r="E113" s="26" t="n">
        <v>6.75</v>
      </c>
      <c r="F113" s="14" t="s">
        <v>591</v>
      </c>
      <c r="G113" s="26" t="n">
        <f aca="false">0.5*(SUMIF($E$7:$E$80,B113,$J$7:$J$80)+SUMIF($F$7:$F$80,B113,$J$7:$J$80))</f>
        <v>8.1</v>
      </c>
      <c r="H113" s="27" t="n">
        <f aca="false">DATOS!$C$10*G113</f>
        <v>47.385</v>
      </c>
      <c r="I113" s="27" t="n">
        <f aca="false">SUMIF(NODOS_TECHO!$C$7:$C$14,B113,NODOS_TECHO!$M$7:$M$14)</f>
        <v>0</v>
      </c>
      <c r="J113" s="21" t="n">
        <f aca="false">H113+I113</f>
        <v>47.385</v>
      </c>
      <c r="K113" s="14" t="str">
        <f aca="false">B113&amp;" FX "&amp;TEXT(J113,"0.0")&amp;" FZ "&amp;TEXT(J113,"0.0")</f>
        <v>125 FX 47.4 FZ 47.4</v>
      </c>
      <c r="L113" s="10" t="s">
        <v>586</v>
      </c>
    </row>
    <row r="114" customFormat="false" ht="19.5" hidden="false" customHeight="true" outlineLevel="0" collapsed="false">
      <c r="B114" s="39" t="n">
        <v>126</v>
      </c>
      <c r="C114" s="26" t="n">
        <v>10.08</v>
      </c>
      <c r="D114" s="26" t="n">
        <v>2.4</v>
      </c>
      <c r="E114" s="26" t="n">
        <v>13.5</v>
      </c>
      <c r="F114" s="14" t="s">
        <v>588</v>
      </c>
      <c r="G114" s="26" t="n">
        <f aca="false">0.5*(SUMIF($E$7:$E$80,B114,$J$7:$J$80)+SUMIF($F$7:$F$80,B114,$J$7:$J$80))</f>
        <v>5.55</v>
      </c>
      <c r="H114" s="27" t="n">
        <f aca="false">DATOS!$C$10*G114</f>
        <v>32.4675</v>
      </c>
      <c r="I114" s="27" t="n">
        <f aca="false">SUMIF(NODOS_TECHO!$C$7:$C$14,B114,NODOS_TECHO!$M$7:$M$14)</f>
        <v>0</v>
      </c>
      <c r="J114" s="21" t="n">
        <f aca="false">H114+I114</f>
        <v>32.4675</v>
      </c>
      <c r="K114" s="14" t="str">
        <f aca="false">B114&amp;" FX "&amp;TEXT(J114,"0.0")&amp;" FZ "&amp;TEXT(J114,"0.0")</f>
        <v>126 FX 32.5 FZ 32.5</v>
      </c>
      <c r="L114" s="10" t="s">
        <v>586</v>
      </c>
    </row>
    <row r="115" customFormat="false" ht="19.5" hidden="false" customHeight="true" outlineLevel="0" collapsed="false">
      <c r="B115" s="39" t="n">
        <v>127</v>
      </c>
      <c r="C115" s="26" t="n">
        <v>10.08</v>
      </c>
      <c r="D115" s="26" t="n">
        <v>2.4</v>
      </c>
      <c r="E115" s="26" t="n">
        <v>16</v>
      </c>
      <c r="F115" s="14" t="s">
        <v>585</v>
      </c>
      <c r="G115" s="26" t="n">
        <f aca="false">0.5*(SUMIF($E$7:$E$80,B115,$J$7:$J$80)+SUMIF($F$7:$F$80,B115,$J$7:$J$80))</f>
        <v>1.5</v>
      </c>
      <c r="H115" s="27" t="n">
        <f aca="false">DATOS!$C$10*G115</f>
        <v>8.775</v>
      </c>
      <c r="I115" s="27" t="n">
        <f aca="false">SUMIF(NODOS_TECHO!$C$7:$C$14,B115,NODOS_TECHO!$M$7:$M$14)</f>
        <v>0</v>
      </c>
      <c r="J115" s="21" t="n">
        <f aca="false">H115+I115</f>
        <v>8.775</v>
      </c>
      <c r="K115" s="14" t="str">
        <f aca="false">B115&amp;" FX "&amp;TEXT(J115,"0.0")&amp;" FZ "&amp;TEXT(J115,"0.0")</f>
        <v>127 FX 8.8 FZ 8.8</v>
      </c>
      <c r="L115" s="10" t="s">
        <v>586</v>
      </c>
    </row>
    <row r="116" customFormat="false" ht="19.5" hidden="false" customHeight="true" outlineLevel="0" collapsed="false">
      <c r="B116" s="39" t="n">
        <v>128</v>
      </c>
      <c r="C116" s="26" t="n">
        <v>0.643</v>
      </c>
      <c r="D116" s="26" t="n">
        <v>2.4</v>
      </c>
      <c r="E116" s="26" t="n">
        <v>0</v>
      </c>
      <c r="F116" s="14" t="s">
        <v>596</v>
      </c>
      <c r="G116" s="26" t="n">
        <f aca="false">0.5*(SUMIF($E$7:$E$80,B116,$J$7:$J$80)+SUMIF($F$7:$F$80,B116,$J$7:$J$80))</f>
        <v>0.77592</v>
      </c>
      <c r="H116" s="27" t="n">
        <f aca="false">DATOS!$C$10*G116</f>
        <v>4.539132</v>
      </c>
      <c r="I116" s="27" t="n">
        <f aca="false">SUMIF(NODOS_TECHO!$C$7:$C$14,B116,NODOS_TECHO!$M$7:$M$14)</f>
        <v>0</v>
      </c>
      <c r="J116" s="21" t="n">
        <f aca="false">H116+I116</f>
        <v>4.539132</v>
      </c>
      <c r="K116" s="14" t="str">
        <f aca="false">B116&amp;" FX "&amp;TEXT(J116,"0.0")&amp;" FZ "&amp;TEXT(J116,"0.0")</f>
        <v>128 FX 4.5 FZ 4.5</v>
      </c>
      <c r="L116" s="10" t="s">
        <v>586</v>
      </c>
    </row>
    <row r="117" customFormat="false" ht="19.5" hidden="false" customHeight="true" outlineLevel="0" collapsed="false">
      <c r="B117" s="39" t="n">
        <v>129</v>
      </c>
      <c r="C117" s="26" t="n">
        <v>1.944</v>
      </c>
      <c r="D117" s="26" t="n">
        <v>2.4</v>
      </c>
      <c r="E117" s="26" t="n">
        <v>0</v>
      </c>
      <c r="F117" s="14" t="s">
        <v>597</v>
      </c>
      <c r="G117" s="26" t="n">
        <f aca="false">0.5*(SUMIF($E$7:$E$80,B117,$J$7:$J$80)+SUMIF($F$7:$F$80,B117,$J$7:$J$80))</f>
        <v>0.71622</v>
      </c>
      <c r="H117" s="27" t="n">
        <f aca="false">DATOS!$C$10*G117</f>
        <v>4.189887</v>
      </c>
      <c r="I117" s="27" t="n">
        <f aca="false">SUMIF(NODOS_TECHO!$C$7:$C$14,B117,NODOS_TECHO!$M$7:$M$14)</f>
        <v>0</v>
      </c>
      <c r="J117" s="21" t="n">
        <f aca="false">H117+I117</f>
        <v>4.189887</v>
      </c>
      <c r="K117" s="14" t="str">
        <f aca="false">B117&amp;" FX "&amp;TEXT(J117,"0.0")&amp;" FZ "&amp;TEXT(J117,"0.0")</f>
        <v>129 FX 4.2 FZ 4.2</v>
      </c>
      <c r="L117" s="10" t="s">
        <v>586</v>
      </c>
    </row>
    <row r="118" customFormat="false" ht="19.5" hidden="false" customHeight="true" outlineLevel="0" collapsed="false">
      <c r="B118" s="39" t="n">
        <v>130</v>
      </c>
      <c r="C118" s="26" t="n">
        <v>2.487</v>
      </c>
      <c r="D118" s="26" t="n">
        <v>2.4</v>
      </c>
      <c r="E118" s="26" t="n">
        <v>0</v>
      </c>
      <c r="F118" s="14" t="s">
        <v>594</v>
      </c>
      <c r="G118" s="26" t="n">
        <f aca="false">0.5*(SUMIF($E$7:$E$80,B118,$J$7:$J$80)+SUMIF($F$7:$F$80,B118,$J$7:$J$80))</f>
        <v>0.3258</v>
      </c>
      <c r="H118" s="27" t="n">
        <f aca="false">DATOS!$C$10*G118</f>
        <v>1.90593</v>
      </c>
      <c r="I118" s="27" t="n">
        <f aca="false">SUMIF(NODOS_TECHO!$C$7:$C$14,B118,NODOS_TECHO!$M$7:$M$14)</f>
        <v>0</v>
      </c>
      <c r="J118" s="21" t="n">
        <f aca="false">H118+I118</f>
        <v>1.90593</v>
      </c>
      <c r="K118" s="14" t="str">
        <f aca="false">B118&amp;" FX "&amp;TEXT(J118,"0.0")&amp;" FZ "&amp;TEXT(J118,"0.0")</f>
        <v>130 FX 1.9 FZ 1.9</v>
      </c>
      <c r="L118" s="10" t="s">
        <v>586</v>
      </c>
    </row>
    <row r="119" customFormat="false" ht="19.5" hidden="false" customHeight="true" outlineLevel="0" collapsed="false">
      <c r="B119" s="39" t="n">
        <v>131</v>
      </c>
      <c r="C119" s="26" t="n">
        <v>7.589</v>
      </c>
      <c r="D119" s="26" t="n">
        <v>2.4</v>
      </c>
      <c r="E119" s="26" t="n">
        <v>0</v>
      </c>
      <c r="F119" s="14" t="s">
        <v>595</v>
      </c>
      <c r="G119" s="26" t="n">
        <f aca="false">0.5*(SUMIF($E$7:$E$80,B119,$J$7:$J$80)+SUMIF($F$7:$F$80,B119,$J$7:$J$80))</f>
        <v>1.4949</v>
      </c>
      <c r="H119" s="27" t="n">
        <f aca="false">DATOS!$C$10*G119</f>
        <v>8.745165</v>
      </c>
      <c r="I119" s="27" t="n">
        <f aca="false">SUMIF(NODOS_TECHO!$C$7:$C$14,B119,NODOS_TECHO!$M$7:$M$14)</f>
        <v>0</v>
      </c>
      <c r="J119" s="21" t="n">
        <f aca="false">H119+I119</f>
        <v>8.745165</v>
      </c>
      <c r="K119" s="14" t="str">
        <f aca="false">B119&amp;" FX "&amp;TEXT(J119,"0.0")&amp;" FZ "&amp;TEXT(J119,"0.0")</f>
        <v>131 FX 8.7 FZ 8.7</v>
      </c>
      <c r="L119" s="10" t="s">
        <v>586</v>
      </c>
    </row>
    <row r="120" customFormat="false" ht="19.5" hidden="false" customHeight="true" outlineLevel="0" collapsed="false">
      <c r="B120" s="39" t="n">
        <v>132</v>
      </c>
      <c r="C120" s="26" t="n">
        <v>0</v>
      </c>
      <c r="D120" s="26" t="n">
        <v>3.6</v>
      </c>
      <c r="E120" s="26" t="n">
        <v>0</v>
      </c>
      <c r="F120" s="14" t="s">
        <v>592</v>
      </c>
      <c r="G120" s="26" t="n">
        <f aca="false">0.5*(SUMIF($E$7:$E$80,B120,$J$7:$J$80)+SUMIF($F$7:$F$80,B120,$J$7:$J$80))</f>
        <v>5.54214</v>
      </c>
      <c r="H120" s="27" t="n">
        <f aca="false">DATOS!$C$10*G120</f>
        <v>32.421519</v>
      </c>
      <c r="I120" s="27" t="n">
        <f aca="false">SUMIF(NODOS_TECHO!$C$7:$C$14,B120,NODOS_TECHO!$M$7:$M$14)</f>
        <v>0</v>
      </c>
      <c r="J120" s="21" t="n">
        <f aca="false">H120+I120</f>
        <v>32.421519</v>
      </c>
      <c r="K120" s="14" t="str">
        <f aca="false">B120&amp;" FX "&amp;TEXT(J120,"0.0")&amp;" FZ "&amp;TEXT(J120,"0.0")</f>
        <v>132 FX 32.4 FZ 32.4</v>
      </c>
      <c r="L120" s="10" t="s">
        <v>586</v>
      </c>
    </row>
    <row r="121" customFormat="false" ht="19.5" hidden="false" customHeight="true" outlineLevel="0" collapsed="false">
      <c r="B121" s="39" t="n">
        <v>133</v>
      </c>
      <c r="C121" s="26" t="n">
        <v>10.08</v>
      </c>
      <c r="D121" s="26" t="n">
        <v>3.6</v>
      </c>
      <c r="E121" s="26" t="n">
        <v>0</v>
      </c>
      <c r="F121" s="14" t="s">
        <v>593</v>
      </c>
      <c r="G121" s="26" t="n">
        <f aca="false">0.5*(SUMIF($E$7:$E$80,B121,$J$7:$J$80)+SUMIF($F$7:$F$80,B121,$J$7:$J$80))</f>
        <v>5.5449</v>
      </c>
      <c r="H121" s="27" t="n">
        <f aca="false">DATOS!$C$10*G121</f>
        <v>32.437665</v>
      </c>
      <c r="I121" s="27" t="n">
        <f aca="false">SUMIF(NODOS_TECHO!$C$7:$C$14,B121,NODOS_TECHO!$M$7:$M$14)</f>
        <v>0</v>
      </c>
      <c r="J121" s="21" t="n">
        <f aca="false">H121+I121</f>
        <v>32.437665</v>
      </c>
      <c r="K121" s="14" t="str">
        <f aca="false">B121&amp;" FX "&amp;TEXT(J121,"0.0")&amp;" FZ "&amp;TEXT(J121,"0.0")</f>
        <v>133 FX 32.4 FZ 32.4</v>
      </c>
      <c r="L121" s="10" t="s">
        <v>586</v>
      </c>
    </row>
    <row r="122" customFormat="false" ht="19.5" hidden="false" customHeight="true" outlineLevel="0" collapsed="false">
      <c r="B122" s="39" t="n">
        <v>134</v>
      </c>
      <c r="C122" s="26" t="n">
        <v>0</v>
      </c>
      <c r="D122" s="26" t="n">
        <v>3.6</v>
      </c>
      <c r="E122" s="26" t="n">
        <v>6.75</v>
      </c>
      <c r="F122" s="14" t="s">
        <v>590</v>
      </c>
      <c r="G122" s="26" t="n">
        <f aca="false">0.5*(SUMIF($E$7:$E$80,B122,$J$7:$J$80)+SUMIF($F$7:$F$80,B122,$J$7:$J$80))</f>
        <v>8.1</v>
      </c>
      <c r="H122" s="27" t="n">
        <f aca="false">DATOS!$C$10*G122</f>
        <v>47.385</v>
      </c>
      <c r="I122" s="27" t="n">
        <f aca="false">SUMIF(NODOS_TECHO!$C$7:$C$14,B122,NODOS_TECHO!$M$7:$M$14)</f>
        <v>0</v>
      </c>
      <c r="J122" s="21" t="n">
        <f aca="false">H122+I122</f>
        <v>47.385</v>
      </c>
      <c r="K122" s="14" t="str">
        <f aca="false">B122&amp;" FX "&amp;TEXT(J122,"0.0")&amp;" FZ "&amp;TEXT(J122,"0.0")</f>
        <v>134 FX 47.4 FZ 47.4</v>
      </c>
      <c r="L122" s="10" t="s">
        <v>586</v>
      </c>
    </row>
    <row r="123" customFormat="false" ht="19.5" hidden="false" customHeight="true" outlineLevel="0" collapsed="false">
      <c r="B123" s="39" t="n">
        <v>135</v>
      </c>
      <c r="C123" s="26" t="n">
        <v>0</v>
      </c>
      <c r="D123" s="26" t="n">
        <v>3.6</v>
      </c>
      <c r="E123" s="26" t="n">
        <v>13.5</v>
      </c>
      <c r="F123" s="14" t="s">
        <v>587</v>
      </c>
      <c r="G123" s="26" t="n">
        <f aca="false">0.5*(SUMIF($E$7:$E$80,B123,$J$7:$J$80)+SUMIF($F$7:$F$80,B123,$J$7:$J$80))</f>
        <v>5.55</v>
      </c>
      <c r="H123" s="27" t="n">
        <f aca="false">DATOS!$C$10*G123</f>
        <v>32.4675</v>
      </c>
      <c r="I123" s="27" t="n">
        <f aca="false">SUMIF(NODOS_TECHO!$C$7:$C$14,B123,NODOS_TECHO!$M$7:$M$14)</f>
        <v>0</v>
      </c>
      <c r="J123" s="21" t="n">
        <f aca="false">H123+I123</f>
        <v>32.4675</v>
      </c>
      <c r="K123" s="14" t="str">
        <f aca="false">B123&amp;" FX "&amp;TEXT(J123,"0.0")&amp;" FZ "&amp;TEXT(J123,"0.0")</f>
        <v>135 FX 32.5 FZ 32.5</v>
      </c>
      <c r="L123" s="10" t="s">
        <v>586</v>
      </c>
    </row>
    <row r="124" customFormat="false" ht="19.5" hidden="false" customHeight="true" outlineLevel="0" collapsed="false">
      <c r="B124" s="39" t="n">
        <v>136</v>
      </c>
      <c r="C124" s="26" t="n">
        <v>0</v>
      </c>
      <c r="D124" s="26" t="n">
        <v>3.6</v>
      </c>
      <c r="E124" s="26" t="n">
        <v>16</v>
      </c>
      <c r="F124" s="14" t="s">
        <v>589</v>
      </c>
      <c r="G124" s="26" t="n">
        <f aca="false">0.5*(SUMIF($E$7:$E$80,B124,$J$7:$J$80)+SUMIF($F$7:$F$80,B124,$J$7:$J$80))</f>
        <v>1.5</v>
      </c>
      <c r="H124" s="27" t="n">
        <f aca="false">DATOS!$C$10*G124</f>
        <v>8.775</v>
      </c>
      <c r="I124" s="27" t="n">
        <f aca="false">SUMIF(NODOS_TECHO!$C$7:$C$14,B124,NODOS_TECHO!$M$7:$M$14)</f>
        <v>0</v>
      </c>
      <c r="J124" s="21" t="n">
        <f aca="false">H124+I124</f>
        <v>8.775</v>
      </c>
      <c r="K124" s="14" t="str">
        <f aca="false">B124&amp;" FX "&amp;TEXT(J124,"0.0")&amp;" FZ "&amp;TEXT(J124,"0.0")</f>
        <v>136 FX 8.8 FZ 8.8</v>
      </c>
      <c r="L124" s="10" t="s">
        <v>586</v>
      </c>
    </row>
    <row r="125" customFormat="false" ht="19.5" hidden="false" customHeight="true" outlineLevel="0" collapsed="false">
      <c r="B125" s="39" t="n">
        <v>137</v>
      </c>
      <c r="C125" s="26" t="n">
        <v>10.08</v>
      </c>
      <c r="D125" s="26" t="n">
        <v>3.6</v>
      </c>
      <c r="E125" s="26" t="n">
        <v>6.75</v>
      </c>
      <c r="F125" s="14" t="s">
        <v>591</v>
      </c>
      <c r="G125" s="26" t="n">
        <f aca="false">0.5*(SUMIF($E$7:$E$80,B125,$J$7:$J$80)+SUMIF($F$7:$F$80,B125,$J$7:$J$80))</f>
        <v>8.1</v>
      </c>
      <c r="H125" s="27" t="n">
        <f aca="false">DATOS!$C$10*G125</f>
        <v>47.385</v>
      </c>
      <c r="I125" s="27" t="n">
        <f aca="false">SUMIF(NODOS_TECHO!$C$7:$C$14,B125,NODOS_TECHO!$M$7:$M$14)</f>
        <v>0</v>
      </c>
      <c r="J125" s="21" t="n">
        <f aca="false">H125+I125</f>
        <v>47.385</v>
      </c>
      <c r="K125" s="14" t="str">
        <f aca="false">B125&amp;" FX "&amp;TEXT(J125,"0.0")&amp;" FZ "&amp;TEXT(J125,"0.0")</f>
        <v>137 FX 47.4 FZ 47.4</v>
      </c>
      <c r="L125" s="10" t="s">
        <v>586</v>
      </c>
    </row>
    <row r="126" customFormat="false" ht="19.5" hidden="false" customHeight="true" outlineLevel="0" collapsed="false">
      <c r="B126" s="39" t="n">
        <v>138</v>
      </c>
      <c r="C126" s="26" t="n">
        <v>10.08</v>
      </c>
      <c r="D126" s="26" t="n">
        <v>3.6</v>
      </c>
      <c r="E126" s="26" t="n">
        <v>13.5</v>
      </c>
      <c r="F126" s="14" t="s">
        <v>588</v>
      </c>
      <c r="G126" s="26" t="n">
        <f aca="false">0.5*(SUMIF($E$7:$E$80,B126,$J$7:$J$80)+SUMIF($F$7:$F$80,B126,$J$7:$J$80))</f>
        <v>5.55</v>
      </c>
      <c r="H126" s="27" t="n">
        <f aca="false">DATOS!$C$10*G126</f>
        <v>32.4675</v>
      </c>
      <c r="I126" s="27" t="n">
        <f aca="false">SUMIF(NODOS_TECHO!$C$7:$C$14,B126,NODOS_TECHO!$M$7:$M$14)</f>
        <v>0</v>
      </c>
      <c r="J126" s="21" t="n">
        <f aca="false">H126+I126</f>
        <v>32.4675</v>
      </c>
      <c r="K126" s="14" t="str">
        <f aca="false">B126&amp;" FX "&amp;TEXT(J126,"0.0")&amp;" FZ "&amp;TEXT(J126,"0.0")</f>
        <v>138 FX 32.5 FZ 32.5</v>
      </c>
      <c r="L126" s="10" t="s">
        <v>586</v>
      </c>
    </row>
    <row r="127" customFormat="false" ht="19.5" hidden="false" customHeight="true" outlineLevel="0" collapsed="false">
      <c r="B127" s="39" t="n">
        <v>139</v>
      </c>
      <c r="C127" s="26" t="n">
        <v>10.08</v>
      </c>
      <c r="D127" s="26" t="n">
        <v>3.6</v>
      </c>
      <c r="E127" s="26" t="n">
        <v>16</v>
      </c>
      <c r="F127" s="14" t="s">
        <v>585</v>
      </c>
      <c r="G127" s="26" t="n">
        <f aca="false">0.5*(SUMIF($E$7:$E$80,B127,$J$7:$J$80)+SUMIF($F$7:$F$80,B127,$J$7:$J$80))</f>
        <v>1.5</v>
      </c>
      <c r="H127" s="27" t="n">
        <f aca="false">DATOS!$C$10*G127</f>
        <v>8.775</v>
      </c>
      <c r="I127" s="27" t="n">
        <f aca="false">SUMIF(NODOS_TECHO!$C$7:$C$14,B127,NODOS_TECHO!$M$7:$M$14)</f>
        <v>0</v>
      </c>
      <c r="J127" s="21" t="n">
        <f aca="false">H127+I127</f>
        <v>8.775</v>
      </c>
      <c r="K127" s="14" t="str">
        <f aca="false">B127&amp;" FX "&amp;TEXT(J127,"0.0")&amp;" FZ "&amp;TEXT(J127,"0.0")</f>
        <v>139 FX 8.8 FZ 8.8</v>
      </c>
      <c r="L127" s="10" t="s">
        <v>586</v>
      </c>
    </row>
    <row r="128" customFormat="false" ht="19.5" hidden="false" customHeight="true" outlineLevel="0" collapsed="false">
      <c r="B128" s="39" t="n">
        <v>142</v>
      </c>
      <c r="C128" s="26" t="n">
        <v>2.487</v>
      </c>
      <c r="D128" s="26" t="n">
        <v>3.6</v>
      </c>
      <c r="E128" s="26" t="n">
        <v>0</v>
      </c>
      <c r="F128" s="14" t="s">
        <v>594</v>
      </c>
      <c r="G128" s="26" t="n">
        <f aca="false">0.5*(SUMIF($E$7:$E$80,B128,$J$7:$J$80)+SUMIF($F$7:$F$80,B128,$J$7:$J$80))</f>
        <v>1.49214</v>
      </c>
      <c r="H128" s="27" t="n">
        <f aca="false">DATOS!$C$10*G128</f>
        <v>8.729019</v>
      </c>
      <c r="I128" s="27" t="n">
        <f aca="false">SUMIF(NODOS_TECHO!$C$7:$C$14,B128,NODOS_TECHO!$M$7:$M$14)</f>
        <v>0</v>
      </c>
      <c r="J128" s="21" t="n">
        <f aca="false">H128+I128</f>
        <v>8.729019</v>
      </c>
      <c r="K128" s="14" t="str">
        <f aca="false">B128&amp;" FX "&amp;TEXT(J128,"0.0")&amp;" FZ "&amp;TEXT(J128,"0.0")</f>
        <v>142 FX 8.7 FZ 8.7</v>
      </c>
      <c r="L128" s="10" t="s">
        <v>586</v>
      </c>
    </row>
    <row r="129" customFormat="false" ht="19.5" hidden="false" customHeight="true" outlineLevel="0" collapsed="false">
      <c r="B129" s="39" t="n">
        <v>143</v>
      </c>
      <c r="C129" s="26" t="n">
        <v>7.589</v>
      </c>
      <c r="D129" s="26" t="n">
        <v>3.6</v>
      </c>
      <c r="E129" s="26" t="n">
        <v>0</v>
      </c>
      <c r="F129" s="14" t="s">
        <v>595</v>
      </c>
      <c r="G129" s="26" t="n">
        <f aca="false">0.5*(SUMIF($E$7:$E$80,B129,$J$7:$J$80)+SUMIF($F$7:$F$80,B129,$J$7:$J$80))</f>
        <v>1.4949</v>
      </c>
      <c r="H129" s="27" t="n">
        <f aca="false">DATOS!$C$10*G129</f>
        <v>8.745165</v>
      </c>
      <c r="I129" s="27" t="n">
        <f aca="false">SUMIF(NODOS_TECHO!$C$7:$C$14,B129,NODOS_TECHO!$M$7:$M$14)</f>
        <v>0</v>
      </c>
      <c r="J129" s="21" t="n">
        <f aca="false">H129+I129</f>
        <v>8.745165</v>
      </c>
      <c r="K129" s="14" t="str">
        <f aca="false">B129&amp;" FX "&amp;TEXT(J129,"0.0")&amp;" FZ "&amp;TEXT(J129,"0.0")</f>
        <v>143 FX 8.7 FZ 8.7</v>
      </c>
      <c r="L129" s="10" t="s">
        <v>586</v>
      </c>
    </row>
    <row r="130" customFormat="false" ht="19.5" hidden="false" customHeight="true" outlineLevel="0" collapsed="false">
      <c r="B130" s="39" t="n">
        <v>144</v>
      </c>
      <c r="C130" s="26" t="n">
        <v>0</v>
      </c>
      <c r="D130" s="26" t="n">
        <v>4.8</v>
      </c>
      <c r="E130" s="26" t="n">
        <v>0</v>
      </c>
      <c r="F130" s="14" t="s">
        <v>592</v>
      </c>
      <c r="G130" s="26" t="n">
        <f aca="false">0.5*(SUMIF($E$7:$E$80,B130,$J$7:$J$80)+SUMIF($F$7:$F$80,B130,$J$7:$J$80))</f>
        <v>5.54214</v>
      </c>
      <c r="H130" s="27" t="n">
        <f aca="false">DATOS!$C$10*G130</f>
        <v>32.421519</v>
      </c>
      <c r="I130" s="27" t="n">
        <f aca="false">SUMIF(NODOS_TECHO!$C$7:$C$14,B130,NODOS_TECHO!$M$7:$M$14)</f>
        <v>0</v>
      </c>
      <c r="J130" s="21" t="n">
        <f aca="false">H130+I130</f>
        <v>32.421519</v>
      </c>
      <c r="K130" s="14" t="str">
        <f aca="false">B130&amp;" FX "&amp;TEXT(J130,"0.0")&amp;" FZ "&amp;TEXT(J130,"0.0")</f>
        <v>144 FX 32.4 FZ 32.4</v>
      </c>
      <c r="L130" s="10" t="s">
        <v>586</v>
      </c>
    </row>
    <row r="131" customFormat="false" ht="19.5" hidden="false" customHeight="true" outlineLevel="0" collapsed="false">
      <c r="B131" s="39" t="n">
        <v>145</v>
      </c>
      <c r="C131" s="26" t="n">
        <v>10.08</v>
      </c>
      <c r="D131" s="26" t="n">
        <v>4.8</v>
      </c>
      <c r="E131" s="26" t="n">
        <v>0</v>
      </c>
      <c r="F131" s="14" t="s">
        <v>593</v>
      </c>
      <c r="G131" s="26" t="n">
        <f aca="false">0.5*(SUMIF($E$7:$E$80,B131,$J$7:$J$80)+SUMIF($F$7:$F$80,B131,$J$7:$J$80))</f>
        <v>5.5449</v>
      </c>
      <c r="H131" s="27" t="n">
        <f aca="false">DATOS!$C$10*G131</f>
        <v>32.437665</v>
      </c>
      <c r="I131" s="27" t="n">
        <f aca="false">SUMIF(NODOS_TECHO!$C$7:$C$14,B131,NODOS_TECHO!$M$7:$M$14)</f>
        <v>0</v>
      </c>
      <c r="J131" s="21" t="n">
        <f aca="false">H131+I131</f>
        <v>32.437665</v>
      </c>
      <c r="K131" s="14" t="str">
        <f aca="false">B131&amp;" FX "&amp;TEXT(J131,"0.0")&amp;" FZ "&amp;TEXT(J131,"0.0")</f>
        <v>145 FX 32.4 FZ 32.4</v>
      </c>
      <c r="L131" s="10" t="s">
        <v>586</v>
      </c>
    </row>
    <row r="132" customFormat="false" ht="19.5" hidden="false" customHeight="true" outlineLevel="0" collapsed="false">
      <c r="B132" s="39" t="n">
        <v>146</v>
      </c>
      <c r="C132" s="26" t="n">
        <v>0</v>
      </c>
      <c r="D132" s="26" t="n">
        <v>4.8</v>
      </c>
      <c r="E132" s="26" t="n">
        <v>6.75</v>
      </c>
      <c r="F132" s="14" t="s">
        <v>590</v>
      </c>
      <c r="G132" s="26" t="n">
        <f aca="false">0.5*(SUMIF($E$7:$E$80,B132,$J$7:$J$80)+SUMIF($F$7:$F$80,B132,$J$7:$J$80))</f>
        <v>8.1</v>
      </c>
      <c r="H132" s="27" t="n">
        <f aca="false">DATOS!$C$10*G132</f>
        <v>47.385</v>
      </c>
      <c r="I132" s="27" t="n">
        <f aca="false">SUMIF(NODOS_TECHO!$C$7:$C$14,B132,NODOS_TECHO!$M$7:$M$14)</f>
        <v>0</v>
      </c>
      <c r="J132" s="21" t="n">
        <f aca="false">H132+I132</f>
        <v>47.385</v>
      </c>
      <c r="K132" s="14" t="str">
        <f aca="false">B132&amp;" FX "&amp;TEXT(J132,"0.0")&amp;" FZ "&amp;TEXT(J132,"0.0")</f>
        <v>146 FX 47.4 FZ 47.4</v>
      </c>
      <c r="L132" s="10" t="s">
        <v>586</v>
      </c>
    </row>
    <row r="133" customFormat="false" ht="19.5" hidden="false" customHeight="true" outlineLevel="0" collapsed="false">
      <c r="B133" s="39" t="n">
        <v>147</v>
      </c>
      <c r="C133" s="26" t="n">
        <v>0</v>
      </c>
      <c r="D133" s="26" t="n">
        <v>4.8</v>
      </c>
      <c r="E133" s="26" t="n">
        <v>13.5</v>
      </c>
      <c r="F133" s="14" t="s">
        <v>587</v>
      </c>
      <c r="G133" s="26" t="n">
        <f aca="false">0.5*(SUMIF($E$7:$E$80,B133,$J$7:$J$80)+SUMIF($F$7:$F$80,B133,$J$7:$J$80))</f>
        <v>5.55</v>
      </c>
      <c r="H133" s="27" t="n">
        <f aca="false">DATOS!$C$10*G133</f>
        <v>32.4675</v>
      </c>
      <c r="I133" s="27" t="n">
        <f aca="false">SUMIF(NODOS_TECHO!$C$7:$C$14,B133,NODOS_TECHO!$M$7:$M$14)</f>
        <v>0</v>
      </c>
      <c r="J133" s="21" t="n">
        <f aca="false">H133+I133</f>
        <v>32.4675</v>
      </c>
      <c r="K133" s="14" t="str">
        <f aca="false">B133&amp;" FX "&amp;TEXT(J133,"0.0")&amp;" FZ "&amp;TEXT(J133,"0.0")</f>
        <v>147 FX 32.5 FZ 32.5</v>
      </c>
      <c r="L133" s="10" t="s">
        <v>586</v>
      </c>
    </row>
    <row r="134" customFormat="false" ht="19.5" hidden="false" customHeight="true" outlineLevel="0" collapsed="false">
      <c r="B134" s="39" t="n">
        <v>148</v>
      </c>
      <c r="C134" s="26" t="n">
        <v>0</v>
      </c>
      <c r="D134" s="26" t="n">
        <v>4.8</v>
      </c>
      <c r="E134" s="26" t="n">
        <v>16</v>
      </c>
      <c r="F134" s="14" t="s">
        <v>589</v>
      </c>
      <c r="G134" s="26" t="n">
        <f aca="false">0.5*(SUMIF($E$7:$E$80,B134,$J$7:$J$80)+SUMIF($F$7:$F$80,B134,$J$7:$J$80))</f>
        <v>1.5</v>
      </c>
      <c r="H134" s="27" t="n">
        <f aca="false">DATOS!$C$10*G134</f>
        <v>8.775</v>
      </c>
      <c r="I134" s="27" t="n">
        <f aca="false">SUMIF(NODOS_TECHO!$C$7:$C$14,B134,NODOS_TECHO!$M$7:$M$14)</f>
        <v>0</v>
      </c>
      <c r="J134" s="21" t="n">
        <f aca="false">H134+I134</f>
        <v>8.775</v>
      </c>
      <c r="K134" s="14" t="str">
        <f aca="false">B134&amp;" FX "&amp;TEXT(J134,"0.0")&amp;" FZ "&amp;TEXT(J134,"0.0")</f>
        <v>148 FX 8.8 FZ 8.8</v>
      </c>
      <c r="L134" s="10" t="s">
        <v>586</v>
      </c>
    </row>
    <row r="135" customFormat="false" ht="19.5" hidden="false" customHeight="true" outlineLevel="0" collapsed="false">
      <c r="B135" s="39" t="n">
        <v>149</v>
      </c>
      <c r="C135" s="26" t="n">
        <v>10.08</v>
      </c>
      <c r="D135" s="26" t="n">
        <v>4.8</v>
      </c>
      <c r="E135" s="26" t="n">
        <v>6.75</v>
      </c>
      <c r="F135" s="14" t="s">
        <v>591</v>
      </c>
      <c r="G135" s="26" t="n">
        <f aca="false">0.5*(SUMIF($E$7:$E$80,B135,$J$7:$J$80)+SUMIF($F$7:$F$80,B135,$J$7:$J$80))</f>
        <v>8.1</v>
      </c>
      <c r="H135" s="27" t="n">
        <f aca="false">DATOS!$C$10*G135</f>
        <v>47.385</v>
      </c>
      <c r="I135" s="27" t="n">
        <f aca="false">SUMIF(NODOS_TECHO!$C$7:$C$14,B135,NODOS_TECHO!$M$7:$M$14)</f>
        <v>0</v>
      </c>
      <c r="J135" s="21" t="n">
        <f aca="false">H135+I135</f>
        <v>47.385</v>
      </c>
      <c r="K135" s="14" t="str">
        <f aca="false">B135&amp;" FX "&amp;TEXT(J135,"0.0")&amp;" FZ "&amp;TEXT(J135,"0.0")</f>
        <v>149 FX 47.4 FZ 47.4</v>
      </c>
      <c r="L135" s="10" t="s">
        <v>586</v>
      </c>
    </row>
    <row r="136" customFormat="false" ht="19.5" hidden="false" customHeight="true" outlineLevel="0" collapsed="false">
      <c r="B136" s="39" t="n">
        <v>150</v>
      </c>
      <c r="C136" s="26" t="n">
        <v>10.08</v>
      </c>
      <c r="D136" s="26" t="n">
        <v>4.8</v>
      </c>
      <c r="E136" s="26" t="n">
        <v>13.5</v>
      </c>
      <c r="F136" s="14" t="s">
        <v>588</v>
      </c>
      <c r="G136" s="26" t="n">
        <f aca="false">0.5*(SUMIF($E$7:$E$80,B136,$J$7:$J$80)+SUMIF($F$7:$F$80,B136,$J$7:$J$80))</f>
        <v>5.55</v>
      </c>
      <c r="H136" s="27" t="n">
        <f aca="false">DATOS!$C$10*G136</f>
        <v>32.4675</v>
      </c>
      <c r="I136" s="27" t="n">
        <f aca="false">SUMIF(NODOS_TECHO!$C$7:$C$14,B136,NODOS_TECHO!$M$7:$M$14)</f>
        <v>0</v>
      </c>
      <c r="J136" s="21" t="n">
        <f aca="false">H136+I136</f>
        <v>32.4675</v>
      </c>
      <c r="K136" s="14" t="str">
        <f aca="false">B136&amp;" FX "&amp;TEXT(J136,"0.0")&amp;" FZ "&amp;TEXT(J136,"0.0")</f>
        <v>150 FX 32.5 FZ 32.5</v>
      </c>
      <c r="L136" s="10" t="s">
        <v>586</v>
      </c>
    </row>
    <row r="137" customFormat="false" ht="19.5" hidden="false" customHeight="true" outlineLevel="0" collapsed="false">
      <c r="B137" s="39" t="n">
        <v>151</v>
      </c>
      <c r="C137" s="26" t="n">
        <v>10.08</v>
      </c>
      <c r="D137" s="26" t="n">
        <v>4.8</v>
      </c>
      <c r="E137" s="26" t="n">
        <v>16</v>
      </c>
      <c r="F137" s="14" t="s">
        <v>585</v>
      </c>
      <c r="G137" s="26" t="n">
        <f aca="false">0.5*(SUMIF($E$7:$E$80,B137,$J$7:$J$80)+SUMIF($F$7:$F$80,B137,$J$7:$J$80))</f>
        <v>1.5</v>
      </c>
      <c r="H137" s="27" t="n">
        <f aca="false">DATOS!$C$10*G137</f>
        <v>8.775</v>
      </c>
      <c r="I137" s="27" t="n">
        <f aca="false">SUMIF(NODOS_TECHO!$C$7:$C$14,B137,NODOS_TECHO!$M$7:$M$14)</f>
        <v>0</v>
      </c>
      <c r="J137" s="21" t="n">
        <f aca="false">H137+I137</f>
        <v>8.775</v>
      </c>
      <c r="K137" s="14" t="str">
        <f aca="false">B137&amp;" FX "&amp;TEXT(J137,"0.0")&amp;" FZ "&amp;TEXT(J137,"0.0")</f>
        <v>151 FX 8.8 FZ 8.8</v>
      </c>
      <c r="L137" s="10" t="s">
        <v>586</v>
      </c>
    </row>
    <row r="138" customFormat="false" ht="19.5" hidden="false" customHeight="true" outlineLevel="0" collapsed="false">
      <c r="B138" s="39" t="n">
        <v>154</v>
      </c>
      <c r="C138" s="26" t="n">
        <v>2.487</v>
      </c>
      <c r="D138" s="26" t="n">
        <v>4.8</v>
      </c>
      <c r="E138" s="26" t="n">
        <v>0</v>
      </c>
      <c r="F138" s="14" t="s">
        <v>594</v>
      </c>
      <c r="G138" s="26" t="n">
        <f aca="false">0.5*(SUMIF($E$7:$E$80,B138,$J$7:$J$80)+SUMIF($F$7:$F$80,B138,$J$7:$J$80))</f>
        <v>1.49214</v>
      </c>
      <c r="H138" s="27" t="n">
        <f aca="false">DATOS!$C$10*G138</f>
        <v>8.729019</v>
      </c>
      <c r="I138" s="27" t="n">
        <f aca="false">SUMIF(NODOS_TECHO!$C$7:$C$14,B138,NODOS_TECHO!$M$7:$M$14)</f>
        <v>0</v>
      </c>
      <c r="J138" s="21" t="n">
        <f aca="false">H138+I138</f>
        <v>8.729019</v>
      </c>
      <c r="K138" s="14" t="str">
        <f aca="false">B138&amp;" FX "&amp;TEXT(J138,"0.0")&amp;" FZ "&amp;TEXT(J138,"0.0")</f>
        <v>154 FX 8.7 FZ 8.7</v>
      </c>
      <c r="L138" s="10" t="s">
        <v>586</v>
      </c>
    </row>
    <row r="139" customFormat="false" ht="19.5" hidden="false" customHeight="true" outlineLevel="0" collapsed="false">
      <c r="B139" s="39" t="n">
        <v>155</v>
      </c>
      <c r="C139" s="26" t="n">
        <v>7.589</v>
      </c>
      <c r="D139" s="26" t="n">
        <v>4.8</v>
      </c>
      <c r="E139" s="26" t="n">
        <v>0</v>
      </c>
      <c r="F139" s="14" t="s">
        <v>595</v>
      </c>
      <c r="G139" s="26" t="n">
        <f aca="false">0.5*(SUMIF($E$7:$E$80,B139,$J$7:$J$80)+SUMIF($F$7:$F$80,B139,$J$7:$J$80))</f>
        <v>1.4949</v>
      </c>
      <c r="H139" s="27" t="n">
        <f aca="false">DATOS!$C$10*G139</f>
        <v>8.745165</v>
      </c>
      <c r="I139" s="27" t="n">
        <f aca="false">SUMIF(NODOS_TECHO!$C$7:$C$14,B139,NODOS_TECHO!$M$7:$M$14)</f>
        <v>0</v>
      </c>
      <c r="J139" s="21" t="n">
        <f aca="false">H139+I139</f>
        <v>8.745165</v>
      </c>
      <c r="K139" s="14" t="str">
        <f aca="false">B139&amp;" FX "&amp;TEXT(J139,"0.0")&amp;" FZ "&amp;TEXT(J139,"0.0")</f>
        <v>155 FX 8.7 FZ 8.7</v>
      </c>
      <c r="L139" s="10" t="s">
        <v>586</v>
      </c>
    </row>
    <row r="140" customFormat="false" ht="19.5" hidden="false" customHeight="true" outlineLevel="0" collapsed="false">
      <c r="B140" s="39" t="n">
        <v>156</v>
      </c>
      <c r="C140" s="26" t="n">
        <v>0</v>
      </c>
      <c r="D140" s="26" t="n">
        <v>6</v>
      </c>
      <c r="E140" s="26" t="n">
        <v>0</v>
      </c>
      <c r="F140" s="14" t="s">
        <v>592</v>
      </c>
      <c r="G140" s="26" t="n">
        <f aca="false">0.5*(SUMIF($E$7:$E$80,B140,$J$7:$J$80)+SUMIF($F$7:$F$80,B140,$J$7:$J$80))</f>
        <v>5.00123925</v>
      </c>
      <c r="H140" s="27" t="n">
        <f aca="false">DATOS!$C$10*G140</f>
        <v>29.2572496125</v>
      </c>
      <c r="I140" s="27" t="n">
        <f aca="false">SUMIF(NODOS_TECHO!$C$7:$C$14,B140,NODOS_TECHO!$M$7:$M$14)</f>
        <v>0</v>
      </c>
      <c r="J140" s="21" t="n">
        <f aca="false">H140+I140</f>
        <v>29.2572496125</v>
      </c>
      <c r="K140" s="14" t="str">
        <f aca="false">B140&amp;" FX "&amp;TEXT(J140,"0.0")&amp;" FZ "&amp;TEXT(J140,"0.0")</f>
        <v>156 FX 29.3 FZ 29.3</v>
      </c>
      <c r="L140" s="10" t="s">
        <v>586</v>
      </c>
    </row>
    <row r="141" customFormat="false" ht="19.5" hidden="false" customHeight="true" outlineLevel="0" collapsed="false">
      <c r="B141" s="39" t="n">
        <v>157</v>
      </c>
      <c r="C141" s="26" t="n">
        <v>10.08</v>
      </c>
      <c r="D141" s="26" t="n">
        <v>6</v>
      </c>
      <c r="E141" s="26" t="n">
        <v>0</v>
      </c>
      <c r="F141" s="14" t="s">
        <v>593</v>
      </c>
      <c r="G141" s="26" t="n">
        <f aca="false">0.5*(SUMIF($E$7:$E$80,B141,$J$7:$J$80)+SUMIF($F$7:$F$80,B141,$J$7:$J$80))</f>
        <v>5.00299875</v>
      </c>
      <c r="H141" s="27" t="n">
        <f aca="false">DATOS!$C$10*G141</f>
        <v>29.2675426875</v>
      </c>
      <c r="I141" s="27" t="n">
        <f aca="false">SUMIF(NODOS_TECHO!$C$7:$C$14,B141,NODOS_TECHO!$M$7:$M$14)</f>
        <v>0</v>
      </c>
      <c r="J141" s="21" t="n">
        <f aca="false">H141+I141</f>
        <v>29.2675426875</v>
      </c>
      <c r="K141" s="14" t="str">
        <f aca="false">B141&amp;" FX "&amp;TEXT(J141,"0.0")&amp;" FZ "&amp;TEXT(J141,"0.0")</f>
        <v>157 FX 29.3 FZ 29.3</v>
      </c>
      <c r="L141" s="10" t="s">
        <v>586</v>
      </c>
    </row>
    <row r="142" customFormat="false" ht="19.5" hidden="false" customHeight="true" outlineLevel="0" collapsed="false">
      <c r="B142" s="39" t="n">
        <v>158</v>
      </c>
      <c r="C142" s="26" t="n">
        <v>0</v>
      </c>
      <c r="D142" s="26" t="n">
        <v>6</v>
      </c>
      <c r="E142" s="26" t="n">
        <v>6.75</v>
      </c>
      <c r="F142" s="14" t="s">
        <v>590</v>
      </c>
      <c r="G142" s="26" t="n">
        <f aca="false">0.5*(SUMIF($E$7:$E$80,B142,$J$7:$J$80)+SUMIF($F$7:$F$80,B142,$J$7:$J$80))</f>
        <v>8.1</v>
      </c>
      <c r="H142" s="27" t="n">
        <f aca="false">DATOS!$C$10*G142</f>
        <v>47.385</v>
      </c>
      <c r="I142" s="27" t="n">
        <f aca="false">SUMIF(NODOS_TECHO!$C$7:$C$14,B142,NODOS_TECHO!$M$7:$M$14)</f>
        <v>0</v>
      </c>
      <c r="J142" s="21" t="n">
        <f aca="false">H142+I142</f>
        <v>47.385</v>
      </c>
      <c r="K142" s="14" t="str">
        <f aca="false">B142&amp;" FX "&amp;TEXT(J142,"0.0")&amp;" FZ "&amp;TEXT(J142,"0.0")</f>
        <v>158 FX 47.4 FZ 47.4</v>
      </c>
      <c r="L142" s="10" t="s">
        <v>586</v>
      </c>
    </row>
    <row r="143" customFormat="false" ht="19.5" hidden="false" customHeight="true" outlineLevel="0" collapsed="false">
      <c r="B143" s="39" t="n">
        <v>159</v>
      </c>
      <c r="C143" s="26" t="n">
        <v>0</v>
      </c>
      <c r="D143" s="26" t="n">
        <v>6</v>
      </c>
      <c r="E143" s="26" t="n">
        <v>13.5</v>
      </c>
      <c r="F143" s="14" t="s">
        <v>587</v>
      </c>
      <c r="G143" s="26" t="n">
        <f aca="false">0.5*(SUMIF($E$7:$E$80,B143,$J$7:$J$80)+SUMIF($F$7:$F$80,B143,$J$7:$J$80))</f>
        <v>5.55</v>
      </c>
      <c r="H143" s="27" t="n">
        <f aca="false">DATOS!$C$10*G143</f>
        <v>32.4675</v>
      </c>
      <c r="I143" s="27" t="n">
        <f aca="false">SUMIF(NODOS_TECHO!$C$7:$C$14,B143,NODOS_TECHO!$M$7:$M$14)</f>
        <v>0</v>
      </c>
      <c r="J143" s="21" t="n">
        <f aca="false">H143+I143</f>
        <v>32.4675</v>
      </c>
      <c r="K143" s="14" t="str">
        <f aca="false">B143&amp;" FX "&amp;TEXT(J143,"0.0")&amp;" FZ "&amp;TEXT(J143,"0.0")</f>
        <v>159 FX 32.5 FZ 32.5</v>
      </c>
      <c r="L143" s="10" t="s">
        <v>586</v>
      </c>
    </row>
    <row r="144" customFormat="false" ht="19.5" hidden="false" customHeight="true" outlineLevel="0" collapsed="false">
      <c r="B144" s="39" t="n">
        <v>160</v>
      </c>
      <c r="C144" s="26" t="n">
        <v>0</v>
      </c>
      <c r="D144" s="26" t="n">
        <v>6</v>
      </c>
      <c r="E144" s="26" t="n">
        <v>16</v>
      </c>
      <c r="F144" s="14" t="s">
        <v>589</v>
      </c>
      <c r="G144" s="26" t="n">
        <f aca="false">0.5*(SUMIF($E$7:$E$80,B144,$J$7:$J$80)+SUMIF($F$7:$F$80,B144,$J$7:$J$80))</f>
        <v>1.5</v>
      </c>
      <c r="H144" s="27" t="n">
        <f aca="false">DATOS!$C$10*G144</f>
        <v>8.775</v>
      </c>
      <c r="I144" s="27" t="n">
        <f aca="false">SUMIF(NODOS_TECHO!$C$7:$C$14,B144,NODOS_TECHO!$M$7:$M$14)</f>
        <v>0</v>
      </c>
      <c r="J144" s="21" t="n">
        <f aca="false">H144+I144</f>
        <v>8.775</v>
      </c>
      <c r="K144" s="14" t="str">
        <f aca="false">B144&amp;" FX "&amp;TEXT(J144,"0.0")&amp;" FZ "&amp;TEXT(J144,"0.0")</f>
        <v>160 FX 8.8 FZ 8.8</v>
      </c>
      <c r="L144" s="10" t="s">
        <v>586</v>
      </c>
    </row>
    <row r="145" customFormat="false" ht="19.5" hidden="false" customHeight="true" outlineLevel="0" collapsed="false">
      <c r="B145" s="39" t="n">
        <v>161</v>
      </c>
      <c r="C145" s="26" t="n">
        <v>10.08</v>
      </c>
      <c r="D145" s="26" t="n">
        <v>6</v>
      </c>
      <c r="E145" s="26" t="n">
        <v>6.75</v>
      </c>
      <c r="F145" s="14" t="s">
        <v>591</v>
      </c>
      <c r="G145" s="26" t="n">
        <f aca="false">0.5*(SUMIF($E$7:$E$80,B145,$J$7:$J$80)+SUMIF($F$7:$F$80,B145,$J$7:$J$80))</f>
        <v>8.1</v>
      </c>
      <c r="H145" s="27" t="n">
        <f aca="false">DATOS!$C$10*G145</f>
        <v>47.385</v>
      </c>
      <c r="I145" s="27" t="n">
        <f aca="false">SUMIF(NODOS_TECHO!$C$7:$C$14,B145,NODOS_TECHO!$M$7:$M$14)</f>
        <v>0</v>
      </c>
      <c r="J145" s="21" t="n">
        <f aca="false">H145+I145</f>
        <v>47.385</v>
      </c>
      <c r="K145" s="14" t="str">
        <f aca="false">B145&amp;" FX "&amp;TEXT(J145,"0.0")&amp;" FZ "&amp;TEXT(J145,"0.0")</f>
        <v>161 FX 47.4 FZ 47.4</v>
      </c>
      <c r="L145" s="10" t="s">
        <v>586</v>
      </c>
    </row>
    <row r="146" customFormat="false" ht="19.5" hidden="false" customHeight="true" outlineLevel="0" collapsed="false">
      <c r="B146" s="39" t="n">
        <v>162</v>
      </c>
      <c r="C146" s="26" t="n">
        <v>10.08</v>
      </c>
      <c r="D146" s="26" t="n">
        <v>6</v>
      </c>
      <c r="E146" s="26" t="n">
        <v>13.5</v>
      </c>
      <c r="F146" s="14" t="s">
        <v>588</v>
      </c>
      <c r="G146" s="26" t="n">
        <f aca="false">0.5*(SUMIF($E$7:$E$80,B146,$J$7:$J$80)+SUMIF($F$7:$F$80,B146,$J$7:$J$80))</f>
        <v>5.55</v>
      </c>
      <c r="H146" s="27" t="n">
        <f aca="false">DATOS!$C$10*G146</f>
        <v>32.4675</v>
      </c>
      <c r="I146" s="27" t="n">
        <f aca="false">SUMIF(NODOS_TECHO!$C$7:$C$14,B146,NODOS_TECHO!$M$7:$M$14)</f>
        <v>0</v>
      </c>
      <c r="J146" s="21" t="n">
        <f aca="false">H146+I146</f>
        <v>32.4675</v>
      </c>
      <c r="K146" s="14" t="str">
        <f aca="false">B146&amp;" FX "&amp;TEXT(J146,"0.0")&amp;" FZ "&amp;TEXT(J146,"0.0")</f>
        <v>162 FX 32.5 FZ 32.5</v>
      </c>
      <c r="L146" s="10" t="s">
        <v>586</v>
      </c>
    </row>
    <row r="147" customFormat="false" ht="19.5" hidden="false" customHeight="true" outlineLevel="0" collapsed="false">
      <c r="B147" s="39" t="n">
        <v>163</v>
      </c>
      <c r="C147" s="26" t="n">
        <v>10.08</v>
      </c>
      <c r="D147" s="26" t="n">
        <v>6</v>
      </c>
      <c r="E147" s="26" t="n">
        <v>16</v>
      </c>
      <c r="F147" s="14" t="s">
        <v>585</v>
      </c>
      <c r="G147" s="26" t="n">
        <f aca="false">0.5*(SUMIF($E$7:$E$80,B147,$J$7:$J$80)+SUMIF($F$7:$F$80,B147,$J$7:$J$80))</f>
        <v>1.5</v>
      </c>
      <c r="H147" s="27" t="n">
        <f aca="false">DATOS!$C$10*G147</f>
        <v>8.775</v>
      </c>
      <c r="I147" s="27" t="n">
        <f aca="false">SUMIF(NODOS_TECHO!$C$7:$C$14,B147,NODOS_TECHO!$M$7:$M$14)</f>
        <v>0</v>
      </c>
      <c r="J147" s="21" t="n">
        <f aca="false">H147+I147</f>
        <v>8.775</v>
      </c>
      <c r="K147" s="14" t="str">
        <f aca="false">B147&amp;" FX "&amp;TEXT(J147,"0.0")&amp;" FZ "&amp;TEXT(J147,"0.0")</f>
        <v>163 FX 8.8 FZ 8.8</v>
      </c>
      <c r="L147" s="10" t="s">
        <v>586</v>
      </c>
    </row>
    <row r="148" customFormat="false" ht="19.5" hidden="false" customHeight="true" outlineLevel="0" collapsed="false">
      <c r="B148" s="39" t="n">
        <v>166</v>
      </c>
      <c r="C148" s="26" t="n">
        <v>2.487</v>
      </c>
      <c r="D148" s="26" t="n">
        <v>6</v>
      </c>
      <c r="E148" s="26" t="n">
        <v>0</v>
      </c>
      <c r="F148" s="14" t="s">
        <v>594</v>
      </c>
      <c r="G148" s="26" t="n">
        <f aca="false">0.5*(SUMIF($E$7:$E$80,B148,$J$7:$J$80)+SUMIF($F$7:$F$80,B148,$J$7:$J$80))</f>
        <v>0.95123925</v>
      </c>
      <c r="H148" s="27" t="n">
        <f aca="false">DATOS!$C$10*G148</f>
        <v>5.5647496125</v>
      </c>
      <c r="I148" s="27" t="n">
        <f aca="false">SUMIF(NODOS_TECHO!$C$7:$C$14,B148,NODOS_TECHO!$M$7:$M$14)</f>
        <v>0</v>
      </c>
      <c r="J148" s="21" t="n">
        <f aca="false">H148+I148</f>
        <v>5.5647496125</v>
      </c>
      <c r="K148" s="14" t="str">
        <f aca="false">B148&amp;" FX "&amp;TEXT(J148,"0.0")&amp;" FZ "&amp;TEXT(J148,"0.0")</f>
        <v>166 FX 5.6 FZ 5.6</v>
      </c>
      <c r="L148" s="10" t="s">
        <v>586</v>
      </c>
    </row>
    <row r="149" customFormat="false" ht="19.5" hidden="false" customHeight="true" outlineLevel="0" collapsed="false">
      <c r="B149" s="39" t="n">
        <v>167</v>
      </c>
      <c r="C149" s="26" t="n">
        <v>7.589</v>
      </c>
      <c r="D149" s="26" t="n">
        <v>6</v>
      </c>
      <c r="E149" s="26" t="n">
        <v>0</v>
      </c>
      <c r="F149" s="14" t="s">
        <v>595</v>
      </c>
      <c r="G149" s="26" t="n">
        <f aca="false">0.5*(SUMIF($E$7:$E$80,B149,$J$7:$J$80)+SUMIF($F$7:$F$80,B149,$J$7:$J$80))</f>
        <v>0.95299875</v>
      </c>
      <c r="H149" s="27" t="n">
        <f aca="false">DATOS!$C$10*G149</f>
        <v>5.5750426875</v>
      </c>
      <c r="I149" s="27" t="n">
        <f aca="false">SUMIF(NODOS_TECHO!$C$7:$C$14,B149,NODOS_TECHO!$M$7:$M$14)</f>
        <v>0</v>
      </c>
      <c r="J149" s="21" t="n">
        <f aca="false">H149+I149</f>
        <v>5.5750426875</v>
      </c>
      <c r="K149" s="14" t="str">
        <f aca="false">B149&amp;" FX "&amp;TEXT(J149,"0.0")&amp;" FZ "&amp;TEXT(J149,"0.0")</f>
        <v>167 FX 5.6 FZ 5.6</v>
      </c>
      <c r="L149" s="10" t="s">
        <v>586</v>
      </c>
    </row>
    <row r="150" customFormat="false" ht="19.5" hidden="false" customHeight="true" outlineLevel="0" collapsed="false">
      <c r="B150" s="39" t="n">
        <v>168</v>
      </c>
      <c r="C150" s="26" t="n">
        <v>0</v>
      </c>
      <c r="D150" s="26" t="n">
        <v>7.2</v>
      </c>
      <c r="E150" s="26" t="n">
        <v>0</v>
      </c>
      <c r="F150" s="14" t="s">
        <v>592</v>
      </c>
      <c r="G150" s="26" t="n">
        <f aca="false">0.5*(SUMIF($E$7:$E$80,B150,$J$7:$J$80)+SUMIF($F$7:$F$80,B150,$J$7:$J$80))</f>
        <v>9.2664</v>
      </c>
      <c r="H150" s="27" t="n">
        <f aca="false">DATOS!$C$10*G150</f>
        <v>54.20844</v>
      </c>
      <c r="I150" s="27" t="n">
        <f aca="false">SUMIF(NODOS_TECHO!$C$7:$C$14,B150,NODOS_TECHO!$M$7:$M$14)</f>
        <v>0</v>
      </c>
      <c r="J150" s="21" t="n">
        <f aca="false">H150+I150</f>
        <v>54.20844</v>
      </c>
      <c r="K150" s="14" t="str">
        <f aca="false">B150&amp;" FX "&amp;TEXT(J150,"0.0")&amp;" FZ "&amp;TEXT(J150,"0.0")</f>
        <v>168 FX 54.2 FZ 54.2</v>
      </c>
      <c r="L150" s="10" t="s">
        <v>586</v>
      </c>
    </row>
    <row r="151" customFormat="false" ht="19.5" hidden="false" customHeight="true" outlineLevel="0" collapsed="false">
      <c r="B151" s="39" t="n">
        <v>169</v>
      </c>
      <c r="C151" s="26" t="n">
        <v>10.08</v>
      </c>
      <c r="D151" s="26" t="n">
        <v>7.2</v>
      </c>
      <c r="E151" s="26" t="n">
        <v>0</v>
      </c>
      <c r="F151" s="14" t="s">
        <v>593</v>
      </c>
      <c r="G151" s="26" t="n">
        <f aca="false">0.5*(SUMIF($E$7:$E$80,B151,$J$7:$J$80)+SUMIF($F$7:$F$80,B151,$J$7:$J$80))</f>
        <v>9.2664</v>
      </c>
      <c r="H151" s="27" t="n">
        <f aca="false">DATOS!$C$10*G151</f>
        <v>54.20844</v>
      </c>
      <c r="I151" s="27" t="n">
        <f aca="false">SUMIF(NODOS_TECHO!$C$7:$C$14,B151,NODOS_TECHO!$M$7:$M$14)</f>
        <v>0</v>
      </c>
      <c r="J151" s="21" t="n">
        <f aca="false">H151+I151</f>
        <v>54.20844</v>
      </c>
      <c r="K151" s="14" t="str">
        <f aca="false">B151&amp;" FX "&amp;TEXT(J151,"0.0")&amp;" FZ "&amp;TEXT(J151,"0.0")</f>
        <v>169 FX 54.2 FZ 54.2</v>
      </c>
      <c r="L151" s="10" t="s">
        <v>586</v>
      </c>
    </row>
    <row r="152" customFormat="false" ht="19.5" hidden="false" customHeight="true" outlineLevel="0" collapsed="false">
      <c r="B152" s="39" t="n">
        <v>170</v>
      </c>
      <c r="C152" s="26" t="n">
        <v>0</v>
      </c>
      <c r="D152" s="26" t="n">
        <v>7.2</v>
      </c>
      <c r="E152" s="26" t="n">
        <v>6.75</v>
      </c>
      <c r="F152" s="14" t="s">
        <v>590</v>
      </c>
      <c r="G152" s="26" t="n">
        <f aca="false">0.5*(SUMIF($E$7:$E$80,B152,$J$7:$J$80)+SUMIF($F$7:$F$80,B152,$J$7:$J$80))</f>
        <v>8.1</v>
      </c>
      <c r="H152" s="27" t="n">
        <f aca="false">DATOS!$C$10*G152</f>
        <v>47.385</v>
      </c>
      <c r="I152" s="27" t="n">
        <f aca="false">SUMIF(NODOS_TECHO!$C$7:$C$14,B152,NODOS_TECHO!$M$7:$M$14)</f>
        <v>0</v>
      </c>
      <c r="J152" s="21" t="n">
        <f aca="false">H152+I152</f>
        <v>47.385</v>
      </c>
      <c r="K152" s="14" t="str">
        <f aca="false">B152&amp;" FX "&amp;TEXT(J152,"0.0")&amp;" FZ "&amp;TEXT(J152,"0.0")</f>
        <v>170 FX 47.4 FZ 47.4</v>
      </c>
      <c r="L152" s="10" t="s">
        <v>586</v>
      </c>
    </row>
    <row r="153" customFormat="false" ht="19.5" hidden="false" customHeight="true" outlineLevel="0" collapsed="false">
      <c r="B153" s="39" t="n">
        <v>171</v>
      </c>
      <c r="C153" s="26" t="n">
        <v>0</v>
      </c>
      <c r="D153" s="26" t="n">
        <v>7.2</v>
      </c>
      <c r="E153" s="26" t="n">
        <v>13.5</v>
      </c>
      <c r="F153" s="14" t="s">
        <v>587</v>
      </c>
      <c r="G153" s="26" t="n">
        <f aca="false">0.5*(SUMIF($E$7:$E$80,B153,$J$7:$J$80)+SUMIF($F$7:$F$80,B153,$J$7:$J$80))</f>
        <v>5.55</v>
      </c>
      <c r="H153" s="27" t="n">
        <f aca="false">DATOS!$C$10*G153</f>
        <v>32.4675</v>
      </c>
      <c r="I153" s="27" t="n">
        <f aca="false">SUMIF(NODOS_TECHO!$C$7:$C$14,B153,NODOS_TECHO!$M$7:$M$14)</f>
        <v>0</v>
      </c>
      <c r="J153" s="21" t="n">
        <f aca="false">H153+I153</f>
        <v>32.4675</v>
      </c>
      <c r="K153" s="14" t="str">
        <f aca="false">B153&amp;" FX "&amp;TEXT(J153,"0.0")&amp;" FZ "&amp;TEXT(J153,"0.0")</f>
        <v>171 FX 32.5 FZ 32.5</v>
      </c>
      <c r="L153" s="10" t="s">
        <v>586</v>
      </c>
    </row>
    <row r="154" customFormat="false" ht="19.5" hidden="false" customHeight="true" outlineLevel="0" collapsed="false">
      <c r="B154" s="39" t="n">
        <v>172</v>
      </c>
      <c r="C154" s="26" t="n">
        <v>0</v>
      </c>
      <c r="D154" s="26" t="n">
        <v>7.2</v>
      </c>
      <c r="E154" s="26" t="n">
        <v>16</v>
      </c>
      <c r="F154" s="14" t="s">
        <v>589</v>
      </c>
      <c r="G154" s="26" t="n">
        <f aca="false">0.5*(SUMIF($E$7:$E$80,B154,$J$7:$J$80)+SUMIF($F$7:$F$80,B154,$J$7:$J$80))</f>
        <v>1.5</v>
      </c>
      <c r="H154" s="27" t="n">
        <f aca="false">DATOS!$C$10*G154</f>
        <v>8.775</v>
      </c>
      <c r="I154" s="27" t="n">
        <f aca="false">SUMIF(NODOS_TECHO!$C$7:$C$14,B154,NODOS_TECHO!$M$7:$M$14)</f>
        <v>0</v>
      </c>
      <c r="J154" s="21" t="n">
        <f aca="false">H154+I154</f>
        <v>8.775</v>
      </c>
      <c r="K154" s="14" t="str">
        <f aca="false">B154&amp;" FX "&amp;TEXT(J154,"0.0")&amp;" FZ "&amp;TEXT(J154,"0.0")</f>
        <v>172 FX 8.8 FZ 8.8</v>
      </c>
      <c r="L154" s="10" t="s">
        <v>586</v>
      </c>
    </row>
    <row r="155" customFormat="false" ht="19.5" hidden="false" customHeight="true" outlineLevel="0" collapsed="false">
      <c r="B155" s="39" t="n">
        <v>173</v>
      </c>
      <c r="C155" s="26" t="n">
        <v>10.08</v>
      </c>
      <c r="D155" s="26" t="n">
        <v>7.2</v>
      </c>
      <c r="E155" s="26" t="n">
        <v>6.75</v>
      </c>
      <c r="F155" s="14" t="s">
        <v>591</v>
      </c>
      <c r="G155" s="26" t="n">
        <f aca="false">0.5*(SUMIF($E$7:$E$80,B155,$J$7:$J$80)+SUMIF($F$7:$F$80,B155,$J$7:$J$80))</f>
        <v>8.1</v>
      </c>
      <c r="H155" s="27" t="n">
        <f aca="false">DATOS!$C$10*G155</f>
        <v>47.385</v>
      </c>
      <c r="I155" s="27" t="n">
        <f aca="false">SUMIF(NODOS_TECHO!$C$7:$C$14,B155,NODOS_TECHO!$M$7:$M$14)</f>
        <v>0</v>
      </c>
      <c r="J155" s="21" t="n">
        <f aca="false">H155+I155</f>
        <v>47.385</v>
      </c>
      <c r="K155" s="14" t="str">
        <f aca="false">B155&amp;" FX "&amp;TEXT(J155,"0.0")&amp;" FZ "&amp;TEXT(J155,"0.0")</f>
        <v>173 FX 47.4 FZ 47.4</v>
      </c>
      <c r="L155" s="10" t="s">
        <v>586</v>
      </c>
    </row>
    <row r="156" customFormat="false" ht="19.5" hidden="false" customHeight="true" outlineLevel="0" collapsed="false">
      <c r="B156" s="39" t="n">
        <v>174</v>
      </c>
      <c r="C156" s="26" t="n">
        <v>10.08</v>
      </c>
      <c r="D156" s="26" t="n">
        <v>7.2</v>
      </c>
      <c r="E156" s="26" t="n">
        <v>13.5</v>
      </c>
      <c r="F156" s="14" t="s">
        <v>588</v>
      </c>
      <c r="G156" s="26" t="n">
        <f aca="false">0.5*(SUMIF($E$7:$E$80,B156,$J$7:$J$80)+SUMIF($F$7:$F$80,B156,$J$7:$J$80))</f>
        <v>5.55</v>
      </c>
      <c r="H156" s="27" t="n">
        <f aca="false">DATOS!$C$10*G156</f>
        <v>32.4675</v>
      </c>
      <c r="I156" s="27" t="n">
        <f aca="false">SUMIF(NODOS_TECHO!$C$7:$C$14,B156,NODOS_TECHO!$M$7:$M$14)</f>
        <v>0</v>
      </c>
      <c r="J156" s="21" t="n">
        <f aca="false">H156+I156</f>
        <v>32.4675</v>
      </c>
      <c r="K156" s="14" t="str">
        <f aca="false">B156&amp;" FX "&amp;TEXT(J156,"0.0")&amp;" FZ "&amp;TEXT(J156,"0.0")</f>
        <v>174 FX 32.5 FZ 32.5</v>
      </c>
      <c r="L156" s="10" t="s">
        <v>586</v>
      </c>
    </row>
    <row r="157" customFormat="false" ht="19.5" hidden="false" customHeight="true" outlineLevel="0" collapsed="false">
      <c r="B157" s="39" t="n">
        <v>175</v>
      </c>
      <c r="C157" s="26" t="n">
        <v>10.08</v>
      </c>
      <c r="D157" s="26" t="n">
        <v>7.2</v>
      </c>
      <c r="E157" s="26" t="n">
        <v>16</v>
      </c>
      <c r="F157" s="14" t="s">
        <v>585</v>
      </c>
      <c r="G157" s="26" t="n">
        <f aca="false">0.5*(SUMIF($E$7:$E$80,B157,$J$7:$J$80)+SUMIF($F$7:$F$80,B157,$J$7:$J$80))</f>
        <v>1.5</v>
      </c>
      <c r="H157" s="27" t="n">
        <f aca="false">DATOS!$C$10*G157</f>
        <v>8.775</v>
      </c>
      <c r="I157" s="27" t="n">
        <f aca="false">SUMIF(NODOS_TECHO!$C$7:$C$14,B157,NODOS_TECHO!$M$7:$M$14)</f>
        <v>0</v>
      </c>
      <c r="J157" s="21" t="n">
        <f aca="false">H157+I157</f>
        <v>8.775</v>
      </c>
      <c r="K157" s="14" t="str">
        <f aca="false">B157&amp;" FX "&amp;TEXT(J157,"0.0")&amp;" FZ "&amp;TEXT(J157,"0.0")</f>
        <v>175 FX 8.8 FZ 8.8</v>
      </c>
      <c r="L157" s="10" t="s">
        <v>586</v>
      </c>
    </row>
    <row r="158" customFormat="false" ht="19.5" hidden="false" customHeight="true" outlineLevel="0" collapsed="false">
      <c r="B158" s="39" t="n">
        <v>180</v>
      </c>
      <c r="C158" s="26" t="n">
        <v>0</v>
      </c>
      <c r="D158" s="26" t="n">
        <v>8.4</v>
      </c>
      <c r="E158" s="26" t="n">
        <v>0</v>
      </c>
      <c r="F158" s="14" t="s">
        <v>592</v>
      </c>
      <c r="G158" s="26" t="n">
        <f aca="false">0.5*(SUMIF($E$7:$E$80,B158,$J$7:$J$80)+SUMIF($F$7:$F$80,B158,$J$7:$J$80))</f>
        <v>10.098</v>
      </c>
      <c r="H158" s="27" t="n">
        <f aca="false">DATOS!$C$10*G158</f>
        <v>59.0733</v>
      </c>
      <c r="I158" s="27" t="n">
        <f aca="false">SUMIF(NODOS_TECHO!$C$7:$C$14,B158,NODOS_TECHO!$M$7:$M$14)</f>
        <v>0</v>
      </c>
      <c r="J158" s="21" t="n">
        <f aca="false">H158+I158</f>
        <v>59.0733</v>
      </c>
      <c r="K158" s="14" t="str">
        <f aca="false">B158&amp;" FX "&amp;TEXT(J158,"0.0")&amp;" FZ "&amp;TEXT(J158,"0.0")</f>
        <v>180 FX 59.1 FZ 59.1</v>
      </c>
      <c r="L158" s="10" t="s">
        <v>586</v>
      </c>
    </row>
    <row r="159" customFormat="false" ht="19.5" hidden="false" customHeight="true" outlineLevel="0" collapsed="false">
      <c r="B159" s="39" t="n">
        <v>181</v>
      </c>
      <c r="C159" s="26" t="n">
        <v>10.08</v>
      </c>
      <c r="D159" s="26" t="n">
        <v>8.4</v>
      </c>
      <c r="E159" s="26" t="n">
        <v>0</v>
      </c>
      <c r="F159" s="14" t="s">
        <v>593</v>
      </c>
      <c r="G159" s="26" t="n">
        <f aca="false">0.5*(SUMIF($E$7:$E$80,B159,$J$7:$J$80)+SUMIF($F$7:$F$80,B159,$J$7:$J$80))</f>
        <v>10.098</v>
      </c>
      <c r="H159" s="27" t="n">
        <f aca="false">DATOS!$C$10*G159</f>
        <v>59.0733</v>
      </c>
      <c r="I159" s="27" t="n">
        <f aca="false">SUMIF(NODOS_TECHO!$C$7:$C$14,B159,NODOS_TECHO!$M$7:$M$14)</f>
        <v>0</v>
      </c>
      <c r="J159" s="21" t="n">
        <f aca="false">H159+I159</f>
        <v>59.0733</v>
      </c>
      <c r="K159" s="14" t="str">
        <f aca="false">B159&amp;" FX "&amp;TEXT(J159,"0.0")&amp;" FZ "&amp;TEXT(J159,"0.0")</f>
        <v>181 FX 59.1 FZ 59.1</v>
      </c>
      <c r="L159" s="10" t="s">
        <v>586</v>
      </c>
    </row>
    <row r="160" customFormat="false" ht="19.5" hidden="false" customHeight="true" outlineLevel="0" collapsed="false">
      <c r="B160" s="39" t="n">
        <v>182</v>
      </c>
      <c r="C160" s="26" t="n">
        <v>0</v>
      </c>
      <c r="D160" s="26" t="n">
        <v>8.4</v>
      </c>
      <c r="E160" s="26" t="n">
        <v>6.75</v>
      </c>
      <c r="F160" s="14" t="s">
        <v>590</v>
      </c>
      <c r="G160" s="26" t="n">
        <f aca="false">0.5*(SUMIF($E$7:$E$80,B160,$J$7:$J$80)+SUMIF($F$7:$F$80,B160,$J$7:$J$80))</f>
        <v>8.1</v>
      </c>
      <c r="H160" s="27" t="n">
        <f aca="false">DATOS!$C$10*G160</f>
        <v>47.385</v>
      </c>
      <c r="I160" s="27" t="n">
        <f aca="false">SUMIF(NODOS_TECHO!$C$7:$C$14,B160,NODOS_TECHO!$M$7:$M$14)</f>
        <v>0</v>
      </c>
      <c r="J160" s="21" t="n">
        <f aca="false">H160+I160</f>
        <v>47.385</v>
      </c>
      <c r="K160" s="14" t="str">
        <f aca="false">B160&amp;" FX "&amp;TEXT(J160,"0.0")&amp;" FZ "&amp;TEXT(J160,"0.0")</f>
        <v>182 FX 47.4 FZ 47.4</v>
      </c>
      <c r="L160" s="10" t="s">
        <v>586</v>
      </c>
    </row>
    <row r="161" customFormat="false" ht="19.5" hidden="false" customHeight="true" outlineLevel="0" collapsed="false">
      <c r="B161" s="39" t="n">
        <v>183</v>
      </c>
      <c r="C161" s="26" t="n">
        <v>0</v>
      </c>
      <c r="D161" s="26" t="n">
        <v>8.4</v>
      </c>
      <c r="E161" s="26" t="n">
        <v>13.5</v>
      </c>
      <c r="F161" s="14" t="s">
        <v>587</v>
      </c>
      <c r="G161" s="26" t="n">
        <f aca="false">0.5*(SUMIF($E$7:$E$80,B161,$J$7:$J$80)+SUMIF($F$7:$F$80,B161,$J$7:$J$80))</f>
        <v>5.55</v>
      </c>
      <c r="H161" s="27" t="n">
        <f aca="false">DATOS!$C$10*G161</f>
        <v>32.4675</v>
      </c>
      <c r="I161" s="27" t="n">
        <f aca="false">SUMIF(NODOS_TECHO!$C$7:$C$14,B161,NODOS_TECHO!$M$7:$M$14)</f>
        <v>0</v>
      </c>
      <c r="J161" s="21" t="n">
        <f aca="false">H161+I161</f>
        <v>32.4675</v>
      </c>
      <c r="K161" s="14" t="str">
        <f aca="false">B161&amp;" FX "&amp;TEXT(J161,"0.0")&amp;" FZ "&amp;TEXT(J161,"0.0")</f>
        <v>183 FX 32.5 FZ 32.5</v>
      </c>
      <c r="L161" s="10" t="s">
        <v>586</v>
      </c>
    </row>
    <row r="162" customFormat="false" ht="19.5" hidden="false" customHeight="true" outlineLevel="0" collapsed="false">
      <c r="B162" s="39" t="n">
        <v>184</v>
      </c>
      <c r="C162" s="26" t="n">
        <v>0</v>
      </c>
      <c r="D162" s="26" t="n">
        <v>8.4</v>
      </c>
      <c r="E162" s="26" t="n">
        <v>16</v>
      </c>
      <c r="F162" s="14" t="s">
        <v>589</v>
      </c>
      <c r="G162" s="26" t="n">
        <f aca="false">0.5*(SUMIF($E$7:$E$80,B162,$J$7:$J$80)+SUMIF($F$7:$F$80,B162,$J$7:$J$80))</f>
        <v>1.5</v>
      </c>
      <c r="H162" s="27" t="n">
        <f aca="false">DATOS!$C$10*G162</f>
        <v>8.775</v>
      </c>
      <c r="I162" s="27" t="n">
        <f aca="false">SUMIF(NODOS_TECHO!$C$7:$C$14,B162,NODOS_TECHO!$M$7:$M$14)</f>
        <v>0</v>
      </c>
      <c r="J162" s="21" t="n">
        <f aca="false">H162+I162</f>
        <v>8.775</v>
      </c>
      <c r="K162" s="14" t="str">
        <f aca="false">B162&amp;" FX "&amp;TEXT(J162,"0.0")&amp;" FZ "&amp;TEXT(J162,"0.0")</f>
        <v>184 FX 8.8 FZ 8.8</v>
      </c>
      <c r="L162" s="10" t="s">
        <v>586</v>
      </c>
    </row>
    <row r="163" customFormat="false" ht="19.5" hidden="false" customHeight="true" outlineLevel="0" collapsed="false">
      <c r="B163" s="39" t="n">
        <v>185</v>
      </c>
      <c r="C163" s="26" t="n">
        <v>10.08</v>
      </c>
      <c r="D163" s="26" t="n">
        <v>8.4</v>
      </c>
      <c r="E163" s="26" t="n">
        <v>6.75</v>
      </c>
      <c r="F163" s="14" t="s">
        <v>591</v>
      </c>
      <c r="G163" s="26" t="n">
        <f aca="false">0.5*(SUMIF($E$7:$E$80,B163,$J$7:$J$80)+SUMIF($F$7:$F$80,B163,$J$7:$J$80))</f>
        <v>8.1</v>
      </c>
      <c r="H163" s="27" t="n">
        <f aca="false">DATOS!$C$10*G163</f>
        <v>47.385</v>
      </c>
      <c r="I163" s="27" t="n">
        <f aca="false">SUMIF(NODOS_TECHO!$C$7:$C$14,B163,NODOS_TECHO!$M$7:$M$14)</f>
        <v>0</v>
      </c>
      <c r="J163" s="21" t="n">
        <f aca="false">H163+I163</f>
        <v>47.385</v>
      </c>
      <c r="K163" s="14" t="str">
        <f aca="false">B163&amp;" FX "&amp;TEXT(J163,"0.0")&amp;" FZ "&amp;TEXT(J163,"0.0")</f>
        <v>185 FX 47.4 FZ 47.4</v>
      </c>
      <c r="L163" s="10" t="s">
        <v>586</v>
      </c>
    </row>
    <row r="164" customFormat="false" ht="19.5" hidden="false" customHeight="true" outlineLevel="0" collapsed="false">
      <c r="B164" s="39" t="n">
        <v>186</v>
      </c>
      <c r="C164" s="26" t="n">
        <v>10.08</v>
      </c>
      <c r="D164" s="26" t="n">
        <v>8.4</v>
      </c>
      <c r="E164" s="26" t="n">
        <v>13.5</v>
      </c>
      <c r="F164" s="14" t="s">
        <v>588</v>
      </c>
      <c r="G164" s="26" t="n">
        <f aca="false">0.5*(SUMIF($E$7:$E$80,B164,$J$7:$J$80)+SUMIF($F$7:$F$80,B164,$J$7:$J$80))</f>
        <v>5.55</v>
      </c>
      <c r="H164" s="27" t="n">
        <f aca="false">DATOS!$C$10*G164</f>
        <v>32.4675</v>
      </c>
      <c r="I164" s="27" t="n">
        <f aca="false">SUMIF(NODOS_TECHO!$C$7:$C$14,B164,NODOS_TECHO!$M$7:$M$14)</f>
        <v>0</v>
      </c>
      <c r="J164" s="21" t="n">
        <f aca="false">H164+I164</f>
        <v>32.4675</v>
      </c>
      <c r="K164" s="14" t="str">
        <f aca="false">B164&amp;" FX "&amp;TEXT(J164,"0.0")&amp;" FZ "&amp;TEXT(J164,"0.0")</f>
        <v>186 FX 32.5 FZ 32.5</v>
      </c>
      <c r="L164" s="10" t="s">
        <v>586</v>
      </c>
    </row>
    <row r="165" customFormat="false" ht="19.5" hidden="false" customHeight="true" outlineLevel="0" collapsed="false">
      <c r="B165" s="39" t="n">
        <v>187</v>
      </c>
      <c r="C165" s="26" t="n">
        <v>10.08</v>
      </c>
      <c r="D165" s="26" t="n">
        <v>8.4</v>
      </c>
      <c r="E165" s="26" t="n">
        <v>16</v>
      </c>
      <c r="F165" s="14" t="s">
        <v>585</v>
      </c>
      <c r="G165" s="26" t="n">
        <f aca="false">0.5*(SUMIF($E$7:$E$80,B165,$J$7:$J$80)+SUMIF($F$7:$F$80,B165,$J$7:$J$80))</f>
        <v>1.5</v>
      </c>
      <c r="H165" s="27" t="n">
        <f aca="false">DATOS!$C$10*G165</f>
        <v>8.775</v>
      </c>
      <c r="I165" s="27" t="n">
        <f aca="false">SUMIF(NODOS_TECHO!$C$7:$C$14,B165,NODOS_TECHO!$M$7:$M$14)</f>
        <v>0</v>
      </c>
      <c r="J165" s="21" t="n">
        <f aca="false">H165+I165</f>
        <v>8.775</v>
      </c>
      <c r="K165" s="14" t="str">
        <f aca="false">B165&amp;" FX "&amp;TEXT(J165,"0.0")&amp;" FZ "&amp;TEXT(J165,"0.0")</f>
        <v>187 FX 8.8 FZ 8.8</v>
      </c>
      <c r="L165" s="10" t="s">
        <v>586</v>
      </c>
    </row>
    <row r="166" customFormat="false" ht="19.5" hidden="false" customHeight="true" outlineLevel="0" collapsed="false">
      <c r="B166" s="39" t="n">
        <v>192</v>
      </c>
      <c r="C166" s="26" t="n">
        <v>0</v>
      </c>
      <c r="D166" s="26" t="n">
        <v>9.6</v>
      </c>
      <c r="E166" s="26" t="n">
        <v>0</v>
      </c>
      <c r="F166" s="14" t="s">
        <v>592</v>
      </c>
      <c r="G166" s="26" t="n">
        <f aca="false">0.5*(SUMIF($E$7:$E$80,B166,$J$7:$J$80)+SUMIF($F$7:$F$80,B166,$J$7:$J$80))</f>
        <v>9.053775</v>
      </c>
      <c r="H166" s="27" t="n">
        <f aca="false">DATOS!$C$10*G166</f>
        <v>52.96458375</v>
      </c>
      <c r="I166" s="27" t="n">
        <f aca="false">SUMIF(NODOS_TECHO!$C$7:$C$14,B166,NODOS_TECHO!$M$7:$M$14)</f>
        <v>0</v>
      </c>
      <c r="J166" s="21" t="n">
        <f aca="false">H166+I166</f>
        <v>52.96458375</v>
      </c>
      <c r="K166" s="14" t="str">
        <f aca="false">B166&amp;" FX "&amp;TEXT(J166,"0.0")&amp;" FZ "&amp;TEXT(J166,"0.0")</f>
        <v>192 FX 53.0 FZ 53.0</v>
      </c>
      <c r="L166" s="10" t="s">
        <v>586</v>
      </c>
    </row>
    <row r="167" customFormat="false" ht="19.5" hidden="false" customHeight="true" outlineLevel="0" collapsed="false">
      <c r="B167" s="39" t="n">
        <v>193</v>
      </c>
      <c r="C167" s="26" t="n">
        <v>10.08</v>
      </c>
      <c r="D167" s="26" t="n">
        <v>9.6</v>
      </c>
      <c r="E167" s="26" t="n">
        <v>0</v>
      </c>
      <c r="F167" s="14" t="s">
        <v>593</v>
      </c>
      <c r="G167" s="26" t="n">
        <f aca="false">0.5*(SUMIF($E$7:$E$80,B167,$J$7:$J$80)+SUMIF($F$7:$F$80,B167,$J$7:$J$80))</f>
        <v>9.053775</v>
      </c>
      <c r="H167" s="27" t="n">
        <f aca="false">DATOS!$C$10*G167</f>
        <v>52.96458375</v>
      </c>
      <c r="I167" s="27" t="n">
        <f aca="false">SUMIF(NODOS_TECHO!$C$7:$C$14,B167,NODOS_TECHO!$M$7:$M$14)</f>
        <v>0</v>
      </c>
      <c r="J167" s="21" t="n">
        <f aca="false">H167+I167</f>
        <v>52.96458375</v>
      </c>
      <c r="K167" s="14" t="str">
        <f aca="false">B167&amp;" FX "&amp;TEXT(J167,"0.0")&amp;" FZ "&amp;TEXT(J167,"0.0")</f>
        <v>193 FX 53.0 FZ 53.0</v>
      </c>
      <c r="L167" s="10" t="s">
        <v>586</v>
      </c>
    </row>
    <row r="168" customFormat="false" ht="19.5" hidden="false" customHeight="true" outlineLevel="0" collapsed="false">
      <c r="B168" s="39" t="n">
        <v>194</v>
      </c>
      <c r="C168" s="26" t="n">
        <v>0</v>
      </c>
      <c r="D168" s="26" t="n">
        <v>9.6</v>
      </c>
      <c r="E168" s="26" t="n">
        <v>6.75</v>
      </c>
      <c r="F168" s="14" t="s">
        <v>590</v>
      </c>
      <c r="G168" s="26" t="n">
        <f aca="false">0.5*(SUMIF($E$7:$E$80,B168,$J$7:$J$80)+SUMIF($F$7:$F$80,B168,$J$7:$J$80))</f>
        <v>6.345</v>
      </c>
      <c r="H168" s="27" t="n">
        <f aca="false">DATOS!$C$10*G168</f>
        <v>37.11825</v>
      </c>
      <c r="I168" s="27" t="n">
        <f aca="false">SUMIF(NODOS_TECHO!$C$7:$C$14,B168,NODOS_TECHO!$M$7:$M$14)</f>
        <v>0</v>
      </c>
      <c r="J168" s="21" t="n">
        <f aca="false">H168+I168</f>
        <v>37.11825</v>
      </c>
      <c r="K168" s="14" t="str">
        <f aca="false">B168&amp;" FX "&amp;TEXT(J168,"0.0")&amp;" FZ "&amp;TEXT(J168,"0.0")</f>
        <v>194 FX 37.1 FZ 37.1</v>
      </c>
      <c r="L168" s="10" t="s">
        <v>586</v>
      </c>
    </row>
    <row r="169" customFormat="false" ht="19.5" hidden="false" customHeight="true" outlineLevel="0" collapsed="false">
      <c r="B169" s="39" t="n">
        <v>195</v>
      </c>
      <c r="C169" s="26" t="n">
        <v>0</v>
      </c>
      <c r="D169" s="26" t="n">
        <v>9.6</v>
      </c>
      <c r="E169" s="26" t="n">
        <v>13.5</v>
      </c>
      <c r="F169" s="14" t="s">
        <v>587</v>
      </c>
      <c r="G169" s="26" t="n">
        <f aca="false">0.5*(SUMIF($E$7:$E$80,B169,$J$7:$J$80)+SUMIF($F$7:$F$80,B169,$J$7:$J$80))</f>
        <v>3.810625</v>
      </c>
      <c r="H169" s="27" t="n">
        <f aca="false">DATOS!$C$10*G169</f>
        <v>22.29215625</v>
      </c>
      <c r="I169" s="27" t="n">
        <f aca="false">SUMIF(NODOS_TECHO!$C$7:$C$14,B169,NODOS_TECHO!$M$7:$M$14)</f>
        <v>0</v>
      </c>
      <c r="J169" s="21" t="n">
        <f aca="false">H169+I169</f>
        <v>22.29215625</v>
      </c>
      <c r="K169" s="14" t="str">
        <f aca="false">B169&amp;" FX "&amp;TEXT(J169,"0.0")&amp;" FZ "&amp;TEXT(J169,"0.0")</f>
        <v>195 FX 22.3 FZ 22.3</v>
      </c>
      <c r="L169" s="10" t="s">
        <v>586</v>
      </c>
    </row>
    <row r="170" customFormat="false" ht="19.5" hidden="false" customHeight="true" outlineLevel="0" collapsed="false">
      <c r="B170" s="39" t="n">
        <v>196</v>
      </c>
      <c r="C170" s="26" t="n">
        <v>0</v>
      </c>
      <c r="D170" s="26" t="n">
        <v>9.6</v>
      </c>
      <c r="E170" s="26" t="n">
        <v>16</v>
      </c>
      <c r="F170" s="14" t="s">
        <v>589</v>
      </c>
      <c r="G170" s="26" t="n">
        <f aca="false">0.5*(SUMIF($E$7:$E$80,B170,$J$7:$J$80)+SUMIF($F$7:$F$80,B170,$J$7:$J$80))</f>
        <v>0.925</v>
      </c>
      <c r="H170" s="27" t="n">
        <f aca="false">DATOS!$C$10*G170</f>
        <v>5.41125</v>
      </c>
      <c r="I170" s="27" t="n">
        <f aca="false">SUMIF(NODOS_TECHO!$C$7:$C$14,B170,NODOS_TECHO!$M$7:$M$14)</f>
        <v>0</v>
      </c>
      <c r="J170" s="21" t="n">
        <f aca="false">H170+I170</f>
        <v>5.41125</v>
      </c>
      <c r="K170" s="14" t="str">
        <f aca="false">B170&amp;" FX "&amp;TEXT(J170,"0.0")&amp;" FZ "&amp;TEXT(J170,"0.0")</f>
        <v>196 FX 5.4 FZ 5.4</v>
      </c>
      <c r="L170" s="10" t="s">
        <v>586</v>
      </c>
    </row>
    <row r="171" customFormat="false" ht="19.5" hidden="false" customHeight="true" outlineLevel="0" collapsed="false">
      <c r="B171" s="39" t="n">
        <v>197</v>
      </c>
      <c r="C171" s="26" t="n">
        <v>10.08</v>
      </c>
      <c r="D171" s="26" t="n">
        <v>9.6</v>
      </c>
      <c r="E171" s="26" t="n">
        <v>6.75</v>
      </c>
      <c r="F171" s="14" t="s">
        <v>591</v>
      </c>
      <c r="G171" s="26" t="n">
        <f aca="false">0.5*(SUMIF($E$7:$E$80,B171,$J$7:$J$80)+SUMIF($F$7:$F$80,B171,$J$7:$J$80))</f>
        <v>6.345</v>
      </c>
      <c r="H171" s="27" t="n">
        <f aca="false">DATOS!$C$10*G171</f>
        <v>37.11825</v>
      </c>
      <c r="I171" s="27" t="n">
        <f aca="false">SUMIF(NODOS_TECHO!$C$7:$C$14,B171,NODOS_TECHO!$M$7:$M$14)</f>
        <v>0</v>
      </c>
      <c r="J171" s="21" t="n">
        <f aca="false">H171+I171</f>
        <v>37.11825</v>
      </c>
      <c r="K171" s="14" t="str">
        <f aca="false">B171&amp;" FX "&amp;TEXT(J171,"0.0")&amp;" FZ "&amp;TEXT(J171,"0.0")</f>
        <v>197 FX 37.1 FZ 37.1</v>
      </c>
      <c r="L171" s="10" t="s">
        <v>586</v>
      </c>
    </row>
    <row r="172" customFormat="false" ht="19.5" hidden="false" customHeight="true" outlineLevel="0" collapsed="false">
      <c r="B172" s="39" t="n">
        <v>198</v>
      </c>
      <c r="C172" s="26" t="n">
        <v>10.08</v>
      </c>
      <c r="D172" s="26" t="n">
        <v>9.6</v>
      </c>
      <c r="E172" s="26" t="n">
        <v>13.5</v>
      </c>
      <c r="F172" s="14" t="s">
        <v>588</v>
      </c>
      <c r="G172" s="26" t="n">
        <f aca="false">0.5*(SUMIF($E$7:$E$80,B172,$J$7:$J$80)+SUMIF($F$7:$F$80,B172,$J$7:$J$80))</f>
        <v>3.810625</v>
      </c>
      <c r="H172" s="27" t="n">
        <f aca="false">DATOS!$C$10*G172</f>
        <v>22.29215625</v>
      </c>
      <c r="I172" s="27" t="n">
        <f aca="false">SUMIF(NODOS_TECHO!$C$7:$C$14,B172,NODOS_TECHO!$M$7:$M$14)</f>
        <v>0</v>
      </c>
      <c r="J172" s="21" t="n">
        <f aca="false">H172+I172</f>
        <v>22.29215625</v>
      </c>
      <c r="K172" s="14" t="str">
        <f aca="false">B172&amp;" FX "&amp;TEXT(J172,"0.0")&amp;" FZ "&amp;TEXT(J172,"0.0")</f>
        <v>198 FX 22.3 FZ 22.3</v>
      </c>
      <c r="L172" s="10" t="s">
        <v>586</v>
      </c>
    </row>
    <row r="173" customFormat="false" ht="19.5" hidden="false" customHeight="true" outlineLevel="0" collapsed="false">
      <c r="B173" s="39" t="n">
        <v>199</v>
      </c>
      <c r="C173" s="26" t="n">
        <v>10.08</v>
      </c>
      <c r="D173" s="26" t="n">
        <v>9.6</v>
      </c>
      <c r="E173" s="26" t="n">
        <v>16</v>
      </c>
      <c r="F173" s="14" t="s">
        <v>585</v>
      </c>
      <c r="G173" s="26" t="n">
        <f aca="false">0.5*(SUMIF($E$7:$E$80,B173,$J$7:$J$80)+SUMIF($F$7:$F$80,B173,$J$7:$J$80))</f>
        <v>0.925</v>
      </c>
      <c r="H173" s="27" t="n">
        <f aca="false">DATOS!$C$10*G173</f>
        <v>5.41125</v>
      </c>
      <c r="I173" s="27" t="n">
        <f aca="false">SUMIF(NODOS_TECHO!$C$7:$C$14,B173,NODOS_TECHO!$M$7:$M$14)</f>
        <v>0</v>
      </c>
      <c r="J173" s="21" t="n">
        <f aca="false">H173+I173</f>
        <v>5.41125</v>
      </c>
      <c r="K173" s="14" t="str">
        <f aca="false">B173&amp;" FX "&amp;TEXT(J173,"0.0")&amp;" FZ "&amp;TEXT(J173,"0.0")</f>
        <v>199 FX 5.4 FZ 5.4</v>
      </c>
      <c r="L173" s="10" t="s">
        <v>586</v>
      </c>
    </row>
    <row r="174" customFormat="false" ht="19.5" hidden="false" customHeight="true" outlineLevel="0" collapsed="false">
      <c r="B174" s="39" t="n">
        <v>200</v>
      </c>
      <c r="C174" s="26" t="n">
        <v>0</v>
      </c>
      <c r="D174" s="26" t="n">
        <v>6.33</v>
      </c>
      <c r="E174" s="26" t="n">
        <v>0</v>
      </c>
      <c r="F174" s="14" t="s">
        <v>592</v>
      </c>
      <c r="G174" s="26" t="n">
        <f aca="false">0.5*(SUMIF($E$7:$E$80,B174,$J$7:$J$80)+SUMIF($F$7:$F$80,B174,$J$7:$J$80))</f>
        <v>0.74607</v>
      </c>
      <c r="H174" s="27" t="n">
        <f aca="false">DATOS!$C$10*G174</f>
        <v>4.3645095</v>
      </c>
      <c r="I174" s="27" t="n">
        <f aca="false">SUMIF(NODOS_TECHO!$C$7:$C$14,B174,NODOS_TECHO!$M$7:$M$14)</f>
        <v>0</v>
      </c>
      <c r="J174" s="21" t="n">
        <f aca="false">H174+I174</f>
        <v>4.3645095</v>
      </c>
      <c r="K174" s="14" t="str">
        <f aca="false">B174&amp;" FX "&amp;TEXT(J174,"0.0")&amp;" FZ "&amp;TEXT(J174,"0.0")</f>
        <v>200 FX 4.4 FZ 4.4</v>
      </c>
      <c r="L174" s="10" t="s">
        <v>586</v>
      </c>
    </row>
    <row r="175" customFormat="false" ht="19.5" hidden="false" customHeight="true" outlineLevel="0" collapsed="false">
      <c r="B175" s="39" t="n">
        <v>201</v>
      </c>
      <c r="C175" s="26" t="n">
        <v>10.08</v>
      </c>
      <c r="D175" s="26" t="n">
        <v>6.33</v>
      </c>
      <c r="E175" s="26" t="n">
        <v>0</v>
      </c>
      <c r="F175" s="14" t="s">
        <v>593</v>
      </c>
      <c r="G175" s="26" t="n">
        <f aca="false">0.5*(SUMIF($E$7:$E$80,B175,$J$7:$J$80)+SUMIF($F$7:$F$80,B175,$J$7:$J$80))</f>
        <v>0.74745</v>
      </c>
      <c r="H175" s="27" t="n">
        <f aca="false">DATOS!$C$10*G175</f>
        <v>4.3725825</v>
      </c>
      <c r="I175" s="27" t="n">
        <f aca="false">SUMIF(NODOS_TECHO!$C$7:$C$14,B175,NODOS_TECHO!$M$7:$M$14)</f>
        <v>0</v>
      </c>
      <c r="J175" s="21" t="n">
        <f aca="false">H175+I175</f>
        <v>4.3725825</v>
      </c>
      <c r="K175" s="14" t="str">
        <f aca="false">B175&amp;" FX "&amp;TEXT(J175,"0.0")&amp;" FZ "&amp;TEXT(J175,"0.0")</f>
        <v>201 FX 4.4 FZ 4.4</v>
      </c>
      <c r="L175" s="10" t="s">
        <v>586</v>
      </c>
    </row>
    <row r="176" customFormat="false" ht="24" hidden="false" customHeight="true" outlineLevel="0" collapsed="false">
      <c r="B176" s="25" t="s">
        <v>181</v>
      </c>
      <c r="C176" s="35" t="s">
        <v>598</v>
      </c>
      <c r="D176" s="35"/>
      <c r="E176" s="35"/>
      <c r="F176" s="35"/>
      <c r="G176" s="37" t="n">
        <f aca="false">SUM(G86:G175)</f>
        <v>377.186912</v>
      </c>
      <c r="H176" s="21" t="n">
        <f aca="false">SUM(H86:H175)</f>
        <v>2206.5434352</v>
      </c>
      <c r="I176" s="21" t="n">
        <f aca="false">SUM(I86:I175)</f>
        <v>3115.9296</v>
      </c>
      <c r="J176" s="21" t="n">
        <f aca="false">SUM(J86:J175)</f>
        <v>5322.4730352</v>
      </c>
      <c r="K176" s="25" t="str">
        <f aca="false">IF(AND(ABS(H176-RESUMEN!$C$15)&lt;0.5,ABS(I176-RESUMEN!$C$14)&lt;0.5),"CUADRA","NO CUADRA")</f>
        <v>CUADRA</v>
      </c>
      <c r="L176" s="10" t="s">
        <v>599</v>
      </c>
    </row>
  </sheetData>
  <mergeCells count="6">
    <mergeCell ref="B1:L1"/>
    <mergeCell ref="B2:L2"/>
    <mergeCell ref="B4:L4"/>
    <mergeCell ref="C81:I81"/>
    <mergeCell ref="B83:L83"/>
    <mergeCell ref="C176:F1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5" min="4" style="1" width="70"/>
  </cols>
  <sheetData>
    <row r="1" customFormat="false" ht="25.5" hidden="false" customHeight="true" outlineLevel="0" collapsed="false">
      <c r="B1" s="2" t="s">
        <v>600</v>
      </c>
      <c r="C1" s="2"/>
      <c r="D1" s="2"/>
      <c r="E1" s="2"/>
    </row>
    <row r="2" customFormat="false" ht="30" hidden="false" customHeight="true" outlineLevel="0" collapsed="false">
      <c r="B2" s="3" t="s">
        <v>601</v>
      </c>
      <c r="C2" s="3"/>
      <c r="D2" s="3"/>
      <c r="E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602</v>
      </c>
      <c r="C4" s="4"/>
      <c r="D4" s="4"/>
      <c r="E4" s="4"/>
    </row>
    <row r="5" customFormat="false" ht="30" hidden="false" customHeight="true" outlineLevel="0" collapsed="false">
      <c r="B5" s="5" t="s">
        <v>108</v>
      </c>
      <c r="C5" s="5" t="s">
        <v>603</v>
      </c>
      <c r="D5" s="5" t="s">
        <v>604</v>
      </c>
      <c r="E5" s="5" t="s">
        <v>605</v>
      </c>
    </row>
    <row r="6" customFormat="false" ht="14.25" hidden="false" customHeight="true" outlineLevel="0" collapsed="false">
      <c r="B6" s="25" t="s">
        <v>41</v>
      </c>
      <c r="C6" s="14" t="s">
        <v>41</v>
      </c>
      <c r="D6" s="14" t="s">
        <v>606</v>
      </c>
      <c r="E6" s="9" t="s">
        <v>607</v>
      </c>
    </row>
    <row r="7" customFormat="false" ht="14.25" hidden="false" customHeight="true" outlineLevel="0" collapsed="false">
      <c r="B7" s="25" t="str">
        <f aca="false">"N"&amp;NODOS_TECHO!C7</f>
        <v>N20</v>
      </c>
      <c r="C7" s="8" t="s">
        <v>608</v>
      </c>
      <c r="D7" s="6" t="str">
        <f aca="false">NODOS_TECHO!O7</f>
        <v>20 FY -328.6</v>
      </c>
      <c r="E7" s="9" t="s">
        <v>609</v>
      </c>
    </row>
    <row r="8" customFormat="false" ht="14.25" hidden="false" customHeight="true" outlineLevel="0" collapsed="false">
      <c r="B8" s="25" t="str">
        <f aca="false">"N"&amp;NODOS_TECHO!C8</f>
        <v>N21</v>
      </c>
      <c r="C8" s="8" t="s">
        <v>608</v>
      </c>
      <c r="D8" s="6" t="str">
        <f aca="false">NODOS_TECHO!O8</f>
        <v>21 FY -328.6</v>
      </c>
      <c r="E8" s="9" t="s">
        <v>609</v>
      </c>
    </row>
    <row r="9" customFormat="false" ht="14.25" hidden="false" customHeight="true" outlineLevel="0" collapsed="false">
      <c r="B9" s="25" t="str">
        <f aca="false">"N"&amp;NODOS_TECHO!C9</f>
        <v>N18</v>
      </c>
      <c r="C9" s="8" t="s">
        <v>608</v>
      </c>
      <c r="D9" s="6" t="str">
        <f aca="false">NODOS_TECHO!O9</f>
        <v>18 FY -657.3</v>
      </c>
      <c r="E9" s="9" t="s">
        <v>609</v>
      </c>
    </row>
    <row r="10" customFormat="false" ht="14.25" hidden="false" customHeight="true" outlineLevel="0" collapsed="false">
      <c r="B10" s="25" t="str">
        <f aca="false">"N"&amp;NODOS_TECHO!C10</f>
        <v>N19</v>
      </c>
      <c r="C10" s="8" t="s">
        <v>608</v>
      </c>
      <c r="D10" s="6" t="str">
        <f aca="false">NODOS_TECHO!O10</f>
        <v>19 FY -657.3</v>
      </c>
      <c r="E10" s="9" t="s">
        <v>609</v>
      </c>
    </row>
    <row r="11" customFormat="false" ht="14.25" hidden="false" customHeight="true" outlineLevel="0" collapsed="false">
      <c r="B11" s="25" t="str">
        <f aca="false">"N"&amp;NODOS_TECHO!C11</f>
        <v>N14</v>
      </c>
      <c r="C11" s="8" t="s">
        <v>608</v>
      </c>
      <c r="D11" s="6" t="str">
        <f aca="false">NODOS_TECHO!O11</f>
        <v>14 FY -450.3</v>
      </c>
      <c r="E11" s="9" t="s">
        <v>609</v>
      </c>
    </row>
    <row r="12" customFormat="false" ht="14.25" hidden="false" customHeight="true" outlineLevel="0" collapsed="false">
      <c r="B12" s="25" t="str">
        <f aca="false">"N"&amp;NODOS_TECHO!C12</f>
        <v>N15</v>
      </c>
      <c r="C12" s="8" t="s">
        <v>608</v>
      </c>
      <c r="D12" s="6" t="str">
        <f aca="false">NODOS_TECHO!O12</f>
        <v>15 FY -450.3</v>
      </c>
      <c r="E12" s="9" t="s">
        <v>609</v>
      </c>
    </row>
    <row r="13" customFormat="false" ht="14.25" hidden="false" customHeight="true" outlineLevel="0" collapsed="false">
      <c r="B13" s="25" t="str">
        <f aca="false">"N"&amp;NODOS_TECHO!C13</f>
        <v>N16</v>
      </c>
      <c r="C13" s="8" t="s">
        <v>608</v>
      </c>
      <c r="D13" s="6" t="str">
        <f aca="false">NODOS_TECHO!O13</f>
        <v>16 FY -121.7</v>
      </c>
      <c r="E13" s="9" t="s">
        <v>609</v>
      </c>
    </row>
    <row r="14" customFormat="false" ht="14.25" hidden="false" customHeight="true" outlineLevel="0" collapsed="false">
      <c r="B14" s="25" t="str">
        <f aca="false">"N"&amp;NODOS_TECHO!C14</f>
        <v>N13</v>
      </c>
      <c r="C14" s="8" t="s">
        <v>608</v>
      </c>
      <c r="D14" s="6" t="str">
        <f aca="false">NODOS_TECHO!O14</f>
        <v>13 FY -121.7</v>
      </c>
      <c r="E14" s="9" t="s">
        <v>609</v>
      </c>
    </row>
    <row r="15" customFormat="false" ht="14.25" hidden="false" customHeight="true" outlineLevel="0" collapsed="false">
      <c r="B15" s="25" t="s">
        <v>41</v>
      </c>
      <c r="C15" s="14" t="s">
        <v>41</v>
      </c>
      <c r="D15" s="14" t="s">
        <v>610</v>
      </c>
      <c r="E15" s="9" t="s">
        <v>611</v>
      </c>
    </row>
    <row r="16" customFormat="false" ht="14.25" hidden="false" customHeight="true" outlineLevel="0" collapsed="false">
      <c r="B16" s="25"/>
      <c r="C16" s="8"/>
      <c r="D16" s="6"/>
      <c r="E16" s="9"/>
    </row>
    <row r="17" customFormat="false" ht="14.25" hidden="false" customHeight="true" outlineLevel="0" collapsed="false">
      <c r="B17" s="25"/>
      <c r="C17" s="8"/>
      <c r="D17" s="6"/>
      <c r="E17" s="9"/>
    </row>
    <row r="18" customFormat="false" ht="14.25" hidden="false" customHeight="true" outlineLevel="0" collapsed="false">
      <c r="B18" s="25"/>
      <c r="C18" s="8"/>
      <c r="D18" s="6"/>
      <c r="E18" s="9"/>
    </row>
    <row r="19" customFormat="false" ht="14.25" hidden="false" customHeight="true" outlineLevel="0" collapsed="false">
      <c r="B19" s="25" t="s">
        <v>253</v>
      </c>
      <c r="C19" s="8" t="s">
        <v>612</v>
      </c>
      <c r="D19" s="6" t="str">
        <f aca="false">"261 UNI GY "&amp;TEXT(-MUROS!P7/100,"0.0000")</f>
        <v>261 UNI GY -0.0702</v>
      </c>
      <c r="E19" s="9" t="s">
        <v>613</v>
      </c>
    </row>
    <row r="20" customFormat="false" ht="14.25" hidden="false" customHeight="true" outlineLevel="0" collapsed="false">
      <c r="B20" s="25" t="s">
        <v>257</v>
      </c>
      <c r="C20" s="8" t="s">
        <v>612</v>
      </c>
      <c r="D20" s="6" t="str">
        <f aca="false">"260 UNI GY "&amp;TEXT(-MUROS!P8/100,"0.0000")</f>
        <v>260 UNI GY -0.0702</v>
      </c>
      <c r="E20" s="9" t="s">
        <v>613</v>
      </c>
    </row>
    <row r="21" customFormat="false" ht="14.25" hidden="false" customHeight="true" outlineLevel="0" collapsed="false">
      <c r="B21" s="25" t="s">
        <v>260</v>
      </c>
      <c r="C21" s="8" t="s">
        <v>612</v>
      </c>
      <c r="D21" s="6" t="str">
        <f aca="false">"259 UNI GY "&amp;TEXT(-MUROS!P9/100,"0.0000")</f>
        <v>259 UNI GY -0.0702</v>
      </c>
      <c r="E21" s="9" t="s">
        <v>613</v>
      </c>
    </row>
    <row r="22" customFormat="false" ht="14.25" hidden="false" customHeight="true" outlineLevel="0" collapsed="false">
      <c r="B22" s="25" t="s">
        <v>263</v>
      </c>
      <c r="C22" s="8" t="s">
        <v>612</v>
      </c>
      <c r="D22" s="6" t="str">
        <f aca="false">"270 UNI GY "&amp;TEXT(-MUROS!P10/100,"0.0000")</f>
        <v>270 UNI GY -0.0702</v>
      </c>
      <c r="E22" s="9" t="s">
        <v>613</v>
      </c>
    </row>
    <row r="23" customFormat="false" ht="14.25" hidden="false" customHeight="true" outlineLevel="0" collapsed="false">
      <c r="B23" s="25" t="s">
        <v>265</v>
      </c>
      <c r="C23" s="8" t="s">
        <v>612</v>
      </c>
      <c r="D23" s="6" t="str">
        <f aca="false">"269 UNI GY "&amp;TEXT(-MUROS!P11/100,"0.0000")</f>
        <v>269 UNI GY -0.0702</v>
      </c>
      <c r="E23" s="9" t="s">
        <v>613</v>
      </c>
    </row>
    <row r="24" customFormat="false" ht="14.25" hidden="false" customHeight="true" outlineLevel="0" collapsed="false">
      <c r="B24" s="25" t="s">
        <v>267</v>
      </c>
      <c r="C24" s="8" t="s">
        <v>612</v>
      </c>
      <c r="D24" s="6" t="str">
        <f aca="false">"268 UNI GY "&amp;TEXT(-MUROS!P12/100,"0.0000")</f>
        <v>268 UNI GY -0.0702</v>
      </c>
      <c r="E24" s="9" t="s">
        <v>613</v>
      </c>
    </row>
    <row r="25" customFormat="false" ht="14.25" hidden="false" customHeight="true" outlineLevel="0" collapsed="false">
      <c r="B25" s="25" t="s">
        <v>269</v>
      </c>
      <c r="C25" s="8" t="s">
        <v>612</v>
      </c>
      <c r="D25" s="6" t="str">
        <f aca="false">"279 UNI GY "&amp;TEXT(-MUROS!P13/100,"0.0000")</f>
        <v>279 UNI GY -0.0702</v>
      </c>
      <c r="E25" s="9" t="s">
        <v>613</v>
      </c>
    </row>
    <row r="26" customFormat="false" ht="14.25" hidden="false" customHeight="true" outlineLevel="0" collapsed="false">
      <c r="B26" s="25" t="s">
        <v>271</v>
      </c>
      <c r="C26" s="8" t="s">
        <v>612</v>
      </c>
      <c r="D26" s="6" t="str">
        <f aca="false">"278 UNI GY "&amp;TEXT(-MUROS!P14/100,"0.0000")</f>
        <v>278 UNI GY -0.0702</v>
      </c>
      <c r="E26" s="9" t="s">
        <v>613</v>
      </c>
    </row>
    <row r="27" customFormat="false" ht="14.25" hidden="false" customHeight="true" outlineLevel="0" collapsed="false">
      <c r="B27" s="25" t="s">
        <v>273</v>
      </c>
      <c r="C27" s="8" t="s">
        <v>612</v>
      </c>
      <c r="D27" s="6" t="str">
        <f aca="false">"277 UNI GY "&amp;TEXT(-MUROS!P15/100,"0.0000")</f>
        <v>277 UNI GY -0.0702</v>
      </c>
      <c r="E27" s="9" t="s">
        <v>613</v>
      </c>
    </row>
    <row r="28" customFormat="false" ht="14.25" hidden="false" customHeight="true" outlineLevel="0" collapsed="false">
      <c r="B28" s="25" t="s">
        <v>275</v>
      </c>
      <c r="C28" s="8" t="s">
        <v>612</v>
      </c>
      <c r="D28" s="6" t="str">
        <f aca="false">"289 UNI GY "&amp;TEXT(-MUROS!P16/100,"0.0000")</f>
        <v>289 UNI GY -0.0702</v>
      </c>
      <c r="E28" s="9" t="s">
        <v>613</v>
      </c>
    </row>
    <row r="29" customFormat="false" ht="14.25" hidden="false" customHeight="true" outlineLevel="0" collapsed="false">
      <c r="B29" s="25" t="s">
        <v>277</v>
      </c>
      <c r="C29" s="8" t="s">
        <v>612</v>
      </c>
      <c r="D29" s="6" t="str">
        <f aca="false">"288 UNI GY "&amp;TEXT(-MUROS!P17/100,"0.0000")</f>
        <v>288 UNI GY -0.0702</v>
      </c>
      <c r="E29" s="9" t="s">
        <v>613</v>
      </c>
    </row>
    <row r="30" customFormat="false" ht="14.25" hidden="false" customHeight="true" outlineLevel="0" collapsed="false">
      <c r="B30" s="25" t="s">
        <v>279</v>
      </c>
      <c r="C30" s="8" t="s">
        <v>612</v>
      </c>
      <c r="D30" s="6" t="str">
        <f aca="false">"287 UNI GY "&amp;TEXT(-MUROS!P18/100,"0.0000")</f>
        <v>287 UNI GY -0.0702</v>
      </c>
      <c r="E30" s="9" t="s">
        <v>613</v>
      </c>
    </row>
    <row r="31" customFormat="false" ht="14.25" hidden="false" customHeight="true" outlineLevel="0" collapsed="false">
      <c r="B31" s="25" t="s">
        <v>281</v>
      </c>
      <c r="C31" s="8" t="s">
        <v>612</v>
      </c>
      <c r="D31" s="6" t="str">
        <f aca="false">"297 UNI GY "&amp;TEXT(-MUROS!P19/100,"0.0000")</f>
        <v>297 UNI GY -0.0702</v>
      </c>
      <c r="E31" s="9" t="s">
        <v>613</v>
      </c>
    </row>
    <row r="32" customFormat="false" ht="14.25" hidden="false" customHeight="true" outlineLevel="0" collapsed="false">
      <c r="B32" s="25" t="s">
        <v>283</v>
      </c>
      <c r="C32" s="8" t="s">
        <v>612</v>
      </c>
      <c r="D32" s="6" t="str">
        <f aca="false">"296 UNI GY "&amp;TEXT(-MUROS!P20/100,"0.0000")</f>
        <v>296 UNI GY -0.0702</v>
      </c>
      <c r="E32" s="9" t="s">
        <v>613</v>
      </c>
    </row>
    <row r="33" customFormat="false" ht="14.25" hidden="false" customHeight="true" outlineLevel="0" collapsed="false">
      <c r="B33" s="25" t="s">
        <v>285</v>
      </c>
      <c r="C33" s="8" t="s">
        <v>612</v>
      </c>
      <c r="D33" s="6" t="str">
        <f aca="false">"295 UNI GY "&amp;TEXT(-MUROS!P21/100,"0.0000")</f>
        <v>295 UNI GY -0.0702</v>
      </c>
      <c r="E33" s="9" t="s">
        <v>613</v>
      </c>
    </row>
    <row r="34" customFormat="false" ht="14.25" hidden="false" customHeight="true" outlineLevel="0" collapsed="false">
      <c r="B34" s="25" t="s">
        <v>287</v>
      </c>
      <c r="C34" s="8" t="s">
        <v>612</v>
      </c>
      <c r="D34" s="6" t="str">
        <f aca="false">"305 UNI GY "&amp;TEXT(-MUROS!P22/100,"0.0000")</f>
        <v>305 UNI GY -0.0702</v>
      </c>
      <c r="E34" s="9" t="s">
        <v>613</v>
      </c>
    </row>
    <row r="35" customFormat="false" ht="14.25" hidden="false" customHeight="true" outlineLevel="0" collapsed="false">
      <c r="B35" s="25" t="s">
        <v>289</v>
      </c>
      <c r="C35" s="8" t="s">
        <v>612</v>
      </c>
      <c r="D35" s="6" t="str">
        <f aca="false">"304 UNI GY "&amp;TEXT(-MUROS!P23/100,"0.0000")</f>
        <v>304 UNI GY -0.0702</v>
      </c>
      <c r="E35" s="9" t="s">
        <v>613</v>
      </c>
    </row>
    <row r="36" customFormat="false" ht="14.25" hidden="false" customHeight="true" outlineLevel="0" collapsed="false">
      <c r="B36" s="25" t="s">
        <v>291</v>
      </c>
      <c r="C36" s="8" t="s">
        <v>612</v>
      </c>
      <c r="D36" s="6" t="str">
        <f aca="false">"303 UNI GY "&amp;TEXT(-MUROS!P24/100,"0.0000")</f>
        <v>303 UNI GY -0.0702</v>
      </c>
      <c r="E36" s="9" t="s">
        <v>613</v>
      </c>
    </row>
    <row r="37" customFormat="false" ht="14.25" hidden="false" customHeight="true" outlineLevel="0" collapsed="false">
      <c r="B37" s="25" t="s">
        <v>293</v>
      </c>
      <c r="C37" s="8" t="s">
        <v>612</v>
      </c>
      <c r="D37" s="6" t="str">
        <f aca="false">"314 UNI GY "&amp;TEXT(-MUROS!P25/100,"0.0000")</f>
        <v>314 UNI GY -0.0702</v>
      </c>
      <c r="E37" s="9" t="s">
        <v>613</v>
      </c>
    </row>
    <row r="38" customFormat="false" ht="14.25" hidden="false" customHeight="true" outlineLevel="0" collapsed="false">
      <c r="B38" s="25" t="s">
        <v>295</v>
      </c>
      <c r="C38" s="8" t="s">
        <v>612</v>
      </c>
      <c r="D38" s="6" t="str">
        <f aca="false">"313 UNI GY "&amp;TEXT(-MUROS!P26/100,"0.0000")</f>
        <v>313 UNI GY -0.0702</v>
      </c>
      <c r="E38" s="9" t="s">
        <v>613</v>
      </c>
    </row>
    <row r="39" customFormat="false" ht="14.25" hidden="false" customHeight="true" outlineLevel="0" collapsed="false">
      <c r="B39" s="25" t="s">
        <v>297</v>
      </c>
      <c r="C39" s="8" t="s">
        <v>612</v>
      </c>
      <c r="D39" s="6" t="str">
        <f aca="false">"312 UNI GY "&amp;TEXT(-MUROS!P27/100,"0.0000")</f>
        <v>312 UNI GY -0.0702</v>
      </c>
      <c r="E39" s="9" t="s">
        <v>613</v>
      </c>
    </row>
    <row r="40" customFormat="false" ht="14.25" hidden="false" customHeight="true" outlineLevel="0" collapsed="false">
      <c r="B40" s="25" t="s">
        <v>299</v>
      </c>
      <c r="C40" s="8" t="s">
        <v>612</v>
      </c>
      <c r="D40" s="6" t="str">
        <f aca="false">"317 UNI GY "&amp;TEXT(-MUROS!P28/100,"0.0000")</f>
        <v>317 UNI GY -0.0600</v>
      </c>
      <c r="E40" s="9" t="s">
        <v>613</v>
      </c>
    </row>
    <row r="41" customFormat="false" ht="14.25" hidden="false" customHeight="true" outlineLevel="0" collapsed="false">
      <c r="B41" s="25" t="s">
        <v>301</v>
      </c>
      <c r="C41" s="8" t="s">
        <v>612</v>
      </c>
      <c r="D41" s="6" t="str">
        <f aca="false">"316 UNI GY "&amp;TEXT(-MUROS!P29/100,"0.0000")</f>
        <v>316 UNI GY -0.0500</v>
      </c>
      <c r="E41" s="9" t="s">
        <v>613</v>
      </c>
    </row>
    <row r="42" customFormat="false" ht="14.25" hidden="false" customHeight="true" outlineLevel="0" collapsed="false">
      <c r="B42" s="25" t="s">
        <v>303</v>
      </c>
      <c r="C42" s="8" t="s">
        <v>612</v>
      </c>
      <c r="D42" s="6" t="str">
        <f aca="false">"315 UNI GY "&amp;TEXT(-MUROS!P30/100,"0.0000")</f>
        <v>315 UNI GY -0.0433</v>
      </c>
      <c r="E42" s="9" t="s">
        <v>613</v>
      </c>
    </row>
    <row r="43" customFormat="false" ht="14.25" hidden="false" customHeight="true" outlineLevel="0" collapsed="false">
      <c r="B43" s="25" t="s">
        <v>305</v>
      </c>
      <c r="C43" s="8" t="s">
        <v>612</v>
      </c>
      <c r="D43" s="6" t="str">
        <f aca="false">"265 UNI GY "&amp;TEXT(-MUROS!P31/100,"0.0000")</f>
        <v>265 UNI GY -0.0702</v>
      </c>
      <c r="E43" s="9" t="s">
        <v>613</v>
      </c>
    </row>
    <row r="44" customFormat="false" ht="14.25" hidden="false" customHeight="true" outlineLevel="0" collapsed="false">
      <c r="B44" s="25" t="s">
        <v>308</v>
      </c>
      <c r="C44" s="8" t="s">
        <v>612</v>
      </c>
      <c r="D44" s="6" t="str">
        <f aca="false">"266 UNI GY "&amp;TEXT(-MUROS!P32/100,"0.0000")</f>
        <v>266 UNI GY -0.0702</v>
      </c>
      <c r="E44" s="9" t="s">
        <v>613</v>
      </c>
    </row>
    <row r="45" customFormat="false" ht="14.25" hidden="false" customHeight="true" outlineLevel="0" collapsed="false">
      <c r="B45" s="25" t="s">
        <v>310</v>
      </c>
      <c r="C45" s="8" t="s">
        <v>612</v>
      </c>
      <c r="D45" s="6" t="str">
        <f aca="false">"267 UNI GY "&amp;TEXT(-MUROS!P33/100,"0.0000")</f>
        <v>267 UNI GY -0.0702</v>
      </c>
      <c r="E45" s="9" t="s">
        <v>613</v>
      </c>
    </row>
    <row r="46" customFormat="false" ht="14.25" hidden="false" customHeight="true" outlineLevel="0" collapsed="false">
      <c r="B46" s="25" t="s">
        <v>312</v>
      </c>
      <c r="C46" s="8" t="s">
        <v>612</v>
      </c>
      <c r="D46" s="6" t="str">
        <f aca="false">"274 UNI GY "&amp;TEXT(-MUROS!P34/100,"0.0000")</f>
        <v>274 UNI GY -0.0702</v>
      </c>
      <c r="E46" s="9" t="s">
        <v>613</v>
      </c>
    </row>
    <row r="47" customFormat="false" ht="14.25" hidden="false" customHeight="true" outlineLevel="0" collapsed="false">
      <c r="B47" s="25" t="s">
        <v>314</v>
      </c>
      <c r="C47" s="8" t="s">
        <v>612</v>
      </c>
      <c r="D47" s="6" t="str">
        <f aca="false">"275 UNI GY "&amp;TEXT(-MUROS!P35/100,"0.0000")</f>
        <v>275 UNI GY -0.0702</v>
      </c>
      <c r="E47" s="9" t="s">
        <v>613</v>
      </c>
    </row>
    <row r="48" customFormat="false" ht="14.25" hidden="false" customHeight="true" outlineLevel="0" collapsed="false">
      <c r="B48" s="25" t="s">
        <v>316</v>
      </c>
      <c r="C48" s="8" t="s">
        <v>612</v>
      </c>
      <c r="D48" s="6" t="str">
        <f aca="false">"276 UNI GY "&amp;TEXT(-MUROS!P36/100,"0.0000")</f>
        <v>276 UNI GY -0.0702</v>
      </c>
      <c r="E48" s="9" t="s">
        <v>613</v>
      </c>
    </row>
    <row r="49" customFormat="false" ht="14.25" hidden="false" customHeight="true" outlineLevel="0" collapsed="false">
      <c r="B49" s="25" t="s">
        <v>318</v>
      </c>
      <c r="C49" s="8" t="s">
        <v>612</v>
      </c>
      <c r="D49" s="6" t="str">
        <f aca="false">"283 UNI GY "&amp;TEXT(-MUROS!P37/100,"0.0000")</f>
        <v>283 UNI GY -0.0702</v>
      </c>
      <c r="E49" s="9" t="s">
        <v>613</v>
      </c>
    </row>
    <row r="50" customFormat="false" ht="14.25" hidden="false" customHeight="true" outlineLevel="0" collapsed="false">
      <c r="B50" s="25" t="s">
        <v>320</v>
      </c>
      <c r="C50" s="8" t="s">
        <v>612</v>
      </c>
      <c r="D50" s="6" t="str">
        <f aca="false">"284 UNI GY "&amp;TEXT(-MUROS!P38/100,"0.0000")</f>
        <v>284 UNI GY -0.0702</v>
      </c>
      <c r="E50" s="9" t="s">
        <v>613</v>
      </c>
    </row>
    <row r="51" customFormat="false" ht="14.25" hidden="false" customHeight="true" outlineLevel="0" collapsed="false">
      <c r="B51" s="25" t="s">
        <v>322</v>
      </c>
      <c r="C51" s="8" t="s">
        <v>612</v>
      </c>
      <c r="D51" s="6" t="str">
        <f aca="false">"285 UNI GY "&amp;TEXT(-MUROS!P39/100,"0.0000")</f>
        <v>285 UNI GY -0.0702</v>
      </c>
      <c r="E51" s="9" t="s">
        <v>613</v>
      </c>
    </row>
    <row r="52" customFormat="false" ht="14.25" hidden="false" customHeight="true" outlineLevel="0" collapsed="false">
      <c r="B52" s="25" t="s">
        <v>324</v>
      </c>
      <c r="C52" s="8" t="s">
        <v>612</v>
      </c>
      <c r="D52" s="6" t="str">
        <f aca="false">"292 UNI GY "&amp;TEXT(-MUROS!P40/100,"0.0000")</f>
        <v>292 UNI GY -0.0702</v>
      </c>
      <c r="E52" s="9" t="s">
        <v>613</v>
      </c>
    </row>
    <row r="53" customFormat="false" ht="14.25" hidden="false" customHeight="true" outlineLevel="0" collapsed="false">
      <c r="B53" s="25" t="s">
        <v>326</v>
      </c>
      <c r="C53" s="8" t="s">
        <v>612</v>
      </c>
      <c r="D53" s="6" t="str">
        <f aca="false">"293 UNI GY "&amp;TEXT(-MUROS!P41/100,"0.0000")</f>
        <v>293 UNI GY -0.0702</v>
      </c>
      <c r="E53" s="9" t="s">
        <v>613</v>
      </c>
    </row>
    <row r="54" customFormat="false" ht="14.25" hidden="false" customHeight="true" outlineLevel="0" collapsed="false">
      <c r="B54" s="25" t="s">
        <v>328</v>
      </c>
      <c r="C54" s="8" t="s">
        <v>612</v>
      </c>
      <c r="D54" s="6" t="str">
        <f aca="false">"294 UNI GY "&amp;TEXT(-MUROS!P42/100,"0.0000")</f>
        <v>294 UNI GY -0.0702</v>
      </c>
      <c r="E54" s="9" t="s">
        <v>613</v>
      </c>
    </row>
    <row r="55" customFormat="false" ht="14.25" hidden="false" customHeight="true" outlineLevel="0" collapsed="false">
      <c r="B55" s="25" t="s">
        <v>330</v>
      </c>
      <c r="C55" s="8" t="s">
        <v>612</v>
      </c>
      <c r="D55" s="6" t="str">
        <f aca="false">"300 UNI GY "&amp;TEXT(-MUROS!P43/100,"0.0000")</f>
        <v>300 UNI GY -0.0702</v>
      </c>
      <c r="E55" s="9" t="s">
        <v>613</v>
      </c>
    </row>
    <row r="56" customFormat="false" ht="14.25" hidden="false" customHeight="true" outlineLevel="0" collapsed="false">
      <c r="B56" s="25" t="s">
        <v>332</v>
      </c>
      <c r="C56" s="8" t="s">
        <v>612</v>
      </c>
      <c r="D56" s="6" t="str">
        <f aca="false">"301 UNI GY "&amp;TEXT(-MUROS!P44/100,"0.0000")</f>
        <v>301 UNI GY -0.0702</v>
      </c>
      <c r="E56" s="9" t="s">
        <v>613</v>
      </c>
    </row>
    <row r="57" customFormat="false" ht="14.25" hidden="false" customHeight="true" outlineLevel="0" collapsed="false">
      <c r="B57" s="25" t="s">
        <v>334</v>
      </c>
      <c r="C57" s="8" t="s">
        <v>612</v>
      </c>
      <c r="D57" s="6" t="str">
        <f aca="false">"302 UNI GY "&amp;TEXT(-MUROS!P45/100,"0.0000")</f>
        <v>302 UNI GY -0.0702</v>
      </c>
      <c r="E57" s="9" t="s">
        <v>613</v>
      </c>
    </row>
    <row r="58" customFormat="false" ht="14.25" hidden="false" customHeight="true" outlineLevel="0" collapsed="false">
      <c r="B58" s="25" t="s">
        <v>336</v>
      </c>
      <c r="C58" s="8" t="s">
        <v>612</v>
      </c>
      <c r="D58" s="6" t="str">
        <f aca="false">"307 UNI GY "&amp;TEXT(-MUROS!P46/100,"0.0000")</f>
        <v>307 UNI GY -0.0702</v>
      </c>
      <c r="E58" s="9" t="s">
        <v>613</v>
      </c>
    </row>
    <row r="59" customFormat="false" ht="14.25" hidden="false" customHeight="true" outlineLevel="0" collapsed="false">
      <c r="B59" s="25" t="s">
        <v>338</v>
      </c>
      <c r="C59" s="8" t="s">
        <v>612</v>
      </c>
      <c r="D59" s="6" t="str">
        <f aca="false">"308 UNI GY "&amp;TEXT(-MUROS!P47/100,"0.0000")</f>
        <v>308 UNI GY -0.0702</v>
      </c>
      <c r="E59" s="9" t="s">
        <v>613</v>
      </c>
    </row>
    <row r="60" customFormat="false" ht="14.25" hidden="false" customHeight="true" outlineLevel="0" collapsed="false">
      <c r="B60" s="25" t="s">
        <v>340</v>
      </c>
      <c r="C60" s="8" t="s">
        <v>612</v>
      </c>
      <c r="D60" s="6" t="str">
        <f aca="false">"309 UNI GY "&amp;TEXT(-MUROS!P48/100,"0.0000")</f>
        <v>309 UNI GY -0.0702</v>
      </c>
      <c r="E60" s="9" t="s">
        <v>613</v>
      </c>
    </row>
    <row r="61" customFormat="false" ht="14.25" hidden="false" customHeight="true" outlineLevel="0" collapsed="false">
      <c r="B61" s="25" t="s">
        <v>342</v>
      </c>
      <c r="C61" s="8" t="s">
        <v>612</v>
      </c>
      <c r="D61" s="6" t="str">
        <f aca="false">"318 UNI GY "&amp;TEXT(-MUROS!P49/100,"0.0000")</f>
        <v>318 UNI GY -0.0702</v>
      </c>
      <c r="E61" s="9" t="s">
        <v>613</v>
      </c>
    </row>
    <row r="62" customFormat="false" ht="14.25" hidden="false" customHeight="true" outlineLevel="0" collapsed="false">
      <c r="B62" s="25" t="s">
        <v>344</v>
      </c>
      <c r="C62" s="8" t="s">
        <v>612</v>
      </c>
      <c r="D62" s="6" t="str">
        <f aca="false">"311 UNI GY "&amp;TEXT(-MUROS!P50/100,"0.0000")</f>
        <v>311 UNI GY -0.0702</v>
      </c>
      <c r="E62" s="9" t="s">
        <v>613</v>
      </c>
    </row>
    <row r="63" customFormat="false" ht="14.25" hidden="false" customHeight="true" outlineLevel="0" collapsed="false">
      <c r="B63" s="25" t="s">
        <v>346</v>
      </c>
      <c r="C63" s="8" t="s">
        <v>612</v>
      </c>
      <c r="D63" s="6" t="str">
        <f aca="false">"310 UNI GY "&amp;TEXT(-MUROS!P51/100,"0.0000")</f>
        <v>310 UNI GY -0.0702</v>
      </c>
      <c r="E63" s="9" t="s">
        <v>613</v>
      </c>
    </row>
    <row r="64" customFormat="false" ht="14.25" hidden="false" customHeight="true" outlineLevel="0" collapsed="false">
      <c r="B64" s="25" t="s">
        <v>348</v>
      </c>
      <c r="C64" s="8" t="s">
        <v>612</v>
      </c>
      <c r="D64" s="6" t="str">
        <f aca="false">"321 UNI GY "&amp;TEXT(-MUROS!P52/100,"0.0000")</f>
        <v>321 UNI GY -0.0600</v>
      </c>
      <c r="E64" s="9" t="s">
        <v>613</v>
      </c>
    </row>
    <row r="65" customFormat="false" ht="14.25" hidden="false" customHeight="true" outlineLevel="0" collapsed="false">
      <c r="B65" s="25" t="s">
        <v>350</v>
      </c>
      <c r="C65" s="8" t="s">
        <v>612</v>
      </c>
      <c r="D65" s="6" t="str">
        <f aca="false">"320 UNI GY "&amp;TEXT(-MUROS!P53/100,"0.0000")</f>
        <v>320 UNI GY -0.0500</v>
      </c>
      <c r="E65" s="9" t="s">
        <v>613</v>
      </c>
    </row>
    <row r="66" customFormat="false" ht="14.25" hidden="false" customHeight="true" outlineLevel="0" collapsed="false">
      <c r="B66" s="25" t="s">
        <v>352</v>
      </c>
      <c r="C66" s="8" t="s">
        <v>612</v>
      </c>
      <c r="D66" s="6" t="str">
        <f aca="false">"319 UNI GY "&amp;TEXT(-MUROS!P54/100,"0.0000")</f>
        <v>319 UNI GY -0.0433</v>
      </c>
      <c r="E66" s="9" t="s">
        <v>613</v>
      </c>
    </row>
    <row r="67" customFormat="false" ht="14.25" hidden="false" customHeight="true" outlineLevel="0" collapsed="false">
      <c r="B67" s="25" t="s">
        <v>202</v>
      </c>
      <c r="C67" s="8" t="s">
        <v>612</v>
      </c>
      <c r="D67" s="6" t="str">
        <f aca="false">"60 UNI GY "&amp;TEXT(-MUROS!P61/100,"0.0000")</f>
        <v>60 UNI GY -0.0288</v>
      </c>
      <c r="E67" s="9" t="s">
        <v>614</v>
      </c>
    </row>
    <row r="68" customFormat="false" ht="14.25" hidden="false" customHeight="true" outlineLevel="0" collapsed="false">
      <c r="B68" s="25" t="s">
        <v>202</v>
      </c>
      <c r="C68" s="8" t="s">
        <v>612</v>
      </c>
      <c r="D68" s="6" t="str">
        <f aca="false">"59 UNI GY "&amp;TEXT(-MUROS!P62/100,"0.0000")</f>
        <v>59 UNI GY -0.0269</v>
      </c>
      <c r="E68" s="9" t="s">
        <v>614</v>
      </c>
    </row>
    <row r="69" customFormat="false" ht="14.25" hidden="false" customHeight="true" outlineLevel="0" collapsed="false">
      <c r="B69" s="25" t="s">
        <v>202</v>
      </c>
      <c r="C69" s="8" t="s">
        <v>612</v>
      </c>
      <c r="D69" s="6" t="str">
        <f aca="false">"58 UNI GY "&amp;TEXT(-MUROS!P63/100,"0.0000")</f>
        <v>58 UNI GY -0.0249</v>
      </c>
      <c r="E69" s="9" t="s">
        <v>614</v>
      </c>
    </row>
    <row r="70" customFormat="false" ht="14.25" hidden="false" customHeight="true" outlineLevel="0" collapsed="false">
      <c r="B70" s="25" t="s">
        <v>202</v>
      </c>
      <c r="C70" s="8" t="s">
        <v>612</v>
      </c>
      <c r="D70" s="6" t="str">
        <f aca="false">"57 UNI GY "&amp;TEXT(-MUROS!P64/100,"0.0000")</f>
        <v>57 UNI GY -0.0229</v>
      </c>
      <c r="E70" s="9" t="s">
        <v>614</v>
      </c>
    </row>
    <row r="71" customFormat="false" ht="14.25" hidden="false" customHeight="true" outlineLevel="0" collapsed="false">
      <c r="B71" s="25" t="s">
        <v>202</v>
      </c>
      <c r="C71" s="8" t="s">
        <v>612</v>
      </c>
      <c r="D71" s="6" t="str">
        <f aca="false">"10 UNI GY "&amp;TEXT(-MUROS!P65/100,"0.0000")</f>
        <v>10 UNI GY -0.0209</v>
      </c>
      <c r="E71" s="9" t="s">
        <v>614</v>
      </c>
    </row>
    <row r="72" customFormat="false" ht="14.25" hidden="false" customHeight="true" outlineLevel="0" collapsed="false">
      <c r="B72" s="25" t="s">
        <v>207</v>
      </c>
      <c r="C72" s="8" t="s">
        <v>612</v>
      </c>
      <c r="D72" s="6" t="str">
        <f aca="false">"68 UNI GY "&amp;TEXT(-MUROS!P66/100,"0.0000")</f>
        <v>68 UNI GY -0.0189</v>
      </c>
      <c r="E72" s="9" t="s">
        <v>614</v>
      </c>
    </row>
    <row r="73" customFormat="false" ht="14.25" hidden="false" customHeight="true" outlineLevel="0" collapsed="false">
      <c r="B73" s="25" t="s">
        <v>207</v>
      </c>
      <c r="C73" s="8" t="s">
        <v>612</v>
      </c>
      <c r="D73" s="6" t="str">
        <f aca="false">"67 UNI GY "&amp;TEXT(-MUROS!P67/100,"0.0000")</f>
        <v>67 UNI GY -0.0169</v>
      </c>
      <c r="E73" s="9" t="s">
        <v>614</v>
      </c>
    </row>
    <row r="74" customFormat="false" ht="14.25" hidden="false" customHeight="true" outlineLevel="0" collapsed="false">
      <c r="B74" s="25" t="s">
        <v>207</v>
      </c>
      <c r="C74" s="8" t="s">
        <v>612</v>
      </c>
      <c r="D74" s="6" t="str">
        <f aca="false">"66 UNI GY "&amp;TEXT(-MUROS!P68/100,"0.0000")</f>
        <v>66 UNI GY -0.0149</v>
      </c>
      <c r="E74" s="9" t="s">
        <v>614</v>
      </c>
    </row>
    <row r="75" customFormat="false" ht="14.25" hidden="false" customHeight="true" outlineLevel="0" collapsed="false">
      <c r="B75" s="25" t="s">
        <v>207</v>
      </c>
      <c r="C75" s="8" t="s">
        <v>612</v>
      </c>
      <c r="D75" s="6" t="str">
        <f aca="false">"65 UNI GY "&amp;TEXT(-MUROS!P69/100,"0.0000")</f>
        <v>65 UNI GY -0.0129</v>
      </c>
      <c r="E75" s="9" t="s">
        <v>614</v>
      </c>
    </row>
    <row r="76" customFormat="false" ht="14.25" hidden="false" customHeight="true" outlineLevel="0" collapsed="false">
      <c r="B76" s="25" t="s">
        <v>207</v>
      </c>
      <c r="C76" s="8" t="s">
        <v>612</v>
      </c>
      <c r="D76" s="6" t="str">
        <f aca="false">"43 UNI GY "&amp;TEXT(-MUROS!P70/100,"0.0000")</f>
        <v>43 UNI GY -0.0109</v>
      </c>
      <c r="E76" s="9" t="s">
        <v>614</v>
      </c>
    </row>
    <row r="77" customFormat="false" ht="14.25" hidden="false" customHeight="true" outlineLevel="0" collapsed="false">
      <c r="B77" s="25" t="s">
        <v>212</v>
      </c>
      <c r="C77" s="8" t="s">
        <v>612</v>
      </c>
      <c r="D77" s="6" t="str">
        <f aca="false">"47 UNI GY "&amp;TEXT(-MUROS!P71/100,"0.0000")</f>
        <v>47 UNI GY -0.0091</v>
      </c>
      <c r="E77" s="9" t="s">
        <v>614</v>
      </c>
    </row>
    <row r="78" customFormat="false" ht="14.25" hidden="false" customHeight="true" outlineLevel="0" collapsed="false">
      <c r="B78" s="25" t="s">
        <v>212</v>
      </c>
      <c r="C78" s="8" t="s">
        <v>612</v>
      </c>
      <c r="D78" s="6" t="str">
        <f aca="false">"54 UNI GY "&amp;TEXT(-MUROS!P72/100,"0.0000")</f>
        <v>54 UNI GY -0.0073</v>
      </c>
      <c r="E78" s="9" t="s">
        <v>614</v>
      </c>
    </row>
    <row r="79" customFormat="false" ht="14.25" hidden="false" customHeight="true" outlineLevel="0" collapsed="false">
      <c r="B79" s="25" t="s">
        <v>216</v>
      </c>
      <c r="C79" s="8" t="s">
        <v>612</v>
      </c>
      <c r="D79" s="6" t="str">
        <f aca="false">"64 UNI GY "&amp;TEXT(-MUROS!P73/100,"0.0000")</f>
        <v>64 UNI GY -0.0288</v>
      </c>
      <c r="E79" s="9" t="s">
        <v>614</v>
      </c>
    </row>
    <row r="80" customFormat="false" ht="14.25" hidden="false" customHeight="true" outlineLevel="0" collapsed="false">
      <c r="B80" s="25" t="s">
        <v>216</v>
      </c>
      <c r="C80" s="8" t="s">
        <v>612</v>
      </c>
      <c r="D80" s="6" t="str">
        <f aca="false">"63 UNI GY "&amp;TEXT(-MUROS!P74/100,"0.0000")</f>
        <v>63 UNI GY -0.0269</v>
      </c>
      <c r="E80" s="9" t="s">
        <v>614</v>
      </c>
    </row>
    <row r="81" customFormat="false" ht="14.25" hidden="false" customHeight="true" outlineLevel="0" collapsed="false">
      <c r="B81" s="25" t="s">
        <v>216</v>
      </c>
      <c r="C81" s="8" t="s">
        <v>612</v>
      </c>
      <c r="D81" s="6" t="str">
        <f aca="false">"62 UNI GY "&amp;TEXT(-MUROS!P75/100,"0.0000")</f>
        <v>62 UNI GY -0.0249</v>
      </c>
      <c r="E81" s="9" t="s">
        <v>614</v>
      </c>
    </row>
    <row r="82" customFormat="false" ht="14.25" hidden="false" customHeight="true" outlineLevel="0" collapsed="false">
      <c r="B82" s="25" t="s">
        <v>216</v>
      </c>
      <c r="C82" s="8" t="s">
        <v>612</v>
      </c>
      <c r="D82" s="6" t="str">
        <f aca="false">"61 UNI GY "&amp;TEXT(-MUROS!P76/100,"0.0000")</f>
        <v>61 UNI GY -0.0229</v>
      </c>
      <c r="E82" s="9" t="s">
        <v>614</v>
      </c>
    </row>
    <row r="83" customFormat="false" ht="14.25" hidden="false" customHeight="true" outlineLevel="0" collapsed="false">
      <c r="B83" s="25" t="s">
        <v>216</v>
      </c>
      <c r="C83" s="8" t="s">
        <v>612</v>
      </c>
      <c r="D83" s="6" t="str">
        <f aca="false">"12 UNI GY "&amp;TEXT(-MUROS!P77/100,"0.0000")</f>
        <v>12 UNI GY -0.0209</v>
      </c>
      <c r="E83" s="9" t="s">
        <v>614</v>
      </c>
    </row>
    <row r="84" customFormat="false" ht="14.25" hidden="false" customHeight="true" outlineLevel="0" collapsed="false">
      <c r="B84" s="25" t="s">
        <v>220</v>
      </c>
      <c r="C84" s="8" t="s">
        <v>612</v>
      </c>
      <c r="D84" s="6" t="str">
        <f aca="false">"72 UNI GY "&amp;TEXT(-MUROS!P78/100,"0.0000")</f>
        <v>72 UNI GY -0.0189</v>
      </c>
      <c r="E84" s="9" t="s">
        <v>614</v>
      </c>
    </row>
    <row r="85" customFormat="false" ht="14.25" hidden="false" customHeight="true" outlineLevel="0" collapsed="false">
      <c r="B85" s="25" t="s">
        <v>220</v>
      </c>
      <c r="C85" s="8" t="s">
        <v>612</v>
      </c>
      <c r="D85" s="6" t="str">
        <f aca="false">"71 UNI GY "&amp;TEXT(-MUROS!P79/100,"0.0000")</f>
        <v>71 UNI GY -0.0169</v>
      </c>
      <c r="E85" s="9" t="s">
        <v>614</v>
      </c>
    </row>
    <row r="86" customFormat="false" ht="14.25" hidden="false" customHeight="true" outlineLevel="0" collapsed="false">
      <c r="B86" s="25" t="s">
        <v>220</v>
      </c>
      <c r="C86" s="8" t="s">
        <v>612</v>
      </c>
      <c r="D86" s="6" t="str">
        <f aca="false">"70 UNI GY "&amp;TEXT(-MUROS!P80/100,"0.0000")</f>
        <v>70 UNI GY -0.0149</v>
      </c>
      <c r="E86" s="9" t="s">
        <v>614</v>
      </c>
    </row>
    <row r="87" customFormat="false" ht="14.25" hidden="false" customHeight="true" outlineLevel="0" collapsed="false">
      <c r="B87" s="25" t="s">
        <v>220</v>
      </c>
      <c r="C87" s="8" t="s">
        <v>612</v>
      </c>
      <c r="D87" s="6" t="str">
        <f aca="false">"69 UNI GY "&amp;TEXT(-MUROS!P81/100,"0.0000")</f>
        <v>69 UNI GY -0.0129</v>
      </c>
      <c r="E87" s="9" t="s">
        <v>614</v>
      </c>
    </row>
    <row r="88" customFormat="false" ht="14.25" hidden="false" customHeight="true" outlineLevel="0" collapsed="false">
      <c r="B88" s="25" t="s">
        <v>220</v>
      </c>
      <c r="C88" s="8" t="s">
        <v>612</v>
      </c>
      <c r="D88" s="6" t="str">
        <f aca="false">"50 UNI GY "&amp;TEXT(-MUROS!P82/100,"0.0000")</f>
        <v>50 UNI GY -0.0109</v>
      </c>
      <c r="E88" s="9" t="s">
        <v>614</v>
      </c>
    </row>
    <row r="89" customFormat="false" ht="14.25" hidden="false" customHeight="true" outlineLevel="0" collapsed="false">
      <c r="B89" s="25" t="s">
        <v>224</v>
      </c>
      <c r="C89" s="8" t="s">
        <v>612</v>
      </c>
      <c r="D89" s="6" t="str">
        <f aca="false">"53 UNI GY "&amp;TEXT(-MUROS!P83/100,"0.0000")</f>
        <v>53 UNI GY -0.0091</v>
      </c>
      <c r="E89" s="9" t="s">
        <v>614</v>
      </c>
    </row>
    <row r="90" customFormat="false" ht="14.25" hidden="false" customHeight="true" outlineLevel="0" collapsed="false">
      <c r="B90" s="25" t="s">
        <v>224</v>
      </c>
      <c r="C90" s="8" t="s">
        <v>612</v>
      </c>
      <c r="D90" s="6" t="str">
        <f aca="false">"55 UNI GY "&amp;TEXT(-MUROS!P84/100,"0.0000")</f>
        <v>55 UNI GY -0.0073</v>
      </c>
      <c r="E90" s="9" t="s">
        <v>614</v>
      </c>
    </row>
    <row r="91" customFormat="false" ht="14.25" hidden="false" customHeight="true" outlineLevel="0" collapsed="false">
      <c r="B91" s="25" t="s">
        <v>399</v>
      </c>
      <c r="C91" s="8" t="s">
        <v>612</v>
      </c>
      <c r="D91" s="6" t="str">
        <f aca="false">"262 UNI GY "&amp;TEXT(-MUROS!O91/100,"0.0000")</f>
        <v>262 UNI GY -0.0702</v>
      </c>
      <c r="E91" s="9" t="s">
        <v>615</v>
      </c>
    </row>
    <row r="92" customFormat="false" ht="14.25" hidden="false" customHeight="true" outlineLevel="0" collapsed="false">
      <c r="B92" s="25" t="s">
        <v>401</v>
      </c>
      <c r="C92" s="8" t="s">
        <v>612</v>
      </c>
      <c r="D92" s="6" t="str">
        <f aca="false">"263 UNI GY "&amp;TEXT(-MUROS!O92/100,"0.0000")</f>
        <v>263 UNI GY -0.0702</v>
      </c>
      <c r="E92" s="9" t="s">
        <v>615</v>
      </c>
    </row>
    <row r="93" customFormat="false" ht="14.25" hidden="false" customHeight="true" outlineLevel="0" collapsed="false">
      <c r="B93" s="25" t="s">
        <v>403</v>
      </c>
      <c r="C93" s="8" t="s">
        <v>612</v>
      </c>
      <c r="D93" s="6" t="str">
        <f aca="false">"264 UNI GY "&amp;TEXT(-MUROS!O93/100,"0.0000")</f>
        <v>264 UNI GY -0.0702</v>
      </c>
      <c r="E93" s="9" t="s">
        <v>615</v>
      </c>
    </row>
    <row r="94" customFormat="false" ht="14.25" hidden="false" customHeight="true" outlineLevel="0" collapsed="false">
      <c r="B94" s="25" t="s">
        <v>405</v>
      </c>
      <c r="C94" s="8" t="s">
        <v>612</v>
      </c>
      <c r="D94" s="6" t="str">
        <f aca="false">"271 UNI GY "&amp;TEXT(-MUROS!O94/100,"0.0000")</f>
        <v>271 UNI GY -0.0702</v>
      </c>
      <c r="E94" s="9" t="s">
        <v>615</v>
      </c>
    </row>
    <row r="95" customFormat="false" ht="14.25" hidden="false" customHeight="true" outlineLevel="0" collapsed="false">
      <c r="B95" s="25" t="s">
        <v>407</v>
      </c>
      <c r="C95" s="8" t="s">
        <v>612</v>
      </c>
      <c r="D95" s="6" t="str">
        <f aca="false">"286 UNI GY "&amp;TEXT(-MUROS!O95/100,"0.0000")</f>
        <v>286 UNI GY -0.0351</v>
      </c>
      <c r="E95" s="9" t="s">
        <v>615</v>
      </c>
    </row>
    <row r="96" customFormat="false" ht="14.25" hidden="false" customHeight="true" outlineLevel="0" collapsed="false">
      <c r="B96" s="25" t="s">
        <v>409</v>
      </c>
      <c r="C96" s="8" t="s">
        <v>612</v>
      </c>
      <c r="D96" s="6" t="str">
        <f aca="false">"272 UNI GY "&amp;TEXT(-MUROS!O96/100,"0.0000")</f>
        <v>272 UNI GY -0.0702</v>
      </c>
      <c r="E96" s="9" t="s">
        <v>615</v>
      </c>
    </row>
    <row r="97" customFormat="false" ht="14.25" hidden="false" customHeight="true" outlineLevel="0" collapsed="false">
      <c r="B97" s="25" t="s">
        <v>411</v>
      </c>
      <c r="C97" s="8" t="s">
        <v>612</v>
      </c>
      <c r="D97" s="6" t="str">
        <f aca="false">"273 UNI GY "&amp;TEXT(-MUROS!O97/100,"0.0000")</f>
        <v>273 UNI GY -0.0702</v>
      </c>
      <c r="E97" s="9" t="s">
        <v>615</v>
      </c>
    </row>
    <row r="98" customFormat="false" ht="14.25" hidden="false" customHeight="true" outlineLevel="0" collapsed="false">
      <c r="B98" s="25" t="s">
        <v>413</v>
      </c>
      <c r="C98" s="8" t="s">
        <v>612</v>
      </c>
      <c r="D98" s="6" t="str">
        <f aca="false">"280 UNI GY "&amp;TEXT(-MUROS!O98/100,"0.0000")</f>
        <v>280 UNI GY -0.0702</v>
      </c>
      <c r="E98" s="9" t="s">
        <v>615</v>
      </c>
    </row>
    <row r="99" customFormat="false" ht="14.25" hidden="false" customHeight="true" outlineLevel="0" collapsed="false">
      <c r="B99" s="25" t="s">
        <v>415</v>
      </c>
      <c r="C99" s="8" t="s">
        <v>612</v>
      </c>
      <c r="D99" s="6" t="str">
        <f aca="false">"282 UNI GY "&amp;TEXT(-MUROS!O99/100,"0.0000")</f>
        <v>282 UNI GY -0.0702</v>
      </c>
      <c r="E99" s="9" t="s">
        <v>615</v>
      </c>
    </row>
    <row r="100" customFormat="false" ht="14.25" hidden="false" customHeight="true" outlineLevel="0" collapsed="false">
      <c r="B100" s="25" t="s">
        <v>417</v>
      </c>
      <c r="C100" s="8" t="s">
        <v>612</v>
      </c>
      <c r="D100" s="6" t="str">
        <f aca="false">"290 UNI GY "&amp;TEXT(-MUROS!O100/100,"0.0000")</f>
        <v>290 UNI GY -0.0702</v>
      </c>
      <c r="E100" s="9" t="s">
        <v>615</v>
      </c>
    </row>
    <row r="101" customFormat="false" ht="14.25" hidden="false" customHeight="true" outlineLevel="0" collapsed="false">
      <c r="B101" s="25" t="s">
        <v>419</v>
      </c>
      <c r="C101" s="8" t="s">
        <v>612</v>
      </c>
      <c r="D101" s="6" t="str">
        <f aca="false">"291 UNI GY "&amp;TEXT(-MUROS!O101/100,"0.0000")</f>
        <v>291 UNI GY -0.0702</v>
      </c>
      <c r="E101" s="9" t="s">
        <v>615</v>
      </c>
    </row>
    <row r="102" customFormat="false" ht="14.25" hidden="false" customHeight="true" outlineLevel="0" collapsed="false">
      <c r="B102" s="25" t="s">
        <v>421</v>
      </c>
      <c r="C102" s="8" t="s">
        <v>612</v>
      </c>
      <c r="D102" s="6" t="str">
        <f aca="false">"298 UNI GY "&amp;TEXT(-MUROS!O102/100,"0.0000")</f>
        <v>298 UNI GY -0.0448</v>
      </c>
      <c r="E102" s="9" t="s">
        <v>615</v>
      </c>
    </row>
    <row r="103" customFormat="false" ht="14.25" hidden="false" customHeight="true" outlineLevel="0" collapsed="false">
      <c r="B103" s="25" t="s">
        <v>423</v>
      </c>
      <c r="C103" s="8" t="s">
        <v>612</v>
      </c>
      <c r="D103" s="6" t="str">
        <f aca="false">"299 UNI GY "&amp;TEXT(-MUROS!O103/100,"0.0000")</f>
        <v>299 UNI GY -0.0448</v>
      </c>
      <c r="E103" s="9" t="s">
        <v>615</v>
      </c>
    </row>
    <row r="104" customFormat="false" ht="14.25" hidden="false" customHeight="true" outlineLevel="0" collapsed="false">
      <c r="B104" s="25" t="s">
        <v>425</v>
      </c>
      <c r="C104" s="8" t="s">
        <v>612</v>
      </c>
      <c r="D104" s="6" t="str">
        <f aca="false">"326 UNI GY "&amp;TEXT(-MUROS!O104/100,"0.0000")</f>
        <v>326 UNI GY -0.0351</v>
      </c>
      <c r="E104" s="9" t="s">
        <v>615</v>
      </c>
    </row>
    <row r="105" customFormat="false" ht="14.25" hidden="false" customHeight="true" outlineLevel="0" collapsed="false">
      <c r="B105" s="25" t="s">
        <v>427</v>
      </c>
      <c r="C105" s="8" t="s">
        <v>612</v>
      </c>
      <c r="D105" s="6" t="str">
        <f aca="false">"25 UNI GY "&amp;TEXT(-MUROS!O105/100,"0.0000")</f>
        <v>25 UNI GY -0.0254</v>
      </c>
      <c r="E105" s="9" t="s">
        <v>615</v>
      </c>
    </row>
    <row r="106" customFormat="false" ht="14.25" hidden="false" customHeight="true" outlineLevel="0" collapsed="false">
      <c r="B106" s="25" t="s">
        <v>429</v>
      </c>
      <c r="C106" s="8" t="s">
        <v>612</v>
      </c>
      <c r="D106" s="6" t="str">
        <f aca="false">"327 UNI GY "&amp;TEXT(-MUROS!O106/100,"0.0000")</f>
        <v>327 UNI GY -0.0351</v>
      </c>
      <c r="E106" s="9" t="s">
        <v>615</v>
      </c>
    </row>
    <row r="107" customFormat="false" ht="14.25" hidden="false" customHeight="true" outlineLevel="0" collapsed="false">
      <c r="B107" s="25" t="s">
        <v>431</v>
      </c>
      <c r="C107" s="8" t="s">
        <v>612</v>
      </c>
      <c r="D107" s="6" t="str">
        <f aca="false">"306 UNI GY "&amp;TEXT(-MUROS!O107/100,"0.0000")</f>
        <v>306 UNI GY -0.0605</v>
      </c>
      <c r="E107" s="9" t="s">
        <v>615</v>
      </c>
    </row>
    <row r="108" customFormat="false" ht="14.25" hidden="false" customHeight="true" outlineLevel="0" collapsed="false">
      <c r="B108" s="25" t="s">
        <v>433</v>
      </c>
      <c r="C108" s="8" t="s">
        <v>612</v>
      </c>
      <c r="D108" s="6" t="str">
        <f aca="false">"322 UNI GY "&amp;TEXT(-MUROS!O108/100,"0.0000")</f>
        <v>322 UNI GY -0.0702</v>
      </c>
      <c r="E108" s="9" t="s">
        <v>615</v>
      </c>
    </row>
    <row r="109" customFormat="false" ht="14.25" hidden="false" customHeight="true" outlineLevel="0" collapsed="false">
      <c r="B109" s="25" t="s">
        <v>435</v>
      </c>
      <c r="C109" s="8" t="s">
        <v>612</v>
      </c>
      <c r="D109" s="6" t="str">
        <f aca="false">"323 UNI GY "&amp;TEXT(-MUROS!O109/100,"0.0000")</f>
        <v>323 UNI GY -0.0649</v>
      </c>
      <c r="E109" s="9" t="s">
        <v>615</v>
      </c>
    </row>
    <row r="110" customFormat="false" ht="14.25" hidden="false" customHeight="true" outlineLevel="0" collapsed="false">
      <c r="B110" s="25" t="s">
        <v>135</v>
      </c>
      <c r="C110" s="8" t="s">
        <v>612</v>
      </c>
      <c r="D110" s="6" t="str">
        <f aca="false">"22 85 TO 88 UNI GY "&amp;TEXT(-MUROS!O110/100,"0.0000")</f>
        <v>22 85 TO 88 UNI GY -0.0298</v>
      </c>
      <c r="E110" s="9" t="s">
        <v>616</v>
      </c>
    </row>
    <row r="111" customFormat="false" ht="14.25" hidden="false" customHeight="true" outlineLevel="0" collapsed="false">
      <c r="B111" s="25" t="s">
        <v>617</v>
      </c>
      <c r="C111" s="14" t="s">
        <v>618</v>
      </c>
      <c r="D111" s="14" t="str">
        <f aca="false">"25 UNI GY "&amp;TEXT(-DATOS!$C$51,"0.0000")</f>
        <v>25 UNI GY -0.7596</v>
      </c>
      <c r="E111" s="9" t="s">
        <v>619</v>
      </c>
    </row>
    <row r="112" customFormat="false" ht="21" hidden="false" customHeight="true" outlineLevel="0" collapsed="false">
      <c r="B112" s="4" t="s">
        <v>620</v>
      </c>
      <c r="C112" s="4"/>
      <c r="D112" s="4"/>
      <c r="E112" s="4"/>
    </row>
    <row r="113" customFormat="false" ht="30" hidden="false" customHeight="true" outlineLevel="0" collapsed="false">
      <c r="B113" s="5" t="s">
        <v>108</v>
      </c>
      <c r="C113" s="5" t="s">
        <v>603</v>
      </c>
      <c r="D113" s="5" t="s">
        <v>604</v>
      </c>
      <c r="E113" s="5" t="s">
        <v>605</v>
      </c>
    </row>
    <row r="114" customFormat="false" ht="14.25" hidden="false" customHeight="true" outlineLevel="0" collapsed="false">
      <c r="B114" s="25" t="s">
        <v>41</v>
      </c>
      <c r="C114" s="14" t="s">
        <v>41</v>
      </c>
      <c r="D114" s="14" t="s">
        <v>606</v>
      </c>
      <c r="E114" s="9" t="s">
        <v>621</v>
      </c>
    </row>
    <row r="115" customFormat="false" ht="14.25" hidden="false" customHeight="true" outlineLevel="0" collapsed="false">
      <c r="B115" s="25" t="str">
        <f aca="false">"N"&amp;NODOS_TECHO!C7</f>
        <v>N20</v>
      </c>
      <c r="C115" s="8" t="s">
        <v>608</v>
      </c>
      <c r="D115" s="6" t="str">
        <f aca="false">NODOS_TECHO!P7</f>
        <v>20 FY -340.2</v>
      </c>
      <c r="E115" s="9" t="s">
        <v>622</v>
      </c>
    </row>
    <row r="116" customFormat="false" ht="14.25" hidden="false" customHeight="true" outlineLevel="0" collapsed="false">
      <c r="B116" s="25" t="str">
        <f aca="false">"N"&amp;NODOS_TECHO!C8</f>
        <v>N21</v>
      </c>
      <c r="C116" s="8" t="s">
        <v>608</v>
      </c>
      <c r="D116" s="6" t="str">
        <f aca="false">NODOS_TECHO!P8</f>
        <v>21 FY -340.2</v>
      </c>
      <c r="E116" s="9" t="s">
        <v>622</v>
      </c>
    </row>
    <row r="117" customFormat="false" ht="14.25" hidden="false" customHeight="true" outlineLevel="0" collapsed="false">
      <c r="B117" s="25" t="str">
        <f aca="false">"N"&amp;NODOS_TECHO!C9</f>
        <v>N18</v>
      </c>
      <c r="C117" s="8" t="s">
        <v>608</v>
      </c>
      <c r="D117" s="6" t="str">
        <f aca="false">NODOS_TECHO!P9</f>
        <v>18 FY -680.4</v>
      </c>
      <c r="E117" s="9" t="s">
        <v>622</v>
      </c>
    </row>
    <row r="118" customFormat="false" ht="14.25" hidden="false" customHeight="true" outlineLevel="0" collapsed="false">
      <c r="B118" s="25" t="str">
        <f aca="false">"N"&amp;NODOS_TECHO!C10</f>
        <v>N19</v>
      </c>
      <c r="C118" s="8" t="s">
        <v>608</v>
      </c>
      <c r="D118" s="6" t="str">
        <f aca="false">NODOS_TECHO!P10</f>
        <v>19 FY -680.4</v>
      </c>
      <c r="E118" s="9" t="s">
        <v>622</v>
      </c>
    </row>
    <row r="119" customFormat="false" ht="14.25" hidden="false" customHeight="true" outlineLevel="0" collapsed="false">
      <c r="B119" s="25" t="str">
        <f aca="false">"N"&amp;NODOS_TECHO!C11</f>
        <v>N14</v>
      </c>
      <c r="C119" s="8" t="s">
        <v>608</v>
      </c>
      <c r="D119" s="6" t="str">
        <f aca="false">NODOS_TECHO!P11</f>
        <v>14 FY -466.2</v>
      </c>
      <c r="E119" s="9" t="s">
        <v>622</v>
      </c>
    </row>
    <row r="120" customFormat="false" ht="14.25" hidden="false" customHeight="true" outlineLevel="0" collapsed="false">
      <c r="B120" s="25" t="str">
        <f aca="false">"N"&amp;NODOS_TECHO!C12</f>
        <v>N15</v>
      </c>
      <c r="C120" s="8" t="s">
        <v>608</v>
      </c>
      <c r="D120" s="6" t="str">
        <f aca="false">NODOS_TECHO!P12</f>
        <v>15 FY -466.2</v>
      </c>
      <c r="E120" s="9" t="s">
        <v>622</v>
      </c>
    </row>
    <row r="121" customFormat="false" ht="14.25" hidden="false" customHeight="true" outlineLevel="0" collapsed="false">
      <c r="B121" s="25" t="str">
        <f aca="false">"N"&amp;NODOS_TECHO!C13</f>
        <v>N16</v>
      </c>
      <c r="C121" s="8" t="s">
        <v>608</v>
      </c>
      <c r="D121" s="6" t="str">
        <f aca="false">NODOS_TECHO!P13</f>
        <v>16 FY -126.0</v>
      </c>
      <c r="E121" s="9" t="s">
        <v>622</v>
      </c>
    </row>
    <row r="122" customFormat="false" ht="14.25" hidden="false" customHeight="true" outlineLevel="0" collapsed="false">
      <c r="B122" s="25" t="str">
        <f aca="false">"N"&amp;NODOS_TECHO!C14</f>
        <v>N13</v>
      </c>
      <c r="C122" s="8" t="s">
        <v>608</v>
      </c>
      <c r="D122" s="6" t="str">
        <f aca="false">NODOS_TECHO!P14</f>
        <v>13 FY -126.0</v>
      </c>
      <c r="E122" s="9" t="s">
        <v>622</v>
      </c>
    </row>
    <row r="123" customFormat="false" ht="14.25" hidden="false" customHeight="true" outlineLevel="0" collapsed="false">
      <c r="B123" s="25"/>
      <c r="C123" s="8"/>
      <c r="D123" s="6"/>
      <c r="E123" s="9"/>
    </row>
    <row r="124" customFormat="false" ht="14.25" hidden="false" customHeight="true" outlineLevel="0" collapsed="false">
      <c r="B124" s="25"/>
      <c r="C124" s="8"/>
      <c r="D124" s="6"/>
      <c r="E124" s="9"/>
    </row>
    <row r="125" customFormat="false" ht="14.25" hidden="false" customHeight="true" outlineLevel="0" collapsed="false">
      <c r="B125" s="25"/>
      <c r="C125" s="8"/>
      <c r="D125" s="6"/>
      <c r="E125" s="9"/>
    </row>
    <row r="126" customFormat="false" ht="14.25" hidden="false" customHeight="true" outlineLevel="0" collapsed="false">
      <c r="B126" s="25"/>
      <c r="C126" s="8"/>
      <c r="D126" s="6"/>
      <c r="E126" s="9"/>
    </row>
    <row r="127" customFormat="false" ht="14.25" hidden="false" customHeight="false" outlineLevel="0" collapsed="false">
      <c r="B127" s="25"/>
      <c r="C127" s="8"/>
      <c r="D127" s="6"/>
      <c r="E127" s="9"/>
    </row>
    <row r="128" customFormat="false" ht="21" hidden="false" customHeight="true" outlineLevel="0" collapsed="false">
      <c r="B128" s="4" t="s">
        <v>623</v>
      </c>
      <c r="C128" s="4"/>
      <c r="D128" s="4"/>
      <c r="E128" s="4"/>
    </row>
    <row r="129" customFormat="false" ht="14.25" hidden="false" customHeight="true" outlineLevel="0" collapsed="false">
      <c r="B129" s="25" t="s">
        <v>41</v>
      </c>
      <c r="C129" s="8" t="s">
        <v>618</v>
      </c>
      <c r="D129" s="6" t="str">
        <f aca="false">IF(DATOS!$C$23=0,"* w_i = 0: el caso queda sin carga","Aplicar w_i × b como en el caso 2 (w_i = "&amp;DATOS!$C$23&amp;" kg/m²)")</f>
        <v>* w_i = 0: el caso queda sin carga</v>
      </c>
      <c r="E129" s="10" t="s">
        <v>624</v>
      </c>
    </row>
    <row r="131" customFormat="false" ht="21" hidden="false" customHeight="true" outlineLevel="0" collapsed="false">
      <c r="B131" s="4" t="s">
        <v>625</v>
      </c>
      <c r="C131" s="4"/>
      <c r="D131" s="4"/>
      <c r="E131" s="4"/>
    </row>
    <row r="132" customFormat="false" ht="43.5" hidden="false" customHeight="true" outlineLevel="0" collapsed="false">
      <c r="B132" s="3" t="s">
        <v>626</v>
      </c>
      <c r="C132" s="3"/>
      <c r="D132" s="3"/>
      <c r="E132" s="3"/>
    </row>
    <row r="133" customFormat="false" ht="30" hidden="false" customHeight="true" outlineLevel="0" collapsed="false">
      <c r="B133" s="5" t="s">
        <v>108</v>
      </c>
      <c r="C133" s="5" t="s">
        <v>603</v>
      </c>
      <c r="D133" s="5" t="s">
        <v>604</v>
      </c>
      <c r="E133" s="5" t="s">
        <v>605</v>
      </c>
    </row>
    <row r="134" customFormat="false" ht="14.25" hidden="false" customHeight="true" outlineLevel="0" collapsed="false">
      <c r="B134" s="25" t="s">
        <v>41</v>
      </c>
      <c r="C134" s="14" t="s">
        <v>41</v>
      </c>
      <c r="D134" s="14" t="s">
        <v>606</v>
      </c>
      <c r="E134" s="9" t="s">
        <v>621</v>
      </c>
    </row>
    <row r="135" customFormat="false" ht="14.25" hidden="false" customHeight="true" outlineLevel="0" collapsed="false">
      <c r="B135" s="25" t="str">
        <f aca="false">"N"&amp;NODOS_MUROS!B86</f>
        <v>N13</v>
      </c>
      <c r="C135" s="14" t="s">
        <v>627</v>
      </c>
      <c r="D135" s="14" t="str">
        <f aca="false">NODOS_MUROS!K86</f>
        <v>13 FX 122.7 FZ 122.7</v>
      </c>
      <c r="E135" s="9" t="s">
        <v>628</v>
      </c>
    </row>
    <row r="136" customFormat="false" ht="14.25" hidden="false" customHeight="true" outlineLevel="0" collapsed="false">
      <c r="B136" s="25" t="str">
        <f aca="false">"N"&amp;NODOS_MUROS!B87</f>
        <v>N14</v>
      </c>
      <c r="C136" s="14" t="s">
        <v>627</v>
      </c>
      <c r="D136" s="14" t="str">
        <f aca="false">NODOS_MUROS!K87</f>
        <v>14 FX 456.4 FZ 456.4</v>
      </c>
      <c r="E136" s="9" t="s">
        <v>628</v>
      </c>
    </row>
    <row r="137" customFormat="false" ht="14.25" hidden="false" customHeight="true" outlineLevel="0" collapsed="false">
      <c r="B137" s="25" t="str">
        <f aca="false">"N"&amp;NODOS_MUROS!B88</f>
        <v>N15</v>
      </c>
      <c r="C137" s="14" t="s">
        <v>627</v>
      </c>
      <c r="D137" s="14" t="str">
        <f aca="false">NODOS_MUROS!K88</f>
        <v>15 FX 456.4 FZ 456.4</v>
      </c>
      <c r="E137" s="9" t="s">
        <v>628</v>
      </c>
    </row>
    <row r="138" customFormat="false" ht="14.25" hidden="false" customHeight="true" outlineLevel="0" collapsed="false">
      <c r="B138" s="25" t="str">
        <f aca="false">"N"&amp;NODOS_MUROS!B89</f>
        <v>N16</v>
      </c>
      <c r="C138" s="14" t="s">
        <v>627</v>
      </c>
      <c r="D138" s="14" t="str">
        <f aca="false">NODOS_MUROS!K89</f>
        <v>16 FX 122.7 FZ 122.7</v>
      </c>
      <c r="E138" s="9" t="s">
        <v>628</v>
      </c>
    </row>
    <row r="139" customFormat="false" ht="14.25" hidden="false" customHeight="true" outlineLevel="0" collapsed="false">
      <c r="B139" s="25" t="str">
        <f aca="false">"N"&amp;NODOS_MUROS!B90</f>
        <v>N18</v>
      </c>
      <c r="C139" s="14" t="s">
        <v>627</v>
      </c>
      <c r="D139" s="14" t="str">
        <f aca="false">NODOS_MUROS!K90</f>
        <v>18 FX 670.7 FZ 670.7</v>
      </c>
      <c r="E139" s="9" t="s">
        <v>628</v>
      </c>
    </row>
    <row r="140" customFormat="false" ht="14.25" hidden="false" customHeight="true" outlineLevel="0" collapsed="false">
      <c r="B140" s="25" t="str">
        <f aca="false">"N"&amp;NODOS_MUROS!B91</f>
        <v>N19</v>
      </c>
      <c r="C140" s="14" t="s">
        <v>627</v>
      </c>
      <c r="D140" s="14" t="str">
        <f aca="false">NODOS_MUROS!K91</f>
        <v>19 FX 670.7 FZ 670.7</v>
      </c>
      <c r="E140" s="9" t="s">
        <v>628</v>
      </c>
    </row>
    <row r="141" customFormat="false" ht="14.25" hidden="false" customHeight="true" outlineLevel="0" collapsed="false">
      <c r="B141" s="25" t="str">
        <f aca="false">"N"&amp;NODOS_MUROS!B92</f>
        <v>N20</v>
      </c>
      <c r="C141" s="14" t="s">
        <v>627</v>
      </c>
      <c r="D141" s="14" t="str">
        <f aca="false">NODOS_MUROS!K92</f>
        <v>20 FX 352.1 FZ 352.1</v>
      </c>
      <c r="E141" s="9" t="s">
        <v>628</v>
      </c>
    </row>
    <row r="142" customFormat="false" ht="14.25" hidden="false" customHeight="true" outlineLevel="0" collapsed="false">
      <c r="B142" s="25" t="str">
        <f aca="false">"N"&amp;NODOS_MUROS!B93</f>
        <v>N21</v>
      </c>
      <c r="C142" s="14" t="s">
        <v>627</v>
      </c>
      <c r="D142" s="14" t="str">
        <f aca="false">NODOS_MUROS!K93</f>
        <v>21 FX 352.1 FZ 352.1</v>
      </c>
      <c r="E142" s="9" t="s">
        <v>628</v>
      </c>
    </row>
    <row r="143" customFormat="false" ht="14.25" hidden="false" customHeight="true" outlineLevel="0" collapsed="false">
      <c r="B143" s="25" t="str">
        <f aca="false">"N"&amp;NODOS_MUROS!B94</f>
        <v>N26</v>
      </c>
      <c r="C143" s="14" t="s">
        <v>627</v>
      </c>
      <c r="D143" s="14" t="str">
        <f aca="false">NODOS_MUROS!K94</f>
        <v>26 FX 10.9 FZ 10.9</v>
      </c>
      <c r="E143" s="9" t="s">
        <v>628</v>
      </c>
    </row>
    <row r="144" customFormat="false" ht="14.25" hidden="false" customHeight="true" outlineLevel="0" collapsed="false">
      <c r="B144" s="25" t="str">
        <f aca="false">"N"&amp;NODOS_MUROS!B95</f>
        <v>N27</v>
      </c>
      <c r="C144" s="14" t="s">
        <v>627</v>
      </c>
      <c r="D144" s="14" t="str">
        <f aca="false">NODOS_MUROS!K95</f>
        <v>27 FX 10.9 FZ 10.9</v>
      </c>
      <c r="E144" s="9" t="s">
        <v>628</v>
      </c>
    </row>
    <row r="145" customFormat="false" ht="14.25" hidden="false" customHeight="true" outlineLevel="0" collapsed="false">
      <c r="B145" s="25" t="str">
        <f aca="false">"N"&amp;NODOS_MUROS!B96</f>
        <v>N108</v>
      </c>
      <c r="C145" s="14" t="s">
        <v>627</v>
      </c>
      <c r="D145" s="14" t="str">
        <f aca="false">NODOS_MUROS!K96</f>
        <v>108 FX 25.9 FZ 25.9</v>
      </c>
      <c r="E145" s="9" t="s">
        <v>628</v>
      </c>
    </row>
    <row r="146" customFormat="false" ht="14.25" hidden="false" customHeight="true" outlineLevel="0" collapsed="false">
      <c r="B146" s="25" t="str">
        <f aca="false">"N"&amp;NODOS_MUROS!B97</f>
        <v>N109</v>
      </c>
      <c r="C146" s="14" t="s">
        <v>627</v>
      </c>
      <c r="D146" s="14" t="str">
        <f aca="false">NODOS_MUROS!K97</f>
        <v>109 FX 32.4 FZ 32.4</v>
      </c>
      <c r="E146" s="9" t="s">
        <v>628</v>
      </c>
    </row>
    <row r="147" customFormat="false" ht="14.25" hidden="false" customHeight="true" outlineLevel="0" collapsed="false">
      <c r="B147" s="25" t="str">
        <f aca="false">"N"&amp;NODOS_MUROS!B98</f>
        <v>N110</v>
      </c>
      <c r="C147" s="14" t="s">
        <v>627</v>
      </c>
      <c r="D147" s="14" t="str">
        <f aca="false">NODOS_MUROS!K98</f>
        <v>110 FX 47.4 FZ 47.4</v>
      </c>
      <c r="E147" s="9" t="s">
        <v>628</v>
      </c>
    </row>
    <row r="148" customFormat="false" ht="14.25" hidden="false" customHeight="true" outlineLevel="0" collapsed="false">
      <c r="B148" s="25" t="str">
        <f aca="false">"N"&amp;NODOS_MUROS!B99</f>
        <v>N111</v>
      </c>
      <c r="C148" s="14" t="s">
        <v>627</v>
      </c>
      <c r="D148" s="14" t="str">
        <f aca="false">NODOS_MUROS!K99</f>
        <v>111 FX 32.5 FZ 32.5</v>
      </c>
      <c r="E148" s="9" t="s">
        <v>628</v>
      </c>
    </row>
    <row r="149" customFormat="false" ht="14.25" hidden="false" customHeight="true" outlineLevel="0" collapsed="false">
      <c r="B149" s="25" t="str">
        <f aca="false">"N"&amp;NODOS_MUROS!B100</f>
        <v>N112</v>
      </c>
      <c r="C149" s="14" t="s">
        <v>627</v>
      </c>
      <c r="D149" s="14" t="str">
        <f aca="false">NODOS_MUROS!K100</f>
        <v>112 FX 8.8 FZ 8.8</v>
      </c>
      <c r="E149" s="9" t="s">
        <v>628</v>
      </c>
    </row>
    <row r="150" customFormat="false" ht="14.25" hidden="false" customHeight="true" outlineLevel="0" collapsed="false">
      <c r="B150" s="25" t="str">
        <f aca="false">"N"&amp;NODOS_MUROS!B101</f>
        <v>N113</v>
      </c>
      <c r="C150" s="14" t="s">
        <v>627</v>
      </c>
      <c r="D150" s="14" t="str">
        <f aca="false">NODOS_MUROS!K101</f>
        <v>113 FX 47.4 FZ 47.4</v>
      </c>
      <c r="E150" s="9" t="s">
        <v>628</v>
      </c>
    </row>
    <row r="151" customFormat="false" ht="14.25" hidden="false" customHeight="true" outlineLevel="0" collapsed="false">
      <c r="B151" s="25" t="str">
        <f aca="false">"N"&amp;NODOS_MUROS!B102</f>
        <v>N114</v>
      </c>
      <c r="C151" s="14" t="s">
        <v>627</v>
      </c>
      <c r="D151" s="14" t="str">
        <f aca="false">NODOS_MUROS!K102</f>
        <v>114 FX 32.5 FZ 32.5</v>
      </c>
      <c r="E151" s="9" t="s">
        <v>628</v>
      </c>
    </row>
    <row r="152" customFormat="false" ht="14.25" hidden="false" customHeight="true" outlineLevel="0" collapsed="false">
      <c r="B152" s="25" t="str">
        <f aca="false">"N"&amp;NODOS_MUROS!B103</f>
        <v>N115</v>
      </c>
      <c r="C152" s="14" t="s">
        <v>627</v>
      </c>
      <c r="D152" s="14" t="str">
        <f aca="false">NODOS_MUROS!K103</f>
        <v>115 FX 8.8 FZ 8.8</v>
      </c>
      <c r="E152" s="9" t="s">
        <v>628</v>
      </c>
    </row>
    <row r="153" customFormat="false" ht="14.25" hidden="false" customHeight="true" outlineLevel="0" collapsed="false">
      <c r="B153" s="25" t="str">
        <f aca="false">"N"&amp;NODOS_MUROS!B104</f>
        <v>N116</v>
      </c>
      <c r="C153" s="14" t="s">
        <v>627</v>
      </c>
      <c r="D153" s="14" t="str">
        <f aca="false">NODOS_MUROS!K104</f>
        <v>116 FX 2.3 FZ 2.3</v>
      </c>
      <c r="E153" s="9" t="s">
        <v>628</v>
      </c>
    </row>
    <row r="154" customFormat="false" ht="14.25" hidden="false" customHeight="true" outlineLevel="0" collapsed="false">
      <c r="B154" s="25" t="str">
        <f aca="false">"N"&amp;NODOS_MUROS!B105</f>
        <v>N117</v>
      </c>
      <c r="C154" s="14" t="s">
        <v>627</v>
      </c>
      <c r="D154" s="14" t="str">
        <f aca="false">NODOS_MUROS!K105</f>
        <v>117 FX 1.9 FZ 1.9</v>
      </c>
      <c r="E154" s="9" t="s">
        <v>628</v>
      </c>
    </row>
    <row r="155" customFormat="false" ht="14.25" hidden="false" customHeight="true" outlineLevel="0" collapsed="false">
      <c r="B155" s="25" t="str">
        <f aca="false">"N"&amp;NODOS_MUROS!B106</f>
        <v>N118</v>
      </c>
      <c r="C155" s="14" t="s">
        <v>627</v>
      </c>
      <c r="D155" s="14" t="str">
        <f aca="false">NODOS_MUROS!K106</f>
        <v>118 FX 1.9 FZ 1.9</v>
      </c>
      <c r="E155" s="9" t="s">
        <v>628</v>
      </c>
    </row>
    <row r="156" customFormat="false" ht="14.25" hidden="false" customHeight="true" outlineLevel="0" collapsed="false">
      <c r="B156" s="25" t="str">
        <f aca="false">"N"&amp;NODOS_MUROS!B107</f>
        <v>N119</v>
      </c>
      <c r="C156" s="14" t="s">
        <v>627</v>
      </c>
      <c r="D156" s="14" t="str">
        <f aca="false">NODOS_MUROS!K107</f>
        <v>119 FX 8.7 FZ 8.7</v>
      </c>
      <c r="E156" s="9" t="s">
        <v>628</v>
      </c>
    </row>
    <row r="157" customFormat="false" ht="14.25" hidden="false" customHeight="true" outlineLevel="0" collapsed="false">
      <c r="B157" s="25" t="str">
        <f aca="false">"N"&amp;NODOS_MUROS!B108</f>
        <v>N120</v>
      </c>
      <c r="C157" s="14" t="s">
        <v>627</v>
      </c>
      <c r="D157" s="14" t="str">
        <f aca="false">NODOS_MUROS!K108</f>
        <v>120 FX 25.9 FZ 25.9</v>
      </c>
      <c r="E157" s="9" t="s">
        <v>628</v>
      </c>
    </row>
    <row r="158" customFormat="false" ht="14.25" hidden="false" customHeight="true" outlineLevel="0" collapsed="false">
      <c r="B158" s="25" t="str">
        <f aca="false">"N"&amp;NODOS_MUROS!B109</f>
        <v>N121</v>
      </c>
      <c r="C158" s="14" t="s">
        <v>627</v>
      </c>
      <c r="D158" s="14" t="str">
        <f aca="false">NODOS_MUROS!K109</f>
        <v>121 FX 32.4 FZ 32.4</v>
      </c>
      <c r="E158" s="9" t="s">
        <v>628</v>
      </c>
    </row>
    <row r="159" customFormat="false" ht="14.25" hidden="false" customHeight="true" outlineLevel="0" collapsed="false">
      <c r="B159" s="25" t="str">
        <f aca="false">"N"&amp;NODOS_MUROS!B110</f>
        <v>N122</v>
      </c>
      <c r="C159" s="14" t="s">
        <v>627</v>
      </c>
      <c r="D159" s="14" t="str">
        <f aca="false">NODOS_MUROS!K110</f>
        <v>122 FX 47.4 FZ 47.4</v>
      </c>
      <c r="E159" s="9" t="s">
        <v>628</v>
      </c>
    </row>
    <row r="160" customFormat="false" ht="14.25" hidden="false" customHeight="true" outlineLevel="0" collapsed="false">
      <c r="B160" s="25" t="str">
        <f aca="false">"N"&amp;NODOS_MUROS!B111</f>
        <v>N123</v>
      </c>
      <c r="C160" s="14" t="s">
        <v>627</v>
      </c>
      <c r="D160" s="14" t="str">
        <f aca="false">NODOS_MUROS!K111</f>
        <v>123 FX 32.5 FZ 32.5</v>
      </c>
      <c r="E160" s="9" t="s">
        <v>628</v>
      </c>
    </row>
    <row r="161" customFormat="false" ht="14.25" hidden="false" customHeight="true" outlineLevel="0" collapsed="false">
      <c r="B161" s="25" t="str">
        <f aca="false">"N"&amp;NODOS_MUROS!B112</f>
        <v>N124</v>
      </c>
      <c r="C161" s="14" t="s">
        <v>627</v>
      </c>
      <c r="D161" s="14" t="str">
        <f aca="false">NODOS_MUROS!K112</f>
        <v>124 FX 8.8 FZ 8.8</v>
      </c>
      <c r="E161" s="9" t="s">
        <v>628</v>
      </c>
    </row>
    <row r="162" customFormat="false" ht="14.25" hidden="false" customHeight="true" outlineLevel="0" collapsed="false">
      <c r="B162" s="25" t="str">
        <f aca="false">"N"&amp;NODOS_MUROS!B113</f>
        <v>N125</v>
      </c>
      <c r="C162" s="14" t="s">
        <v>627</v>
      </c>
      <c r="D162" s="14" t="str">
        <f aca="false">NODOS_MUROS!K113</f>
        <v>125 FX 47.4 FZ 47.4</v>
      </c>
      <c r="E162" s="9" t="s">
        <v>628</v>
      </c>
    </row>
    <row r="163" customFormat="false" ht="14.25" hidden="false" customHeight="true" outlineLevel="0" collapsed="false">
      <c r="B163" s="25" t="str">
        <f aca="false">"N"&amp;NODOS_MUROS!B114</f>
        <v>N126</v>
      </c>
      <c r="C163" s="14" t="s">
        <v>627</v>
      </c>
      <c r="D163" s="14" t="str">
        <f aca="false">NODOS_MUROS!K114</f>
        <v>126 FX 32.5 FZ 32.5</v>
      </c>
      <c r="E163" s="9" t="s">
        <v>628</v>
      </c>
    </row>
    <row r="164" customFormat="false" ht="14.25" hidden="false" customHeight="true" outlineLevel="0" collapsed="false">
      <c r="B164" s="25" t="str">
        <f aca="false">"N"&amp;NODOS_MUROS!B115</f>
        <v>N127</v>
      </c>
      <c r="C164" s="14" t="s">
        <v>627</v>
      </c>
      <c r="D164" s="14" t="str">
        <f aca="false">NODOS_MUROS!K115</f>
        <v>127 FX 8.8 FZ 8.8</v>
      </c>
      <c r="E164" s="9" t="s">
        <v>628</v>
      </c>
    </row>
    <row r="165" customFormat="false" ht="14.25" hidden="false" customHeight="true" outlineLevel="0" collapsed="false">
      <c r="B165" s="25" t="str">
        <f aca="false">"N"&amp;NODOS_MUROS!B116</f>
        <v>N128</v>
      </c>
      <c r="C165" s="14" t="s">
        <v>627</v>
      </c>
      <c r="D165" s="14" t="str">
        <f aca="false">NODOS_MUROS!K116</f>
        <v>128 FX 4.5 FZ 4.5</v>
      </c>
      <c r="E165" s="9" t="s">
        <v>628</v>
      </c>
    </row>
    <row r="166" customFormat="false" ht="14.25" hidden="false" customHeight="true" outlineLevel="0" collapsed="false">
      <c r="B166" s="25" t="str">
        <f aca="false">"N"&amp;NODOS_MUROS!B117</f>
        <v>N129</v>
      </c>
      <c r="C166" s="14" t="s">
        <v>627</v>
      </c>
      <c r="D166" s="14" t="str">
        <f aca="false">NODOS_MUROS!K117</f>
        <v>129 FX 4.2 FZ 4.2</v>
      </c>
      <c r="E166" s="9" t="s">
        <v>628</v>
      </c>
    </row>
    <row r="167" customFormat="false" ht="14.25" hidden="false" customHeight="true" outlineLevel="0" collapsed="false">
      <c r="B167" s="25" t="str">
        <f aca="false">"N"&amp;NODOS_MUROS!B118</f>
        <v>N130</v>
      </c>
      <c r="C167" s="14" t="s">
        <v>627</v>
      </c>
      <c r="D167" s="14" t="str">
        <f aca="false">NODOS_MUROS!K118</f>
        <v>130 FX 1.9 FZ 1.9</v>
      </c>
      <c r="E167" s="9" t="s">
        <v>628</v>
      </c>
    </row>
    <row r="168" customFormat="false" ht="14.25" hidden="false" customHeight="true" outlineLevel="0" collapsed="false">
      <c r="B168" s="25" t="str">
        <f aca="false">"N"&amp;NODOS_MUROS!B119</f>
        <v>N131</v>
      </c>
      <c r="C168" s="14" t="s">
        <v>627</v>
      </c>
      <c r="D168" s="14" t="str">
        <f aca="false">NODOS_MUROS!K119</f>
        <v>131 FX 8.7 FZ 8.7</v>
      </c>
      <c r="E168" s="9" t="s">
        <v>628</v>
      </c>
    </row>
    <row r="169" customFormat="false" ht="14.25" hidden="false" customHeight="true" outlineLevel="0" collapsed="false">
      <c r="B169" s="25" t="str">
        <f aca="false">"N"&amp;NODOS_MUROS!B120</f>
        <v>N132</v>
      </c>
      <c r="C169" s="14" t="s">
        <v>627</v>
      </c>
      <c r="D169" s="14" t="str">
        <f aca="false">NODOS_MUROS!K120</f>
        <v>132 FX 32.4 FZ 32.4</v>
      </c>
      <c r="E169" s="9" t="s">
        <v>628</v>
      </c>
    </row>
    <row r="170" customFormat="false" ht="14.25" hidden="false" customHeight="true" outlineLevel="0" collapsed="false">
      <c r="B170" s="25" t="str">
        <f aca="false">"N"&amp;NODOS_MUROS!B121</f>
        <v>N133</v>
      </c>
      <c r="C170" s="14" t="s">
        <v>627</v>
      </c>
      <c r="D170" s="14" t="str">
        <f aca="false">NODOS_MUROS!K121</f>
        <v>133 FX 32.4 FZ 32.4</v>
      </c>
      <c r="E170" s="9" t="s">
        <v>628</v>
      </c>
    </row>
    <row r="171" customFormat="false" ht="14.25" hidden="false" customHeight="true" outlineLevel="0" collapsed="false">
      <c r="B171" s="25" t="str">
        <f aca="false">"N"&amp;NODOS_MUROS!B122</f>
        <v>N134</v>
      </c>
      <c r="C171" s="14" t="s">
        <v>627</v>
      </c>
      <c r="D171" s="14" t="str">
        <f aca="false">NODOS_MUROS!K122</f>
        <v>134 FX 47.4 FZ 47.4</v>
      </c>
      <c r="E171" s="9" t="s">
        <v>628</v>
      </c>
    </row>
    <row r="172" customFormat="false" ht="14.25" hidden="false" customHeight="true" outlineLevel="0" collapsed="false">
      <c r="B172" s="25" t="str">
        <f aca="false">"N"&amp;NODOS_MUROS!B123</f>
        <v>N135</v>
      </c>
      <c r="C172" s="14" t="s">
        <v>627</v>
      </c>
      <c r="D172" s="14" t="str">
        <f aca="false">NODOS_MUROS!K123</f>
        <v>135 FX 32.5 FZ 32.5</v>
      </c>
      <c r="E172" s="9" t="s">
        <v>628</v>
      </c>
    </row>
    <row r="173" customFormat="false" ht="14.25" hidden="false" customHeight="true" outlineLevel="0" collapsed="false">
      <c r="B173" s="25" t="str">
        <f aca="false">"N"&amp;NODOS_MUROS!B124</f>
        <v>N136</v>
      </c>
      <c r="C173" s="14" t="s">
        <v>627</v>
      </c>
      <c r="D173" s="14" t="str">
        <f aca="false">NODOS_MUROS!K124</f>
        <v>136 FX 8.8 FZ 8.8</v>
      </c>
      <c r="E173" s="9" t="s">
        <v>628</v>
      </c>
    </row>
    <row r="174" customFormat="false" ht="14.25" hidden="false" customHeight="true" outlineLevel="0" collapsed="false">
      <c r="B174" s="25" t="str">
        <f aca="false">"N"&amp;NODOS_MUROS!B125</f>
        <v>N137</v>
      </c>
      <c r="C174" s="14" t="s">
        <v>627</v>
      </c>
      <c r="D174" s="14" t="str">
        <f aca="false">NODOS_MUROS!K125</f>
        <v>137 FX 47.4 FZ 47.4</v>
      </c>
      <c r="E174" s="9" t="s">
        <v>628</v>
      </c>
    </row>
    <row r="175" customFormat="false" ht="14.25" hidden="false" customHeight="true" outlineLevel="0" collapsed="false">
      <c r="B175" s="25" t="str">
        <f aca="false">"N"&amp;NODOS_MUROS!B126</f>
        <v>N138</v>
      </c>
      <c r="C175" s="14" t="s">
        <v>627</v>
      </c>
      <c r="D175" s="14" t="str">
        <f aca="false">NODOS_MUROS!K126</f>
        <v>138 FX 32.5 FZ 32.5</v>
      </c>
      <c r="E175" s="9" t="s">
        <v>628</v>
      </c>
    </row>
    <row r="176" customFormat="false" ht="14.25" hidden="false" customHeight="true" outlineLevel="0" collapsed="false">
      <c r="B176" s="25" t="str">
        <f aca="false">"N"&amp;NODOS_MUROS!B127</f>
        <v>N139</v>
      </c>
      <c r="C176" s="14" t="s">
        <v>627</v>
      </c>
      <c r="D176" s="14" t="str">
        <f aca="false">NODOS_MUROS!K127</f>
        <v>139 FX 8.8 FZ 8.8</v>
      </c>
      <c r="E176" s="9" t="s">
        <v>628</v>
      </c>
    </row>
    <row r="177" customFormat="false" ht="14.25" hidden="false" customHeight="true" outlineLevel="0" collapsed="false">
      <c r="B177" s="25" t="str">
        <f aca="false">"N"&amp;NODOS_MUROS!B128</f>
        <v>N142</v>
      </c>
      <c r="C177" s="14" t="s">
        <v>627</v>
      </c>
      <c r="D177" s="14" t="str">
        <f aca="false">NODOS_MUROS!K128</f>
        <v>142 FX 8.7 FZ 8.7</v>
      </c>
      <c r="E177" s="9" t="s">
        <v>628</v>
      </c>
    </row>
    <row r="178" customFormat="false" ht="14.25" hidden="false" customHeight="true" outlineLevel="0" collapsed="false">
      <c r="B178" s="25" t="str">
        <f aca="false">"N"&amp;NODOS_MUROS!B129</f>
        <v>N143</v>
      </c>
      <c r="C178" s="14" t="s">
        <v>627</v>
      </c>
      <c r="D178" s="14" t="str">
        <f aca="false">NODOS_MUROS!K129</f>
        <v>143 FX 8.7 FZ 8.7</v>
      </c>
      <c r="E178" s="9" t="s">
        <v>628</v>
      </c>
    </row>
    <row r="179" customFormat="false" ht="14.25" hidden="false" customHeight="true" outlineLevel="0" collapsed="false">
      <c r="B179" s="25" t="str">
        <f aca="false">"N"&amp;NODOS_MUROS!B130</f>
        <v>N144</v>
      </c>
      <c r="C179" s="14" t="s">
        <v>627</v>
      </c>
      <c r="D179" s="14" t="str">
        <f aca="false">NODOS_MUROS!K130</f>
        <v>144 FX 32.4 FZ 32.4</v>
      </c>
      <c r="E179" s="9" t="s">
        <v>628</v>
      </c>
    </row>
    <row r="180" customFormat="false" ht="14.25" hidden="false" customHeight="true" outlineLevel="0" collapsed="false">
      <c r="B180" s="25" t="str">
        <f aca="false">"N"&amp;NODOS_MUROS!B131</f>
        <v>N145</v>
      </c>
      <c r="C180" s="14" t="s">
        <v>627</v>
      </c>
      <c r="D180" s="14" t="str">
        <f aca="false">NODOS_MUROS!K131</f>
        <v>145 FX 32.4 FZ 32.4</v>
      </c>
      <c r="E180" s="9" t="s">
        <v>628</v>
      </c>
    </row>
    <row r="181" customFormat="false" ht="14.25" hidden="false" customHeight="true" outlineLevel="0" collapsed="false">
      <c r="B181" s="25" t="str">
        <f aca="false">"N"&amp;NODOS_MUROS!B132</f>
        <v>N146</v>
      </c>
      <c r="C181" s="14" t="s">
        <v>627</v>
      </c>
      <c r="D181" s="14" t="str">
        <f aca="false">NODOS_MUROS!K132</f>
        <v>146 FX 47.4 FZ 47.4</v>
      </c>
      <c r="E181" s="9" t="s">
        <v>628</v>
      </c>
    </row>
    <row r="182" customFormat="false" ht="14.25" hidden="false" customHeight="true" outlineLevel="0" collapsed="false">
      <c r="B182" s="25" t="str">
        <f aca="false">"N"&amp;NODOS_MUROS!B133</f>
        <v>N147</v>
      </c>
      <c r="C182" s="14" t="s">
        <v>627</v>
      </c>
      <c r="D182" s="14" t="str">
        <f aca="false">NODOS_MUROS!K133</f>
        <v>147 FX 32.5 FZ 32.5</v>
      </c>
      <c r="E182" s="9" t="s">
        <v>628</v>
      </c>
    </row>
    <row r="183" customFormat="false" ht="14.25" hidden="false" customHeight="true" outlineLevel="0" collapsed="false">
      <c r="B183" s="25" t="str">
        <f aca="false">"N"&amp;NODOS_MUROS!B134</f>
        <v>N148</v>
      </c>
      <c r="C183" s="14" t="s">
        <v>627</v>
      </c>
      <c r="D183" s="14" t="str">
        <f aca="false">NODOS_MUROS!K134</f>
        <v>148 FX 8.8 FZ 8.8</v>
      </c>
      <c r="E183" s="9" t="s">
        <v>628</v>
      </c>
    </row>
    <row r="184" customFormat="false" ht="14.25" hidden="false" customHeight="true" outlineLevel="0" collapsed="false">
      <c r="B184" s="25" t="str">
        <f aca="false">"N"&amp;NODOS_MUROS!B135</f>
        <v>N149</v>
      </c>
      <c r="C184" s="14" t="s">
        <v>627</v>
      </c>
      <c r="D184" s="14" t="str">
        <f aca="false">NODOS_MUROS!K135</f>
        <v>149 FX 47.4 FZ 47.4</v>
      </c>
      <c r="E184" s="9" t="s">
        <v>628</v>
      </c>
    </row>
    <row r="185" customFormat="false" ht="14.25" hidden="false" customHeight="true" outlineLevel="0" collapsed="false">
      <c r="B185" s="25" t="str">
        <f aca="false">"N"&amp;NODOS_MUROS!B136</f>
        <v>N150</v>
      </c>
      <c r="C185" s="14" t="s">
        <v>627</v>
      </c>
      <c r="D185" s="14" t="str">
        <f aca="false">NODOS_MUROS!K136</f>
        <v>150 FX 32.5 FZ 32.5</v>
      </c>
      <c r="E185" s="9" t="s">
        <v>628</v>
      </c>
    </row>
    <row r="186" customFormat="false" ht="14.25" hidden="false" customHeight="true" outlineLevel="0" collapsed="false">
      <c r="B186" s="25" t="str">
        <f aca="false">"N"&amp;NODOS_MUROS!B137</f>
        <v>N151</v>
      </c>
      <c r="C186" s="14" t="s">
        <v>627</v>
      </c>
      <c r="D186" s="14" t="str">
        <f aca="false">NODOS_MUROS!K137</f>
        <v>151 FX 8.8 FZ 8.8</v>
      </c>
      <c r="E186" s="9" t="s">
        <v>628</v>
      </c>
    </row>
    <row r="187" customFormat="false" ht="14.25" hidden="false" customHeight="true" outlineLevel="0" collapsed="false">
      <c r="B187" s="25" t="str">
        <f aca="false">"N"&amp;NODOS_MUROS!B138</f>
        <v>N154</v>
      </c>
      <c r="C187" s="14" t="s">
        <v>627</v>
      </c>
      <c r="D187" s="14" t="str">
        <f aca="false">NODOS_MUROS!K138</f>
        <v>154 FX 8.7 FZ 8.7</v>
      </c>
      <c r="E187" s="9" t="s">
        <v>628</v>
      </c>
    </row>
    <row r="188" customFormat="false" ht="14.25" hidden="false" customHeight="true" outlineLevel="0" collapsed="false">
      <c r="B188" s="25" t="str">
        <f aca="false">"N"&amp;NODOS_MUROS!B139</f>
        <v>N155</v>
      </c>
      <c r="C188" s="14" t="s">
        <v>627</v>
      </c>
      <c r="D188" s="14" t="str">
        <f aca="false">NODOS_MUROS!K139</f>
        <v>155 FX 8.7 FZ 8.7</v>
      </c>
      <c r="E188" s="9" t="s">
        <v>628</v>
      </c>
    </row>
    <row r="189" customFormat="false" ht="14.25" hidden="false" customHeight="true" outlineLevel="0" collapsed="false">
      <c r="B189" s="25" t="str">
        <f aca="false">"N"&amp;NODOS_MUROS!B140</f>
        <v>N156</v>
      </c>
      <c r="C189" s="14" t="s">
        <v>627</v>
      </c>
      <c r="D189" s="14" t="str">
        <f aca="false">NODOS_MUROS!K140</f>
        <v>156 FX 29.3 FZ 29.3</v>
      </c>
      <c r="E189" s="9" t="s">
        <v>628</v>
      </c>
    </row>
    <row r="190" customFormat="false" ht="14.25" hidden="false" customHeight="true" outlineLevel="0" collapsed="false">
      <c r="B190" s="25" t="str">
        <f aca="false">"N"&amp;NODOS_MUROS!B141</f>
        <v>N157</v>
      </c>
      <c r="C190" s="14" t="s">
        <v>627</v>
      </c>
      <c r="D190" s="14" t="str">
        <f aca="false">NODOS_MUROS!K141</f>
        <v>157 FX 29.3 FZ 29.3</v>
      </c>
      <c r="E190" s="9" t="s">
        <v>628</v>
      </c>
    </row>
    <row r="191" customFormat="false" ht="14.25" hidden="false" customHeight="true" outlineLevel="0" collapsed="false">
      <c r="B191" s="25" t="str">
        <f aca="false">"N"&amp;NODOS_MUROS!B142</f>
        <v>N158</v>
      </c>
      <c r="C191" s="14" t="s">
        <v>627</v>
      </c>
      <c r="D191" s="14" t="str">
        <f aca="false">NODOS_MUROS!K142</f>
        <v>158 FX 47.4 FZ 47.4</v>
      </c>
      <c r="E191" s="9" t="s">
        <v>628</v>
      </c>
    </row>
    <row r="192" customFormat="false" ht="14.25" hidden="false" customHeight="true" outlineLevel="0" collapsed="false">
      <c r="B192" s="25" t="str">
        <f aca="false">"N"&amp;NODOS_MUROS!B143</f>
        <v>N159</v>
      </c>
      <c r="C192" s="14" t="s">
        <v>627</v>
      </c>
      <c r="D192" s="14" t="str">
        <f aca="false">NODOS_MUROS!K143</f>
        <v>159 FX 32.5 FZ 32.5</v>
      </c>
      <c r="E192" s="9" t="s">
        <v>628</v>
      </c>
    </row>
    <row r="193" customFormat="false" ht="14.25" hidden="false" customHeight="true" outlineLevel="0" collapsed="false">
      <c r="B193" s="25" t="str">
        <f aca="false">"N"&amp;NODOS_MUROS!B144</f>
        <v>N160</v>
      </c>
      <c r="C193" s="14" t="s">
        <v>627</v>
      </c>
      <c r="D193" s="14" t="str">
        <f aca="false">NODOS_MUROS!K144</f>
        <v>160 FX 8.8 FZ 8.8</v>
      </c>
      <c r="E193" s="9" t="s">
        <v>628</v>
      </c>
    </row>
    <row r="194" customFormat="false" ht="14.25" hidden="false" customHeight="true" outlineLevel="0" collapsed="false">
      <c r="B194" s="25" t="str">
        <f aca="false">"N"&amp;NODOS_MUROS!B145</f>
        <v>N161</v>
      </c>
      <c r="C194" s="14" t="s">
        <v>627</v>
      </c>
      <c r="D194" s="14" t="str">
        <f aca="false">NODOS_MUROS!K145</f>
        <v>161 FX 47.4 FZ 47.4</v>
      </c>
      <c r="E194" s="9" t="s">
        <v>628</v>
      </c>
    </row>
    <row r="195" customFormat="false" ht="14.25" hidden="false" customHeight="true" outlineLevel="0" collapsed="false">
      <c r="B195" s="25" t="str">
        <f aca="false">"N"&amp;NODOS_MUROS!B146</f>
        <v>N162</v>
      </c>
      <c r="C195" s="14" t="s">
        <v>627</v>
      </c>
      <c r="D195" s="14" t="str">
        <f aca="false">NODOS_MUROS!K146</f>
        <v>162 FX 32.5 FZ 32.5</v>
      </c>
      <c r="E195" s="9" t="s">
        <v>628</v>
      </c>
    </row>
    <row r="196" customFormat="false" ht="14.25" hidden="false" customHeight="true" outlineLevel="0" collapsed="false">
      <c r="B196" s="25" t="str">
        <f aca="false">"N"&amp;NODOS_MUROS!B147</f>
        <v>N163</v>
      </c>
      <c r="C196" s="14" t="s">
        <v>627</v>
      </c>
      <c r="D196" s="14" t="str">
        <f aca="false">NODOS_MUROS!K147</f>
        <v>163 FX 8.8 FZ 8.8</v>
      </c>
      <c r="E196" s="9" t="s">
        <v>628</v>
      </c>
    </row>
    <row r="197" customFormat="false" ht="14.25" hidden="false" customHeight="true" outlineLevel="0" collapsed="false">
      <c r="B197" s="25" t="str">
        <f aca="false">"N"&amp;NODOS_MUROS!B148</f>
        <v>N166</v>
      </c>
      <c r="C197" s="14" t="s">
        <v>627</v>
      </c>
      <c r="D197" s="14" t="str">
        <f aca="false">NODOS_MUROS!K148</f>
        <v>166 FX 5.6 FZ 5.6</v>
      </c>
      <c r="E197" s="9" t="s">
        <v>628</v>
      </c>
    </row>
    <row r="198" customFormat="false" ht="14.25" hidden="false" customHeight="true" outlineLevel="0" collapsed="false">
      <c r="B198" s="25" t="str">
        <f aca="false">"N"&amp;NODOS_MUROS!B149</f>
        <v>N167</v>
      </c>
      <c r="C198" s="14" t="s">
        <v>627</v>
      </c>
      <c r="D198" s="14" t="str">
        <f aca="false">NODOS_MUROS!K149</f>
        <v>167 FX 5.6 FZ 5.6</v>
      </c>
      <c r="E198" s="9" t="s">
        <v>628</v>
      </c>
    </row>
    <row r="199" customFormat="false" ht="14.25" hidden="false" customHeight="true" outlineLevel="0" collapsed="false">
      <c r="B199" s="25" t="str">
        <f aca="false">"N"&amp;NODOS_MUROS!B150</f>
        <v>N168</v>
      </c>
      <c r="C199" s="14" t="s">
        <v>627</v>
      </c>
      <c r="D199" s="14" t="str">
        <f aca="false">NODOS_MUROS!K150</f>
        <v>168 FX 54.2 FZ 54.2</v>
      </c>
      <c r="E199" s="9" t="s">
        <v>628</v>
      </c>
    </row>
    <row r="200" customFormat="false" ht="14.25" hidden="false" customHeight="true" outlineLevel="0" collapsed="false">
      <c r="B200" s="25" t="str">
        <f aca="false">"N"&amp;NODOS_MUROS!B151</f>
        <v>N169</v>
      </c>
      <c r="C200" s="14" t="s">
        <v>627</v>
      </c>
      <c r="D200" s="14" t="str">
        <f aca="false">NODOS_MUROS!K151</f>
        <v>169 FX 54.2 FZ 54.2</v>
      </c>
      <c r="E200" s="9" t="s">
        <v>628</v>
      </c>
    </row>
    <row r="201" customFormat="false" ht="14.25" hidden="false" customHeight="true" outlineLevel="0" collapsed="false">
      <c r="B201" s="25" t="str">
        <f aca="false">"N"&amp;NODOS_MUROS!B152</f>
        <v>N170</v>
      </c>
      <c r="C201" s="14" t="s">
        <v>627</v>
      </c>
      <c r="D201" s="14" t="str">
        <f aca="false">NODOS_MUROS!K152</f>
        <v>170 FX 47.4 FZ 47.4</v>
      </c>
      <c r="E201" s="9" t="s">
        <v>628</v>
      </c>
    </row>
    <row r="202" customFormat="false" ht="14.25" hidden="false" customHeight="true" outlineLevel="0" collapsed="false">
      <c r="B202" s="25" t="str">
        <f aca="false">"N"&amp;NODOS_MUROS!B153</f>
        <v>N171</v>
      </c>
      <c r="C202" s="14" t="s">
        <v>627</v>
      </c>
      <c r="D202" s="14" t="str">
        <f aca="false">NODOS_MUROS!K153</f>
        <v>171 FX 32.5 FZ 32.5</v>
      </c>
      <c r="E202" s="9" t="s">
        <v>628</v>
      </c>
    </row>
    <row r="203" customFormat="false" ht="14.25" hidden="false" customHeight="true" outlineLevel="0" collapsed="false">
      <c r="B203" s="25" t="str">
        <f aca="false">"N"&amp;NODOS_MUROS!B154</f>
        <v>N172</v>
      </c>
      <c r="C203" s="14" t="s">
        <v>627</v>
      </c>
      <c r="D203" s="14" t="str">
        <f aca="false">NODOS_MUROS!K154</f>
        <v>172 FX 8.8 FZ 8.8</v>
      </c>
      <c r="E203" s="9" t="s">
        <v>628</v>
      </c>
    </row>
    <row r="204" customFormat="false" ht="14.25" hidden="false" customHeight="true" outlineLevel="0" collapsed="false">
      <c r="B204" s="25" t="str">
        <f aca="false">"N"&amp;NODOS_MUROS!B155</f>
        <v>N173</v>
      </c>
      <c r="C204" s="14" t="s">
        <v>627</v>
      </c>
      <c r="D204" s="14" t="str">
        <f aca="false">NODOS_MUROS!K155</f>
        <v>173 FX 47.4 FZ 47.4</v>
      </c>
      <c r="E204" s="9" t="s">
        <v>628</v>
      </c>
    </row>
    <row r="205" customFormat="false" ht="14.25" hidden="false" customHeight="true" outlineLevel="0" collapsed="false">
      <c r="B205" s="25" t="str">
        <f aca="false">"N"&amp;NODOS_MUROS!B156</f>
        <v>N174</v>
      </c>
      <c r="C205" s="14" t="s">
        <v>627</v>
      </c>
      <c r="D205" s="14" t="str">
        <f aca="false">NODOS_MUROS!K156</f>
        <v>174 FX 32.5 FZ 32.5</v>
      </c>
      <c r="E205" s="9" t="s">
        <v>628</v>
      </c>
    </row>
    <row r="206" customFormat="false" ht="14.25" hidden="false" customHeight="true" outlineLevel="0" collapsed="false">
      <c r="B206" s="25" t="str">
        <f aca="false">"N"&amp;NODOS_MUROS!B157</f>
        <v>N175</v>
      </c>
      <c r="C206" s="14" t="s">
        <v>627</v>
      </c>
      <c r="D206" s="14" t="str">
        <f aca="false">NODOS_MUROS!K157</f>
        <v>175 FX 8.8 FZ 8.8</v>
      </c>
      <c r="E206" s="9" t="s">
        <v>628</v>
      </c>
    </row>
    <row r="207" customFormat="false" ht="14.25" hidden="false" customHeight="true" outlineLevel="0" collapsed="false">
      <c r="B207" s="25" t="str">
        <f aca="false">"N"&amp;NODOS_MUROS!B158</f>
        <v>N180</v>
      </c>
      <c r="C207" s="14" t="s">
        <v>627</v>
      </c>
      <c r="D207" s="14" t="str">
        <f aca="false">NODOS_MUROS!K158</f>
        <v>180 FX 59.1 FZ 59.1</v>
      </c>
      <c r="E207" s="9" t="s">
        <v>628</v>
      </c>
    </row>
    <row r="208" customFormat="false" ht="14.25" hidden="false" customHeight="true" outlineLevel="0" collapsed="false">
      <c r="B208" s="25" t="str">
        <f aca="false">"N"&amp;NODOS_MUROS!B159</f>
        <v>N181</v>
      </c>
      <c r="C208" s="14" t="s">
        <v>627</v>
      </c>
      <c r="D208" s="14" t="str">
        <f aca="false">NODOS_MUROS!K159</f>
        <v>181 FX 59.1 FZ 59.1</v>
      </c>
      <c r="E208" s="9" t="s">
        <v>628</v>
      </c>
    </row>
    <row r="209" customFormat="false" ht="14.25" hidden="false" customHeight="true" outlineLevel="0" collapsed="false">
      <c r="B209" s="25" t="str">
        <f aca="false">"N"&amp;NODOS_MUROS!B160</f>
        <v>N182</v>
      </c>
      <c r="C209" s="14" t="s">
        <v>627</v>
      </c>
      <c r="D209" s="14" t="str">
        <f aca="false">NODOS_MUROS!K160</f>
        <v>182 FX 47.4 FZ 47.4</v>
      </c>
      <c r="E209" s="9" t="s">
        <v>628</v>
      </c>
    </row>
    <row r="210" customFormat="false" ht="14.25" hidden="false" customHeight="true" outlineLevel="0" collapsed="false">
      <c r="B210" s="25" t="str">
        <f aca="false">"N"&amp;NODOS_MUROS!B161</f>
        <v>N183</v>
      </c>
      <c r="C210" s="14" t="s">
        <v>627</v>
      </c>
      <c r="D210" s="14" t="str">
        <f aca="false">NODOS_MUROS!K161</f>
        <v>183 FX 32.5 FZ 32.5</v>
      </c>
      <c r="E210" s="9" t="s">
        <v>628</v>
      </c>
    </row>
    <row r="211" customFormat="false" ht="14.25" hidden="false" customHeight="true" outlineLevel="0" collapsed="false">
      <c r="B211" s="25" t="str">
        <f aca="false">"N"&amp;NODOS_MUROS!B162</f>
        <v>N184</v>
      </c>
      <c r="C211" s="14" t="s">
        <v>627</v>
      </c>
      <c r="D211" s="14" t="str">
        <f aca="false">NODOS_MUROS!K162</f>
        <v>184 FX 8.8 FZ 8.8</v>
      </c>
      <c r="E211" s="9" t="s">
        <v>628</v>
      </c>
    </row>
    <row r="212" customFormat="false" ht="14.25" hidden="false" customHeight="true" outlineLevel="0" collapsed="false">
      <c r="B212" s="25" t="str">
        <f aca="false">"N"&amp;NODOS_MUROS!B163</f>
        <v>N185</v>
      </c>
      <c r="C212" s="14" t="s">
        <v>627</v>
      </c>
      <c r="D212" s="14" t="str">
        <f aca="false">NODOS_MUROS!K163</f>
        <v>185 FX 47.4 FZ 47.4</v>
      </c>
      <c r="E212" s="9" t="s">
        <v>628</v>
      </c>
    </row>
    <row r="213" customFormat="false" ht="14.25" hidden="false" customHeight="true" outlineLevel="0" collapsed="false">
      <c r="B213" s="25" t="str">
        <f aca="false">"N"&amp;NODOS_MUROS!B164</f>
        <v>N186</v>
      </c>
      <c r="C213" s="14" t="s">
        <v>627</v>
      </c>
      <c r="D213" s="14" t="str">
        <f aca="false">NODOS_MUROS!K164</f>
        <v>186 FX 32.5 FZ 32.5</v>
      </c>
      <c r="E213" s="9" t="s">
        <v>628</v>
      </c>
    </row>
    <row r="214" customFormat="false" ht="14.25" hidden="false" customHeight="true" outlineLevel="0" collapsed="false">
      <c r="B214" s="25" t="str">
        <f aca="false">"N"&amp;NODOS_MUROS!B165</f>
        <v>N187</v>
      </c>
      <c r="C214" s="14" t="s">
        <v>627</v>
      </c>
      <c r="D214" s="14" t="str">
        <f aca="false">NODOS_MUROS!K165</f>
        <v>187 FX 8.8 FZ 8.8</v>
      </c>
      <c r="E214" s="9" t="s">
        <v>628</v>
      </c>
    </row>
    <row r="215" customFormat="false" ht="14.25" hidden="false" customHeight="true" outlineLevel="0" collapsed="false">
      <c r="B215" s="25" t="str">
        <f aca="false">"N"&amp;NODOS_MUROS!B166</f>
        <v>N192</v>
      </c>
      <c r="C215" s="14" t="s">
        <v>627</v>
      </c>
      <c r="D215" s="14" t="str">
        <f aca="false">NODOS_MUROS!K166</f>
        <v>192 FX 53.0 FZ 53.0</v>
      </c>
      <c r="E215" s="9" t="s">
        <v>628</v>
      </c>
    </row>
    <row r="216" customFormat="false" ht="14.25" hidden="false" customHeight="true" outlineLevel="0" collapsed="false">
      <c r="B216" s="25" t="str">
        <f aca="false">"N"&amp;NODOS_MUROS!B167</f>
        <v>N193</v>
      </c>
      <c r="C216" s="14" t="s">
        <v>627</v>
      </c>
      <c r="D216" s="14" t="str">
        <f aca="false">NODOS_MUROS!K167</f>
        <v>193 FX 53.0 FZ 53.0</v>
      </c>
      <c r="E216" s="9" t="s">
        <v>628</v>
      </c>
    </row>
    <row r="217" customFormat="false" ht="14.25" hidden="false" customHeight="true" outlineLevel="0" collapsed="false">
      <c r="B217" s="25" t="str">
        <f aca="false">"N"&amp;NODOS_MUROS!B168</f>
        <v>N194</v>
      </c>
      <c r="C217" s="14" t="s">
        <v>627</v>
      </c>
      <c r="D217" s="14" t="str">
        <f aca="false">NODOS_MUROS!K168</f>
        <v>194 FX 37.1 FZ 37.1</v>
      </c>
      <c r="E217" s="9" t="s">
        <v>628</v>
      </c>
    </row>
    <row r="218" customFormat="false" ht="14.25" hidden="false" customHeight="true" outlineLevel="0" collapsed="false">
      <c r="B218" s="25" t="str">
        <f aca="false">"N"&amp;NODOS_MUROS!B169</f>
        <v>N195</v>
      </c>
      <c r="C218" s="14" t="s">
        <v>627</v>
      </c>
      <c r="D218" s="14" t="str">
        <f aca="false">NODOS_MUROS!K169</f>
        <v>195 FX 22.3 FZ 22.3</v>
      </c>
      <c r="E218" s="9" t="s">
        <v>628</v>
      </c>
    </row>
    <row r="219" customFormat="false" ht="14.25" hidden="false" customHeight="true" outlineLevel="0" collapsed="false">
      <c r="B219" s="25" t="str">
        <f aca="false">"N"&amp;NODOS_MUROS!B170</f>
        <v>N196</v>
      </c>
      <c r="C219" s="14" t="s">
        <v>627</v>
      </c>
      <c r="D219" s="14" t="str">
        <f aca="false">NODOS_MUROS!K170</f>
        <v>196 FX 5.4 FZ 5.4</v>
      </c>
      <c r="E219" s="9" t="s">
        <v>628</v>
      </c>
    </row>
    <row r="220" customFormat="false" ht="14.25" hidden="false" customHeight="true" outlineLevel="0" collapsed="false">
      <c r="B220" s="25" t="str">
        <f aca="false">"N"&amp;NODOS_MUROS!B171</f>
        <v>N197</v>
      </c>
      <c r="C220" s="14" t="s">
        <v>627</v>
      </c>
      <c r="D220" s="14" t="str">
        <f aca="false">NODOS_MUROS!K171</f>
        <v>197 FX 37.1 FZ 37.1</v>
      </c>
      <c r="E220" s="9" t="s">
        <v>628</v>
      </c>
    </row>
    <row r="221" customFormat="false" ht="14.25" hidden="false" customHeight="true" outlineLevel="0" collapsed="false">
      <c r="B221" s="25" t="str">
        <f aca="false">"N"&amp;NODOS_MUROS!B172</f>
        <v>N198</v>
      </c>
      <c r="C221" s="14" t="s">
        <v>627</v>
      </c>
      <c r="D221" s="14" t="str">
        <f aca="false">NODOS_MUROS!K172</f>
        <v>198 FX 22.3 FZ 22.3</v>
      </c>
      <c r="E221" s="9" t="s">
        <v>628</v>
      </c>
    </row>
    <row r="222" customFormat="false" ht="14.25" hidden="false" customHeight="true" outlineLevel="0" collapsed="false">
      <c r="B222" s="25" t="str">
        <f aca="false">"N"&amp;NODOS_MUROS!B173</f>
        <v>N199</v>
      </c>
      <c r="C222" s="14" t="s">
        <v>627</v>
      </c>
      <c r="D222" s="14" t="str">
        <f aca="false">NODOS_MUROS!K173</f>
        <v>199 FX 5.4 FZ 5.4</v>
      </c>
      <c r="E222" s="9" t="s">
        <v>628</v>
      </c>
    </row>
    <row r="223" customFormat="false" ht="14.25" hidden="false" customHeight="true" outlineLevel="0" collapsed="false">
      <c r="B223" s="25" t="str">
        <f aca="false">"N"&amp;NODOS_MUROS!B174</f>
        <v>N200</v>
      </c>
      <c r="C223" s="14" t="s">
        <v>627</v>
      </c>
      <c r="D223" s="14" t="str">
        <f aca="false">NODOS_MUROS!K174</f>
        <v>200 FX 4.4 FZ 4.4</v>
      </c>
      <c r="E223" s="9" t="s">
        <v>628</v>
      </c>
    </row>
    <row r="224" customFormat="false" ht="14.25" hidden="false" customHeight="true" outlineLevel="0" collapsed="false">
      <c r="B224" s="25" t="str">
        <f aca="false">"N"&amp;NODOS_MUROS!B175</f>
        <v>N201</v>
      </c>
      <c r="C224" s="14" t="s">
        <v>627</v>
      </c>
      <c r="D224" s="14" t="str">
        <f aca="false">NODOS_MUROS!K175</f>
        <v>201 FX 4.4 FZ 4.4</v>
      </c>
      <c r="E224" s="9" t="s">
        <v>628</v>
      </c>
    </row>
    <row r="225" customFormat="false" ht="14.25" hidden="false" customHeight="true" outlineLevel="0" collapsed="false">
      <c r="B225" s="25" t="s">
        <v>41</v>
      </c>
      <c r="C225" s="14" t="s">
        <v>41</v>
      </c>
      <c r="D225" s="14" t="s">
        <v>610</v>
      </c>
      <c r="E225" s="9" t="s">
        <v>621</v>
      </c>
    </row>
    <row r="226" customFormat="false" ht="14.25" hidden="false" customHeight="true" outlineLevel="0" collapsed="false">
      <c r="B226" s="25" t="s">
        <v>617</v>
      </c>
      <c r="C226" s="14" t="s">
        <v>618</v>
      </c>
      <c r="D226" s="14" t="str">
        <f aca="false">"25 UNI GX "&amp;TEXT(DATOS!$C$51,"0.0000")</f>
        <v>25 UNI GX 0.7596</v>
      </c>
      <c r="E226" s="9" t="s">
        <v>629</v>
      </c>
    </row>
    <row r="227" customFormat="false" ht="14.25" hidden="false" customHeight="true" outlineLevel="0" collapsed="false">
      <c r="B227" s="25" t="s">
        <v>617</v>
      </c>
      <c r="C227" s="14" t="s">
        <v>618</v>
      </c>
      <c r="D227" s="14" t="str">
        <f aca="false">"25 UNI GZ "&amp;TEXT(DATOS!$C$51,"0.0000")</f>
        <v>25 UNI GZ 0.7596</v>
      </c>
      <c r="E227" s="9" t="s">
        <v>629</v>
      </c>
    </row>
  </sheetData>
  <mergeCells count="7">
    <mergeCell ref="B1:E1"/>
    <mergeCell ref="B2:E2"/>
    <mergeCell ref="B4:E4"/>
    <mergeCell ref="B112:E112"/>
    <mergeCell ref="B128:E128"/>
    <mergeCell ref="B131:E131"/>
    <mergeCell ref="B132:E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2" activeCellId="0" sqref="D62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58"/>
    <col collapsed="false" customWidth="true" hidden="false" outlineLevel="0" max="6" min="6" style="1" width="46"/>
  </cols>
  <sheetData>
    <row r="1" customFormat="false" ht="25.5" hidden="false" customHeight="true" outlineLevel="0" collapsed="false">
      <c r="B1" s="2" t="s">
        <v>630</v>
      </c>
      <c r="C1" s="2"/>
      <c r="D1" s="2"/>
      <c r="E1" s="2"/>
      <c r="F1" s="2"/>
    </row>
    <row r="2" customFormat="false" ht="30" hidden="false" customHeight="true" outlineLevel="0" collapsed="false">
      <c r="B2" s="3" t="s">
        <v>631</v>
      </c>
      <c r="C2" s="3"/>
      <c r="D2" s="3"/>
      <c r="E2" s="3"/>
      <c r="F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632</v>
      </c>
      <c r="C4" s="4"/>
      <c r="D4" s="4"/>
      <c r="E4" s="4"/>
      <c r="F4" s="4"/>
    </row>
    <row r="5" customFormat="false" ht="30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customFormat="false" ht="14.25" hidden="false" customHeight="true" outlineLevel="0" collapsed="false">
      <c r="B6" s="6" t="s">
        <v>633</v>
      </c>
      <c r="C6" s="11" t="n">
        <f aca="false">TECHO!$J$20</f>
        <v>161.28</v>
      </c>
      <c r="D6" s="8" t="s">
        <v>634</v>
      </c>
      <c r="E6" s="9" t="s">
        <v>635</v>
      </c>
      <c r="F6" s="10" t="s">
        <v>636</v>
      </c>
    </row>
    <row r="7" customFormat="false" ht="14.25" hidden="false" customHeight="true" outlineLevel="0" collapsed="false">
      <c r="B7" s="6" t="s">
        <v>637</v>
      </c>
      <c r="C7" s="14" t="n">
        <f aca="false">MUROS!$O$55</f>
        <v>297.8801208999</v>
      </c>
      <c r="D7" s="8" t="s">
        <v>634</v>
      </c>
      <c r="E7" s="9" t="s">
        <v>638</v>
      </c>
      <c r="F7" s="10" t="s">
        <v>639</v>
      </c>
    </row>
    <row r="8" customFormat="false" ht="14.25" hidden="false" customHeight="true" outlineLevel="0" collapsed="false">
      <c r="B8" s="6" t="s">
        <v>640</v>
      </c>
      <c r="C8" s="14" t="n">
        <f aca="false">MUROS!$O$85</f>
        <v>9.88006690000001</v>
      </c>
      <c r="D8" s="8" t="s">
        <v>634</v>
      </c>
      <c r="E8" s="9" t="s">
        <v>641</v>
      </c>
      <c r="F8" s="10" t="s">
        <v>639</v>
      </c>
    </row>
    <row r="9" customFormat="false" ht="14.25" hidden="false" customHeight="true" outlineLevel="0" collapsed="false">
      <c r="B9" s="6" t="s">
        <v>642</v>
      </c>
      <c r="C9" s="14" t="n">
        <f aca="false">MUROS!$N$111</f>
        <v>69.4266531</v>
      </c>
      <c r="D9" s="8" t="s">
        <v>634</v>
      </c>
      <c r="E9" s="9" t="s">
        <v>643</v>
      </c>
      <c r="F9" s="10" t="s">
        <v>639</v>
      </c>
    </row>
    <row r="10" customFormat="false" ht="14.25" hidden="false" customHeight="true" outlineLevel="0" collapsed="false">
      <c r="B10" s="6" t="s">
        <v>644</v>
      </c>
      <c r="C10" s="11" t="n">
        <f aca="false">C7+C8+C9</f>
        <v>377.1868408999</v>
      </c>
      <c r="D10" s="8" t="s">
        <v>634</v>
      </c>
      <c r="E10" s="9" t="s">
        <v>645</v>
      </c>
      <c r="F10" s="10" t="s">
        <v>41</v>
      </c>
    </row>
    <row r="12" customFormat="false" ht="21" hidden="false" customHeight="true" outlineLevel="0" collapsed="false">
      <c r="B12" s="4" t="s">
        <v>646</v>
      </c>
      <c r="C12" s="4"/>
      <c r="D12" s="4"/>
      <c r="E12" s="4"/>
      <c r="F12" s="4"/>
    </row>
    <row r="13" customFormat="false" ht="30" hidden="false" customHeight="true" outlineLevel="0" collapsed="false"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</row>
    <row r="14" customFormat="false" ht="14.25" hidden="false" customHeight="true" outlineLevel="0" collapsed="false">
      <c r="B14" s="6" t="s">
        <v>647</v>
      </c>
      <c r="C14" s="40" t="n">
        <f aca="false">DATOS!$C$8*C6</f>
        <v>3115.9296</v>
      </c>
      <c r="D14" s="8" t="s">
        <v>58</v>
      </c>
      <c r="E14" s="9" t="s">
        <v>648</v>
      </c>
      <c r="F14" s="10" t="s">
        <v>649</v>
      </c>
    </row>
    <row r="15" customFormat="false" ht="14.25" hidden="false" customHeight="true" outlineLevel="0" collapsed="false">
      <c r="B15" s="6" t="s">
        <v>650</v>
      </c>
      <c r="C15" s="40" t="n">
        <f aca="false">DATOS!$C$10*C10</f>
        <v>2206.54301926442</v>
      </c>
      <c r="D15" s="8" t="s">
        <v>58</v>
      </c>
      <c r="E15" s="9" t="s">
        <v>651</v>
      </c>
      <c r="F15" s="10" t="s">
        <v>652</v>
      </c>
    </row>
    <row r="16" customFormat="false" ht="14.25" hidden="false" customHeight="true" outlineLevel="0" collapsed="false">
      <c r="B16" s="6" t="s">
        <v>653</v>
      </c>
      <c r="C16" s="40" t="n">
        <f aca="false">DATOS!$C$22*C6</f>
        <v>3225.6</v>
      </c>
      <c r="D16" s="8" t="s">
        <v>58</v>
      </c>
      <c r="E16" s="9" t="s">
        <v>654</v>
      </c>
      <c r="F16" s="10" t="s">
        <v>624</v>
      </c>
    </row>
    <row r="17" customFormat="false" ht="14.25" hidden="false" customHeight="true" outlineLevel="0" collapsed="false">
      <c r="B17" s="6" t="s">
        <v>655</v>
      </c>
      <c r="C17" s="40" t="n">
        <f aca="false">DATOS!$C$23*C6</f>
        <v>0</v>
      </c>
      <c r="D17" s="8" t="s">
        <v>58</v>
      </c>
      <c r="E17" s="9" t="s">
        <v>656</v>
      </c>
      <c r="F17" s="10" t="s">
        <v>624</v>
      </c>
    </row>
    <row r="18" customFormat="false" ht="25.5" hidden="false" customHeight="true" outlineLevel="0" collapsed="false">
      <c r="B18" s="6" t="s">
        <v>657</v>
      </c>
      <c r="C18" s="21" t="n">
        <f aca="false">DATOS!$C$49</f>
        <v>387.517536</v>
      </c>
      <c r="D18" s="8" t="s">
        <v>58</v>
      </c>
      <c r="E18" s="9" t="s">
        <v>658</v>
      </c>
      <c r="F18" s="10" t="s">
        <v>659</v>
      </c>
    </row>
    <row r="20" customFormat="false" ht="21" hidden="false" customHeight="true" outlineLevel="0" collapsed="false">
      <c r="B20" s="4" t="s">
        <v>660</v>
      </c>
      <c r="C20" s="4"/>
      <c r="D20" s="4"/>
      <c r="E20" s="4"/>
      <c r="F20" s="4"/>
    </row>
    <row r="21" customFormat="false" ht="27.75" hidden="false" customHeight="true" outlineLevel="0" collapsed="false">
      <c r="B21" s="23" t="s">
        <v>661</v>
      </c>
      <c r="C21" s="23"/>
      <c r="D21" s="23"/>
      <c r="E21" s="23"/>
      <c r="F21" s="23"/>
    </row>
    <row r="22" customFormat="false" ht="30" hidden="false" customHeight="true" outlineLevel="0" collapsed="false">
      <c r="B22" s="5" t="s">
        <v>110</v>
      </c>
      <c r="C22" s="5" t="s">
        <v>662</v>
      </c>
      <c r="D22" s="5" t="s">
        <v>663</v>
      </c>
      <c r="E22" s="5" t="s">
        <v>664</v>
      </c>
      <c r="F22" s="5" t="s">
        <v>665</v>
      </c>
    </row>
    <row r="23" customFormat="false" ht="25.5" hidden="false" customHeight="true" outlineLevel="0" collapsed="false">
      <c r="B23" s="6" t="s">
        <v>666</v>
      </c>
      <c r="C23" s="7" t="n">
        <v>81.32</v>
      </c>
      <c r="D23" s="20" t="n">
        <v>84.6848</v>
      </c>
      <c r="E23" s="21" t="n">
        <f aca="false">C23*100*D23*0.00783341</f>
        <v>5394.53101355418</v>
      </c>
      <c r="F23" s="10" t="s">
        <v>667</v>
      </c>
    </row>
    <row r="24" customFormat="false" ht="25.5" hidden="false" customHeight="true" outlineLevel="0" collapsed="false">
      <c r="B24" s="6" t="s">
        <v>668</v>
      </c>
      <c r="C24" s="7" t="n">
        <v>12.66</v>
      </c>
      <c r="D24" s="20" t="n">
        <v>27.7952</v>
      </c>
      <c r="E24" s="21" t="n">
        <f aca="false">C24*100*D24*0.00783341</f>
        <v>275.647696202112</v>
      </c>
      <c r="F24" s="10" t="s">
        <v>669</v>
      </c>
    </row>
    <row r="25" customFormat="false" ht="25.5" hidden="false" customHeight="true" outlineLevel="0" collapsed="false">
      <c r="B25" s="6" t="s">
        <v>670</v>
      </c>
      <c r="C25" s="7" t="n">
        <v>4.8</v>
      </c>
      <c r="D25" s="20" t="n">
        <v>8.4354</v>
      </c>
      <c r="E25" s="21" t="n">
        <f aca="false">C25*100*D25*0.00783341</f>
        <v>31.71741442272</v>
      </c>
      <c r="F25" s="10" t="s">
        <v>671</v>
      </c>
    </row>
    <row r="26" customFormat="false" ht="25.5" hidden="false" customHeight="true" outlineLevel="0" collapsed="false">
      <c r="B26" s="6" t="s">
        <v>672</v>
      </c>
      <c r="C26" s="7" t="n">
        <v>72.36</v>
      </c>
      <c r="D26" s="20" t="n">
        <v>25.81</v>
      </c>
      <c r="E26" s="21" t="n">
        <f aca="false">C26*100*D26*0.00783341</f>
        <v>1462.9767383556</v>
      </c>
      <c r="F26" s="10" t="s">
        <v>673</v>
      </c>
    </row>
    <row r="27" customFormat="false" ht="25.5" hidden="false" customHeight="true" outlineLevel="0" collapsed="false">
      <c r="B27" s="6" t="s">
        <v>137</v>
      </c>
      <c r="C27" s="7" t="n">
        <v>10.08</v>
      </c>
      <c r="D27" s="20" t="n">
        <v>15.0119</v>
      </c>
      <c r="E27" s="21" t="n">
        <f aca="false">C27*100*D27*0.00783341</f>
        <v>118.535122519632</v>
      </c>
      <c r="F27" s="10" t="s">
        <v>674</v>
      </c>
    </row>
    <row r="28" customFormat="false" ht="25.5" hidden="false" customHeight="true" outlineLevel="0" collapsed="false">
      <c r="B28" s="6" t="s">
        <v>142</v>
      </c>
      <c r="C28" s="7" t="n">
        <v>400.55</v>
      </c>
      <c r="D28" s="20" t="n">
        <v>3.9423</v>
      </c>
      <c r="E28" s="21" t="n">
        <f aca="false">C28*100*D28*0.00783341</f>
        <v>1236.96458059337</v>
      </c>
      <c r="F28" s="10" t="s">
        <v>675</v>
      </c>
    </row>
    <row r="29" customFormat="false" ht="14.25" hidden="false" customHeight="true" outlineLevel="0" collapsed="false">
      <c r="B29" s="6" t="s">
        <v>676</v>
      </c>
      <c r="C29" s="7" t="n">
        <v>64.08</v>
      </c>
      <c r="D29" s="20" t="n">
        <v>2.7935</v>
      </c>
      <c r="E29" s="21" t="n">
        <f aca="false">C29*100*D29*0.00783341</f>
        <v>140.22389839068</v>
      </c>
      <c r="F29" s="10" t="s">
        <v>677</v>
      </c>
    </row>
    <row r="30" customFormat="false" ht="14.25" hidden="false" customHeight="false" outlineLevel="0" collapsed="false">
      <c r="B30" s="6" t="s">
        <v>678</v>
      </c>
      <c r="E30" s="21" t="n">
        <f aca="false">SUM(E23:E29)</f>
        <v>8660.59646403828</v>
      </c>
    </row>
    <row r="32" customFormat="false" ht="21" hidden="false" customHeight="true" outlineLevel="0" collapsed="false">
      <c r="B32" s="4" t="s">
        <v>679</v>
      </c>
      <c r="C32" s="4"/>
      <c r="D32" s="4"/>
      <c r="E32" s="4"/>
      <c r="F32" s="4"/>
    </row>
    <row r="33" customFormat="false" ht="30" hidden="false" customHeight="true" outlineLevel="0" collapsed="false">
      <c r="B33" s="5" t="s">
        <v>3</v>
      </c>
      <c r="C33" s="5" t="s">
        <v>4</v>
      </c>
      <c r="D33" s="5" t="s">
        <v>5</v>
      </c>
      <c r="E33" s="5" t="s">
        <v>6</v>
      </c>
      <c r="F33" s="5" t="s">
        <v>7</v>
      </c>
    </row>
    <row r="34" customFormat="false" ht="25.5" hidden="false" customHeight="true" outlineLevel="0" collapsed="false">
      <c r="B34" s="6" t="s">
        <v>680</v>
      </c>
      <c r="C34" s="11" t="n">
        <f aca="false">E30/1000</f>
        <v>8.66059646403829</v>
      </c>
      <c r="D34" s="8" t="s">
        <v>681</v>
      </c>
      <c r="E34" s="9" t="s">
        <v>682</v>
      </c>
      <c r="F34" s="10" t="s">
        <v>683</v>
      </c>
    </row>
    <row r="35" customFormat="false" ht="25.5" hidden="false" customHeight="true" outlineLevel="0" collapsed="false">
      <c r="B35" s="6" t="s">
        <v>15</v>
      </c>
      <c r="C35" s="11" t="n">
        <f aca="false">C14/1000</f>
        <v>3.1159296</v>
      </c>
      <c r="D35" s="8" t="s">
        <v>681</v>
      </c>
      <c r="E35" s="9" t="s">
        <v>684</v>
      </c>
      <c r="F35" s="10" t="s">
        <v>685</v>
      </c>
    </row>
    <row r="36" customFormat="false" ht="25.5" hidden="false" customHeight="true" outlineLevel="0" collapsed="false">
      <c r="B36" s="6" t="s">
        <v>21</v>
      </c>
      <c r="C36" s="11" t="n">
        <f aca="false">C15/1000</f>
        <v>2.20654301926442</v>
      </c>
      <c r="D36" s="8" t="s">
        <v>681</v>
      </c>
      <c r="E36" s="9" t="s">
        <v>686</v>
      </c>
      <c r="F36" s="10" t="s">
        <v>685</v>
      </c>
    </row>
    <row r="37" customFormat="false" ht="25.5" hidden="false" customHeight="true" outlineLevel="0" collapsed="false">
      <c r="B37" s="6" t="s">
        <v>687</v>
      </c>
      <c r="C37" s="11" t="n">
        <f aca="false">C18/1000</f>
        <v>0.387517536</v>
      </c>
      <c r="D37" s="8" t="s">
        <v>681</v>
      </c>
      <c r="E37" s="9" t="s">
        <v>688</v>
      </c>
      <c r="F37" s="10" t="s">
        <v>689</v>
      </c>
    </row>
    <row r="38" customFormat="false" ht="25.5" hidden="false" customHeight="true" outlineLevel="0" collapsed="false">
      <c r="B38" s="6" t="s">
        <v>690</v>
      </c>
      <c r="C38" s="11" t="n">
        <f aca="false">C17/1000</f>
        <v>0</v>
      </c>
      <c r="D38" s="8" t="s">
        <v>681</v>
      </c>
      <c r="E38" s="9" t="s">
        <v>691</v>
      </c>
      <c r="F38" s="10" t="s">
        <v>53</v>
      </c>
    </row>
    <row r="39" customFormat="false" ht="25.5" hidden="false" customHeight="true" outlineLevel="0" collapsed="false">
      <c r="B39" s="6" t="s">
        <v>692</v>
      </c>
      <c r="C39" s="11" t="n">
        <f aca="false">SUM(C34:C38)</f>
        <v>14.3705866193027</v>
      </c>
      <c r="D39" s="8" t="s">
        <v>681</v>
      </c>
      <c r="E39" s="9" t="s">
        <v>693</v>
      </c>
      <c r="F39" s="10" t="s">
        <v>694</v>
      </c>
    </row>
    <row r="40" customFormat="false" ht="30" hidden="false" customHeight="true" outlineLevel="0" collapsed="false">
      <c r="B40" s="6" t="s">
        <v>695</v>
      </c>
      <c r="C40" s="41" t="str">
        <f aca="false">"La suma de cargas del caso 1 debe dar ≈ "&amp;TEXT(C34+C35+C36+C37,"0.00")&amp;" t"</f>
        <v>La suma de cargas del caso 1 debe dar ≈ 14.37 t</v>
      </c>
      <c r="D40" s="41"/>
      <c r="E40" s="9" t="s">
        <v>696</v>
      </c>
      <c r="F40" s="10" t="s">
        <v>697</v>
      </c>
    </row>
    <row r="42" customFormat="false" ht="21" hidden="false" customHeight="true" outlineLevel="0" collapsed="false">
      <c r="B42" s="4" t="s">
        <v>698</v>
      </c>
      <c r="C42" s="4"/>
      <c r="D42" s="4"/>
      <c r="E42" s="4"/>
      <c r="F42" s="4"/>
    </row>
    <row r="43" customFormat="false" ht="30" hidden="false" customHeight="true" outlineLevel="0" collapsed="false">
      <c r="B43" s="5" t="s">
        <v>3</v>
      </c>
      <c r="C43" s="5" t="s">
        <v>4</v>
      </c>
      <c r="D43" s="5" t="s">
        <v>5</v>
      </c>
      <c r="E43" s="5" t="s">
        <v>6</v>
      </c>
      <c r="F43" s="5" t="s">
        <v>7</v>
      </c>
    </row>
    <row r="44" customFormat="false" ht="25.5" hidden="false" customHeight="true" outlineLevel="0" collapsed="false">
      <c r="B44" s="6" t="s">
        <v>699</v>
      </c>
      <c r="C44" s="7" t="n">
        <v>0.4</v>
      </c>
      <c r="D44" s="8" t="s">
        <v>41</v>
      </c>
      <c r="E44" s="9" t="s">
        <v>700</v>
      </c>
      <c r="F44" s="10" t="s">
        <v>701</v>
      </c>
    </row>
    <row r="45" customFormat="false" ht="25.5" hidden="false" customHeight="true" outlineLevel="0" collapsed="false">
      <c r="B45" s="6" t="s">
        <v>702</v>
      </c>
      <c r="C45" s="7" t="n">
        <v>1.2</v>
      </c>
      <c r="D45" s="8" t="s">
        <v>41</v>
      </c>
      <c r="E45" s="9" t="s">
        <v>703</v>
      </c>
      <c r="F45" s="10" t="s">
        <v>704</v>
      </c>
    </row>
    <row r="46" customFormat="false" ht="25.5" hidden="false" customHeight="true" outlineLevel="0" collapsed="false">
      <c r="B46" s="6" t="s">
        <v>705</v>
      </c>
      <c r="C46" s="7" t="n">
        <v>3</v>
      </c>
      <c r="D46" s="8" t="s">
        <v>41</v>
      </c>
      <c r="E46" s="9" t="s">
        <v>703</v>
      </c>
      <c r="F46" s="10" t="s">
        <v>706</v>
      </c>
    </row>
    <row r="47" customFormat="false" ht="25.5" hidden="false" customHeight="true" outlineLevel="0" collapsed="false">
      <c r="B47" s="6" t="s">
        <v>707</v>
      </c>
      <c r="C47" s="7" t="n">
        <v>0.6</v>
      </c>
      <c r="D47" s="8" t="s">
        <v>708</v>
      </c>
      <c r="E47" s="9" t="s">
        <v>703</v>
      </c>
      <c r="F47" s="10" t="s">
        <v>706</v>
      </c>
    </row>
    <row r="48" customFormat="false" ht="25.5" hidden="false" customHeight="true" outlineLevel="0" collapsed="false">
      <c r="B48" s="6" t="s">
        <v>709</v>
      </c>
      <c r="C48" s="39" t="n">
        <v>7</v>
      </c>
      <c r="D48" s="8" t="s">
        <v>41</v>
      </c>
      <c r="E48" s="9" t="s">
        <v>710</v>
      </c>
      <c r="F48" s="10" t="s">
        <v>711</v>
      </c>
    </row>
    <row r="49" customFormat="false" ht="25.5" hidden="false" customHeight="true" outlineLevel="0" collapsed="false">
      <c r="B49" s="6" t="s">
        <v>712</v>
      </c>
      <c r="C49" s="36" t="n">
        <v>0.085</v>
      </c>
      <c r="D49" s="8" t="s">
        <v>41</v>
      </c>
      <c r="E49" s="9" t="s">
        <v>703</v>
      </c>
      <c r="F49" s="10" t="s">
        <v>713</v>
      </c>
    </row>
    <row r="50" customFormat="false" ht="25.5" hidden="false" customHeight="true" outlineLevel="0" collapsed="false">
      <c r="B50" s="6" t="s">
        <v>714</v>
      </c>
      <c r="C50" s="7" t="n">
        <v>10.62</v>
      </c>
      <c r="D50" s="8" t="s">
        <v>27</v>
      </c>
      <c r="E50" s="9" t="s">
        <v>715</v>
      </c>
      <c r="F50" s="10" t="s">
        <v>716</v>
      </c>
    </row>
    <row r="51" customFormat="false" ht="25.5" hidden="false" customHeight="true" outlineLevel="0" collapsed="false">
      <c r="B51" s="6" t="s">
        <v>717</v>
      </c>
      <c r="C51" s="37" t="n">
        <f aca="false">C49*C50^0.75</f>
        <v>0.500048712336972</v>
      </c>
      <c r="D51" s="8" t="s">
        <v>708</v>
      </c>
      <c r="E51" s="9" t="s">
        <v>718</v>
      </c>
      <c r="F51" s="10" t="s">
        <v>713</v>
      </c>
    </row>
    <row r="52" customFormat="false" ht="25.5" hidden="false" customHeight="true" outlineLevel="0" collapsed="false">
      <c r="B52" s="6" t="s">
        <v>719</v>
      </c>
      <c r="C52" s="22" t="n">
        <f aca="false">C44*C45*C46/C48*(C47/MAX(C51,C47))^(2/3)</f>
        <v>0.205714285714286</v>
      </c>
      <c r="D52" s="8" t="s">
        <v>41</v>
      </c>
      <c r="E52" s="9" t="s">
        <v>720</v>
      </c>
      <c r="F52" s="10" t="s">
        <v>721</v>
      </c>
    </row>
    <row r="53" customFormat="false" ht="25.5" hidden="false" customHeight="true" outlineLevel="0" collapsed="false">
      <c r="B53" s="6" t="s">
        <v>722</v>
      </c>
      <c r="C53" s="36" t="n">
        <v>0.489</v>
      </c>
      <c r="D53" s="8" t="s">
        <v>708</v>
      </c>
      <c r="E53" s="9" t="s">
        <v>723</v>
      </c>
      <c r="F53" s="10" t="s">
        <v>724</v>
      </c>
    </row>
    <row r="54" customFormat="false" ht="25.5" hidden="false" customHeight="true" outlineLevel="0" collapsed="false">
      <c r="B54" s="6" t="s">
        <v>725</v>
      </c>
      <c r="C54" s="36" t="n">
        <v>0.579</v>
      </c>
      <c r="D54" s="8" t="s">
        <v>708</v>
      </c>
      <c r="E54" s="9" t="s">
        <v>726</v>
      </c>
      <c r="F54" s="10" t="s">
        <v>724</v>
      </c>
    </row>
    <row r="55" customFormat="false" ht="25.5" hidden="false" customHeight="true" outlineLevel="0" collapsed="false">
      <c r="B55" s="6" t="s">
        <v>727</v>
      </c>
      <c r="C55" s="21" t="n">
        <f aca="false">MAX(C44*C45*C46/C48*(C47/MAX(C53,C47))^(2/3),0.8*C52)*C39*1000</f>
        <v>2956.23496168513</v>
      </c>
      <c r="D55" s="8" t="s">
        <v>58</v>
      </c>
      <c r="E55" s="9" t="s">
        <v>728</v>
      </c>
      <c r="F55" s="10" t="s">
        <v>729</v>
      </c>
    </row>
    <row r="56" customFormat="false" ht="25.5" hidden="false" customHeight="true" outlineLevel="0" collapsed="false">
      <c r="B56" s="6" t="s">
        <v>730</v>
      </c>
      <c r="C56" s="21" t="n">
        <f aca="false">MAX(C44*C45*C46/C48*(C47/MAX(C54,C47))^(2/3),0.8*C52)*C39*1000</f>
        <v>2956.23496168513</v>
      </c>
      <c r="D56" s="8" t="s">
        <v>58</v>
      </c>
      <c r="E56" s="9" t="s">
        <v>645</v>
      </c>
      <c r="F56" s="10" t="s">
        <v>729</v>
      </c>
    </row>
    <row r="57" customFormat="false" ht="25.5" hidden="false" customHeight="true" outlineLevel="0" collapsed="false">
      <c r="B57" s="6" t="s">
        <v>731</v>
      </c>
      <c r="C57" s="21" t="n">
        <f aca="false">MAX(0.9*C55,0.8*C52*C39*1000)</f>
        <v>2660.61146551661</v>
      </c>
      <c r="D57" s="8" t="s">
        <v>58</v>
      </c>
      <c r="E57" s="9" t="s">
        <v>732</v>
      </c>
      <c r="F57" s="10" t="s">
        <v>733</v>
      </c>
    </row>
    <row r="58" customFormat="false" ht="25.5" hidden="false" customHeight="true" outlineLevel="0" collapsed="false">
      <c r="B58" s="6" t="s">
        <v>734</v>
      </c>
      <c r="C58" s="21" t="n">
        <f aca="false">MAX(0.9*C56,0.8*C52*C39*1000)</f>
        <v>2660.61146551661</v>
      </c>
      <c r="D58" s="8" t="s">
        <v>58</v>
      </c>
      <c r="E58" s="9" t="s">
        <v>645</v>
      </c>
      <c r="F58" s="10" t="s">
        <v>733</v>
      </c>
    </row>
    <row r="59" customFormat="false" ht="25.5" hidden="false" customHeight="true" outlineLevel="0" collapsed="false">
      <c r="B59" s="6" t="s">
        <v>735</v>
      </c>
      <c r="C59" s="42" t="n">
        <v>1713</v>
      </c>
      <c r="D59" s="8" t="s">
        <v>58</v>
      </c>
      <c r="E59" s="9" t="s">
        <v>736</v>
      </c>
      <c r="F59" s="10" t="s">
        <v>737</v>
      </c>
    </row>
    <row r="60" customFormat="false" ht="25.5" hidden="false" customHeight="true" outlineLevel="0" collapsed="false">
      <c r="B60" s="6" t="s">
        <v>738</v>
      </c>
      <c r="C60" s="42" t="n">
        <v>2316.6</v>
      </c>
      <c r="D60" s="8" t="s">
        <v>58</v>
      </c>
      <c r="E60" s="9" t="s">
        <v>739</v>
      </c>
      <c r="F60" s="10" t="s">
        <v>737</v>
      </c>
    </row>
    <row r="61" customFormat="false" ht="25.5" hidden="false" customHeight="true" outlineLevel="0" collapsed="false">
      <c r="B61" s="6" t="s">
        <v>740</v>
      </c>
      <c r="C61" s="37" t="n">
        <f aca="false">MAX(1,C57/C59)</f>
        <v>1.55318824606924</v>
      </c>
      <c r="D61" s="8" t="s">
        <v>41</v>
      </c>
      <c r="E61" s="9" t="s">
        <v>741</v>
      </c>
      <c r="F61" s="10" t="s">
        <v>733</v>
      </c>
    </row>
    <row r="62" customFormat="false" ht="25.5" hidden="false" customHeight="true" outlineLevel="0" collapsed="false">
      <c r="B62" s="6" t="s">
        <v>742</v>
      </c>
      <c r="C62" s="37" t="n">
        <f aca="false">MAX(1,C58/C60)</f>
        <v>1.1484984311131</v>
      </c>
      <c r="D62" s="8" t="s">
        <v>41</v>
      </c>
      <c r="E62" s="9" t="s">
        <v>743</v>
      </c>
      <c r="F62" s="10" t="s">
        <v>733</v>
      </c>
    </row>
  </sheetData>
  <mergeCells count="9">
    <mergeCell ref="B1:F1"/>
    <mergeCell ref="B2:F2"/>
    <mergeCell ref="B4:F4"/>
    <mergeCell ref="B12:F12"/>
    <mergeCell ref="B20:F20"/>
    <mergeCell ref="B21:F21"/>
    <mergeCell ref="B32:F32"/>
    <mergeCell ref="C40:D40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2026-09-23T20:46:17Z</dcterms:created>
  <dc:creator>openpyxl</dc:creator>
  <dc:description/>
  <dc:language>en-US</dc:language>
  <cp:lastModifiedBy>Diego Espinosa Ramos</cp:lastModifiedBy>
  <dcterms:modified xsi:type="dcterms:W3CDTF">2026-09-25T00:09:18Z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