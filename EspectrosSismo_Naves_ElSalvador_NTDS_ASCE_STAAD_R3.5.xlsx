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<sst xmlns="http://schemas.openxmlformats.org/spreadsheetml/2006/main" count="1385" uniqueCount="1014">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</sst>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s">
        <v>873</v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0.375</v>
      </c>
      <c r="D58" s="6" t="s">
        <v>79</v>
      </c>
      <c r="E58" s="3" t="inlineStr">
        <is>
          <t>CAPTURA de STAAD: periodo del modo con mayor masa en X (.anl). Con 0 se usa el aproximado.</t>
        </is>
      </c>
      <c r="F58" s="4" t="s">
        <v>164</v>
      </c>
    </row>
    <row r="59" spans="2:6" ht="30" customHeight="1" x14ac:dyDescent="0.3">
      <c r="B59" s="2" t="s">
        <v>165</v>
      </c>
      <c r="C59" s="16">
        <v>0.12</v>
      </c>
      <c r="D59" s="6" t="s">
        <v>79</v>
      </c>
      <c r="E59" s="3" t="inlineStr">
        <is>
          <t>CAPTURA de STAAD: periodo del modo con mayor masa en Z (.anl). Con 0 se usa el aproximado.</t>
        </is>
      </c>
      <c r="F59" s="4" t="s">
        <v>164</v>
      </c>
    </row>
    <row r="60" spans="2:6" ht="57.6" customHeight="1" x14ac:dyDescent="0.3">
      <c r="B60" s="2" t="s">
        <v>167</v>
      </c>
      <c r="C60" s="15">
        <v>17.177</v>
      </c>
      <c r="D60" s="6" t="s">
        <v>168</v>
      </c>
      <c r="E60" s="3" t="inlineStr">
        <is>
          <t>CAPTURA de STAAD: DYNAMIC WEIGHT X Y Z = 17,177.35 kg (.anl R3.3).</t>
        </is>
      </c>
      <c r="F60" s="4" t="s">
        <v>169</v>
      </c>
    </row>
    <row r="61" spans="2:6" ht="64.2" customHeight="1" x14ac:dyDescent="0.3">
      <c r="B61" s="2" t="s">
        <v>170</v>
      </c>
      <c r="C61" s="15">
        <v>17.177</v>
      </c>
      <c r="D61" s="6" t="s">
        <v>168</v>
      </c>
      <c r="E61" s="3" t="inlineStr">
        <is>
          <t>CAPTURA de STAAD: igual que la NTDS.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0.375</v>
      </c>
      <c r="D19" s="13">
        <f>IF(DATOS!$C$59&gt;0,DATOS!$C$59,$D$18)</f>
        <v>0.12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3.5335542857142856</v>
      </c>
      <c r="D24" s="21">
        <f>$D$23*DATOS!$C$60</f>
        <v>3.5335542857142856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0.375</v>
      </c>
      <c r="D45" s="13">
        <f>MAX(0.01,IF(DATOS!$C$59&gt;0,MIN(DATOS!$C$59,$D$44*$D$43),$D$43))</f>
        <v>0.12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1.0234920634920635</v>
      </c>
      <c r="D47" s="19">
        <f>IF($D$45&lt;=DATOS!$C$44,DATOS!$C$41/($D$45*$D$35/DATOS!$C$46),DATOS!$C$41*DATOS!$C$44/($D$45^2*$D$35/DATOS!$C$46))</f>
        <v>3.1984126984126986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8.387610895238094</v>
      </c>
      <c r="D51" s="21">
        <f>$D$50*DATOS!$C$61</f>
        <v>8.387610895238094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5.052982628571428</v>
      </c>
      <c r="D60" s="13">
        <f>$D$24*DATOS!$C$12</f>
        <v>5.052982628571428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8.387610895238094</v>
      </c>
      <c r="D61" s="13">
        <f>$D$51</f>
        <v>8.387610895238094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1.6599326599326598</v>
      </c>
      <c r="D62" s="7">
        <f>IF($D$60&gt;0,$D$61/$D$60,0)</f>
        <v>1.6599326599326598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2.162</v>
      </c>
      <c r="D73" s="16">
        <v>1.74</v>
      </c>
      <c r="E73" s="6" t="inlineStr">
        <is>
          <t>t</t>
        </is>
      </c>
      <c r="F73" s="44" t="inlineStr">
        <is>
          <t>CAPTURA de STAAD: cortante basal SRSS del caso 4 (X) y 5 (Z) en el .anl, kg ÷ 1000.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3.180198857142857</v>
      </c>
      <c r="D74" s="13">
        <f>$D$27*DATOS!$C$60</f>
        <v>3.180198857142857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1.4709522928505352</v>
      </c>
      <c r="D76" s="50">
        <f>IF($D$73&gt;0,MAX(1,$D$74/$D$73),1)</f>
        <v>1.8277004926108373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1.4709522928505352</v>
      </c>
      <c r="D78" s="21">
        <f>$D$76</f>
        <v>1.8277004926108373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3.180198857142857</v>
      </c>
      <c r="D79" s="13">
        <f>IF(DATOS!$C$57="SÍ",0.9,1)*$D$21*DATOS!$C$60</f>
        <v>3.180198857142857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1.4709522928505352</v>
      </c>
      <c r="D80" s="21">
        <f>IF($D$73&gt;0,MAX(1,$D$79/$D$73),1)</f>
        <v>1.8277004926108373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17.177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R3.3).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0.375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3.180198857142857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2.162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1.4709522928505352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17.177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R3.3).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3.180198857142857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1.74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1.8277004926108373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1.4709522928505352</v>
      </c>
      <c r="D104" s="13">
        <f>$D$76</f>
        <v>1.8277004926108373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-1.4709522928505352</v>
      </c>
      <c r="D105" s="13">
        <f>-$D$76</f>
        <v>-1.8277004926108373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0.30259590024353866</v>
      </c>
      <c r="D106" s="55">
        <f>DATOS!$C$26/$D$12*$D$76</f>
        <v>0.37598410133708654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3.5335542857142856</v>
      </c>
      <c r="D9" s="21">
        <f>COEFICIENTE!$D$24</f>
        <v>3.5335542857142856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34.652330135999996</v>
      </c>
      <c r="D10" s="7">
        <f>COEFICIENTE!$D$24*9.80665</f>
        <v>34.652330135999996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3.180198857142857</v>
      </c>
      <c r="D12" s="13">
        <f>COEFICIENTE!$D$27*DATOS!$C$60</f>
        <v>3.180198857142857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8.387610895238094</v>
      </c>
      <c r="D14" s="13">
        <f>COEFICIENTE!$D$51</f>
        <v>8.387610895238094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8.387610895238094</v>
      </c>
      <c r="D15" s="13">
        <f>COEFICIENTE!$D$54*DATOS!$C$61*IF(DATOS!$C$9="SÍ",COEFICIENTE!$D$64,1)</f>
        <v>8.387610895238094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29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inlineStr">
        <is>
          <t xml:space="preserve">De aquí salen las cargas de los casos 1 (CM), 2 (CV) y 4 (masa del sismo) del .STD R3.5. Techo en UNI por larguero y viga con su ancho tributario; en el sismo la cubierta va a los nodos de arriba de las columnas (SÓLO TECHO); muros con una carga uniforme por larguero completo (todos sus tramos); cortina como carga puntual arriba de cada jamba.</t>
        </is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4" spans="2:7" ht="43.2" customHeight="1">
      <c r="B44" s="35" t="inlineStr">
        <is>
          <t xml:space="preserve">R3.5: los PTR de contraventeo, los cables del techo y los contraflambeos NO van en estos nodos. Su masa la pone STAAD con SELFWEIGHT X 1 y Z 1 (sin LIST) en sus propios nodos; sumarlos aquí los contaría dos veces.</t>
        </is>
      </c>
      <c r="C44" s="35"/>
      <c r="D44" s="35"/>
      <c r="E44" s="35"/>
      <c r="F44" s="35"/>
      <c r="G44" s="35"/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>
      <c r="B48" s="2" t="inlineStr">
        <is>
          <t xml:space="preserve">Largueros típicos (h = 1.20 m) de los muros 3 y 4 — claro 1-2 (10 m, MC10-12)</t>
        </is>
      </c>
      <c r="C48" s="32" t="inlineStr">
        <is>
          <t xml:space="preserve">16 17 20 21 24 25 28 29 32 33 36 37 40 41 501 TO 542</t>
        </is>
      </c>
      <c r="D48" s="7">
        <f>$C$16</f>
        <v>1.2</v>
      </c>
      <c r="E48" s="3" t="inlineStr">
        <is>
          <t xml:space="preserve">Separación de largueros. R3.5: cada larguero en 4 tramos (contraflambeos a 2.50 m)</t>
        </is>
      </c>
      <c r="F48" s="7">
        <f>$C$9*D48</f>
        <v>7.02</v>
      </c>
      <c r="G48" s="19">
        <f>F48*$C$24</f>
        <v>0.0702</v>
      </c>
    </row>
    <row r="49" spans="2:7">
      <c r="B49" s="2" t="inlineStr">
        <is>
          <t xml:space="preserve">Largueros típicos (h = 1.20 m) de los muros 3 y 4 — claro 2-3 (6 m, MC10-14)</t>
        </is>
      </c>
      <c r="C49" s="32" t="inlineStr">
        <is>
          <t xml:space="preserve">199 TO 202 205 TO 214 549 TO 576</t>
        </is>
      </c>
      <c r="D49" s="7">
        <f>$C$16</f>
        <v>1.2</v>
      </c>
      <c r="E49" s="3" t="inlineStr">
        <is>
          <t xml:space="preserve">Separación de largueros. R3.5: cada larguero en 3 tramos (contraflambeos a 2.00 m)</t>
        </is>
      </c>
      <c r="F49" s="7">
        <f>$C$9*D49</f>
        <v>7.02</v>
      </c>
      <c r="G49" s="19">
        <f>F49*$C$24</f>
        <v>0.0702</v>
      </c>
    </row>
    <row r="50" spans="2:7">
      <c r="B50" s="2" t="s">
        <v>971</v>
      </c>
      <c r="C50" s="32" t="inlineStr">
        <is>
          <t xml:space="preserve">23 27 31 43 46 149 153 155 159 161 203</t>
        </is>
      </c>
      <c r="D50" s="7">
        <f>$C$16</f>
        <v>1.2</v>
      </c>
      <c r="E50" s="3" t="s">
        <v>970</v>
      </c>
      <c r="F50" s="7">
        <f>$C$9*D50</f>
        <v>7.02</v>
      </c>
      <c r="G50" s="19">
        <f>F50*$C$24</f>
        <v>0.0702</v>
      </c>
    </row>
    <row r="51" spans="2:7">
      <c r="B51" s="2" t="s">
        <v>973</v>
      </c>
      <c r="C51" s="32" t="inlineStr">
        <is>
          <t xml:space="preserve">44 45 543 TO 548</t>
        </is>
      </c>
      <c r="D51" s="7">
        <f>$C$16/2+(($C$12+$C$13)/2-$C$17)/2</f>
        <v>0.8853149999999997</v>
      </c>
      <c r="E51" s="3" t="s">
        <v>975</v>
      </c>
      <c r="F51" s="7">
        <f>$C$9*D51</f>
        <v>5.179092749999998</v>
      </c>
      <c r="G51" s="19">
        <f>F51*$C$24</f>
        <v>0.05179092749999998</v>
      </c>
    </row>
    <row r="52" spans="2:7">
      <c r="B52" s="2" t="s">
        <v>976</v>
      </c>
      <c r="C52" s="32" t="inlineStr">
        <is>
          <t xml:space="preserve">215 216 577 TO 580</t>
        </is>
      </c>
      <c r="D52" s="7">
        <f>$C$16/2+(($C$13+$C$14)/2-$C$17)/2</f>
        <v>0.67782</v>
      </c>
      <c r="E52" s="3" t="s">
        <v>978</v>
      </c>
      <c r="F52" s="7">
        <f>$C$9*D52</f>
        <v>3.9652469999999997</v>
      </c>
      <c r="G52" s="19">
        <f>F52*$C$24</f>
        <v>0.039652469999999995</v>
      </c>
    </row>
    <row r="53" spans="2:7">
      <c r="B53" s="2" t="s">
        <v>979</v>
      </c>
      <c r="C53" s="32" t="inlineStr">
        <is>
          <t xml:space="preserve">68 204 233</t>
        </is>
      </c>
      <c r="D53" s="7">
        <f>$C$16/2</f>
        <v>0.6</v>
      </c>
      <c r="E53" s="3" t="s">
        <v>981</v>
      </c>
      <c r="F53" s="7">
        <f>$C$9*D53</f>
        <v>3.51</v>
      </c>
      <c r="G53" s="19">
        <f>F53*$C$24</f>
        <v>0.0351</v>
      </c>
    </row>
    <row r="54" spans="2:7">
      <c r="B54" s="2" t="s">
        <v>982</v>
      </c>
      <c r="C54" s="32" t="inlineStr">
        <is>
          <t xml:space="preserve">35 157</t>
        </is>
      </c>
      <c r="D54" s="7">
        <f>$C$16/2+($C$19-$C$20)/2</f>
        <v>0.85</v>
      </c>
      <c r="E54" s="3" t="s">
        <v>984</v>
      </c>
      <c r="F54" s="7">
        <f>$C$9*D54</f>
        <v>4.972499999999999</v>
      </c>
      <c r="G54" s="19">
        <f>F54*$C$24</f>
        <v>0.04972499999999999</v>
      </c>
    </row>
    <row r="55" spans="2:7">
      <c r="B55" s="2" t="s">
        <v>985</v>
      </c>
      <c r="C55" s="32" t="inlineStr">
        <is>
          <t xml:space="preserve">234</t>
        </is>
      </c>
      <c r="D55" s="7">
        <f>($C$21-$C$19)/2</f>
        <v>0.3500000000000001</v>
      </c>
      <c r="E55" s="3" t="s">
        <v>987</v>
      </c>
      <c r="F55" s="7">
        <f>$C$9*D55</f>
        <v>2.0475000000000003</v>
      </c>
      <c r="G55" s="19">
        <f>F55*$C$24</f>
        <v>0.020475000000000004</v>
      </c>
    </row>
    <row r="56" spans="2:7">
      <c r="B56" s="2" t="s">
        <v>988</v>
      </c>
      <c r="C56" s="32" t="inlineStr">
        <is>
          <t xml:space="preserve">39</t>
        </is>
      </c>
      <c r="D56" s="7">
        <f>$C$16/2+($C$21-$C$19)/2</f>
        <v>0.9500000000000001</v>
      </c>
      <c r="E56" s="3" t="s">
        <v>990</v>
      </c>
      <c r="F56" s="7">
        <f>$C$9*D56</f>
        <v>5.5575</v>
      </c>
      <c r="G56" s="19">
        <f>F56*$C$24</f>
        <v>0.055575</v>
      </c>
    </row>
    <row r="57" spans="2:7">
      <c r="B57" s="2" t="s">
        <v>991</v>
      </c>
      <c r="C57" s="32" t="inlineStr">
        <is>
          <t xml:space="preserve">47</t>
        </is>
      </c>
      <c r="D57" s="7">
        <f>$C$16/2+($C$12-$C$17)/2</f>
        <v>1.0150000000000001</v>
      </c>
      <c r="E57" s="3" t="s">
        <v>993</v>
      </c>
      <c r="F57" s="7">
        <f>$C$9*D57</f>
        <v>5.93775</v>
      </c>
      <c r="G57" s="19">
        <f>F57*$C$24</f>
        <v>0.05937750000000001</v>
      </c>
    </row>
    <row r="58" spans="2:7">
      <c r="B58" s="2" t="s">
        <v>994</v>
      </c>
      <c r="C58" s="32" t="inlineStr">
        <is>
          <t xml:space="preserve">11 48 TO 51</t>
        </is>
      </c>
      <c r="D58" s="7">
        <f>($C$12-$C$17)/2</f>
        <v>0.41500000000000004</v>
      </c>
      <c r="E58" s="3" t="s">
        <v>995</v>
      </c>
      <c r="F58" s="7">
        <f>$C$9*D58</f>
        <v>2.42775</v>
      </c>
      <c r="G58" s="19">
        <f>F58*$C$24</f>
        <v>0.0242775</v>
      </c>
    </row>
    <row r="59" spans="2:7">
      <c r="B59" s="2" t="s">
        <v>996</v>
      </c>
      <c r="C59" s="32" t="inlineStr">
        <is>
          <t xml:space="preserve">241 242 269 TO 280 605 TO 608</t>
        </is>
      </c>
      <c r="D59" s="7">
        <f>(($C$12+$C$13)/2-$C$17)/2</f>
        <v>0.28531499999999976</v>
      </c>
      <c r="E59" s="3" t="s">
        <v>998</v>
      </c>
      <c r="F59" s="7">
        <f>$C$9*D59</f>
        <v>1.6690927499999986</v>
      </c>
      <c r="G59" s="19">
        <f>F59*$C$24</f>
        <v>0.016690927499999987</v>
      </c>
    </row>
    <row r="60" spans="2:7">
      <c r="B60" s="2" t="s">
        <v>999</v>
      </c>
      <c r="C60" s="32" t="inlineStr">
        <is>
          <t xml:space="preserve">243 TO 250 601 TO 604</t>
        </is>
      </c>
      <c r="D60" s="7">
        <f>(($C$13+$C$14)/2-$C$17)/2</f>
        <v>0.07782</v>
      </c>
      <c r="E60" s="3" t="s">
        <v>1001</v>
      </c>
      <c r="F60" s="7">
        <f>$C$9*D60</f>
        <v>0.45524699999999996</v>
      </c>
      <c r="G60" s="19">
        <f>F60*$C$24</f>
        <v>0.0045524699999999994</v>
      </c>
    </row>
    <row r="61" spans="2:7">
      <c r="B61" s="2" t="inlineStr">
        <is>
          <t xml:space="preserve">Cortina: la mitad arriba de cada jamba (nodos 69 y 70)</t>
        </is>
      </c>
      <c r="C61" s="32" t="inlineStr">
        <is>
          <t xml:space="preserve">69 70</t>
        </is>
      </c>
      <c r="D61" s="7"/>
      <c r="E61" s="3" t="inlineStr">
        <is>
          <t xml:space="preserve">Peso de la cortina ÷ 2 = carga puntual en kg (JOINT LOAD). R3.5: ya no va repartida en el dintel 234.</t>
        </is>
      </c>
      <c r="F61" s="7">
        <f>$C$22/2</f>
        <v>198.9</v>
      </c>
      <c r="G61" s="19">
        <f>F61</f>
        <v>198.9</v>
      </c>
    </row>
    <row r="63" spans="2:7" ht="21" customHeight="1" x14ac:dyDescent="0.3">
      <c r="B63" s="37" t="s">
        <v>1004</v>
      </c>
      <c r="C63" s="37"/>
      <c r="D63" s="37"/>
      <c r="E63" s="37"/>
      <c r="F63" s="37"/>
      <c r="G63" s="37"/>
    </row>
    <row r="64" spans="2:7" ht="30" customHeight="1" x14ac:dyDescent="0.3">
      <c r="B64" s="35" t="s">
        <v>1005</v>
      </c>
      <c r="C64" s="35"/>
      <c r="D64" s="35"/>
      <c r="E64" s="35"/>
      <c r="F64" s="35"/>
      <c r="G64" s="35"/>
    </row>
    <row r="66" spans="2:7">
      <c r="B66" s="1" t="inlineStr">
        <is>
          <t xml:space="preserve">Caso 1 — carga muerta</t>
        </is>
      </c>
      <c r="C66" s="1" t="inlineStr">
        <is>
          <t xml:space="preserve">Revisión</t>
        </is>
      </c>
    </row>
    <row r="67" spans="2:7">
      <c r="B67" s="29" t="inlineStr">
        <is>
          <t xml:space="preserve">MEMBER LOAD</t>
        </is>
      </c>
      <c r="C67" s="17" t="str">
        <f>IF(LEN($B67)&gt;79,"MÁS DE 79 CARACTERES","")</f>
        <v/>
      </c>
    </row>
    <row r="68" spans="2:7">
      <c r="B68" s="29" t="str">
        <f>C30&amp;" UNI GY "&amp;TEXT(-G30,"0.0000")</f>
        <v>74 121 TO 124 285 TO 287 310 TO 326 352 TO 371 UNI GY -0.2898</v>
      </c>
      <c r="C68" s="17" t="str">
        <f>IF(LEN($B68)&gt;79,"MÁS DE 79 CARACTERES","")</f>
        <v/>
      </c>
    </row>
    <row r="69" spans="2:7">
      <c r="B69" s="29" t="str">
        <f>C31&amp;" UNI GY "&amp;TEXT(-G31,"0.0000")</f>
        <v>327 372 TO 375 UNI GY -0.2415</v>
      </c>
      <c r="C69" s="17" t="str">
        <f>IF(LEN($B69)&gt;79,"MÁS DE 79 CARACTERES","")</f>
        <v/>
      </c>
    </row>
    <row r="70" spans="2:7">
      <c r="B70" s="29" t="str">
        <f>C32&amp;" UNI GY "&amp;TEXT(-G32,"0.0000")</f>
        <v>11 48 TO 51 UNI GY -0.0966</v>
      </c>
      <c r="C70" s="17" t="str">
        <f>IF(LEN($B70)&gt;79,"MÁS DE 79 CARACTERES","")</f>
        <v/>
      </c>
    </row>
    <row r="71" spans="2:7">
      <c r="B71" s="29" t="str">
        <f>C33&amp;" UNI GY "&amp;TEXT(-G33,"0.0000")</f>
        <v>12 52 TO 55 UNI GY -0.1449</v>
      </c>
      <c r="C71" s="17" t="str">
        <f>IF(LEN($B71)&gt;79,"MÁS DE 79 CARACTERES","")</f>
        <v/>
      </c>
    </row>
    <row r="72" spans="2:7">
      <c r="B72" s="29" t="str">
        <f>C48&amp;" UNI GY "&amp;TEXT(-G48,"0.0000")</f>
        <v>16 17 20 21 24 25 28 29 32 33 36 37 40 41 501 TO 542 UNI GY -0.0702</v>
      </c>
      <c r="C72" s="17" t="str">
        <f>IF(LEN($B72)&gt;79,"MÁS DE 79 CARACTERES","")</f>
        <v/>
      </c>
    </row>
    <row r="73" spans="2:7">
      <c r="B73" s="29" t="str">
        <f>C49&amp;" UNI GY "&amp;TEXT(-G49,"0.0000")</f>
        <v>199 TO 202 205 TO 214 549 TO 576 UNI GY -0.0702</v>
      </c>
      <c r="C73" s="17" t="str">
        <f>IF(LEN($B73)&gt;79,"MÁS DE 79 CARACTERES","")</f>
        <v/>
      </c>
    </row>
    <row r="74" spans="2:7">
      <c r="B74" s="29" t="str">
        <f>C50&amp;" UNI GY "&amp;TEXT(-G50,"0.0000")</f>
        <v>23 27 31 43 46 149 153 155 159 161 203 UNI GY -0.0702</v>
      </c>
      <c r="C74" s="17" t="str">
        <f>IF(LEN($B74)&gt;79,"MÁS DE 79 CARACTERES","")</f>
        <v/>
      </c>
    </row>
    <row r="75" spans="2:7">
      <c r="B75" s="29" t="str">
        <f>C51&amp;" UNI GY "&amp;TEXT(-G51,"0.0000")</f>
        <v>44 45 543 TO 548 UNI GY -0.0518</v>
      </c>
      <c r="C75" s="17" t="str">
        <f>IF(LEN($B75)&gt;79,"MÁS DE 79 CARACTERES","")</f>
        <v/>
      </c>
    </row>
    <row r="76" spans="2:7">
      <c r="B76" s="29" t="str">
        <f>C52&amp;" UNI GY "&amp;TEXT(-G52,"0.0000")</f>
        <v>215 216 577 TO 580 UNI GY -0.0397</v>
      </c>
      <c r="C76" s="17" t="str">
        <f>IF(LEN($B76)&gt;79,"MÁS DE 79 CARACTERES","")</f>
        <v/>
      </c>
    </row>
    <row r="77" spans="2:7">
      <c r="B77" s="29" t="str">
        <f>C53&amp;" UNI GY "&amp;TEXT(-G53,"0.0000")</f>
        <v>68 204 233 UNI GY -0.0351</v>
      </c>
      <c r="C77" s="17" t="str">
        <f>IF(LEN($B77)&gt;79,"MÁS DE 79 CARACTERES","")</f>
        <v/>
      </c>
    </row>
    <row r="78" spans="2:7">
      <c r="B78" s="29" t="str">
        <f>C54&amp;" UNI GY "&amp;TEXT(-G54,"0.0000")</f>
        <v>35 157 UNI GY -0.0497</v>
      </c>
      <c r="C78" s="17" t="str">
        <f>IF(LEN($B78)&gt;79,"MÁS DE 79 CARACTERES","")</f>
        <v/>
      </c>
    </row>
    <row r="79" spans="2:7">
      <c r="B79" s="29" t="str">
        <f>C55&amp;" UNI GY "&amp;TEXT(-G55,"0.0000")</f>
        <v>234 UNI GY -0.0205</v>
      </c>
      <c r="C79" s="17" t="str">
        <f>IF(LEN($B79)&gt;79,"MÁS DE 79 CARACTERES","")</f>
        <v/>
      </c>
    </row>
    <row r="80" spans="2:7">
      <c r="B80" s="29" t="str">
        <f>C56&amp;" UNI GY "&amp;TEXT(-G56,"0.0000")</f>
        <v>39 UNI GY -0.0556</v>
      </c>
      <c r="C80" s="17" t="str">
        <f>IF(LEN($B80)&gt;79,"MÁS DE 79 CARACTERES","")</f>
        <v/>
      </c>
    </row>
    <row r="81" spans="2:7">
      <c r="B81" s="29" t="str">
        <f>C57&amp;" UNI GY "&amp;TEXT(-G57,"0.0000")</f>
        <v>47 UNI GY -0.0594</v>
      </c>
      <c r="C81" s="17" t="str">
        <f>IF(LEN($B81)&gt;79,"MÁS DE 79 CARACTERES","")</f>
        <v/>
      </c>
    </row>
    <row r="82" spans="2:7">
      <c r="B82" s="29" t="str">
        <f>C58&amp;" UNI GY "&amp;TEXT(-G58,"0.0000")</f>
        <v>11 48 TO 51 UNI GY -0.0243</v>
      </c>
      <c r="C82" s="17" t="str">
        <f>IF(LEN($B82)&gt;79,"MÁS DE 79 CARACTERES","")</f>
        <v/>
      </c>
    </row>
    <row r="83" spans="2:7">
      <c r="B83" s="29" t="str">
        <f>C59&amp;" UNI GY "&amp;TEXT(-G59,"0.0000")</f>
        <v>241 242 269 TO 280 605 TO 608 UNI GY -0.0167</v>
      </c>
      <c r="C83" s="17" t="str">
        <f>IF(LEN($B83)&gt;79,"MÁS DE 79 CARACTERES","")</f>
        <v/>
      </c>
    </row>
    <row r="84" spans="2:7">
      <c r="B84" s="29" t="str">
        <f>C60&amp;" UNI GY "&amp;TEXT(-G60,"0.0000")</f>
        <v>243 TO 250 601 TO 604 UNI GY -0.0046</v>
      </c>
      <c r="C84" s="17" t="str">
        <f>IF(LEN($B84)&gt;79,"MÁS DE 79 CARACTERES","")</f>
        <v/>
      </c>
    </row>
    <row r="85" spans="2:7">
      <c r="B85" s="29" t="inlineStr">
        <is>
          <t xml:space="preserve">JOINT LOAD</t>
        </is>
      </c>
      <c r="C85" s="17" t="str">
        <f>IF(LEN($B85)&gt;79,"MÁS DE 79 CARACTERES","")</f>
        <v/>
      </c>
    </row>
    <row r="86" spans="2:7">
      <c r="B86" s="29" t="str">
        <f>C61&amp;" FY "&amp;TEXT(-G61,"0.0")</f>
        <v>69 70 FY -198.9</v>
      </c>
      <c r="C86" s="17" t="str">
        <f>IF(LEN($B86)&gt;79,"MÁS DE 79 CARACTERES","")</f>
        <v/>
      </c>
    </row>
    <row r="88" spans="2:7">
      <c r="B88" s="1" t="inlineStr">
        <is>
          <t xml:space="preserve">Caso 2 — carga viva</t>
        </is>
      </c>
      <c r="C88" s="1" t="inlineStr">
        <is>
          <t xml:space="preserve">Revisión</t>
        </is>
      </c>
    </row>
    <row r="89" spans="2:7">
      <c r="B89" s="29" t="inlineStr">
        <is>
          <t xml:space="preserve">MEMBER LOAD</t>
        </is>
      </c>
      <c r="C89" s="17" t="str">
        <f>IF(LEN($B89)&gt;79,"MÁS DE 79 CARACTERES","")</f>
        <v/>
      </c>
    </row>
    <row r="90" spans="2:7">
      <c r="B90" s="29" t="str">
        <f>C30&amp;" UNI GY "&amp;TEXT(-F30*$C$24,"0.0000")</f>
        <v>74 121 TO 124 285 TO 287 310 TO 326 352 TO 371 UNI GY -0.3000</v>
      </c>
      <c r="C90" s="17" t="str">
        <f>IF(LEN($B90)&gt;79,"MÁS DE 79 CARACTERES","")</f>
        <v/>
      </c>
    </row>
    <row r="91" spans="2:7">
      <c r="B91" s="29" t="str">
        <f>C31&amp;" UNI GY "&amp;TEXT(-F31*$C$24,"0.0000")</f>
        <v>327 372 TO 375 UNI GY -0.2500</v>
      </c>
      <c r="C91" s="17" t="str">
        <f>IF(LEN($B91)&gt;79,"MÁS DE 79 CARACTERES","")</f>
        <v/>
      </c>
    </row>
    <row r="92" spans="2:7">
      <c r="B92" s="29" t="str">
        <f>C32&amp;" UNI GY "&amp;TEXT(-F32*$C$24,"0.0000")</f>
        <v>11 48 TO 51 UNI GY -0.1000</v>
      </c>
      <c r="C92" s="17" t="str">
        <f>IF(LEN($B92)&gt;79,"MÁS DE 79 CARACTERES","")</f>
        <v/>
      </c>
    </row>
    <row r="93" spans="2:7">
      <c r="B93" s="29" t="str">
        <f>C33&amp;" UNI GY "&amp;TEXT(-F33*$C$24,"0.0000")</f>
        <v>12 52 TO 55 UNI GY -0.1500</v>
      </c>
      <c r="C93" s="17" t="str">
        <f>IF(LEN($B93)&gt;79,"MÁS DE 79 CARACTERES","")</f>
        <v/>
      </c>
    </row>
    <row r="95" spans="2:7">
      <c r="B95" s="1" t="inlineStr">
        <is>
          <t xml:space="preserve">Caso 4 — masa del sismo (antes del SPECTRUM)</t>
        </is>
      </c>
      <c r="C95" s="1" t="inlineStr">
        <is>
          <t xml:space="preserve">Revisión</t>
        </is>
      </c>
    </row>
    <row r="96" spans="2:7">
      <c r="B96" s="29" t="inlineStr">
        <is>
          <t xml:space="preserve">JOINT LOAD</t>
        </is>
      </c>
      <c r="C96" s="17" t="str">
        <f>IF(LEN($B96)&gt;79,"MÁS DE 79 CARACTERES","")</f>
        <v/>
      </c>
    </row>
    <row r="97" spans="2:7">
      <c r="B97" s="29" t="str">
        <f>C39&amp;" FX "&amp;TEXT(G39,"0.00")&amp;" FZ "&amp;TEXT(G39,"0.00")</f>
        <v>7 8 FX 486.86 FZ 486.86</v>
      </c>
      <c r="C97" s="17" t="str">
        <f>IF(LEN($B97)&gt;79,"MÁS DE 79 CARACTERES","")</f>
        <v/>
      </c>
    </row>
    <row r="98" spans="2:7">
      <c r="B98" s="29" t="str">
        <f>C40&amp;" FX "&amp;TEXT(G40,"0.00")&amp;" FZ "&amp;TEXT(G40,"0.00")</f>
        <v>75 76 FX 778.98 FZ 778.98</v>
      </c>
      <c r="C98" s="17" t="str">
        <f>IF(LEN($B98)&gt;79,"MÁS DE 79 CARACTERES","")</f>
        <v/>
      </c>
    </row>
    <row r="99" spans="2:7">
      <c r="B99" s="29" t="str">
        <f>C41&amp;" FX "&amp;TEXT(G41,"0.00")&amp;" FZ "&amp;TEXT(G41,"0.00")</f>
        <v>9 10 FX 292.12 FZ 292.12</v>
      </c>
      <c r="C99" s="17" t="str">
        <f>IF(LEN($B99)&gt;79,"MÁS DE 79 CARACTERES","")</f>
        <v/>
      </c>
    </row>
    <row r="100" spans="2:7">
      <c r="B100" s="29" t="str">
        <f>C61&amp;" FX "&amp;TEXT(G61,"0.0")&amp;" FZ "&amp;TEXT(G61,"0.0")</f>
        <v>69 70 FX 198.9 FZ 198.9</v>
      </c>
      <c r="C100" s="17" t="str">
        <f>IF(LEN($B100)&gt;79,"MÁS DE 79 CARACTERES","")</f>
        <v/>
      </c>
    </row>
    <row r="101" spans="2:7">
      <c r="B101" s="29" t="inlineStr">
        <is>
          <t xml:space="preserve">MEMBER LOAD</t>
        </is>
      </c>
      <c r="C101" s="17" t="str">
        <f>IF(LEN($B101)&gt;79,"MÁS DE 79 CARACTERES","")</f>
        <v/>
      </c>
    </row>
    <row r="102" spans="2:7">
      <c r="B102" s="29" t="str">
        <f>C48&amp;" UNI GX "&amp;TEXT(G48,"0.0000")</f>
        <v>16 17 20 21 24 25 28 29 32 33 36 37 40 41 501 TO 542 UNI GX 0.0702</v>
      </c>
      <c r="C102" s="17" t="str">
        <f>IF(LEN($B102)&gt;79,"MÁS DE 79 CARACTERES","")</f>
        <v/>
      </c>
    </row>
    <row r="103" spans="2:7">
      <c r="B103" s="29" t="str">
        <f>C49&amp;" UNI GX "&amp;TEXT(G49,"0.0000")</f>
        <v>199 TO 202 205 TO 214 549 TO 576 UNI GX 0.0702</v>
      </c>
      <c r="C103" s="17" t="str">
        <f>IF(LEN($B103)&gt;79,"MÁS DE 79 CARACTERES","")</f>
        <v/>
      </c>
    </row>
    <row r="104" spans="2:7">
      <c r="B104" s="29" t="str">
        <f>C50&amp;" UNI GX "&amp;TEXT(G50,"0.0000")</f>
        <v>23 27 31 43 46 149 153 155 159 161 203 UNI GX 0.0702</v>
      </c>
      <c r="C104" s="17" t="str">
        <f>IF(LEN($B104)&gt;79,"MÁS DE 79 CARACTERES","")</f>
        <v/>
      </c>
    </row>
    <row r="105" spans="2:7">
      <c r="B105" s="29" t="str">
        <f>C51&amp;" UNI GX "&amp;TEXT(G51,"0.0000")</f>
        <v>44 45 543 TO 548 UNI GX 0.0518</v>
      </c>
      <c r="C105" s="17" t="str">
        <f>IF(LEN($B105)&gt;79,"MÁS DE 79 CARACTERES","")</f>
        <v/>
      </c>
    </row>
    <row r="106" spans="2:7">
      <c r="B106" s="29" t="str">
        <f>C52&amp;" UNI GX "&amp;TEXT(G52,"0.0000")</f>
        <v>215 216 577 TO 580 UNI GX 0.0397</v>
      </c>
      <c r="C106" s="17" t="str">
        <f>IF(LEN($B106)&gt;79,"MÁS DE 79 CARACTERES","")</f>
        <v/>
      </c>
    </row>
    <row r="107" spans="2:7">
      <c r="B107" s="29" t="str">
        <f>C53&amp;" UNI GX "&amp;TEXT(G53,"0.0000")</f>
        <v>68 204 233 UNI GX 0.0351</v>
      </c>
      <c r="C107" s="17" t="str">
        <f>IF(LEN($B107)&gt;79,"MÁS DE 79 CARACTERES","")</f>
        <v/>
      </c>
    </row>
    <row r="108" spans="2:7">
      <c r="B108" s="29" t="str">
        <f>C54&amp;" UNI GX "&amp;TEXT(G54,"0.0000")</f>
        <v>35 157 UNI GX 0.0497</v>
      </c>
      <c r="C108" s="17" t="str">
        <f>IF(LEN($B108)&gt;79,"MÁS DE 79 CARACTERES","")</f>
        <v/>
      </c>
    </row>
    <row r="109" spans="2:7">
      <c r="B109" s="29" t="str">
        <f>C55&amp;" UNI GX "&amp;TEXT(G55,"0.0000")</f>
        <v>234 UNI GX 0.0205</v>
      </c>
      <c r="C109" s="17" t="str">
        <f>IF(LEN($B109)&gt;79,"MÁS DE 79 CARACTERES","")</f>
        <v/>
      </c>
    </row>
    <row r="110" spans="2:7">
      <c r="B110" s="29" t="str">
        <f>C56&amp;" UNI GX "&amp;TEXT(G56,"0.0000")</f>
        <v>39 UNI GX 0.0556</v>
      </c>
      <c r="C110" s="17" t="str">
        <f>IF(LEN($B110)&gt;79,"MÁS DE 79 CARACTERES","")</f>
        <v/>
      </c>
    </row>
    <row r="111" spans="2:7">
      <c r="B111" s="29" t="str">
        <f>C57&amp;" UNI GX "&amp;TEXT(G57,"0.0000")</f>
        <v>47 UNI GX 0.0594</v>
      </c>
      <c r="C111" s="17" t="str">
        <f>IF(LEN($B111)&gt;79,"MÁS DE 79 CARACTERES","")</f>
        <v/>
      </c>
    </row>
    <row r="112" spans="2:7">
      <c r="B112" s="29" t="str">
        <f>C58&amp;" UNI GX "&amp;TEXT(G58,"0.0000")</f>
        <v>11 48 TO 51 UNI GX 0.0243</v>
      </c>
      <c r="C112" s="17" t="str">
        <f>IF(LEN($B112)&gt;79,"MÁS DE 79 CARACTERES","")</f>
        <v/>
      </c>
    </row>
    <row r="113" spans="2:7">
      <c r="B113" s="29" t="str">
        <f>C59&amp;" UNI GX "&amp;TEXT(G59,"0.0000")</f>
        <v>241 242 269 TO 280 605 TO 608 UNI GX 0.0167</v>
      </c>
      <c r="C113" s="17" t="str">
        <f>IF(LEN($B113)&gt;79,"MÁS DE 79 CARACTERES","")</f>
        <v/>
      </c>
    </row>
    <row r="114" spans="2:7">
      <c r="B114" s="29" t="str">
        <f>C60&amp;" UNI GX "&amp;TEXT(G60,"0.0000")</f>
        <v>243 TO 250 601 TO 604 UNI GX 0.0046</v>
      </c>
      <c r="C114" s="17" t="str">
        <f>IF(LEN($B114)&gt;79,"MÁS DE 79 CARACTERES","")</f>
        <v/>
      </c>
    </row>
    <row r="115" spans="2:7">
      <c r="B115" s="29" t="str">
        <f>C48&amp;" UNI GZ "&amp;TEXT(G48,"0.0000")</f>
        <v>16 17 20 21 24 25 28 29 32 33 36 37 40 41 501 TO 542 UNI GZ 0.0702</v>
      </c>
      <c r="C115" s="17" t="str">
        <f>IF(LEN($B115)&gt;79,"MÁS DE 79 CARACTERES","")</f>
        <v/>
      </c>
    </row>
    <row r="116" spans="2:7">
      <c r="B116" s="29" t="str">
        <f>C49&amp;" UNI GZ "&amp;TEXT(G49,"0.0000")</f>
        <v>199 TO 202 205 TO 214 549 TO 576 UNI GZ 0.0702</v>
      </c>
      <c r="C116" s="17" t="str">
        <f>IF(LEN($B116)&gt;79,"MÁS DE 79 CARACTERES","")</f>
        <v/>
      </c>
    </row>
    <row r="117" spans="2:7">
      <c r="B117" s="29" t="str">
        <f>C50&amp;" UNI GZ "&amp;TEXT(G50,"0.0000")</f>
        <v>23 27 31 43 46 149 153 155 159 161 203 UNI GZ 0.0702</v>
      </c>
      <c r="C117" s="17" t="str">
        <f>IF(LEN($B117)&gt;79,"MÁS DE 79 CARACTERES","")</f>
        <v/>
      </c>
    </row>
    <row r="118" spans="2:7">
      <c r="B118" s="29" t="str">
        <f>C51&amp;" UNI GZ "&amp;TEXT(G51,"0.0000")</f>
        <v>44 45 543 TO 548 UNI GZ 0.0518</v>
      </c>
      <c r="C118" s="17" t="str">
        <f>IF(LEN($B118)&gt;79,"MÁS DE 79 CARACTERES","")</f>
        <v/>
      </c>
    </row>
    <row r="119" spans="2:7">
      <c r="B119" s="29" t="str">
        <f>C52&amp;" UNI GZ "&amp;TEXT(G52,"0.0000")</f>
        <v>215 216 577 TO 580 UNI GZ 0.0397</v>
      </c>
      <c r="C119" s="17" t="str">
        <f>IF(LEN($B119)&gt;79,"MÁS DE 79 CARACTERES","")</f>
        <v/>
      </c>
    </row>
    <row r="120" spans="2:7">
      <c r="B120" s="29" t="str">
        <f>C53&amp;" UNI GZ "&amp;TEXT(G53,"0.0000")</f>
        <v>68 204 233 UNI GZ 0.0351</v>
      </c>
      <c r="C120" s="17" t="str">
        <f>IF(LEN($B120)&gt;79,"MÁS DE 79 CARACTERES","")</f>
        <v/>
      </c>
    </row>
    <row r="121" spans="2:7">
      <c r="B121" s="29" t="str">
        <f>C54&amp;" UNI GZ "&amp;TEXT(G54,"0.0000")</f>
        <v>35 157 UNI GZ 0.0497</v>
      </c>
      <c r="C121" s="17" t="str">
        <f>IF(LEN($B121)&gt;79,"MÁS DE 79 CARACTERES","")</f>
        <v/>
      </c>
    </row>
    <row r="122" spans="2:7">
      <c r="B122" s="29" t="str">
        <f>C55&amp;" UNI GZ "&amp;TEXT(G55,"0.0000")</f>
        <v>234 UNI GZ 0.0205</v>
      </c>
      <c r="C122" s="17" t="str">
        <f>IF(LEN($B122)&gt;79,"MÁS DE 79 CARACTERES","")</f>
        <v/>
      </c>
    </row>
    <row r="123" spans="2:7">
      <c r="B123" s="29" t="str">
        <f>C56&amp;" UNI GZ "&amp;TEXT(G56,"0.0000")</f>
        <v>39 UNI GZ 0.0556</v>
      </c>
      <c r="C123" s="17" t="str">
        <f>IF(LEN($B123)&gt;79,"MÁS DE 79 CARACTERES","")</f>
        <v/>
      </c>
    </row>
    <row r="124" spans="2:7">
      <c r="B124" s="29" t="str">
        <f>C57&amp;" UNI GZ "&amp;TEXT(G57,"0.0000")</f>
        <v>47 UNI GZ 0.0594</v>
      </c>
      <c r="C124" s="17" t="str">
        <f>IF(LEN($B124)&gt;79,"MÁS DE 79 CARACTERES","")</f>
        <v/>
      </c>
    </row>
    <row r="125" spans="2:7">
      <c r="B125" s="29" t="str">
        <f>C58&amp;" UNI GZ "&amp;TEXT(G58,"0.0000")</f>
        <v>11 48 TO 51 UNI GZ 0.0243</v>
      </c>
      <c r="C125" s="17" t="str">
        <f>IF(LEN($B125)&gt;79,"MÁS DE 79 CARACTERES","")</f>
        <v/>
      </c>
    </row>
    <row r="126" spans="2:7">
      <c r="B126" s="29" t="str">
        <f>C59&amp;" UNI GZ "&amp;TEXT(G59,"0.0000")</f>
        <v>241 242 269 TO 280 605 TO 608 UNI GZ 0.0167</v>
      </c>
      <c r="C126" s="17" t="str">
        <f>IF(LEN($B126)&gt;79,"MÁS DE 79 CARACTERES","")</f>
        <v/>
      </c>
    </row>
    <row r="127" spans="2:7">
      <c r="B127" s="29" t="str">
        <f>C60&amp;" UNI GZ "&amp;TEXT(G60,"0.0000")</f>
        <v>243 TO 250 601 TO 604 UNI GZ 0.0046</v>
      </c>
      <c r="C127" s="17" t="str">
        <f>IF(LEN($B127)&gt;79,"MÁS DE 79 CARACTERES","")</f>
        <v/>
      </c>
    </row>
    <row r="128" spans="2:7">
      <c r="B128" s="29" t="inlineStr">
        <is>
          <t xml:space="preserve">SELFWEIGHT X 1</t>
        </is>
      </c>
      <c r="C128" s="17" t="str">
        <f>IF(LEN($B128)&gt;79,"MÁS DE 79 CARACTERES","")</f>
        <v/>
      </c>
    </row>
    <row r="129" spans="2:7">
      <c r="B129" s="29" t="inlineStr">
        <is>
          <t xml:space="preserve">SELFWEIGHT Z 1</t>
        </is>
      </c>
      <c r="C129" s="17" t="str">
        <f>IF(LEN($B129)&gt;79,"MÁS DE 79 CARACTERES","")</f>
        <v/>
      </c>
    </row>
  </sheetData>
  <mergeCells count="33"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  <mergeCell ref="B44:G44"/>
    <mergeCell ref="B63:G63"/>
    <mergeCell ref="B64:G6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3.180198857142857</v>
      </c>
      <c r="P15" s="21">
        <f>IF(STAAD!$C$17="ASCE 7-16",STAAD!$D$15,STAAD!$D$12)</f>
        <v>3.180198857142857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